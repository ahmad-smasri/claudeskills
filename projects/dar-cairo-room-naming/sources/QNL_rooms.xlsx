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ksharafalmasri\Downloads\BMS Final verification\"/>
    </mc:Choice>
  </mc:AlternateContent>
  <xr:revisionPtr revIDLastSave="0" documentId="13_ncr:1_{ABFB5BE4-396E-41E1-8614-EB27ABE8519E}" xr6:coauthVersionLast="47" xr6:coauthVersionMax="47" xr10:uidLastSave="{00000000-0000-0000-0000-000000000000}"/>
  <bookViews>
    <workbookView xWindow="22932" yWindow="-2916" windowWidth="30936" windowHeight="16776" firstSheet="4" activeTab="5" xr2:uid="{00000000-000D-0000-FFFF-FFFF00000000}"/>
  </bookViews>
  <sheets>
    <sheet name="Claude Log" sheetId="1" r:id="rId1"/>
    <sheet name="HQ Asset Register" sheetId="2" r:id="rId2"/>
    <sheet name="QNL Asset Register" sheetId="3" r:id="rId3"/>
    <sheet name="SSC Asset Register" sheetId="4" r:id="rId4"/>
    <sheet name="RDC Asset Register" sheetId="5" r:id="rId5"/>
    <sheet name="Controllable Asset Registry" sheetId="6" r:id="rId6"/>
    <sheet name="SSC Room Names with Equip." sheetId="7" r:id="rId7"/>
    <sheet name="HQ Room Names with Equip." sheetId="9" r:id="rId8"/>
    <sheet name="QNL Room Names with Equip." sheetId="10" r:id="rId9"/>
  </sheets>
  <definedNames>
    <definedName name="_xlnm._FilterDatabase" localSheetId="5" hidden="1">'Controllable Asset Registry'!$A$1:$XFB$3202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0" l="1" a="1"/>
  <c r="D3" i="10" s="1"/>
  <c r="D4" i="10" a="1"/>
  <c r="D4" i="10" s="1"/>
  <c r="D5" i="10" a="1"/>
  <c r="D5" i="10" s="1"/>
  <c r="D6" i="10" a="1"/>
  <c r="D6" i="10" s="1"/>
  <c r="D7" i="10" a="1"/>
  <c r="D7" i="10" s="1"/>
  <c r="D8" i="10" a="1"/>
  <c r="D8" i="10" s="1"/>
  <c r="D9" i="10" a="1"/>
  <c r="D9" i="10" s="1"/>
  <c r="D10" i="10" a="1"/>
  <c r="D10" i="10" s="1"/>
  <c r="D11" i="10" a="1"/>
  <c r="D11" i="10" s="1"/>
  <c r="D12" i="10" a="1"/>
  <c r="D12" i="10" s="1"/>
  <c r="D13" i="10" a="1"/>
  <c r="D13" i="10" s="1"/>
  <c r="D14" i="10" a="1"/>
  <c r="D14" i="10" s="1"/>
  <c r="D15" i="10" a="1"/>
  <c r="D15" i="10" s="1"/>
  <c r="D16" i="10" a="1"/>
  <c r="D16" i="10" s="1"/>
  <c r="D17" i="10" a="1"/>
  <c r="D17" i="10" s="1"/>
  <c r="D18" i="10" a="1"/>
  <c r="D18" i="10" s="1"/>
  <c r="D19" i="10" a="1"/>
  <c r="D19" i="10" s="1"/>
  <c r="D20" i="10" a="1"/>
  <c r="D20" i="10" s="1"/>
  <c r="D21" i="10" a="1"/>
  <c r="D21" i="10" s="1"/>
  <c r="D22" i="10" a="1"/>
  <c r="D22" i="10" s="1"/>
  <c r="D23" i="10" a="1"/>
  <c r="D23" i="10" s="1"/>
  <c r="D24" i="10" a="1"/>
  <c r="D24" i="10" s="1"/>
  <c r="D25" i="10" a="1"/>
  <c r="D25" i="10" s="1"/>
  <c r="D26" i="10" a="1"/>
  <c r="D26" i="10" s="1"/>
  <c r="D27" i="10" a="1"/>
  <c r="D27" i="10" s="1"/>
  <c r="D28" i="10" a="1"/>
  <c r="D28" i="10" s="1"/>
  <c r="D29" i="10" a="1"/>
  <c r="D29" i="10" s="1"/>
  <c r="D30" i="10" a="1"/>
  <c r="D30" i="10" s="1"/>
  <c r="D31" i="10" a="1"/>
  <c r="D31" i="10" s="1"/>
  <c r="D32" i="10" a="1"/>
  <c r="D32" i="10" s="1"/>
  <c r="D33" i="10" a="1"/>
  <c r="D33" i="10" s="1"/>
  <c r="D34" i="10" a="1"/>
  <c r="D34" i="10" s="1"/>
  <c r="D35" i="10" a="1"/>
  <c r="D35" i="10" s="1"/>
  <c r="D36" i="10" a="1"/>
  <c r="D36" i="10" s="1"/>
  <c r="D37" i="10" a="1"/>
  <c r="D37" i="10" s="1"/>
  <c r="D38" i="10" a="1"/>
  <c r="D38" i="10" s="1"/>
  <c r="D39" i="10" a="1"/>
  <c r="D39" i="10" s="1"/>
  <c r="D40" i="10" a="1"/>
  <c r="D40" i="10" s="1"/>
  <c r="D41" i="10" a="1"/>
  <c r="D41" i="10" s="1"/>
  <c r="D42" i="10" a="1"/>
  <c r="D42" i="10" s="1"/>
  <c r="D43" i="10" a="1"/>
  <c r="D43" i="10" s="1"/>
  <c r="D44" i="10" a="1"/>
  <c r="D44" i="10" s="1"/>
  <c r="D45" i="10" a="1"/>
  <c r="D45" i="10" s="1"/>
  <c r="D46" i="10" a="1"/>
  <c r="D46" i="10" s="1"/>
  <c r="D47" i="10" a="1"/>
  <c r="D47" i="10" s="1"/>
  <c r="D48" i="10" a="1"/>
  <c r="D48" i="10" s="1"/>
  <c r="D49" i="10" a="1"/>
  <c r="D49" i="10" s="1"/>
  <c r="D50" i="10" a="1"/>
  <c r="D50" i="10" s="1"/>
  <c r="D51" i="10" a="1"/>
  <c r="D51" i="10" s="1"/>
  <c r="D52" i="10" a="1"/>
  <c r="D52" i="10" s="1"/>
  <c r="D53" i="10" a="1"/>
  <c r="D53" i="10" s="1"/>
  <c r="D54" i="10" a="1"/>
  <c r="D54" i="10" s="1"/>
  <c r="D55" i="10" a="1"/>
  <c r="D55" i="10" s="1"/>
  <c r="D56" i="10" a="1"/>
  <c r="D56" i="10" s="1"/>
  <c r="D57" i="10" a="1"/>
  <c r="D57" i="10" s="1"/>
  <c r="D58" i="10" a="1"/>
  <c r="D58" i="10" s="1"/>
  <c r="D59" i="10" a="1"/>
  <c r="D59" i="10" s="1"/>
  <c r="D60" i="10" a="1"/>
  <c r="D60" i="10" s="1"/>
  <c r="D61" i="10" a="1"/>
  <c r="D61" i="10" s="1"/>
  <c r="D62" i="10" a="1"/>
  <c r="D62" i="10" s="1"/>
  <c r="D63" i="10" a="1"/>
  <c r="D63" i="10" s="1"/>
  <c r="D64" i="10" a="1"/>
  <c r="D64" i="10" s="1"/>
  <c r="D65" i="10" a="1"/>
  <c r="D65" i="10" s="1"/>
  <c r="D66" i="10" a="1"/>
  <c r="D66" i="10" s="1"/>
  <c r="D67" i="10" a="1"/>
  <c r="D67" i="10" s="1"/>
  <c r="D68" i="10" a="1"/>
  <c r="D68" i="10" s="1"/>
  <c r="D69" i="10" a="1"/>
  <c r="D69" i="10" s="1"/>
  <c r="D70" i="10" a="1"/>
  <c r="D70" i="10" s="1"/>
  <c r="D71" i="10" a="1"/>
  <c r="D71" i="10" s="1"/>
  <c r="D72" i="10" a="1"/>
  <c r="D72" i="10" s="1"/>
  <c r="D73" i="10" a="1"/>
  <c r="D73" i="10" s="1"/>
  <c r="D74" i="10" a="1"/>
  <c r="D74" i="10" s="1"/>
  <c r="D75" i="10" a="1"/>
  <c r="D75" i="10" s="1"/>
  <c r="D76" i="10" a="1"/>
  <c r="D76" i="10" s="1"/>
  <c r="D77" i="10" a="1"/>
  <c r="D77" i="10" s="1"/>
  <c r="D78" i="10" a="1"/>
  <c r="D78" i="10" s="1"/>
  <c r="D79" i="10" a="1"/>
  <c r="D79" i="10" s="1"/>
  <c r="D80" i="10" a="1"/>
  <c r="D80" i="10" s="1"/>
  <c r="D81" i="10" a="1"/>
  <c r="D81" i="10" s="1"/>
  <c r="D82" i="10" a="1"/>
  <c r="D82" i="10" s="1"/>
  <c r="D83" i="10" a="1"/>
  <c r="D83" i="10" s="1"/>
  <c r="D84" i="10" a="1"/>
  <c r="D84" i="10" s="1"/>
  <c r="D85" i="10" a="1"/>
  <c r="D85" i="10" s="1"/>
  <c r="D86" i="10" a="1"/>
  <c r="D86" i="10" s="1"/>
  <c r="D87" i="10" a="1"/>
  <c r="D87" i="10" s="1"/>
  <c r="D88" i="10" a="1"/>
  <c r="D88" i="10" s="1"/>
  <c r="D89" i="10" a="1"/>
  <c r="D89" i="10" s="1"/>
  <c r="D90" i="10" a="1"/>
  <c r="D90" i="10" s="1"/>
  <c r="D91" i="10" a="1"/>
  <c r="D91" i="10" s="1"/>
  <c r="D92" i="10" a="1"/>
  <c r="D92" i="10" s="1"/>
  <c r="D93" i="10" a="1"/>
  <c r="D93" i="10" s="1"/>
  <c r="D94" i="10" a="1"/>
  <c r="D94" i="10" s="1"/>
  <c r="D95" i="10" a="1"/>
  <c r="D95" i="10" s="1"/>
  <c r="D96" i="10" a="1"/>
  <c r="D96" i="10" s="1"/>
  <c r="D97" i="10" a="1"/>
  <c r="D97" i="10" s="1"/>
  <c r="D98" i="10" a="1"/>
  <c r="D98" i="10" s="1"/>
  <c r="D99" i="10" a="1"/>
  <c r="D99" i="10" s="1"/>
  <c r="D100" i="10" a="1"/>
  <c r="D100" i="10" s="1"/>
  <c r="D101" i="10" a="1"/>
  <c r="D101" i="10" s="1"/>
  <c r="D102" i="10" a="1"/>
  <c r="D102" i="10" s="1"/>
  <c r="D103" i="10" a="1"/>
  <c r="D103" i="10" s="1"/>
  <c r="D104" i="10" a="1"/>
  <c r="D104" i="10" s="1"/>
  <c r="D105" i="10" a="1"/>
  <c r="D105" i="10" s="1"/>
  <c r="D106" i="10" a="1"/>
  <c r="D106" i="10" s="1"/>
  <c r="D107" i="10" a="1"/>
  <c r="D107" i="10" s="1"/>
  <c r="D108" i="10" a="1"/>
  <c r="D108" i="10" s="1"/>
  <c r="D109" i="10" a="1"/>
  <c r="D109" i="10" s="1"/>
  <c r="D110" i="10" a="1"/>
  <c r="D110" i="10" s="1"/>
  <c r="D111" i="10" a="1"/>
  <c r="D111" i="10" s="1"/>
  <c r="D112" i="10" a="1"/>
  <c r="D112" i="10" s="1"/>
  <c r="D113" i="10" a="1"/>
  <c r="D113" i="10" s="1"/>
  <c r="D114" i="10" a="1"/>
  <c r="D114" i="10" s="1"/>
  <c r="D115" i="10" a="1"/>
  <c r="D115" i="10" s="1"/>
  <c r="D116" i="10" a="1"/>
  <c r="D116" i="10" s="1"/>
  <c r="D117" i="10" a="1"/>
  <c r="D117" i="10" s="1"/>
  <c r="D118" i="10" a="1"/>
  <c r="D118" i="10" s="1"/>
  <c r="D119" i="10" a="1"/>
  <c r="D119" i="10" s="1"/>
  <c r="D120" i="10" a="1"/>
  <c r="D120" i="10" s="1"/>
  <c r="D121" i="10" a="1"/>
  <c r="D121" i="10" s="1"/>
  <c r="D122" i="10" a="1"/>
  <c r="D122" i="10" s="1"/>
  <c r="D123" i="10" a="1"/>
  <c r="D123" i="10" s="1"/>
  <c r="D124" i="10" a="1"/>
  <c r="D124" i="10" s="1"/>
  <c r="D125" i="10" a="1"/>
  <c r="D125" i="10" s="1"/>
  <c r="D126" i="10" a="1"/>
  <c r="D126" i="10" s="1"/>
  <c r="D127" i="10" a="1"/>
  <c r="D127" i="10" s="1"/>
  <c r="D128" i="10" a="1"/>
  <c r="D128" i="10" s="1"/>
  <c r="D129" i="10" a="1"/>
  <c r="D129" i="10" s="1"/>
  <c r="D130" i="10" a="1"/>
  <c r="D130" i="10" s="1"/>
  <c r="D131" i="10" a="1"/>
  <c r="D131" i="10" s="1"/>
  <c r="D132" i="10" a="1"/>
  <c r="D132" i="10" s="1"/>
  <c r="D133" i="10" a="1"/>
  <c r="D133" i="10" s="1"/>
  <c r="D134" i="10" a="1"/>
  <c r="D134" i="10" s="1"/>
  <c r="D135" i="10" a="1"/>
  <c r="D135" i="10" s="1"/>
  <c r="D136" i="10" a="1"/>
  <c r="D136" i="10" s="1"/>
  <c r="D137" i="10" a="1"/>
  <c r="D137" i="10" s="1"/>
  <c r="D138" i="10" a="1"/>
  <c r="D138" i="10" s="1"/>
  <c r="D139" i="10" a="1"/>
  <c r="D139" i="10" s="1"/>
  <c r="D140" i="10" a="1"/>
  <c r="D140" i="10" s="1"/>
  <c r="D141" i="10" a="1"/>
  <c r="D141" i="10" s="1"/>
  <c r="D142" i="10" a="1"/>
  <c r="D142" i="10" s="1"/>
  <c r="D143" i="10" a="1"/>
  <c r="D143" i="10" s="1"/>
  <c r="D144" i="10" a="1"/>
  <c r="D144" i="10" s="1"/>
  <c r="D145" i="10" a="1"/>
  <c r="D145" i="10" s="1"/>
  <c r="D146" i="10" a="1"/>
  <c r="D146" i="10" s="1"/>
  <c r="D147" i="10" a="1"/>
  <c r="D147" i="10" s="1"/>
  <c r="D148" i="10" a="1"/>
  <c r="D148" i="10" s="1"/>
  <c r="D149" i="10" a="1"/>
  <c r="D149" i="10" s="1"/>
  <c r="D150" i="10" a="1"/>
  <c r="D150" i="10" s="1"/>
  <c r="D151" i="10" a="1"/>
  <c r="D151" i="10" s="1"/>
  <c r="D152" i="10" a="1"/>
  <c r="D152" i="10" s="1"/>
  <c r="D153" i="10" a="1"/>
  <c r="D153" i="10" s="1"/>
  <c r="D154" i="10" a="1"/>
  <c r="D154" i="10" s="1"/>
  <c r="D155" i="10" a="1"/>
  <c r="D155" i="10" s="1"/>
  <c r="D156" i="10" a="1"/>
  <c r="D156" i="10" s="1"/>
  <c r="D157" i="10" a="1"/>
  <c r="D157" i="10" s="1"/>
  <c r="D158" i="10" a="1"/>
  <c r="D158" i="10" s="1"/>
  <c r="D159" i="10" a="1"/>
  <c r="D159" i="10" s="1"/>
  <c r="D160" i="10" a="1"/>
  <c r="D160" i="10" s="1"/>
  <c r="D161" i="10" a="1"/>
  <c r="D161" i="10" s="1"/>
  <c r="D162" i="10" a="1"/>
  <c r="D162" i="10" s="1"/>
  <c r="D163" i="10" a="1"/>
  <c r="D163" i="10" s="1"/>
  <c r="D164" i="10" a="1"/>
  <c r="D164" i="10" s="1"/>
  <c r="D165" i="10" a="1"/>
  <c r="D165" i="10" s="1"/>
  <c r="D166" i="10" a="1"/>
  <c r="D166" i="10" s="1"/>
  <c r="D167" i="10" a="1"/>
  <c r="D167" i="10" s="1"/>
  <c r="D168" i="10" a="1"/>
  <c r="D168" i="10" s="1"/>
  <c r="D169" i="10" a="1"/>
  <c r="D169" i="10" s="1"/>
  <c r="D170" i="10" a="1"/>
  <c r="D170" i="10" s="1"/>
  <c r="D171" i="10" a="1"/>
  <c r="D171" i="10" s="1"/>
  <c r="D172" i="10" a="1"/>
  <c r="D172" i="10" s="1"/>
  <c r="D173" i="10" a="1"/>
  <c r="D173" i="10" s="1"/>
  <c r="D174" i="10" a="1"/>
  <c r="D174" i="10" s="1"/>
  <c r="D175" i="10" a="1"/>
  <c r="D175" i="10" s="1"/>
  <c r="D176" i="10" a="1"/>
  <c r="D176" i="10" s="1"/>
  <c r="D177" i="10" a="1"/>
  <c r="D177" i="10" s="1"/>
  <c r="D178" i="10" a="1"/>
  <c r="D178" i="10" s="1"/>
  <c r="D179" i="10" a="1"/>
  <c r="D179" i="10" s="1"/>
  <c r="D180" i="10" a="1"/>
  <c r="D180" i="10" s="1"/>
  <c r="D181" i="10" a="1"/>
  <c r="D181" i="10" s="1"/>
  <c r="D182" i="10" a="1"/>
  <c r="D182" i="10" s="1"/>
  <c r="D183" i="10" a="1"/>
  <c r="D183" i="10" s="1"/>
  <c r="D184" i="10" a="1"/>
  <c r="D184" i="10" s="1"/>
  <c r="D185" i="10" a="1"/>
  <c r="D185" i="10" s="1"/>
  <c r="D186" i="10" a="1"/>
  <c r="D186" i="10" s="1"/>
  <c r="D187" i="10" a="1"/>
  <c r="D187" i="10" s="1"/>
  <c r="D188" i="10" a="1"/>
  <c r="D188" i="10" s="1"/>
  <c r="D189" i="10" a="1"/>
  <c r="D189" i="10" s="1"/>
  <c r="D190" i="10" a="1"/>
  <c r="D190" i="10" s="1"/>
  <c r="D191" i="10" a="1"/>
  <c r="D191" i="10" s="1"/>
  <c r="D192" i="10" a="1"/>
  <c r="D192" i="10" s="1"/>
  <c r="D193" i="10" a="1"/>
  <c r="D193" i="10" s="1"/>
  <c r="D194" i="10" a="1"/>
  <c r="D194" i="10" s="1"/>
  <c r="D195" i="10" a="1"/>
  <c r="D195" i="10" s="1"/>
  <c r="D196" i="10" a="1"/>
  <c r="D196" i="10" s="1"/>
  <c r="D197" i="10" a="1"/>
  <c r="D197" i="10" s="1"/>
  <c r="D198" i="10" a="1"/>
  <c r="D198" i="10" s="1"/>
  <c r="D199" i="10" a="1"/>
  <c r="D199" i="10" s="1"/>
  <c r="D200" i="10" a="1"/>
  <c r="D200" i="10" s="1"/>
  <c r="D201" i="10" a="1"/>
  <c r="D201" i="10" s="1"/>
  <c r="D202" i="10" a="1"/>
  <c r="D202" i="10" s="1"/>
  <c r="D203" i="10" a="1"/>
  <c r="D203" i="10" s="1"/>
  <c r="D204" i="10" a="1"/>
  <c r="D204" i="10" s="1"/>
  <c r="D205" i="10" a="1"/>
  <c r="D205" i="10" s="1"/>
  <c r="D206" i="10" a="1"/>
  <c r="D206" i="10" s="1"/>
  <c r="D207" i="10" a="1"/>
  <c r="D207" i="10" s="1"/>
  <c r="D208" i="10" a="1"/>
  <c r="D208" i="10" s="1"/>
  <c r="D209" i="10" a="1"/>
  <c r="D209" i="10" s="1"/>
  <c r="D210" i="10" a="1"/>
  <c r="D210" i="10" s="1"/>
  <c r="D211" i="10" a="1"/>
  <c r="D211" i="10" s="1"/>
  <c r="D212" i="10" a="1"/>
  <c r="D212" i="10" s="1"/>
  <c r="D213" i="10" a="1"/>
  <c r="D213" i="10" s="1"/>
  <c r="D214" i="10" a="1"/>
  <c r="D214" i="10" s="1"/>
  <c r="D215" i="10" a="1"/>
  <c r="D215" i="10" s="1"/>
  <c r="D216" i="10" a="1"/>
  <c r="D216" i="10" s="1"/>
  <c r="D217" i="10" a="1"/>
  <c r="D217" i="10" s="1"/>
  <c r="D218" i="10" a="1"/>
  <c r="D218" i="10" s="1"/>
  <c r="D219" i="10" a="1"/>
  <c r="D219" i="10" s="1"/>
  <c r="D220" i="10" a="1"/>
  <c r="D220" i="10" s="1"/>
  <c r="D221" i="10" a="1"/>
  <c r="D221" i="10" s="1"/>
  <c r="D222" i="10" a="1"/>
  <c r="D222" i="10" s="1"/>
  <c r="D223" i="10" a="1"/>
  <c r="D223" i="10" s="1"/>
  <c r="D224" i="10" a="1"/>
  <c r="D224" i="10" s="1"/>
  <c r="D225" i="10" a="1"/>
  <c r="D225" i="10" s="1"/>
  <c r="D226" i="10" a="1"/>
  <c r="D226" i="10" s="1"/>
  <c r="D227" i="10" a="1"/>
  <c r="D227" i="10" s="1"/>
  <c r="D228" i="10" a="1"/>
  <c r="D228" i="10" s="1"/>
  <c r="D229" i="10" a="1"/>
  <c r="D229" i="10" s="1"/>
  <c r="D230" i="10" a="1"/>
  <c r="D230" i="10" s="1"/>
  <c r="D231" i="10" a="1"/>
  <c r="D231" i="10" s="1"/>
  <c r="D232" i="10" a="1"/>
  <c r="D232" i="10" s="1"/>
  <c r="D233" i="10" a="1"/>
  <c r="D233" i="10" s="1"/>
  <c r="D234" i="10" a="1"/>
  <c r="D234" i="10" s="1"/>
  <c r="D235" i="10" a="1"/>
  <c r="D235" i="10" s="1"/>
  <c r="D236" i="10" a="1"/>
  <c r="D236" i="10" s="1"/>
  <c r="D237" i="10" a="1"/>
  <c r="D237" i="10" s="1"/>
  <c r="D238" i="10" a="1"/>
  <c r="D238" i="10" s="1"/>
  <c r="D239" i="10" a="1"/>
  <c r="D239" i="10" s="1"/>
  <c r="D240" i="10" a="1"/>
  <c r="D240" i="10" s="1"/>
  <c r="D241" i="10" a="1"/>
  <c r="D241" i="10" s="1"/>
  <c r="D242" i="10" a="1"/>
  <c r="D242" i="10" s="1"/>
  <c r="D243" i="10" a="1"/>
  <c r="D243" i="10" s="1"/>
  <c r="D244" i="10" a="1"/>
  <c r="D244" i="10" s="1"/>
  <c r="D245" i="10" a="1"/>
  <c r="D245" i="10" s="1"/>
  <c r="D246" i="10" a="1"/>
  <c r="D246" i="10" s="1"/>
  <c r="D247" i="10" a="1"/>
  <c r="D247" i="10" s="1"/>
  <c r="D248" i="10" a="1"/>
  <c r="D248" i="10" s="1"/>
  <c r="D249" i="10" a="1"/>
  <c r="D249" i="10" s="1"/>
  <c r="D250" i="10" a="1"/>
  <c r="D250" i="10" s="1"/>
  <c r="D251" i="10" a="1"/>
  <c r="D251" i="10" s="1"/>
  <c r="D252" i="10" a="1"/>
  <c r="D252" i="10" s="1"/>
  <c r="D253" i="10" a="1"/>
  <c r="D253" i="10" s="1"/>
  <c r="D254" i="10" a="1"/>
  <c r="D254" i="10" s="1"/>
  <c r="D255" i="10" a="1"/>
  <c r="D255" i="10" s="1"/>
  <c r="D256" i="10" a="1"/>
  <c r="D256" i="10" s="1"/>
  <c r="D257" i="10" a="1"/>
  <c r="D257" i="10" s="1"/>
  <c r="D258" i="10" a="1"/>
  <c r="D258" i="10" s="1"/>
  <c r="D259" i="10" a="1"/>
  <c r="D259" i="10" s="1"/>
  <c r="D260" i="10" a="1"/>
  <c r="D260" i="10" s="1"/>
  <c r="D261" i="10" a="1"/>
  <c r="D261" i="10" s="1"/>
  <c r="D262" i="10" a="1"/>
  <c r="D262" i="10" s="1"/>
  <c r="D263" i="10" a="1"/>
  <c r="D263" i="10" s="1"/>
  <c r="D264" i="10" a="1"/>
  <c r="D264" i="10" s="1"/>
  <c r="D265" i="10" a="1"/>
  <c r="D265" i="10" s="1"/>
  <c r="D266" i="10" a="1"/>
  <c r="D266" i="10" s="1"/>
  <c r="D267" i="10" a="1"/>
  <c r="D267" i="10" s="1"/>
  <c r="D268" i="10" a="1"/>
  <c r="D268" i="10" s="1"/>
  <c r="D269" i="10" a="1"/>
  <c r="D269" i="10" s="1"/>
  <c r="D270" i="10" a="1"/>
  <c r="D270" i="10" s="1"/>
  <c r="D271" i="10" a="1"/>
  <c r="D271" i="10" s="1"/>
  <c r="D272" i="10" a="1"/>
  <c r="D272" i="10" s="1"/>
  <c r="D273" i="10" a="1"/>
  <c r="D273" i="10" s="1"/>
  <c r="D274" i="10" a="1"/>
  <c r="D274" i="10" s="1"/>
  <c r="D275" i="10" a="1"/>
  <c r="D275" i="10" s="1"/>
  <c r="D276" i="10" a="1"/>
  <c r="D276" i="10" s="1"/>
  <c r="D277" i="10" a="1"/>
  <c r="D277" i="10" s="1"/>
  <c r="D278" i="10" a="1"/>
  <c r="D278" i="10" s="1"/>
  <c r="D279" i="10" a="1"/>
  <c r="D279" i="10" s="1"/>
  <c r="D280" i="10" a="1"/>
  <c r="D280" i="10" s="1"/>
  <c r="D281" i="10" a="1"/>
  <c r="D281" i="10" s="1"/>
  <c r="D282" i="10" a="1"/>
  <c r="D282" i="10" s="1"/>
  <c r="D283" i="10" a="1"/>
  <c r="D283" i="10" s="1"/>
  <c r="D284" i="10" a="1"/>
  <c r="D284" i="10" s="1"/>
  <c r="D285" i="10" a="1"/>
  <c r="D285" i="10" s="1"/>
  <c r="D286" i="10" a="1"/>
  <c r="D286" i="10" s="1"/>
  <c r="D287" i="10" a="1"/>
  <c r="D287" i="10" s="1"/>
  <c r="D288" i="10" a="1"/>
  <c r="D288" i="10" s="1"/>
  <c r="D289" i="10" a="1"/>
  <c r="D289" i="10" s="1"/>
  <c r="D290" i="10" a="1"/>
  <c r="D290" i="10" s="1"/>
  <c r="D291" i="10" a="1"/>
  <c r="D291" i="10" s="1"/>
  <c r="D292" i="10" a="1"/>
  <c r="D292" i="10" s="1"/>
  <c r="D293" i="10" a="1"/>
  <c r="D293" i="10" s="1"/>
  <c r="D294" i="10" a="1"/>
  <c r="D294" i="10" s="1"/>
  <c r="D295" i="10" a="1"/>
  <c r="D295" i="10" s="1"/>
  <c r="D296" i="10" a="1"/>
  <c r="D296" i="10" s="1"/>
  <c r="D297" i="10" a="1"/>
  <c r="D297" i="10" s="1"/>
  <c r="D298" i="10" a="1"/>
  <c r="D298" i="10" s="1"/>
  <c r="D299" i="10" a="1"/>
  <c r="D299" i="10" s="1"/>
  <c r="D300" i="10" a="1"/>
  <c r="D300" i="10" s="1"/>
  <c r="D301" i="10" a="1"/>
  <c r="D301" i="10" s="1"/>
  <c r="D302" i="10" a="1"/>
  <c r="D302" i="10" s="1"/>
  <c r="D303" i="10" a="1"/>
  <c r="D303" i="10" s="1"/>
  <c r="D304" i="10" a="1"/>
  <c r="D304" i="10" s="1"/>
  <c r="D305" i="10" a="1"/>
  <c r="D305" i="10" s="1"/>
  <c r="D306" i="10" a="1"/>
  <c r="D306" i="10" s="1"/>
  <c r="D307" i="10" a="1"/>
  <c r="D307" i="10" s="1"/>
  <c r="D308" i="10" a="1"/>
  <c r="D308" i="10" s="1"/>
  <c r="D309" i="10" a="1"/>
  <c r="D309" i="10" s="1"/>
  <c r="D310" i="10" a="1"/>
  <c r="D310" i="10" s="1"/>
  <c r="D311" i="10" a="1"/>
  <c r="D311" i="10" s="1"/>
  <c r="D312" i="10" a="1"/>
  <c r="D312" i="10" s="1"/>
  <c r="D313" i="10" a="1"/>
  <c r="D313" i="10" s="1"/>
  <c r="D314" i="10" a="1"/>
  <c r="D314" i="10" s="1"/>
  <c r="D315" i="10" a="1"/>
  <c r="D315" i="10" s="1"/>
  <c r="D316" i="10" a="1"/>
  <c r="D316" i="10" s="1"/>
  <c r="D317" i="10" a="1"/>
  <c r="D317" i="10" s="1"/>
  <c r="D318" i="10" a="1"/>
  <c r="D318" i="10" s="1"/>
  <c r="D319" i="10" a="1"/>
  <c r="D319" i="10" s="1"/>
  <c r="D320" i="10" a="1"/>
  <c r="D320" i="10" s="1"/>
  <c r="D321" i="10" a="1"/>
  <c r="D321" i="10" s="1"/>
  <c r="D322" i="10" a="1"/>
  <c r="D322" i="10" s="1"/>
  <c r="D323" i="10" a="1"/>
  <c r="D323" i="10" s="1"/>
  <c r="D324" i="10" a="1"/>
  <c r="D324" i="10" s="1"/>
  <c r="D325" i="10" a="1"/>
  <c r="D325" i="10" s="1"/>
  <c r="D326" i="10" a="1"/>
  <c r="D326" i="10" s="1"/>
  <c r="D327" i="10" a="1"/>
  <c r="D327" i="10" s="1"/>
  <c r="D328" i="10" a="1"/>
  <c r="D328" i="10" s="1"/>
  <c r="D329" i="10" a="1"/>
  <c r="D329" i="10" s="1"/>
  <c r="D330" i="10" a="1"/>
  <c r="D330" i="10" s="1"/>
  <c r="D331" i="10" a="1"/>
  <c r="D331" i="10" s="1"/>
  <c r="D332" i="10" a="1"/>
  <c r="D332" i="10" s="1"/>
  <c r="D333" i="10" a="1"/>
  <c r="D333" i="10" s="1"/>
  <c r="D334" i="10" a="1"/>
  <c r="D334" i="10" s="1"/>
  <c r="D335" i="10" a="1"/>
  <c r="D335" i="10" s="1"/>
  <c r="D336" i="10" a="1"/>
  <c r="D336" i="10" s="1"/>
  <c r="D337" i="10" a="1"/>
  <c r="D337" i="10" s="1"/>
  <c r="D338" i="10" a="1"/>
  <c r="D338" i="10" s="1"/>
  <c r="D339" i="10" a="1"/>
  <c r="D339" i="10" s="1"/>
  <c r="D340" i="10" a="1"/>
  <c r="D340" i="10" s="1"/>
  <c r="D341" i="10" a="1"/>
  <c r="D341" i="10" s="1"/>
  <c r="D342" i="10" a="1"/>
  <c r="D342" i="10" s="1"/>
  <c r="D343" i="10" a="1"/>
  <c r="D343" i="10" s="1"/>
  <c r="D344" i="10" a="1"/>
  <c r="D344" i="10" s="1"/>
  <c r="D345" i="10" a="1"/>
  <c r="D345" i="10" s="1"/>
  <c r="D346" i="10" a="1"/>
  <c r="D346" i="10" s="1"/>
  <c r="D347" i="10" a="1"/>
  <c r="D347" i="10" s="1"/>
  <c r="D348" i="10" a="1"/>
  <c r="D348" i="10" s="1"/>
  <c r="D349" i="10" a="1"/>
  <c r="D349" i="10" s="1"/>
  <c r="D350" i="10" a="1"/>
  <c r="D350" i="10" s="1"/>
  <c r="D351" i="10" a="1"/>
  <c r="D351" i="10" s="1"/>
  <c r="D352" i="10" a="1"/>
  <c r="D352" i="10" s="1"/>
  <c r="D353" i="10" a="1"/>
  <c r="D353" i="10" s="1"/>
  <c r="D2" i="10" a="1"/>
  <c r="D2" i="10" s="1"/>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A301" i="10"/>
  <c r="A300" i="10"/>
  <c r="A299" i="10"/>
  <c r="A298" i="10"/>
  <c r="A297" i="10"/>
  <c r="A296" i="10"/>
  <c r="A295" i="10"/>
  <c r="A294" i="10"/>
  <c r="A293" i="10"/>
  <c r="A292" i="10"/>
  <c r="A291" i="10"/>
  <c r="A290" i="10"/>
  <c r="A289" i="10"/>
  <c r="A288" i="10"/>
  <c r="A287" i="10"/>
  <c r="A286" i="10"/>
  <c r="A285" i="10"/>
  <c r="A284" i="10"/>
  <c r="A283" i="10"/>
  <c r="A282" i="10"/>
  <c r="A281" i="10"/>
  <c r="A280" i="10"/>
  <c r="A279" i="10"/>
  <c r="A278" i="10"/>
  <c r="A277" i="10"/>
  <c r="A276" i="10"/>
  <c r="A275" i="10"/>
  <c r="A274" i="10"/>
  <c r="A273" i="10"/>
  <c r="A272" i="10"/>
  <c r="A271" i="10"/>
  <c r="A270" i="10"/>
  <c r="A269" i="10"/>
  <c r="A268" i="10"/>
  <c r="A267" i="10"/>
  <c r="A266" i="10"/>
  <c r="A265" i="10"/>
  <c r="A264" i="10"/>
  <c r="A263" i="10"/>
  <c r="A262" i="10"/>
  <c r="A261" i="10"/>
  <c r="A260" i="10"/>
  <c r="A259" i="10"/>
  <c r="A258" i="10"/>
  <c r="A257" i="10"/>
  <c r="A256" i="10"/>
  <c r="A255" i="10"/>
  <c r="A254" i="10"/>
  <c r="A253" i="10"/>
  <c r="A252" i="10"/>
  <c r="A251" i="10"/>
  <c r="A250" i="10"/>
  <c r="A249" i="10"/>
  <c r="A248" i="10"/>
  <c r="A247" i="10"/>
  <c r="A246" i="10"/>
  <c r="A245" i="10"/>
  <c r="A244" i="10"/>
  <c r="A243" i="10"/>
  <c r="A242" i="10"/>
  <c r="A241" i="10"/>
  <c r="A240" i="10"/>
  <c r="A239" i="10"/>
  <c r="A238" i="10"/>
  <c r="A237" i="10"/>
  <c r="A236" i="10"/>
  <c r="A235" i="10"/>
  <c r="A234" i="10"/>
  <c r="A233" i="10"/>
  <c r="A232" i="10"/>
  <c r="A231" i="10"/>
  <c r="A230" i="10"/>
  <c r="A229" i="10"/>
  <c r="A228" i="10"/>
  <c r="A227" i="10"/>
  <c r="A226" i="10"/>
  <c r="A225" i="10"/>
  <c r="A224" i="10"/>
  <c r="A223" i="10"/>
  <c r="A222" i="10"/>
  <c r="A221" i="10"/>
  <c r="A220" i="10"/>
  <c r="A219" i="10"/>
  <c r="A218" i="10"/>
  <c r="A217" i="10"/>
  <c r="A216" i="10"/>
  <c r="A215" i="10"/>
  <c r="A214" i="10"/>
  <c r="A213" i="10"/>
  <c r="A212" i="10"/>
  <c r="A211" i="10"/>
  <c r="A210" i="10"/>
  <c r="A209" i="10"/>
  <c r="A208" i="10"/>
  <c r="A207" i="10"/>
  <c r="A206" i="10"/>
  <c r="A205" i="10"/>
  <c r="A204" i="10"/>
  <c r="A203" i="10"/>
  <c r="A202" i="10"/>
  <c r="A201" i="10"/>
  <c r="A200" i="10"/>
  <c r="A199" i="10"/>
  <c r="A198" i="10"/>
  <c r="A197" i="10"/>
  <c r="A196" i="10"/>
  <c r="A195" i="10"/>
  <c r="A194" i="10"/>
  <c r="A193" i="10"/>
  <c r="A192" i="10"/>
  <c r="A191" i="10"/>
  <c r="A190" i="10"/>
  <c r="A189" i="10"/>
  <c r="A188" i="10"/>
  <c r="A187" i="10"/>
  <c r="A186" i="10"/>
  <c r="A185" i="10"/>
  <c r="A184" i="10"/>
  <c r="A183" i="10"/>
  <c r="A182" i="10"/>
  <c r="A181" i="10"/>
  <c r="A180" i="10"/>
  <c r="A179" i="10"/>
  <c r="A178" i="10"/>
  <c r="A177" i="10"/>
  <c r="A176" i="10"/>
  <c r="A175" i="10"/>
  <c r="A174" i="10"/>
  <c r="A173" i="10"/>
  <c r="A172" i="10"/>
  <c r="A171" i="10"/>
  <c r="A170" i="10"/>
  <c r="A169"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D1029" i="9" l="1" a="1"/>
  <c r="D1029" i="9" s="1"/>
  <c r="D1028" i="9" a="1"/>
  <c r="D1028" i="9" s="1"/>
  <c r="D1027" i="9" a="1"/>
  <c r="D1027" i="9" s="1"/>
  <c r="D1026" i="9" a="1"/>
  <c r="D1026" i="9" s="1"/>
  <c r="D1025" i="9" a="1"/>
  <c r="D1025" i="9" s="1"/>
  <c r="D1024" i="9" a="1"/>
  <c r="D1024" i="9" s="1"/>
  <c r="D1023" i="9" a="1"/>
  <c r="D1023" i="9" s="1"/>
  <c r="D1022" i="9" a="1"/>
  <c r="D1022" i="9" s="1"/>
  <c r="D1013" i="9" a="1"/>
  <c r="D1013" i="9" s="1"/>
  <c r="D1009" i="9" a="1"/>
  <c r="D1009" i="9" s="1"/>
  <c r="D1008" i="9" a="1"/>
  <c r="D1008" i="9" s="1"/>
  <c r="D1007" i="9" a="1"/>
  <c r="D1007" i="9" s="1"/>
  <c r="D1006" i="9" a="1"/>
  <c r="D1006" i="9" s="1"/>
  <c r="D1005" i="9" a="1"/>
  <c r="D1005" i="9" s="1"/>
  <c r="D1004" i="9" a="1"/>
  <c r="D1004" i="9" s="1"/>
  <c r="D1003" i="9" a="1"/>
  <c r="D1003" i="9" s="1"/>
  <c r="D1002" i="9" a="1"/>
  <c r="D1002" i="9" s="1"/>
  <c r="D993" i="9" a="1"/>
  <c r="D993" i="9" s="1"/>
  <c r="D990" i="9" a="1"/>
  <c r="D990" i="9" s="1"/>
  <c r="D989" i="9" a="1"/>
  <c r="D989" i="9" s="1"/>
  <c r="D988" i="9" a="1"/>
  <c r="D988" i="9" s="1"/>
  <c r="D987" i="9" a="1"/>
  <c r="D987" i="9" s="1"/>
  <c r="D986" i="9" a="1"/>
  <c r="D986" i="9" s="1"/>
  <c r="D985" i="9" a="1"/>
  <c r="D985" i="9" s="1"/>
  <c r="D984" i="9" a="1"/>
  <c r="D984" i="9" s="1"/>
  <c r="D983" i="9" a="1"/>
  <c r="D983" i="9" s="1"/>
  <c r="D982" i="9" a="1"/>
  <c r="D982" i="9" s="1"/>
  <c r="D975" i="9" a="1"/>
  <c r="D975" i="9" s="1"/>
  <c r="D970" i="9" a="1"/>
  <c r="D970" i="9" s="1"/>
  <c r="D969" i="9" a="1"/>
  <c r="D969" i="9" s="1"/>
  <c r="D968" i="9" a="1"/>
  <c r="D968" i="9" s="1"/>
  <c r="D967" i="9" a="1"/>
  <c r="D967" i="9" s="1"/>
  <c r="D966" i="9" a="1"/>
  <c r="D966" i="9" s="1"/>
  <c r="D965" i="9" a="1"/>
  <c r="D965" i="9" s="1"/>
  <c r="D964" i="9" a="1"/>
  <c r="D964" i="9" s="1"/>
  <c r="D963" i="9" a="1"/>
  <c r="D963" i="9" s="1"/>
  <c r="D962" i="9" a="1"/>
  <c r="D962" i="9" s="1"/>
  <c r="D953" i="9" a="1"/>
  <c r="D953" i="9" s="1"/>
  <c r="D950" i="9" a="1"/>
  <c r="D950" i="9" s="1"/>
  <c r="D949" i="9" a="1"/>
  <c r="D949" i="9" s="1"/>
  <c r="D948" i="9" a="1"/>
  <c r="D948" i="9" s="1"/>
  <c r="D947" i="9" a="1"/>
  <c r="D947" i="9" s="1"/>
  <c r="D946" i="9" a="1"/>
  <c r="D946" i="9" s="1"/>
  <c r="D945" i="9" a="1"/>
  <c r="D945" i="9" s="1"/>
  <c r="D944" i="9" a="1"/>
  <c r="D944" i="9" s="1"/>
  <c r="D943" i="9" a="1"/>
  <c r="D943" i="9" s="1"/>
  <c r="D942" i="9" a="1"/>
  <c r="D942" i="9" s="1"/>
  <c r="D934" i="9" a="1"/>
  <c r="D934" i="9" s="1"/>
  <c r="D933" i="9" a="1"/>
  <c r="D933" i="9" s="1"/>
  <c r="D930" i="9" a="1"/>
  <c r="D930" i="9" s="1"/>
  <c r="D929" i="9" a="1"/>
  <c r="D929" i="9" s="1"/>
  <c r="D928" i="9" a="1"/>
  <c r="D928" i="9" s="1"/>
  <c r="D924" i="9" a="1"/>
  <c r="D924" i="9" s="1"/>
  <c r="D922" i="9" a="1"/>
  <c r="D922" i="9" s="1"/>
  <c r="D914" i="9" a="1"/>
  <c r="D914" i="9" s="1"/>
  <c r="D913" i="9" a="1"/>
  <c r="D913" i="9" s="1"/>
  <c r="D910" i="9" a="1"/>
  <c r="D910" i="9" s="1"/>
  <c r="D909" i="9" a="1"/>
  <c r="D909" i="9" s="1"/>
  <c r="D908" i="9" a="1"/>
  <c r="D908" i="9" s="1"/>
  <c r="D907" i="9" a="1"/>
  <c r="D907" i="9" s="1"/>
  <c r="D906" i="9" a="1"/>
  <c r="D906" i="9" s="1"/>
  <c r="D905" i="9" a="1"/>
  <c r="D905" i="9" s="1"/>
  <c r="D902" i="9" a="1"/>
  <c r="D902" i="9" s="1"/>
  <c r="D895" i="9" a="1"/>
  <c r="D895" i="9" s="1"/>
  <c r="D894" i="9" a="1"/>
  <c r="D894" i="9" s="1"/>
  <c r="D893" i="9" a="1"/>
  <c r="D893" i="9" s="1"/>
  <c r="D891" i="9" a="1"/>
  <c r="D891" i="9" s="1"/>
  <c r="D888" i="9" a="1"/>
  <c r="D888" i="9" s="1"/>
  <c r="D887" i="9" a="1"/>
  <c r="D887" i="9" s="1"/>
  <c r="D886" i="9" a="1"/>
  <c r="D886" i="9" s="1"/>
  <c r="D885" i="9" a="1"/>
  <c r="D885" i="9" s="1"/>
  <c r="D884" i="9" a="1"/>
  <c r="D884" i="9" s="1"/>
  <c r="D883" i="9" a="1"/>
  <c r="D883" i="9" s="1"/>
  <c r="D882" i="9" a="1"/>
  <c r="D882" i="9" s="1"/>
  <c r="D875" i="9" a="1"/>
  <c r="D875" i="9" s="1"/>
  <c r="D874" i="9" a="1"/>
  <c r="D874" i="9" s="1"/>
  <c r="D873" i="9" a="1"/>
  <c r="D873" i="9" s="1"/>
  <c r="D869" i="9" a="1"/>
  <c r="D869" i="9" s="1"/>
  <c r="D868" i="9" a="1"/>
  <c r="D868" i="9" s="1"/>
  <c r="D867" i="9" a="1"/>
  <c r="D867" i="9" s="1"/>
  <c r="D866" i="9" a="1"/>
  <c r="D866" i="9" s="1"/>
  <c r="D865" i="9" a="1"/>
  <c r="D865" i="9" s="1"/>
  <c r="D864" i="9" a="1"/>
  <c r="D864" i="9" s="1"/>
  <c r="D863" i="9" a="1"/>
  <c r="D863" i="9" s="1"/>
  <c r="D862" i="9" a="1"/>
  <c r="D862" i="9" s="1"/>
  <c r="D854" i="9" a="1"/>
  <c r="D854" i="9" s="1"/>
  <c r="D853" i="9" a="1"/>
  <c r="D853" i="9" s="1"/>
  <c r="D848" i="9" a="1"/>
  <c r="D848" i="9" s="1"/>
  <c r="D847" i="9" a="1"/>
  <c r="D847" i="9" s="1"/>
  <c r="D846" i="9" a="1"/>
  <c r="D846" i="9" s="1"/>
  <c r="D845" i="9" a="1"/>
  <c r="D845" i="9" s="1"/>
  <c r="D844" i="9" a="1"/>
  <c r="D844" i="9" s="1"/>
  <c r="D843" i="9" a="1"/>
  <c r="D843" i="9" s="1"/>
  <c r="D842" i="9" a="1"/>
  <c r="D842" i="9" s="1"/>
  <c r="D835" i="9" a="1"/>
  <c r="D835" i="9" s="1"/>
  <c r="D834" i="9" a="1"/>
  <c r="D834" i="9" s="1"/>
  <c r="D833" i="9" a="1"/>
  <c r="D833" i="9" s="1"/>
  <c r="D826" i="9" a="1"/>
  <c r="D826" i="9" s="1"/>
  <c r="D825" i="9" a="1"/>
  <c r="D825" i="9" s="1"/>
  <c r="D824" i="9" a="1"/>
  <c r="D824" i="9" s="1"/>
  <c r="D823" i="9" a="1"/>
  <c r="D823" i="9" s="1"/>
  <c r="D822" i="9" a="1"/>
  <c r="D822" i="9" s="1"/>
  <c r="D815" i="9" a="1"/>
  <c r="D815" i="9" s="1"/>
  <c r="D814" i="9" a="1"/>
  <c r="D814" i="9" s="1"/>
  <c r="D813" i="9" a="1"/>
  <c r="D813" i="9" s="1"/>
  <c r="D809" i="9" a="1"/>
  <c r="D809" i="9" s="1"/>
  <c r="D808" i="9" a="1"/>
  <c r="D808" i="9" s="1"/>
  <c r="D804" i="9" a="1"/>
  <c r="D804" i="9" s="1"/>
  <c r="D803" i="9" a="1"/>
  <c r="D803" i="9" s="1"/>
  <c r="D802" i="9" a="1"/>
  <c r="D802" i="9" s="1"/>
  <c r="D795" i="9" a="1"/>
  <c r="D795" i="9" s="1"/>
  <c r="D793" i="9" a="1"/>
  <c r="D793" i="9" s="1"/>
  <c r="D790" i="9" a="1"/>
  <c r="D790" i="9" s="1"/>
  <c r="D789" i="9" a="1"/>
  <c r="D789" i="9" s="1"/>
  <c r="D788" i="9" a="1"/>
  <c r="D788" i="9" s="1"/>
  <c r="D787" i="9" a="1"/>
  <c r="D787" i="9" s="1"/>
  <c r="D785" i="9" a="1"/>
  <c r="D785" i="9" s="1"/>
  <c r="D784" i="9" a="1"/>
  <c r="D784" i="9" s="1"/>
  <c r="D782" i="9" a="1"/>
  <c r="D782" i="9" s="1"/>
  <c r="D775" i="9" a="1"/>
  <c r="D775" i="9" s="1"/>
  <c r="D773" i="9" a="1"/>
  <c r="D773" i="9" s="1"/>
  <c r="D769" i="9" a="1"/>
  <c r="D769" i="9" s="1"/>
  <c r="D768" i="9" a="1"/>
  <c r="D768" i="9" s="1"/>
  <c r="D767" i="9" a="1"/>
  <c r="D767" i="9" s="1"/>
  <c r="D766" i="9" a="1"/>
  <c r="D766" i="9" s="1"/>
  <c r="D765" i="9" a="1"/>
  <c r="D765" i="9" s="1"/>
  <c r="D764" i="9" a="1"/>
  <c r="D764" i="9" s="1"/>
  <c r="D763" i="9" a="1"/>
  <c r="D763" i="9" s="1"/>
  <c r="D762" i="9" a="1"/>
  <c r="D762" i="9" s="1"/>
  <c r="D753" i="9" a="1"/>
  <c r="D753" i="9" s="1"/>
  <c r="D748" i="9" a="1"/>
  <c r="D748" i="9" s="1"/>
  <c r="D747" i="9" a="1"/>
  <c r="D747" i="9" s="1"/>
  <c r="D746" i="9" a="1"/>
  <c r="D746" i="9" s="1"/>
  <c r="D745" i="9" a="1"/>
  <c r="D745" i="9" s="1"/>
  <c r="D744" i="9" a="1"/>
  <c r="D744" i="9" s="1"/>
  <c r="D743" i="9" a="1"/>
  <c r="D743" i="9" s="1"/>
  <c r="D742" i="9" a="1"/>
  <c r="D742" i="9" s="1"/>
  <c r="D729" i="9" a="1"/>
  <c r="D729" i="9" s="1"/>
  <c r="D728" i="9" a="1"/>
  <c r="D728" i="9" s="1"/>
  <c r="D727" i="9" a="1"/>
  <c r="D727" i="9" s="1"/>
  <c r="D726" i="9" a="1"/>
  <c r="D726" i="9" s="1"/>
  <c r="D725" i="9" a="1"/>
  <c r="D725" i="9" s="1"/>
  <c r="D724" i="9" a="1"/>
  <c r="D724" i="9" s="1"/>
  <c r="D723" i="9" a="1"/>
  <c r="D723" i="9" s="1"/>
  <c r="D722" i="9" a="1"/>
  <c r="D722" i="9" s="1"/>
  <c r="D709" i="9" a="1"/>
  <c r="D709" i="9" s="1"/>
  <c r="D708" i="9" a="1"/>
  <c r="D708" i="9" s="1"/>
  <c r="D706" i="9" a="1"/>
  <c r="D706" i="9" s="1"/>
  <c r="D705" i="9" a="1"/>
  <c r="D705" i="9" s="1"/>
  <c r="D704" i="9" a="1"/>
  <c r="D704" i="9" s="1"/>
  <c r="D703" i="9" a="1"/>
  <c r="D703" i="9" s="1"/>
  <c r="D702" i="9" a="1"/>
  <c r="D702" i="9" s="1"/>
  <c r="D693" i="9" a="1"/>
  <c r="D693" i="9" s="1"/>
  <c r="D690" i="9" a="1"/>
  <c r="D690" i="9" s="1"/>
  <c r="D689" i="9" a="1"/>
  <c r="D689" i="9" s="1"/>
  <c r="D688" i="9" a="1"/>
  <c r="D688" i="9" s="1"/>
  <c r="D687" i="9" a="1"/>
  <c r="D687" i="9" s="1"/>
  <c r="D686" i="9" a="1"/>
  <c r="D686" i="9" s="1"/>
  <c r="D685" i="9" a="1"/>
  <c r="D685" i="9" s="1"/>
  <c r="D684" i="9" a="1"/>
  <c r="D684" i="9" s="1"/>
  <c r="D683" i="9" a="1"/>
  <c r="D683" i="9" s="1"/>
  <c r="D682" i="9" a="1"/>
  <c r="D682" i="9" s="1"/>
  <c r="D673" i="9" a="1"/>
  <c r="D673" i="9" s="1"/>
  <c r="D670" i="9" a="1"/>
  <c r="D670" i="9" s="1"/>
  <c r="D669" i="9" a="1"/>
  <c r="D669" i="9" s="1"/>
  <c r="D668" i="9" a="1"/>
  <c r="D668" i="9" s="1"/>
  <c r="D667" i="9" a="1"/>
  <c r="D667" i="9" s="1"/>
  <c r="D666" i="9" a="1"/>
  <c r="D666" i="9" s="1"/>
  <c r="D665" i="9" a="1"/>
  <c r="D665" i="9" s="1"/>
  <c r="D664" i="9" a="1"/>
  <c r="D664" i="9" s="1"/>
  <c r="D663" i="9" a="1"/>
  <c r="D663" i="9" s="1"/>
  <c r="D662" i="9" a="1"/>
  <c r="D662" i="9" s="1"/>
  <c r="D653" i="9" a="1"/>
  <c r="D653" i="9" s="1"/>
  <c r="D649" i="9" a="1"/>
  <c r="D649" i="9" s="1"/>
  <c r="D648" i="9" a="1"/>
  <c r="D648" i="9" s="1"/>
  <c r="D647" i="9" a="1"/>
  <c r="D647" i="9" s="1"/>
  <c r="D646" i="9" a="1"/>
  <c r="D646" i="9" s="1"/>
  <c r="D645" i="9" a="1"/>
  <c r="D645" i="9" s="1"/>
  <c r="D644" i="9" a="1"/>
  <c r="D644" i="9" s="1"/>
  <c r="D642" i="9" a="1"/>
  <c r="D642" i="9" s="1"/>
  <c r="D634" i="9" a="1"/>
  <c r="D634" i="9" s="1"/>
  <c r="D633" i="9" a="1"/>
  <c r="D633" i="9" s="1"/>
  <c r="D630" i="9" a="1"/>
  <c r="D630" i="9" s="1"/>
  <c r="D629" i="9" a="1"/>
  <c r="D629" i="9" s="1"/>
  <c r="D628" i="9" a="1"/>
  <c r="D628" i="9" s="1"/>
  <c r="D627" i="9" a="1"/>
  <c r="D627" i="9" s="1"/>
  <c r="D626" i="9" a="1"/>
  <c r="D626" i="9" s="1"/>
  <c r="D625" i="9" a="1"/>
  <c r="D625" i="9" s="1"/>
  <c r="D624" i="9" a="1"/>
  <c r="D624" i="9" s="1"/>
  <c r="D623" i="9" a="1"/>
  <c r="D623" i="9" s="1"/>
  <c r="D622" i="9" a="1"/>
  <c r="D622" i="9" s="1"/>
  <c r="D614" i="9" a="1"/>
  <c r="D614" i="9" s="1"/>
  <c r="D610" i="9" a="1"/>
  <c r="D610" i="9" s="1"/>
  <c r="D609" i="9" a="1"/>
  <c r="D609" i="9" s="1"/>
  <c r="D608" i="9" a="1"/>
  <c r="D608" i="9" s="1"/>
  <c r="D607" i="9" a="1"/>
  <c r="D607" i="9" s="1"/>
  <c r="D606" i="9" a="1"/>
  <c r="D606" i="9" s="1"/>
  <c r="D605" i="9" a="1"/>
  <c r="D605" i="9" s="1"/>
  <c r="D604" i="9" a="1"/>
  <c r="D604" i="9" s="1"/>
  <c r="D603" i="9" a="1"/>
  <c r="D603" i="9" s="1"/>
  <c r="D602" i="9" a="1"/>
  <c r="D602" i="9" s="1"/>
  <c r="D594" i="9" a="1"/>
  <c r="D594" i="9" s="1"/>
  <c r="D593" i="9" a="1"/>
  <c r="D593" i="9" s="1"/>
  <c r="D590" i="9" a="1"/>
  <c r="D590" i="9" s="1"/>
  <c r="D589" i="9" a="1"/>
  <c r="D589" i="9" s="1"/>
  <c r="D588" i="9" a="1"/>
  <c r="D588" i="9" s="1"/>
  <c r="D587" i="9" a="1"/>
  <c r="D587" i="9" s="1"/>
  <c r="D586" i="9" a="1"/>
  <c r="D586" i="9" s="1"/>
  <c r="D585" i="9" a="1"/>
  <c r="D585" i="9" s="1"/>
  <c r="D584" i="9" a="1"/>
  <c r="D584" i="9" s="1"/>
  <c r="D582" i="9" a="1"/>
  <c r="D582" i="9" s="1"/>
  <c r="D574" i="9" a="1"/>
  <c r="D574" i="9" s="1"/>
  <c r="D573" i="9" a="1"/>
  <c r="D573" i="9" s="1"/>
  <c r="D570" i="9" a="1"/>
  <c r="D570" i="9" s="1"/>
  <c r="D569" i="9" a="1"/>
  <c r="D569" i="9" s="1"/>
  <c r="D568" i="9" a="1"/>
  <c r="D568" i="9" s="1"/>
  <c r="D567" i="9" a="1"/>
  <c r="D567" i="9" s="1"/>
  <c r="D562" i="9" a="1"/>
  <c r="D562" i="9" s="1"/>
  <c r="D555" i="9" a="1"/>
  <c r="D555" i="9" s="1"/>
  <c r="D554" i="9" a="1"/>
  <c r="D554" i="9" s="1"/>
  <c r="D553" i="9" a="1"/>
  <c r="D553" i="9" s="1"/>
  <c r="D551" i="9" a="1"/>
  <c r="D551" i="9" s="1"/>
  <c r="D549" i="9" a="1"/>
  <c r="D549" i="9" s="1"/>
  <c r="D548" i="9" a="1"/>
  <c r="D548" i="9" s="1"/>
  <c r="D547" i="9" a="1"/>
  <c r="D547" i="9" s="1"/>
  <c r="D546" i="9" a="1"/>
  <c r="D546" i="9" s="1"/>
  <c r="D545" i="9" a="1"/>
  <c r="D545" i="9" s="1"/>
  <c r="D544" i="9" a="1"/>
  <c r="D544" i="9" s="1"/>
  <c r="D543" i="9" a="1"/>
  <c r="D543" i="9" s="1"/>
  <c r="D535" i="9" a="1"/>
  <c r="D535" i="9" s="1"/>
  <c r="D534" i="9" a="1"/>
  <c r="D534" i="9" s="1"/>
  <c r="D533" i="9" a="1"/>
  <c r="D533" i="9" s="1"/>
  <c r="D531" i="9" a="1"/>
  <c r="D531" i="9" s="1"/>
  <c r="D529" i="9" a="1"/>
  <c r="D529" i="9" s="1"/>
  <c r="D528" i="9" a="1"/>
  <c r="D528" i="9" s="1"/>
  <c r="D527" i="9" a="1"/>
  <c r="D527" i="9" s="1"/>
  <c r="D526" i="9" a="1"/>
  <c r="D526" i="9" s="1"/>
  <c r="D525" i="9" a="1"/>
  <c r="D525" i="9" s="1"/>
  <c r="D524" i="9" a="1"/>
  <c r="D524" i="9" s="1"/>
  <c r="D523" i="9" a="1"/>
  <c r="D523" i="9" s="1"/>
  <c r="D522" i="9" a="1"/>
  <c r="D522" i="9" s="1"/>
  <c r="D515" i="9" a="1"/>
  <c r="D515" i="9" s="1"/>
  <c r="D514" i="9" a="1"/>
  <c r="D514" i="9" s="1"/>
  <c r="D513" i="9" a="1"/>
  <c r="D513" i="9" s="1"/>
  <c r="D508" i="9" a="1"/>
  <c r="D508" i="9" s="1"/>
  <c r="D507" i="9" a="1"/>
  <c r="D507" i="9" s="1"/>
  <c r="D506" i="9" a="1"/>
  <c r="D506" i="9" s="1"/>
  <c r="D505" i="9" a="1"/>
  <c r="D505" i="9" s="1"/>
  <c r="D504" i="9" a="1"/>
  <c r="D504" i="9" s="1"/>
  <c r="D503" i="9" a="1"/>
  <c r="D503" i="9" s="1"/>
  <c r="D502" i="9" a="1"/>
  <c r="D502" i="9" s="1"/>
  <c r="D495" i="9" a="1"/>
  <c r="D495" i="9" s="1"/>
  <c r="D494" i="9" a="1"/>
  <c r="D494" i="9" s="1"/>
  <c r="D487" i="9" a="1"/>
  <c r="D487" i="9" s="1"/>
  <c r="D486" i="9" a="1"/>
  <c r="D486" i="9" s="1"/>
  <c r="D485" i="9" a="1"/>
  <c r="D485" i="9" s="1"/>
  <c r="D484" i="9" a="1"/>
  <c r="D484" i="9" s="1"/>
  <c r="D483" i="9" a="1"/>
  <c r="D483" i="9" s="1"/>
  <c r="D482" i="9" a="1"/>
  <c r="D482" i="9" s="1"/>
  <c r="D475" i="9" a="1"/>
  <c r="D475" i="9" s="1"/>
  <c r="D474" i="9" a="1"/>
  <c r="D474" i="9" s="1"/>
  <c r="D473" i="9" a="1"/>
  <c r="D473" i="9" s="1"/>
  <c r="D470" i="9" a="1"/>
  <c r="D470" i="9" s="1"/>
  <c r="D465" i="9" a="1"/>
  <c r="D465" i="9" s="1"/>
  <c r="D464" i="9" a="1"/>
  <c r="D464" i="9" s="1"/>
  <c r="D463" i="9" a="1"/>
  <c r="D463" i="9" s="1"/>
  <c r="D462" i="9" a="1"/>
  <c r="D462" i="9" s="1"/>
  <c r="D456" i="9" a="1"/>
  <c r="D456" i="9" s="1"/>
  <c r="D455" i="9" a="1"/>
  <c r="D455" i="9" s="1"/>
  <c r="D453" i="9" a="1"/>
  <c r="D453" i="9" s="1"/>
  <c r="D449" i="9" a="1"/>
  <c r="D449" i="9" s="1"/>
  <c r="D448" i="9" a="1"/>
  <c r="D448" i="9" s="1"/>
  <c r="D447" i="9" a="1"/>
  <c r="D447" i="9" s="1"/>
  <c r="D446" i="9" a="1"/>
  <c r="D446" i="9" s="1"/>
  <c r="D445" i="9" a="1"/>
  <c r="D445" i="9" s="1"/>
  <c r="D444" i="9" a="1"/>
  <c r="D444" i="9" s="1"/>
  <c r="D442" i="9" a="1"/>
  <c r="D442" i="9" s="1"/>
  <c r="D436" i="9" a="1"/>
  <c r="D436" i="9" s="1"/>
  <c r="D435" i="9" a="1"/>
  <c r="D435" i="9" s="1"/>
  <c r="D433" i="9" a="1"/>
  <c r="D433" i="9" s="1"/>
  <c r="D428" i="9" a="1"/>
  <c r="D428" i="9" s="1"/>
  <c r="D427" i="9" a="1"/>
  <c r="D427" i="9" s="1"/>
  <c r="D426" i="9" a="1"/>
  <c r="D426" i="9" s="1"/>
  <c r="D425" i="9" a="1"/>
  <c r="D425" i="9" s="1"/>
  <c r="D424" i="9" a="1"/>
  <c r="D424" i="9" s="1"/>
  <c r="D423" i="9" a="1"/>
  <c r="D423" i="9" s="1"/>
  <c r="D422" i="9" a="1"/>
  <c r="D422" i="9" s="1"/>
  <c r="D410" i="9" a="1"/>
  <c r="D410" i="9" s="1"/>
  <c r="D409" i="9" a="1"/>
  <c r="D409" i="9" s="1"/>
  <c r="D407" i="9" a="1"/>
  <c r="D407" i="9" s="1"/>
  <c r="D406" i="9" a="1"/>
  <c r="D406" i="9" s="1"/>
  <c r="D405" i="9" a="1"/>
  <c r="D405" i="9" s="1"/>
  <c r="D404" i="9" a="1"/>
  <c r="D404" i="9" s="1"/>
  <c r="D403" i="9" a="1"/>
  <c r="D403" i="9" s="1"/>
  <c r="D402" i="9" a="1"/>
  <c r="D402" i="9" s="1"/>
  <c r="D388" i="9" a="1"/>
  <c r="D388" i="9" s="1"/>
  <c r="D387" i="9" a="1"/>
  <c r="D387" i="9" s="1"/>
  <c r="D386" i="9" a="1"/>
  <c r="D386" i="9" s="1"/>
  <c r="D385" i="9" a="1"/>
  <c r="D385" i="9" s="1"/>
  <c r="D384" i="9" a="1"/>
  <c r="D384" i="9" s="1"/>
  <c r="D383" i="9" a="1"/>
  <c r="D383" i="9" s="1"/>
  <c r="D382" i="9" a="1"/>
  <c r="D382" i="9" s="1"/>
  <c r="D373" i="9" a="1"/>
  <c r="D373" i="9" s="1"/>
  <c r="D368" i="9" a="1"/>
  <c r="D368" i="9" s="1"/>
  <c r="D367" i="9" a="1"/>
  <c r="D367" i="9" s="1"/>
  <c r="D366" i="9" a="1"/>
  <c r="D366" i="9" s="1"/>
  <c r="D365" i="9" a="1"/>
  <c r="D365" i="9" s="1"/>
  <c r="D364" i="9" a="1"/>
  <c r="D364" i="9" s="1"/>
  <c r="D363" i="9" a="1"/>
  <c r="D363" i="9" s="1"/>
  <c r="D362" i="9" a="1"/>
  <c r="D362" i="9" s="1"/>
  <c r="D353" i="9" a="1"/>
  <c r="D353" i="9" s="1"/>
  <c r="D350" i="9" a="1"/>
  <c r="D350" i="9" s="1"/>
  <c r="D349" i="9" a="1"/>
  <c r="D349" i="9" s="1"/>
  <c r="D348" i="9" a="1"/>
  <c r="D348" i="9" s="1"/>
  <c r="D345" i="9" a="1"/>
  <c r="D345" i="9" s="1"/>
  <c r="D344" i="9" a="1"/>
  <c r="D344" i="9" s="1"/>
  <c r="D343" i="9" a="1"/>
  <c r="D343" i="9" s="1"/>
  <c r="D342" i="9" a="1"/>
  <c r="D342" i="9" s="1"/>
  <c r="D333" i="9" a="1"/>
  <c r="D333" i="9" s="1"/>
  <c r="D329" i="9" a="1"/>
  <c r="D329" i="9" s="1"/>
  <c r="D328" i="9" a="1"/>
  <c r="D328" i="9" s="1"/>
  <c r="D327" i="9" a="1"/>
  <c r="D327" i="9" s="1"/>
  <c r="D326" i="9" a="1"/>
  <c r="D326" i="9" s="1"/>
  <c r="D325" i="9" a="1"/>
  <c r="D325" i="9" s="1"/>
  <c r="D324" i="9" a="1"/>
  <c r="D324" i="9" s="1"/>
  <c r="D323" i="9" a="1"/>
  <c r="D323" i="9" s="1"/>
  <c r="D322" i="9" a="1"/>
  <c r="D322" i="9" s="1"/>
  <c r="D309" i="9" a="1"/>
  <c r="D309" i="9" s="1"/>
  <c r="D308" i="9" a="1"/>
  <c r="D308" i="9" s="1"/>
  <c r="D307" i="9" a="1"/>
  <c r="D307" i="9" s="1"/>
  <c r="D306" i="9" a="1"/>
  <c r="D306" i="9" s="1"/>
  <c r="D305" i="9" a="1"/>
  <c r="D305" i="9" s="1"/>
  <c r="D304" i="9" a="1"/>
  <c r="D304" i="9" s="1"/>
  <c r="D303" i="9" a="1"/>
  <c r="D303" i="9" s="1"/>
  <c r="D302" i="9" a="1"/>
  <c r="D302" i="9" s="1"/>
  <c r="D293" i="9" a="1"/>
  <c r="D293" i="9" s="1"/>
  <c r="D289" i="9" a="1"/>
  <c r="D289" i="9" s="1"/>
  <c r="D288" i="9" a="1"/>
  <c r="D288" i="9" s="1"/>
  <c r="D285" i="9" a="1"/>
  <c r="D285" i="9" s="1"/>
  <c r="D284" i="9" a="1"/>
  <c r="D284" i="9" s="1"/>
  <c r="D283" i="9" a="1"/>
  <c r="D283" i="9" s="1"/>
  <c r="D282" i="9" a="1"/>
  <c r="D282" i="9" s="1"/>
  <c r="D273" i="9" a="1"/>
  <c r="D273" i="9" s="1"/>
  <c r="D270" i="9" a="1"/>
  <c r="D270" i="9" s="1"/>
  <c r="D269" i="9" a="1"/>
  <c r="D269" i="9" s="1"/>
  <c r="D268" i="9" a="1"/>
  <c r="D268" i="9" s="1"/>
  <c r="D267" i="9" a="1"/>
  <c r="D267" i="9" s="1"/>
  <c r="D266" i="9" a="1"/>
  <c r="D266" i="9" s="1"/>
  <c r="D265" i="9" a="1"/>
  <c r="D265" i="9" s="1"/>
  <c r="D264" i="9" a="1"/>
  <c r="D264" i="9" s="1"/>
  <c r="D263" i="9" a="1"/>
  <c r="D263" i="9" s="1"/>
  <c r="D262" i="9" a="1"/>
  <c r="D262" i="9" s="1"/>
  <c r="D250" i="9" a="1"/>
  <c r="D250" i="9" s="1"/>
  <c r="D249" i="9" a="1"/>
  <c r="D249" i="9" s="1"/>
  <c r="D248" i="9" a="1"/>
  <c r="D248" i="9" s="1"/>
  <c r="D247" i="9" a="1"/>
  <c r="D247" i="9" s="1"/>
  <c r="D246" i="9" a="1"/>
  <c r="D246" i="9" s="1"/>
  <c r="D245" i="9" a="1"/>
  <c r="D245" i="9" s="1"/>
  <c r="D244" i="9" a="1"/>
  <c r="D244" i="9" s="1"/>
  <c r="D243" i="9" a="1"/>
  <c r="D243" i="9" s="1"/>
  <c r="D242" i="9" a="1"/>
  <c r="D242" i="9" s="1"/>
  <c r="D233" i="9" a="1"/>
  <c r="D233" i="9" s="1"/>
  <c r="D230" i="9" a="1"/>
  <c r="D230" i="9" s="1"/>
  <c r="D227" i="9" a="1"/>
  <c r="D227" i="9" s="1"/>
  <c r="D226" i="9" a="1"/>
  <c r="D226" i="9" s="1"/>
  <c r="D225" i="9" a="1"/>
  <c r="D225" i="9" s="1"/>
  <c r="D224" i="9" a="1"/>
  <c r="D224" i="9" s="1"/>
  <c r="D223" i="9" a="1"/>
  <c r="D223" i="9" s="1"/>
  <c r="D222" i="9" a="1"/>
  <c r="D222" i="9" s="1"/>
  <c r="D213" i="9" a="1"/>
  <c r="D213" i="9" s="1"/>
  <c r="D210" i="9" a="1"/>
  <c r="D210" i="9" s="1"/>
  <c r="D209" i="9" a="1"/>
  <c r="D209" i="9" s="1"/>
  <c r="D208" i="9" a="1"/>
  <c r="D208" i="9" s="1"/>
  <c r="D207" i="9" a="1"/>
  <c r="D207" i="9" s="1"/>
  <c r="D206" i="9" a="1"/>
  <c r="D206" i="9" s="1"/>
  <c r="D205" i="9" a="1"/>
  <c r="D205" i="9" s="1"/>
  <c r="D204" i="9" a="1"/>
  <c r="D204" i="9" s="1"/>
  <c r="D203" i="9" a="1"/>
  <c r="D203" i="9" s="1"/>
  <c r="D202" i="9" a="1"/>
  <c r="D202" i="9" s="1"/>
  <c r="D190" i="9" a="1"/>
  <c r="D190" i="9" s="1"/>
  <c r="D189" i="9" a="1"/>
  <c r="D189" i="9" s="1"/>
  <c r="D188" i="9" a="1"/>
  <c r="D188" i="9" s="1"/>
  <c r="D187" i="9" a="1"/>
  <c r="D187" i="9" s="1"/>
  <c r="D186" i="9" a="1"/>
  <c r="D186" i="9" s="1"/>
  <c r="D185" i="9" a="1"/>
  <c r="D185" i="9" s="1"/>
  <c r="D184" i="9" a="1"/>
  <c r="D184" i="9" s="1"/>
  <c r="D183" i="9" a="1"/>
  <c r="D183" i="9" s="1"/>
  <c r="D182" i="9" a="1"/>
  <c r="D182" i="9" s="1"/>
  <c r="D173" i="9" a="1"/>
  <c r="D173" i="9" s="1"/>
  <c r="D170" i="9" a="1"/>
  <c r="D170" i="9" s="1"/>
  <c r="D168" i="9" a="1"/>
  <c r="D168" i="9" s="1"/>
  <c r="D167" i="9" a="1"/>
  <c r="D167" i="9" s="1"/>
  <c r="D166" i="9" a="1"/>
  <c r="D166" i="9" s="1"/>
  <c r="D165" i="9" a="1"/>
  <c r="D165" i="9" s="1"/>
  <c r="D164" i="9" a="1"/>
  <c r="D164" i="9" s="1"/>
  <c r="D163" i="9" a="1"/>
  <c r="D163" i="9" s="1"/>
  <c r="D162" i="9" a="1"/>
  <c r="D162" i="9" s="1"/>
  <c r="D151" i="9" a="1"/>
  <c r="D151" i="9" s="1"/>
  <c r="D149" i="9" a="1"/>
  <c r="D149" i="9" s="1"/>
  <c r="D148" i="9" a="1"/>
  <c r="D148" i="9" s="1"/>
  <c r="D147" i="9" a="1"/>
  <c r="D147" i="9" s="1"/>
  <c r="D146" i="9" a="1"/>
  <c r="D146" i="9" s="1"/>
  <c r="D145" i="9" a="1"/>
  <c r="D145" i="9" s="1"/>
  <c r="D144" i="9" a="1"/>
  <c r="D144" i="9" s="1"/>
  <c r="D143" i="9" a="1"/>
  <c r="D143" i="9" s="1"/>
  <c r="D142" i="9" a="1"/>
  <c r="D142" i="9" s="1"/>
  <c r="D131" i="9" a="1"/>
  <c r="D131" i="9" s="1"/>
  <c r="D129" i="9" a="1"/>
  <c r="D129" i="9" s="1"/>
  <c r="D128" i="9" a="1"/>
  <c r="D128" i="9" s="1"/>
  <c r="D127" i="9" a="1"/>
  <c r="D127" i="9" s="1"/>
  <c r="D126" i="9" a="1"/>
  <c r="D126" i="9" s="1"/>
  <c r="D125" i="9" a="1"/>
  <c r="D125" i="9" s="1"/>
  <c r="D124" i="9" a="1"/>
  <c r="D124" i="9" s="1"/>
  <c r="D123" i="9" a="1"/>
  <c r="D123" i="9" s="1"/>
  <c r="D122" i="9" a="1"/>
  <c r="D122" i="9" s="1"/>
  <c r="D113" i="9" a="1"/>
  <c r="D113" i="9" s="1"/>
  <c r="D110" i="9" a="1"/>
  <c r="D110" i="9" s="1"/>
  <c r="D109" i="9" a="1"/>
  <c r="D109" i="9" s="1"/>
  <c r="D108" i="9" a="1"/>
  <c r="D108" i="9" s="1"/>
  <c r="D107" i="9" a="1"/>
  <c r="D107" i="9" s="1"/>
  <c r="D106" i="9" a="1"/>
  <c r="D106" i="9" s="1"/>
  <c r="D105" i="9" a="1"/>
  <c r="D105" i="9" s="1"/>
  <c r="D104" i="9" a="1"/>
  <c r="D104" i="9" s="1"/>
  <c r="D103" i="9" a="1"/>
  <c r="D103" i="9" s="1"/>
  <c r="D102" i="9" a="1"/>
  <c r="D102" i="9" s="1"/>
  <c r="D94" i="9" a="1"/>
  <c r="D94" i="9" s="1"/>
  <c r="D93" i="9" a="1"/>
  <c r="D93" i="9" s="1"/>
  <c r="D90" i="9" a="1"/>
  <c r="D90" i="9" s="1"/>
  <c r="D89" i="9" a="1"/>
  <c r="D89" i="9" s="1"/>
  <c r="D88" i="9" a="1"/>
  <c r="D88" i="9" s="1"/>
  <c r="D87" i="9" a="1"/>
  <c r="D87" i="9" s="1"/>
  <c r="D86" i="9" a="1"/>
  <c r="D86" i="9" s="1"/>
  <c r="D85" i="9" a="1"/>
  <c r="D85" i="9" s="1"/>
  <c r="D84" i="9" a="1"/>
  <c r="D84" i="9" s="1"/>
  <c r="D83" i="9" a="1"/>
  <c r="D83" i="9" s="1"/>
  <c r="D82" i="9" a="1"/>
  <c r="D82" i="9" s="1"/>
  <c r="D75" i="9" a="1"/>
  <c r="D75" i="9" s="1"/>
  <c r="D74" i="9" a="1"/>
  <c r="D74" i="9" s="1"/>
  <c r="D73" i="9" a="1"/>
  <c r="D73" i="9" s="1"/>
  <c r="D71" i="9" a="1"/>
  <c r="D71" i="9" s="1"/>
  <c r="D70" i="9" a="1"/>
  <c r="D70" i="9" s="1"/>
  <c r="D69" i="9" a="1"/>
  <c r="D69" i="9" s="1"/>
  <c r="D68" i="9" a="1"/>
  <c r="D68" i="9" s="1"/>
  <c r="D67" i="9" a="1"/>
  <c r="D67" i="9" s="1"/>
  <c r="D66" i="9" a="1"/>
  <c r="D66" i="9" s="1"/>
  <c r="D65" i="9" a="1"/>
  <c r="D65" i="9" s="1"/>
  <c r="D62" i="9" a="1"/>
  <c r="D62" i="9" s="1"/>
  <c r="D56" i="9" a="1"/>
  <c r="D56" i="9" s="1"/>
  <c r="D53" i="9" a="1"/>
  <c r="D53" i="9" s="1"/>
  <c r="D50" i="9" a="1"/>
  <c r="D50" i="9" s="1"/>
  <c r="D49" i="9" a="1"/>
  <c r="D49" i="9" s="1"/>
  <c r="D48" i="9" a="1"/>
  <c r="D48" i="9" s="1"/>
  <c r="D47" i="9" a="1"/>
  <c r="D47" i="9" s="1"/>
  <c r="D46" i="9" a="1"/>
  <c r="D46" i="9" s="1"/>
  <c r="D45" i="9" a="1"/>
  <c r="D45" i="9" s="1"/>
  <c r="D44" i="9" a="1"/>
  <c r="D44" i="9" s="1"/>
  <c r="D43" i="9" a="1"/>
  <c r="D43" i="9" s="1"/>
  <c r="D42" i="9" a="1"/>
  <c r="D42" i="9" s="1"/>
  <c r="D34" i="9" a="1"/>
  <c r="D34" i="9" s="1"/>
  <c r="D33" i="9" a="1"/>
  <c r="D33" i="9" s="1"/>
  <c r="D30" i="9" a="1"/>
  <c r="D30" i="9" s="1"/>
  <c r="D29" i="9" a="1"/>
  <c r="D29" i="9" s="1"/>
  <c r="D28" i="9" a="1"/>
  <c r="D28" i="9" s="1"/>
  <c r="D27" i="9" a="1"/>
  <c r="D27" i="9" s="1"/>
  <c r="D26" i="9" a="1"/>
  <c r="D26" i="9" s="1"/>
  <c r="D25" i="9" a="1"/>
  <c r="D25" i="9" s="1"/>
  <c r="D24" i="9" a="1"/>
  <c r="D24" i="9" s="1"/>
  <c r="D23" i="9" a="1"/>
  <c r="D23" i="9" s="1"/>
  <c r="D22" i="9" a="1"/>
  <c r="D22" i="9" s="1"/>
  <c r="D14" i="9" a="1"/>
  <c r="D14" i="9" s="1"/>
  <c r="D13" i="9" a="1"/>
  <c r="D13" i="9" s="1"/>
  <c r="D10" i="9" a="1"/>
  <c r="D10" i="9" s="1"/>
  <c r="D9" i="9" a="1"/>
  <c r="D9" i="9" s="1"/>
  <c r="D6" i="9" a="1"/>
  <c r="D6" i="9" s="1"/>
  <c r="D5" i="9" a="1"/>
  <c r="D5" i="9" s="1"/>
  <c r="D4" i="9" a="1"/>
  <c r="D4" i="9" s="1"/>
  <c r="D3" i="9" a="1"/>
  <c r="D3" i="9" s="1"/>
  <c r="O5" i="9"/>
  <c r="D7" i="9" a="1"/>
  <c r="D7" i="9" s="1"/>
  <c r="D8" i="9" a="1"/>
  <c r="D8" i="9" s="1"/>
  <c r="D11" i="9" a="1"/>
  <c r="D11" i="9" s="1"/>
  <c r="D12" i="9" a="1"/>
  <c r="D12" i="9" s="1"/>
  <c r="D15" i="9" a="1"/>
  <c r="D15" i="9" s="1"/>
  <c r="D16" i="9" a="1"/>
  <c r="D16" i="9" s="1"/>
  <c r="D17" i="9" a="1"/>
  <c r="D17" i="9" s="1"/>
  <c r="D18" i="9" a="1"/>
  <c r="D18" i="9" s="1"/>
  <c r="D19" i="9" a="1"/>
  <c r="D19" i="9" s="1"/>
  <c r="D20" i="9" a="1"/>
  <c r="D20" i="9" s="1"/>
  <c r="D21" i="9" a="1"/>
  <c r="D21" i="9" s="1"/>
  <c r="D31" i="9" a="1"/>
  <c r="D31" i="9" s="1"/>
  <c r="D32" i="9" a="1"/>
  <c r="D32" i="9" s="1"/>
  <c r="D35" i="9" a="1"/>
  <c r="D35" i="9" s="1"/>
  <c r="D36" i="9" a="1"/>
  <c r="D36" i="9" s="1"/>
  <c r="D37" i="9" a="1"/>
  <c r="D37" i="9" s="1"/>
  <c r="D38" i="9" a="1"/>
  <c r="D38" i="9" s="1"/>
  <c r="D39" i="9" a="1"/>
  <c r="D39" i="9" s="1"/>
  <c r="D40" i="9" a="1"/>
  <c r="D40" i="9" s="1"/>
  <c r="D41" i="9" a="1"/>
  <c r="D41" i="9" s="1"/>
  <c r="D51" i="9" a="1"/>
  <c r="D51" i="9" s="1"/>
  <c r="D52" i="9" a="1"/>
  <c r="D52" i="9" s="1"/>
  <c r="D54" i="9" a="1"/>
  <c r="D54" i="9" s="1"/>
  <c r="D55" i="9" a="1"/>
  <c r="D55" i="9" s="1"/>
  <c r="D57" i="9" a="1"/>
  <c r="D57" i="9" s="1"/>
  <c r="D58" i="9" a="1"/>
  <c r="D58" i="9" s="1"/>
  <c r="D59" i="9" a="1"/>
  <c r="D59" i="9" s="1"/>
  <c r="D60" i="9" a="1"/>
  <c r="D60" i="9" s="1"/>
  <c r="D61" i="9" a="1"/>
  <c r="D61" i="9" s="1"/>
  <c r="D63" i="9" a="1"/>
  <c r="D63" i="9" s="1"/>
  <c r="D64" i="9" a="1"/>
  <c r="D64" i="9" s="1"/>
  <c r="D72" i="9" a="1"/>
  <c r="D72" i="9" s="1"/>
  <c r="D76" i="9" a="1"/>
  <c r="D76" i="9" s="1"/>
  <c r="D77" i="9" a="1"/>
  <c r="D77" i="9" s="1"/>
  <c r="D78" i="9" a="1"/>
  <c r="D78" i="9" s="1"/>
  <c r="D79" i="9" a="1"/>
  <c r="D79" i="9" s="1"/>
  <c r="D80" i="9" a="1"/>
  <c r="D80" i="9" s="1"/>
  <c r="D81" i="9" a="1"/>
  <c r="D81" i="9" s="1"/>
  <c r="D91" i="9" a="1"/>
  <c r="D91" i="9" s="1"/>
  <c r="D92" i="9" a="1"/>
  <c r="D92" i="9" s="1"/>
  <c r="D95" i="9" a="1"/>
  <c r="D95" i="9" s="1"/>
  <c r="D96" i="9" a="1"/>
  <c r="D96" i="9" s="1"/>
  <c r="D97" i="9" a="1"/>
  <c r="D97" i="9" s="1"/>
  <c r="D98" i="9" a="1"/>
  <c r="D98" i="9" s="1"/>
  <c r="D99" i="9" a="1"/>
  <c r="D99" i="9" s="1"/>
  <c r="D100" i="9" a="1"/>
  <c r="D100" i="9" s="1"/>
  <c r="D101" i="9" a="1"/>
  <c r="D101" i="9" s="1"/>
  <c r="D111" i="9" a="1"/>
  <c r="D111" i="9" s="1"/>
  <c r="D112" i="9" a="1"/>
  <c r="D112" i="9" s="1"/>
  <c r="D114" i="9" a="1"/>
  <c r="D114" i="9" s="1"/>
  <c r="D115" i="9" a="1"/>
  <c r="D115" i="9" s="1"/>
  <c r="D116" i="9" a="1"/>
  <c r="D116" i="9" s="1"/>
  <c r="D117" i="9" a="1"/>
  <c r="D117" i="9" s="1"/>
  <c r="D118" i="9" a="1"/>
  <c r="D118" i="9" s="1"/>
  <c r="D119" i="9" a="1"/>
  <c r="D119" i="9" s="1"/>
  <c r="D120" i="9" a="1"/>
  <c r="D120" i="9" s="1"/>
  <c r="D121" i="9" a="1"/>
  <c r="D121" i="9" s="1"/>
  <c r="D130" i="9" a="1"/>
  <c r="D130" i="9" s="1"/>
  <c r="D132" i="9" a="1"/>
  <c r="D132" i="9" s="1"/>
  <c r="D133" i="9" a="1"/>
  <c r="D133" i="9" s="1"/>
  <c r="D134" i="9" a="1"/>
  <c r="D134" i="9" s="1"/>
  <c r="D135" i="9" a="1"/>
  <c r="D135" i="9" s="1"/>
  <c r="D136" i="9" a="1"/>
  <c r="D136" i="9" s="1"/>
  <c r="D137" i="9" a="1"/>
  <c r="D137" i="9" s="1"/>
  <c r="D138" i="9" a="1"/>
  <c r="D138" i="9" s="1"/>
  <c r="D139" i="9" a="1"/>
  <c r="D139" i="9" s="1"/>
  <c r="D140" i="9" a="1"/>
  <c r="D140" i="9" s="1"/>
  <c r="D141" i="9" a="1"/>
  <c r="D141" i="9" s="1"/>
  <c r="D150" i="9" a="1"/>
  <c r="D150" i="9" s="1"/>
  <c r="D152" i="9" a="1"/>
  <c r="D152" i="9" s="1"/>
  <c r="D153" i="9" a="1"/>
  <c r="D153" i="9" s="1"/>
  <c r="D154" i="9" a="1"/>
  <c r="D154" i="9" s="1"/>
  <c r="D155" i="9" a="1"/>
  <c r="D155" i="9" s="1"/>
  <c r="D156" i="9" a="1"/>
  <c r="D156" i="9" s="1"/>
  <c r="D157" i="9" a="1"/>
  <c r="D157" i="9" s="1"/>
  <c r="D158" i="9" a="1"/>
  <c r="D158" i="9" s="1"/>
  <c r="D159" i="9" a="1"/>
  <c r="D159" i="9" s="1"/>
  <c r="D160" i="9" a="1"/>
  <c r="D160" i="9" s="1"/>
  <c r="D161" i="9" a="1"/>
  <c r="D161" i="9" s="1"/>
  <c r="D169" i="9" a="1"/>
  <c r="D169" i="9" s="1"/>
  <c r="D171" i="9" a="1"/>
  <c r="D171" i="9" s="1"/>
  <c r="D172" i="9" a="1"/>
  <c r="D172" i="9" s="1"/>
  <c r="D174" i="9" a="1"/>
  <c r="D174" i="9" s="1"/>
  <c r="D175" i="9" a="1"/>
  <c r="D175" i="9" s="1"/>
  <c r="D176" i="9" a="1"/>
  <c r="D176" i="9" s="1"/>
  <c r="D177" i="9" a="1"/>
  <c r="D177" i="9" s="1"/>
  <c r="D178" i="9" a="1"/>
  <c r="D178" i="9" s="1"/>
  <c r="D179" i="9" a="1"/>
  <c r="D179" i="9" s="1"/>
  <c r="D180" i="9" a="1"/>
  <c r="D180" i="9" s="1"/>
  <c r="D181" i="9" a="1"/>
  <c r="D181" i="9" s="1"/>
  <c r="D191" i="9" a="1"/>
  <c r="D191" i="9" s="1"/>
  <c r="D192" i="9" a="1"/>
  <c r="D192" i="9" s="1"/>
  <c r="D193" i="9" a="1"/>
  <c r="D193" i="9" s="1"/>
  <c r="D194" i="9" a="1"/>
  <c r="D194" i="9" s="1"/>
  <c r="D195" i="9" a="1"/>
  <c r="D195" i="9" s="1"/>
  <c r="D196" i="9" a="1"/>
  <c r="D196" i="9" s="1"/>
  <c r="D197" i="9" a="1"/>
  <c r="D197" i="9" s="1"/>
  <c r="D198" i="9" a="1"/>
  <c r="D198" i="9" s="1"/>
  <c r="D199" i="9" a="1"/>
  <c r="D199" i="9" s="1"/>
  <c r="D200" i="9" a="1"/>
  <c r="D200" i="9" s="1"/>
  <c r="D201" i="9" a="1"/>
  <c r="D201" i="9" s="1"/>
  <c r="D211" i="9" a="1"/>
  <c r="D211" i="9" s="1"/>
  <c r="D212" i="9" a="1"/>
  <c r="D212" i="9" s="1"/>
  <c r="D214" i="9" a="1"/>
  <c r="D214" i="9" s="1"/>
  <c r="D215" i="9" a="1"/>
  <c r="D215" i="9" s="1"/>
  <c r="D216" i="9" a="1"/>
  <c r="D216" i="9" s="1"/>
  <c r="D217" i="9" a="1"/>
  <c r="D217" i="9" s="1"/>
  <c r="D218" i="9" a="1"/>
  <c r="D218" i="9" s="1"/>
  <c r="D219" i="9" a="1"/>
  <c r="D219" i="9" s="1"/>
  <c r="D220" i="9" a="1"/>
  <c r="D220" i="9" s="1"/>
  <c r="D221" i="9" a="1"/>
  <c r="D221" i="9" s="1"/>
  <c r="D228" i="9" a="1"/>
  <c r="D228" i="9" s="1"/>
  <c r="D229" i="9" a="1"/>
  <c r="D229" i="9" s="1"/>
  <c r="D231" i="9" a="1"/>
  <c r="D231" i="9" s="1"/>
  <c r="D232" i="9" a="1"/>
  <c r="D232" i="9" s="1"/>
  <c r="D234" i="9" a="1"/>
  <c r="D234" i="9" s="1"/>
  <c r="D235" i="9" a="1"/>
  <c r="D235" i="9" s="1"/>
  <c r="D236" i="9" a="1"/>
  <c r="D236" i="9" s="1"/>
  <c r="D237" i="9" a="1"/>
  <c r="D237" i="9" s="1"/>
  <c r="D238" i="9" a="1"/>
  <c r="D238" i="9" s="1"/>
  <c r="D239" i="9" a="1"/>
  <c r="D239" i="9" s="1"/>
  <c r="D240" i="9" a="1"/>
  <c r="D240" i="9" s="1"/>
  <c r="D241" i="9" a="1"/>
  <c r="D241" i="9" s="1"/>
  <c r="D251" i="9" a="1"/>
  <c r="D251" i="9" s="1"/>
  <c r="D252" i="9" a="1"/>
  <c r="D252" i="9" s="1"/>
  <c r="D253" i="9" a="1"/>
  <c r="D253" i="9" s="1"/>
  <c r="D254" i="9" a="1"/>
  <c r="D254" i="9" s="1"/>
  <c r="D255" i="9" a="1"/>
  <c r="D255" i="9" s="1"/>
  <c r="D256" i="9" a="1"/>
  <c r="D256" i="9" s="1"/>
  <c r="D257" i="9" a="1"/>
  <c r="D257" i="9" s="1"/>
  <c r="D258" i="9" a="1"/>
  <c r="D258" i="9" s="1"/>
  <c r="D259" i="9" a="1"/>
  <c r="D259" i="9" s="1"/>
  <c r="D260" i="9" a="1"/>
  <c r="D260" i="9" s="1"/>
  <c r="D261" i="9" a="1"/>
  <c r="D261" i="9" s="1"/>
  <c r="D271" i="9" a="1"/>
  <c r="D271" i="9" s="1"/>
  <c r="D272" i="9" a="1"/>
  <c r="D272" i="9" s="1"/>
  <c r="D274" i="9" a="1"/>
  <c r="D274" i="9" s="1"/>
  <c r="D275" i="9" a="1"/>
  <c r="D275" i="9" s="1"/>
  <c r="D276" i="9" a="1"/>
  <c r="D276" i="9" s="1"/>
  <c r="D277" i="9" a="1"/>
  <c r="D277" i="9" s="1"/>
  <c r="D278" i="9" a="1"/>
  <c r="D278" i="9" s="1"/>
  <c r="D279" i="9" a="1"/>
  <c r="D279" i="9" s="1"/>
  <c r="D280" i="9" a="1"/>
  <c r="D280" i="9" s="1"/>
  <c r="D281" i="9" a="1"/>
  <c r="D281" i="9" s="1"/>
  <c r="D286" i="9" a="1"/>
  <c r="D286" i="9" s="1"/>
  <c r="D287" i="9" a="1"/>
  <c r="D287" i="9" s="1"/>
  <c r="D290" i="9" a="1"/>
  <c r="D290" i="9" s="1"/>
  <c r="D291" i="9" a="1"/>
  <c r="D291" i="9" s="1"/>
  <c r="D292" i="9" a="1"/>
  <c r="D292" i="9" s="1"/>
  <c r="D294" i="9" a="1"/>
  <c r="D294" i="9" s="1"/>
  <c r="D295" i="9" a="1"/>
  <c r="D295" i="9" s="1"/>
  <c r="D296" i="9" a="1"/>
  <c r="D296" i="9" s="1"/>
  <c r="D297" i="9" a="1"/>
  <c r="D297" i="9" s="1"/>
  <c r="D298" i="9" a="1"/>
  <c r="D298" i="9" s="1"/>
  <c r="D299" i="9" a="1"/>
  <c r="D299" i="9" s="1"/>
  <c r="D300" i="9" a="1"/>
  <c r="D300" i="9" s="1"/>
  <c r="D301" i="9" a="1"/>
  <c r="D301" i="9" s="1"/>
  <c r="D310" i="9" a="1"/>
  <c r="D310" i="9" s="1"/>
  <c r="D311" i="9" a="1"/>
  <c r="D311" i="9" s="1"/>
  <c r="D312" i="9" a="1"/>
  <c r="D312" i="9" s="1"/>
  <c r="D313" i="9" a="1"/>
  <c r="D313" i="9" s="1"/>
  <c r="D314" i="9" a="1"/>
  <c r="D314" i="9" s="1"/>
  <c r="D315" i="9" a="1"/>
  <c r="D315" i="9" s="1"/>
  <c r="D316" i="9" a="1"/>
  <c r="D316" i="9" s="1"/>
  <c r="D317" i="9" a="1"/>
  <c r="D317" i="9" s="1"/>
  <c r="D318" i="9" a="1"/>
  <c r="D318" i="9" s="1"/>
  <c r="D319" i="9" a="1"/>
  <c r="D319" i="9" s="1"/>
  <c r="D320" i="9" a="1"/>
  <c r="D320" i="9" s="1"/>
  <c r="D321" i="9" a="1"/>
  <c r="D321" i="9" s="1"/>
  <c r="D330" i="9" a="1"/>
  <c r="D330" i="9" s="1"/>
  <c r="D331" i="9" a="1"/>
  <c r="D331" i="9" s="1"/>
  <c r="D332" i="9" a="1"/>
  <c r="D332" i="9" s="1"/>
  <c r="D334" i="9" a="1"/>
  <c r="D334" i="9" s="1"/>
  <c r="D335" i="9" a="1"/>
  <c r="D335" i="9" s="1"/>
  <c r="D336" i="9" a="1"/>
  <c r="D336" i="9" s="1"/>
  <c r="D337" i="9" a="1"/>
  <c r="D337" i="9" s="1"/>
  <c r="D338" i="9" a="1"/>
  <c r="D338" i="9" s="1"/>
  <c r="D339" i="9" a="1"/>
  <c r="D339" i="9" s="1"/>
  <c r="D340" i="9" a="1"/>
  <c r="D340" i="9" s="1"/>
  <c r="D341" i="9" a="1"/>
  <c r="D341" i="9" s="1"/>
  <c r="D346" i="9" a="1"/>
  <c r="D346" i="9" s="1"/>
  <c r="D347" i="9" a="1"/>
  <c r="D347" i="9" s="1"/>
  <c r="D351" i="9" a="1"/>
  <c r="D351" i="9" s="1"/>
  <c r="D352" i="9" a="1"/>
  <c r="D352" i="9" s="1"/>
  <c r="D354" i="9" a="1"/>
  <c r="D354" i="9" s="1"/>
  <c r="D355" i="9" a="1"/>
  <c r="D355" i="9" s="1"/>
  <c r="D356" i="9" a="1"/>
  <c r="D356" i="9" s="1"/>
  <c r="D357" i="9" a="1"/>
  <c r="D357" i="9" s="1"/>
  <c r="D358" i="9" a="1"/>
  <c r="D358" i="9" s="1"/>
  <c r="D359" i="9" a="1"/>
  <c r="D359" i="9" s="1"/>
  <c r="D360" i="9" a="1"/>
  <c r="D360" i="9" s="1"/>
  <c r="D361" i="9" a="1"/>
  <c r="D361" i="9" s="1"/>
  <c r="D369" i="9" a="1"/>
  <c r="D369" i="9" s="1"/>
  <c r="D370" i="9" a="1"/>
  <c r="D370" i="9" s="1"/>
  <c r="D371" i="9" a="1"/>
  <c r="D371" i="9" s="1"/>
  <c r="D372" i="9" a="1"/>
  <c r="D372" i="9" s="1"/>
  <c r="D374" i="9" a="1"/>
  <c r="D374" i="9" s="1"/>
  <c r="D375" i="9" a="1"/>
  <c r="D375" i="9" s="1"/>
  <c r="D376" i="9" a="1"/>
  <c r="D376" i="9" s="1"/>
  <c r="D377" i="9" a="1"/>
  <c r="D377" i="9" s="1"/>
  <c r="D378" i="9" a="1"/>
  <c r="D378" i="9" s="1"/>
  <c r="D379" i="9" a="1"/>
  <c r="D379" i="9" s="1"/>
  <c r="D380" i="9" a="1"/>
  <c r="D380" i="9" s="1"/>
  <c r="D381" i="9" a="1"/>
  <c r="D381" i="9" s="1"/>
  <c r="D389" i="9" a="1"/>
  <c r="D389" i="9" s="1"/>
  <c r="D390" i="9" a="1"/>
  <c r="D390" i="9" s="1"/>
  <c r="D391" i="9" a="1"/>
  <c r="D391" i="9" s="1"/>
  <c r="D392" i="9" a="1"/>
  <c r="D392" i="9" s="1"/>
  <c r="D393" i="9" a="1"/>
  <c r="D393" i="9" s="1"/>
  <c r="D394" i="9" a="1"/>
  <c r="D394" i="9" s="1"/>
  <c r="D395" i="9" a="1"/>
  <c r="D395" i="9" s="1"/>
  <c r="D396" i="9" a="1"/>
  <c r="D396" i="9" s="1"/>
  <c r="D397" i="9" a="1"/>
  <c r="D397" i="9" s="1"/>
  <c r="D398" i="9" a="1"/>
  <c r="D398" i="9" s="1"/>
  <c r="D399" i="9" a="1"/>
  <c r="D399" i="9" s="1"/>
  <c r="D400" i="9" a="1"/>
  <c r="D400" i="9" s="1"/>
  <c r="D401" i="9" a="1"/>
  <c r="D401" i="9" s="1"/>
  <c r="D408" i="9" a="1"/>
  <c r="D408" i="9" s="1"/>
  <c r="D411" i="9" a="1"/>
  <c r="D411" i="9" s="1"/>
  <c r="D412" i="9" a="1"/>
  <c r="D412" i="9" s="1"/>
  <c r="D413" i="9" a="1"/>
  <c r="D413" i="9" s="1"/>
  <c r="D414" i="9" a="1"/>
  <c r="D414" i="9" s="1"/>
  <c r="D415" i="9" a="1"/>
  <c r="D415" i="9" s="1"/>
  <c r="D416" i="9" a="1"/>
  <c r="D416" i="9" s="1"/>
  <c r="D417" i="9" a="1"/>
  <c r="D417" i="9" s="1"/>
  <c r="D418" i="9" a="1"/>
  <c r="D418" i="9" s="1"/>
  <c r="D419" i="9" a="1"/>
  <c r="D419" i="9" s="1"/>
  <c r="D420" i="9" a="1"/>
  <c r="D420" i="9" s="1"/>
  <c r="D421" i="9" a="1"/>
  <c r="D421" i="9" s="1"/>
  <c r="D429" i="9" a="1"/>
  <c r="D429" i="9" s="1"/>
  <c r="D430" i="9" a="1"/>
  <c r="D430" i="9" s="1"/>
  <c r="D431" i="9" a="1"/>
  <c r="D431" i="9" s="1"/>
  <c r="D432" i="9" a="1"/>
  <c r="D432" i="9" s="1"/>
  <c r="D434" i="9" a="1"/>
  <c r="D434" i="9" s="1"/>
  <c r="D437" i="9" a="1"/>
  <c r="D437" i="9" s="1"/>
  <c r="D438" i="9" a="1"/>
  <c r="D438" i="9" s="1"/>
  <c r="D439" i="9" a="1"/>
  <c r="D439" i="9" s="1"/>
  <c r="D440" i="9" a="1"/>
  <c r="D440" i="9" s="1"/>
  <c r="D441" i="9" a="1"/>
  <c r="D441" i="9" s="1"/>
  <c r="D443" i="9" a="1"/>
  <c r="D443" i="9" s="1"/>
  <c r="D450" i="9" a="1"/>
  <c r="D450" i="9" s="1"/>
  <c r="D451" i="9" a="1"/>
  <c r="D451" i="9" s="1"/>
  <c r="D452" i="9" a="1"/>
  <c r="D452" i="9" s="1"/>
  <c r="D454" i="9" a="1"/>
  <c r="D454" i="9" s="1"/>
  <c r="D457" i="9" a="1"/>
  <c r="D457" i="9" s="1"/>
  <c r="D458" i="9" a="1"/>
  <c r="D458" i="9" s="1"/>
  <c r="D459" i="9" a="1"/>
  <c r="D459" i="9" s="1"/>
  <c r="D460" i="9" a="1"/>
  <c r="D460" i="9" s="1"/>
  <c r="D461" i="9" a="1"/>
  <c r="D461" i="9" s="1"/>
  <c r="D466" i="9" a="1"/>
  <c r="D466" i="9" s="1"/>
  <c r="D467" i="9" a="1"/>
  <c r="D467" i="9" s="1"/>
  <c r="D468" i="9" a="1"/>
  <c r="D468" i="9" s="1"/>
  <c r="D469" i="9" a="1"/>
  <c r="D469" i="9" s="1"/>
  <c r="D471" i="9" a="1"/>
  <c r="D471" i="9" s="1"/>
  <c r="D472" i="9" a="1"/>
  <c r="D472" i="9" s="1"/>
  <c r="D476" i="9" a="1"/>
  <c r="D476" i="9" s="1"/>
  <c r="D477" i="9" a="1"/>
  <c r="D477" i="9" s="1"/>
  <c r="D478" i="9" a="1"/>
  <c r="D478" i="9" s="1"/>
  <c r="D479" i="9" a="1"/>
  <c r="D479" i="9" s="1"/>
  <c r="D480" i="9" a="1"/>
  <c r="D480" i="9" s="1"/>
  <c r="D481" i="9" a="1"/>
  <c r="D481" i="9" s="1"/>
  <c r="D488" i="9" a="1"/>
  <c r="D488" i="9" s="1"/>
  <c r="D489" i="9" a="1"/>
  <c r="D489" i="9" s="1"/>
  <c r="D490" i="9" a="1"/>
  <c r="D490" i="9" s="1"/>
  <c r="D491" i="9" a="1"/>
  <c r="D491" i="9" s="1"/>
  <c r="D492" i="9" a="1"/>
  <c r="D492" i="9" s="1"/>
  <c r="D493" i="9" a="1"/>
  <c r="D493" i="9" s="1"/>
  <c r="D496" i="9" a="1"/>
  <c r="D496" i="9" s="1"/>
  <c r="D497" i="9" a="1"/>
  <c r="D497" i="9" s="1"/>
  <c r="D498" i="9" a="1"/>
  <c r="D498" i="9" s="1"/>
  <c r="D499" i="9" a="1"/>
  <c r="D499" i="9" s="1"/>
  <c r="D500" i="9" a="1"/>
  <c r="D500" i="9" s="1"/>
  <c r="D501" i="9" a="1"/>
  <c r="D501" i="9" s="1"/>
  <c r="D509" i="9" a="1"/>
  <c r="D509" i="9" s="1"/>
  <c r="D510" i="9" a="1"/>
  <c r="D510" i="9" s="1"/>
  <c r="D511" i="9" a="1"/>
  <c r="D511" i="9" s="1"/>
  <c r="D512" i="9" a="1"/>
  <c r="D512" i="9" s="1"/>
  <c r="D516" i="9" a="1"/>
  <c r="D516" i="9" s="1"/>
  <c r="D517" i="9" a="1"/>
  <c r="D517" i="9" s="1"/>
  <c r="D518" i="9" a="1"/>
  <c r="D518" i="9" s="1"/>
  <c r="D519" i="9" a="1"/>
  <c r="D519" i="9" s="1"/>
  <c r="D520" i="9" a="1"/>
  <c r="D520" i="9" s="1"/>
  <c r="D521" i="9" a="1"/>
  <c r="D521" i="9" s="1"/>
  <c r="D530" i="9" a="1"/>
  <c r="D530" i="9" s="1"/>
  <c r="D532" i="9" a="1"/>
  <c r="D532" i="9" s="1"/>
  <c r="D536" i="9" a="1"/>
  <c r="D536" i="9" s="1"/>
  <c r="D537" i="9" a="1"/>
  <c r="D537" i="9" s="1"/>
  <c r="D538" i="9" a="1"/>
  <c r="D538" i="9" s="1"/>
  <c r="D539" i="9" a="1"/>
  <c r="D539" i="9" s="1"/>
  <c r="D540" i="9" a="1"/>
  <c r="D540" i="9" s="1"/>
  <c r="D541" i="9" a="1"/>
  <c r="D541" i="9" s="1"/>
  <c r="D542" i="9" a="1"/>
  <c r="D542" i="9" s="1"/>
  <c r="D550" i="9" a="1"/>
  <c r="D550" i="9" s="1"/>
  <c r="D552" i="9" a="1"/>
  <c r="D552" i="9" s="1"/>
  <c r="D556" i="9" a="1"/>
  <c r="D556" i="9" s="1"/>
  <c r="D557" i="9" a="1"/>
  <c r="D557" i="9" s="1"/>
  <c r="D558" i="9" a="1"/>
  <c r="D558" i="9" s="1"/>
  <c r="D559" i="9" a="1"/>
  <c r="D559" i="9" s="1"/>
  <c r="D560" i="9" a="1"/>
  <c r="D560" i="9" s="1"/>
  <c r="D561" i="9" a="1"/>
  <c r="D561" i="9" s="1"/>
  <c r="D563" i="9" a="1"/>
  <c r="D563" i="9" s="1"/>
  <c r="D564" i="9" a="1"/>
  <c r="D564" i="9" s="1"/>
  <c r="D565" i="9" a="1"/>
  <c r="D565" i="9" s="1"/>
  <c r="D566" i="9" a="1"/>
  <c r="D566" i="9" s="1"/>
  <c r="D571" i="9" a="1"/>
  <c r="D571" i="9" s="1"/>
  <c r="D572" i="9" a="1"/>
  <c r="D572" i="9" s="1"/>
  <c r="D575" i="9" a="1"/>
  <c r="D575" i="9" s="1"/>
  <c r="D576" i="9" a="1"/>
  <c r="D576" i="9" s="1"/>
  <c r="D577" i="9" a="1"/>
  <c r="D577" i="9" s="1"/>
  <c r="D578" i="9" a="1"/>
  <c r="D578" i="9" s="1"/>
  <c r="D579" i="9" a="1"/>
  <c r="D579" i="9" s="1"/>
  <c r="D580" i="9" a="1"/>
  <c r="D580" i="9" s="1"/>
  <c r="D581" i="9" a="1"/>
  <c r="D581" i="9" s="1"/>
  <c r="D583" i="9" a="1"/>
  <c r="D583" i="9" s="1"/>
  <c r="D591" i="9" a="1"/>
  <c r="D591" i="9" s="1"/>
  <c r="D592" i="9" a="1"/>
  <c r="D592" i="9" s="1"/>
  <c r="D595" i="9" a="1"/>
  <c r="D595" i="9" s="1"/>
  <c r="D596" i="9" a="1"/>
  <c r="D596" i="9" s="1"/>
  <c r="D597" i="9" a="1"/>
  <c r="D597" i="9" s="1"/>
  <c r="D598" i="9" a="1"/>
  <c r="D598" i="9" s="1"/>
  <c r="D599" i="9" a="1"/>
  <c r="D599" i="9" s="1"/>
  <c r="D600" i="9" a="1"/>
  <c r="D600" i="9" s="1"/>
  <c r="D601" i="9" a="1"/>
  <c r="D601" i="9" s="1"/>
  <c r="D611" i="9" a="1"/>
  <c r="D611" i="9" s="1"/>
  <c r="D612" i="9" a="1"/>
  <c r="D612" i="9" s="1"/>
  <c r="D613" i="9" a="1"/>
  <c r="D613" i="9" s="1"/>
  <c r="D615" i="9" a="1"/>
  <c r="D615" i="9" s="1"/>
  <c r="D616" i="9" a="1"/>
  <c r="D616" i="9" s="1"/>
  <c r="D617" i="9" a="1"/>
  <c r="D617" i="9" s="1"/>
  <c r="D618" i="9" a="1"/>
  <c r="D618" i="9" s="1"/>
  <c r="D619" i="9" a="1"/>
  <c r="D619" i="9" s="1"/>
  <c r="D620" i="9" a="1"/>
  <c r="D620" i="9" s="1"/>
  <c r="D621" i="9" a="1"/>
  <c r="D621" i="9" s="1"/>
  <c r="D631" i="9" a="1"/>
  <c r="D631" i="9" s="1"/>
  <c r="D632" i="9" a="1"/>
  <c r="D632" i="9" s="1"/>
  <c r="D635" i="9" a="1"/>
  <c r="D635" i="9" s="1"/>
  <c r="D636" i="9" a="1"/>
  <c r="D636" i="9" s="1"/>
  <c r="D637" i="9" a="1"/>
  <c r="D637" i="9" s="1"/>
  <c r="D638" i="9" a="1"/>
  <c r="D638" i="9" s="1"/>
  <c r="D639" i="9" a="1"/>
  <c r="D639" i="9" s="1"/>
  <c r="D640" i="9" a="1"/>
  <c r="D640" i="9" s="1"/>
  <c r="D641" i="9" a="1"/>
  <c r="D641" i="9" s="1"/>
  <c r="D643" i="9" a="1"/>
  <c r="D643" i="9" s="1"/>
  <c r="D650" i="9" a="1"/>
  <c r="D650" i="9" s="1"/>
  <c r="D651" i="9" a="1"/>
  <c r="D651" i="9" s="1"/>
  <c r="D652" i="9" a="1"/>
  <c r="D652" i="9" s="1"/>
  <c r="D654" i="9" a="1"/>
  <c r="D654" i="9" s="1"/>
  <c r="D655" i="9" a="1"/>
  <c r="D655" i="9" s="1"/>
  <c r="D656" i="9" a="1"/>
  <c r="D656" i="9" s="1"/>
  <c r="D657" i="9" a="1"/>
  <c r="D657" i="9" s="1"/>
  <c r="D658" i="9" a="1"/>
  <c r="D658" i="9" s="1"/>
  <c r="D659" i="9" a="1"/>
  <c r="D659" i="9" s="1"/>
  <c r="D660" i="9" a="1"/>
  <c r="D660" i="9" s="1"/>
  <c r="D661" i="9" a="1"/>
  <c r="D661" i="9" s="1"/>
  <c r="D671" i="9" a="1"/>
  <c r="D671" i="9" s="1"/>
  <c r="D672" i="9" a="1"/>
  <c r="D672" i="9" s="1"/>
  <c r="D674" i="9" a="1"/>
  <c r="D674" i="9" s="1"/>
  <c r="D675" i="9" a="1"/>
  <c r="D675" i="9" s="1"/>
  <c r="D676" i="9" a="1"/>
  <c r="D676" i="9" s="1"/>
  <c r="D677" i="9" a="1"/>
  <c r="D677" i="9" s="1"/>
  <c r="D678" i="9" a="1"/>
  <c r="D678" i="9" s="1"/>
  <c r="D679" i="9" a="1"/>
  <c r="D679" i="9" s="1"/>
  <c r="D680" i="9" a="1"/>
  <c r="D680" i="9" s="1"/>
  <c r="D681" i="9" a="1"/>
  <c r="D681" i="9" s="1"/>
  <c r="D691" i="9" a="1"/>
  <c r="D691" i="9" s="1"/>
  <c r="D692" i="9" a="1"/>
  <c r="D692" i="9" s="1"/>
  <c r="D694" i="9" a="1"/>
  <c r="D694" i="9" s="1"/>
  <c r="D695" i="9" a="1"/>
  <c r="D695" i="9" s="1"/>
  <c r="D696" i="9" a="1"/>
  <c r="D696" i="9" s="1"/>
  <c r="D697" i="9" a="1"/>
  <c r="D697" i="9" s="1"/>
  <c r="D698" i="9" a="1"/>
  <c r="D698" i="9" s="1"/>
  <c r="D699" i="9" a="1"/>
  <c r="D699" i="9" s="1"/>
  <c r="D700" i="9" a="1"/>
  <c r="D700" i="9" s="1"/>
  <c r="D701" i="9" a="1"/>
  <c r="D701" i="9" s="1"/>
  <c r="D707" i="9" a="1"/>
  <c r="D707" i="9" s="1"/>
  <c r="D710" i="9" a="1"/>
  <c r="D710" i="9" s="1"/>
  <c r="D711" i="9" a="1"/>
  <c r="D711" i="9" s="1"/>
  <c r="D712" i="9" a="1"/>
  <c r="D712" i="9" s="1"/>
  <c r="D713" i="9" a="1"/>
  <c r="D713" i="9" s="1"/>
  <c r="D714" i="9" a="1"/>
  <c r="D714" i="9" s="1"/>
  <c r="D715" i="9" a="1"/>
  <c r="D715" i="9" s="1"/>
  <c r="D716" i="9" a="1"/>
  <c r="D716" i="9" s="1"/>
  <c r="D717" i="9" a="1"/>
  <c r="D717" i="9" s="1"/>
  <c r="D718" i="9" a="1"/>
  <c r="D718" i="9" s="1"/>
  <c r="D719" i="9" a="1"/>
  <c r="D719" i="9" s="1"/>
  <c r="D720" i="9" a="1"/>
  <c r="D720" i="9" s="1"/>
  <c r="D721" i="9" a="1"/>
  <c r="D721" i="9" s="1"/>
  <c r="D730" i="9" a="1"/>
  <c r="D730" i="9" s="1"/>
  <c r="D731" i="9" a="1"/>
  <c r="D731" i="9" s="1"/>
  <c r="D732" i="9" a="1"/>
  <c r="D732" i="9" s="1"/>
  <c r="D733" i="9" a="1"/>
  <c r="D733" i="9" s="1"/>
  <c r="D734" i="9" a="1"/>
  <c r="D734" i="9" s="1"/>
  <c r="D735" i="9" a="1"/>
  <c r="D735" i="9" s="1"/>
  <c r="D736" i="9" a="1"/>
  <c r="D736" i="9" s="1"/>
  <c r="D737" i="9" a="1"/>
  <c r="D737" i="9" s="1"/>
  <c r="D738" i="9" a="1"/>
  <c r="D738" i="9" s="1"/>
  <c r="D739" i="9" a="1"/>
  <c r="D739" i="9" s="1"/>
  <c r="D740" i="9" a="1"/>
  <c r="D740" i="9" s="1"/>
  <c r="D741" i="9" a="1"/>
  <c r="D741" i="9" s="1"/>
  <c r="D749" i="9" a="1"/>
  <c r="D749" i="9" s="1"/>
  <c r="D750" i="9" a="1"/>
  <c r="D750" i="9" s="1"/>
  <c r="D751" i="9" a="1"/>
  <c r="D751" i="9" s="1"/>
  <c r="D752" i="9" a="1"/>
  <c r="D752" i="9" s="1"/>
  <c r="D754" i="9" a="1"/>
  <c r="D754" i="9" s="1"/>
  <c r="D755" i="9" a="1"/>
  <c r="D755" i="9" s="1"/>
  <c r="D756" i="9" a="1"/>
  <c r="D756" i="9" s="1"/>
  <c r="D757" i="9" a="1"/>
  <c r="D757" i="9" s="1"/>
  <c r="D758" i="9" a="1"/>
  <c r="D758" i="9" s="1"/>
  <c r="D759" i="9" a="1"/>
  <c r="D759" i="9" s="1"/>
  <c r="D760" i="9" a="1"/>
  <c r="D760" i="9" s="1"/>
  <c r="D761" i="9" a="1"/>
  <c r="D761" i="9" s="1"/>
  <c r="D770" i="9" a="1"/>
  <c r="D770" i="9" s="1"/>
  <c r="D771" i="9" a="1"/>
  <c r="D771" i="9" s="1"/>
  <c r="D772" i="9" a="1"/>
  <c r="D772" i="9" s="1"/>
  <c r="D774" i="9" a="1"/>
  <c r="D774" i="9" s="1"/>
  <c r="D776" i="9" a="1"/>
  <c r="D776" i="9" s="1"/>
  <c r="D777" i="9" a="1"/>
  <c r="D777" i="9" s="1"/>
  <c r="D778" i="9" a="1"/>
  <c r="D778" i="9" s="1"/>
  <c r="D779" i="9" a="1"/>
  <c r="D779" i="9" s="1"/>
  <c r="D780" i="9" a="1"/>
  <c r="D780" i="9" s="1"/>
  <c r="D781" i="9" a="1"/>
  <c r="D781" i="9" s="1"/>
  <c r="D783" i="9" a="1"/>
  <c r="D783" i="9" s="1"/>
  <c r="D786" i="9" a="1"/>
  <c r="D786" i="9" s="1"/>
  <c r="D791" i="9" a="1"/>
  <c r="D791" i="9" s="1"/>
  <c r="D792" i="9" a="1"/>
  <c r="D792" i="9" s="1"/>
  <c r="D794" i="9" a="1"/>
  <c r="D794" i="9" s="1"/>
  <c r="D796" i="9" a="1"/>
  <c r="D796" i="9" s="1"/>
  <c r="D797" i="9" a="1"/>
  <c r="D797" i="9" s="1"/>
  <c r="D798" i="9" a="1"/>
  <c r="D798" i="9" s="1"/>
  <c r="D799" i="9" a="1"/>
  <c r="D799" i="9" s="1"/>
  <c r="D800" i="9" a="1"/>
  <c r="D800" i="9" s="1"/>
  <c r="D801" i="9" a="1"/>
  <c r="D801" i="9" s="1"/>
  <c r="D805" i="9" a="1"/>
  <c r="D805" i="9" s="1"/>
  <c r="D806" i="9" a="1"/>
  <c r="D806" i="9" s="1"/>
  <c r="D807" i="9" a="1"/>
  <c r="D807" i="9" s="1"/>
  <c r="D810" i="9" a="1"/>
  <c r="D810" i="9" s="1"/>
  <c r="D811" i="9" a="1"/>
  <c r="D811" i="9" s="1"/>
  <c r="D812" i="9" a="1"/>
  <c r="D812" i="9" s="1"/>
  <c r="D816" i="9" a="1"/>
  <c r="D816" i="9" s="1"/>
  <c r="D817" i="9" a="1"/>
  <c r="D817" i="9" s="1"/>
  <c r="D818" i="9" a="1"/>
  <c r="D818" i="9" s="1"/>
  <c r="D819" i="9" a="1"/>
  <c r="D819" i="9" s="1"/>
  <c r="D820" i="9" a="1"/>
  <c r="D820" i="9" s="1"/>
  <c r="D821" i="9" a="1"/>
  <c r="D821" i="9" s="1"/>
  <c r="D827" i="9" a="1"/>
  <c r="D827" i="9" s="1"/>
  <c r="D828" i="9" a="1"/>
  <c r="D828" i="9" s="1"/>
  <c r="D829" i="9" a="1"/>
  <c r="D829" i="9" s="1"/>
  <c r="D830" i="9" a="1"/>
  <c r="D830" i="9" s="1"/>
  <c r="D831" i="9" a="1"/>
  <c r="D831" i="9" s="1"/>
  <c r="D832" i="9" a="1"/>
  <c r="D832" i="9" s="1"/>
  <c r="D836" i="9" a="1"/>
  <c r="D836" i="9" s="1"/>
  <c r="D837" i="9" a="1"/>
  <c r="D837" i="9" s="1"/>
  <c r="D838" i="9" a="1"/>
  <c r="D838" i="9" s="1"/>
  <c r="D839" i="9" a="1"/>
  <c r="D839" i="9" s="1"/>
  <c r="D840" i="9" a="1"/>
  <c r="D840" i="9" s="1"/>
  <c r="D841" i="9" a="1"/>
  <c r="D841" i="9" s="1"/>
  <c r="D849" i="9" a="1"/>
  <c r="D849" i="9" s="1"/>
  <c r="D850" i="9" a="1"/>
  <c r="D850" i="9" s="1"/>
  <c r="D851" i="9" a="1"/>
  <c r="D851" i="9" s="1"/>
  <c r="D852" i="9" a="1"/>
  <c r="D852" i="9" s="1"/>
  <c r="D855" i="9" a="1"/>
  <c r="D855" i="9" s="1"/>
  <c r="D856" i="9" a="1"/>
  <c r="D856" i="9" s="1"/>
  <c r="D857" i="9" a="1"/>
  <c r="D857" i="9" s="1"/>
  <c r="D858" i="9" a="1"/>
  <c r="D858" i="9" s="1"/>
  <c r="D859" i="9" a="1"/>
  <c r="D859" i="9" s="1"/>
  <c r="D860" i="9" a="1"/>
  <c r="D860" i="9" s="1"/>
  <c r="D861" i="9" a="1"/>
  <c r="D861" i="9" s="1"/>
  <c r="D870" i="9" a="1"/>
  <c r="D870" i="9" s="1"/>
  <c r="D871" i="9" a="1"/>
  <c r="D871" i="9" s="1"/>
  <c r="D872" i="9" a="1"/>
  <c r="D872" i="9" s="1"/>
  <c r="D876" i="9" a="1"/>
  <c r="D876" i="9" s="1"/>
  <c r="D877" i="9" a="1"/>
  <c r="D877" i="9" s="1"/>
  <c r="D878" i="9" a="1"/>
  <c r="D878" i="9" s="1"/>
  <c r="D879" i="9" a="1"/>
  <c r="D879" i="9" s="1"/>
  <c r="D880" i="9" a="1"/>
  <c r="D880" i="9" s="1"/>
  <c r="D881" i="9" a="1"/>
  <c r="D881" i="9" s="1"/>
  <c r="D889" i="9" a="1"/>
  <c r="D889" i="9" s="1"/>
  <c r="D890" i="9" a="1"/>
  <c r="D890" i="9" s="1"/>
  <c r="D892" i="9" a="1"/>
  <c r="D892" i="9" s="1"/>
  <c r="D896" i="9" a="1"/>
  <c r="D896" i="9" s="1"/>
  <c r="D897" i="9" a="1"/>
  <c r="D897" i="9" s="1"/>
  <c r="D898" i="9" a="1"/>
  <c r="D898" i="9" s="1"/>
  <c r="D899" i="9" a="1"/>
  <c r="D899" i="9" s="1"/>
  <c r="D900" i="9" a="1"/>
  <c r="D900" i="9" s="1"/>
  <c r="D901" i="9" a="1"/>
  <c r="D901" i="9" s="1"/>
  <c r="D903" i="9" a="1"/>
  <c r="D903" i="9" s="1"/>
  <c r="D904" i="9" a="1"/>
  <c r="D904" i="9" s="1"/>
  <c r="D911" i="9" a="1"/>
  <c r="D911" i="9" s="1"/>
  <c r="D912" i="9" a="1"/>
  <c r="D912" i="9" s="1"/>
  <c r="D915" i="9" a="1"/>
  <c r="D915" i="9" s="1"/>
  <c r="D916" i="9" a="1"/>
  <c r="D916" i="9" s="1"/>
  <c r="D917" i="9" a="1"/>
  <c r="D917" i="9" s="1"/>
  <c r="D918" i="9" a="1"/>
  <c r="D918" i="9" s="1"/>
  <c r="D919" i="9" a="1"/>
  <c r="D919" i="9" s="1"/>
  <c r="D920" i="9" a="1"/>
  <c r="D920" i="9" s="1"/>
  <c r="D921" i="9" a="1"/>
  <c r="D921" i="9" s="1"/>
  <c r="D923" i="9" a="1"/>
  <c r="D923" i="9" s="1"/>
  <c r="D925" i="9" a="1"/>
  <c r="D925" i="9" s="1"/>
  <c r="D926" i="9" a="1"/>
  <c r="D926" i="9" s="1"/>
  <c r="D927" i="9" a="1"/>
  <c r="D927" i="9" s="1"/>
  <c r="D931" i="9" a="1"/>
  <c r="D931" i="9" s="1"/>
  <c r="D932" i="9" a="1"/>
  <c r="D932" i="9" s="1"/>
  <c r="D935" i="9" a="1"/>
  <c r="D935" i="9" s="1"/>
  <c r="D936" i="9" a="1"/>
  <c r="D936" i="9" s="1"/>
  <c r="D937" i="9" a="1"/>
  <c r="D937" i="9" s="1"/>
  <c r="D938" i="9" a="1"/>
  <c r="D938" i="9" s="1"/>
  <c r="D939" i="9" a="1"/>
  <c r="D939" i="9" s="1"/>
  <c r="D940" i="9" a="1"/>
  <c r="D940" i="9" s="1"/>
  <c r="D941" i="9" a="1"/>
  <c r="D941" i="9" s="1"/>
  <c r="D951" i="9" a="1"/>
  <c r="D951" i="9" s="1"/>
  <c r="D952" i="9" a="1"/>
  <c r="D952" i="9" s="1"/>
  <c r="D954" i="9" a="1"/>
  <c r="D954" i="9" s="1"/>
  <c r="D955" i="9" a="1"/>
  <c r="D955" i="9" s="1"/>
  <c r="D956" i="9" a="1"/>
  <c r="D956" i="9" s="1"/>
  <c r="D957" i="9" a="1"/>
  <c r="D957" i="9" s="1"/>
  <c r="D958" i="9" a="1"/>
  <c r="D958" i="9" s="1"/>
  <c r="D959" i="9" a="1"/>
  <c r="D959" i="9" s="1"/>
  <c r="D960" i="9" a="1"/>
  <c r="D960" i="9" s="1"/>
  <c r="D961" i="9" a="1"/>
  <c r="D961" i="9" s="1"/>
  <c r="D971" i="9" a="1"/>
  <c r="D971" i="9" s="1"/>
  <c r="D972" i="9" a="1"/>
  <c r="D972" i="9" s="1"/>
  <c r="D973" i="9" a="1"/>
  <c r="D973" i="9" s="1"/>
  <c r="D974" i="9" a="1"/>
  <c r="D974" i="9" s="1"/>
  <c r="D976" i="9" a="1"/>
  <c r="D976" i="9" s="1"/>
  <c r="D977" i="9" a="1"/>
  <c r="D977" i="9" s="1"/>
  <c r="D978" i="9" a="1"/>
  <c r="D978" i="9" s="1"/>
  <c r="D979" i="9" a="1"/>
  <c r="D979" i="9" s="1"/>
  <c r="D980" i="9" a="1"/>
  <c r="D980" i="9" s="1"/>
  <c r="D981" i="9" a="1"/>
  <c r="D981" i="9" s="1"/>
  <c r="D991" i="9" a="1"/>
  <c r="D991" i="9" s="1"/>
  <c r="D992" i="9" a="1"/>
  <c r="D992" i="9" s="1"/>
  <c r="D994" i="9" a="1"/>
  <c r="D994" i="9" s="1"/>
  <c r="D995" i="9" a="1"/>
  <c r="D995" i="9" s="1"/>
  <c r="D996" i="9" a="1"/>
  <c r="D996" i="9" s="1"/>
  <c r="D997" i="9" a="1"/>
  <c r="D997" i="9" s="1"/>
  <c r="D998" i="9" a="1"/>
  <c r="D998" i="9" s="1"/>
  <c r="D999" i="9" a="1"/>
  <c r="D999" i="9" s="1"/>
  <c r="D1000" i="9" a="1"/>
  <c r="D1000" i="9" s="1"/>
  <c r="D1001" i="9" a="1"/>
  <c r="D1001" i="9" s="1"/>
  <c r="D1010" i="9" a="1"/>
  <c r="D1010" i="9" s="1"/>
  <c r="D1011" i="9" a="1"/>
  <c r="D1011" i="9" s="1"/>
  <c r="D1012" i="9" a="1"/>
  <c r="D1012" i="9" s="1"/>
  <c r="D1014" i="9" a="1"/>
  <c r="D1014" i="9" s="1"/>
  <c r="D1015" i="9" a="1"/>
  <c r="D1015" i="9" s="1"/>
  <c r="D1016" i="9" a="1"/>
  <c r="D1016" i="9" s="1"/>
  <c r="D1017" i="9" a="1"/>
  <c r="D1017" i="9" s="1"/>
  <c r="D1018" i="9" a="1"/>
  <c r="D1018" i="9" s="1"/>
  <c r="D1019" i="9" a="1"/>
  <c r="D1019" i="9" s="1"/>
  <c r="D1020" i="9" a="1"/>
  <c r="D1020" i="9" s="1"/>
  <c r="D1021" i="9" a="1"/>
  <c r="D1021" i="9" s="1"/>
  <c r="D1030" i="9" a="1"/>
  <c r="D1030" i="9" s="1"/>
  <c r="D1031" i="9" a="1"/>
  <c r="D1031" i="9" s="1"/>
  <c r="D1032" i="9" a="1"/>
  <c r="D1032" i="9" s="1"/>
  <c r="D1033" i="9" a="1"/>
  <c r="D1033" i="9" s="1"/>
  <c r="D1034" i="9" a="1"/>
  <c r="D1034" i="9" s="1"/>
  <c r="D1035" i="9" a="1"/>
  <c r="D1035" i="9" s="1"/>
  <c r="D1036" i="9" a="1"/>
  <c r="D1036" i="9" s="1"/>
  <c r="D1037" i="9" a="1"/>
  <c r="D1037" i="9" s="1"/>
  <c r="D1038" i="9" a="1"/>
  <c r="D1038" i="9" s="1"/>
  <c r="D1039" i="9" a="1"/>
  <c r="D1039" i="9" s="1"/>
  <c r="D1040" i="9" a="1"/>
  <c r="D1040" i="9" s="1"/>
  <c r="D1041" i="9" a="1"/>
  <c r="D1041" i="9" s="1"/>
  <c r="D160" i="7" a="1"/>
  <c r="D160" i="7" s="1"/>
  <c r="D159" i="7" a="1"/>
  <c r="D159" i="7" s="1"/>
  <c r="D158" i="7" a="1"/>
  <c r="D158" i="7" s="1"/>
  <c r="D157" i="7" a="1"/>
  <c r="D157" i="7" s="1"/>
  <c r="D156" i="7" a="1"/>
  <c r="E156" i="7" s="1"/>
  <c r="D155" i="7" a="1"/>
  <c r="G155" i="7" s="1"/>
  <c r="D154" i="7" a="1"/>
  <c r="D154" i="7" s="1"/>
  <c r="D153" i="7" a="1"/>
  <c r="D153" i="7" s="1"/>
  <c r="D152" i="7" a="1"/>
  <c r="D152" i="7" s="1"/>
  <c r="D151" i="7" a="1"/>
  <c r="D151" i="7" s="1"/>
  <c r="D150" i="7" a="1"/>
  <c r="D150" i="7" s="1"/>
  <c r="D149" i="7" a="1"/>
  <c r="D149" i="7" s="1"/>
  <c r="D148" i="7" a="1"/>
  <c r="E148" i="7" s="1"/>
  <c r="D147" i="7" a="1"/>
  <c r="F147" i="7" s="1"/>
  <c r="D146" i="7" a="1"/>
  <c r="D146" i="7" s="1"/>
  <c r="D145" i="7" a="1"/>
  <c r="D145" i="7" s="1"/>
  <c r="D144" i="7" a="1"/>
  <c r="D144" i="7" s="1"/>
  <c r="D143" i="7" a="1"/>
  <c r="D143" i="7" s="1"/>
  <c r="D142" i="7" a="1"/>
  <c r="D142" i="7" s="1"/>
  <c r="D141" i="7" a="1"/>
  <c r="E141" i="7" s="1"/>
  <c r="D140" i="7" a="1"/>
  <c r="E140" i="7" s="1"/>
  <c r="D139" i="7" a="1"/>
  <c r="D139" i="7" s="1"/>
  <c r="D138" i="7" a="1"/>
  <c r="D138" i="7" s="1"/>
  <c r="D137" i="7" a="1"/>
  <c r="D137" i="7" s="1"/>
  <c r="D136" i="7" a="1"/>
  <c r="D136" i="7" s="1"/>
  <c r="D135" i="7" a="1"/>
  <c r="D135" i="7" s="1"/>
  <c r="D134" i="7" a="1"/>
  <c r="D134" i="7" s="1"/>
  <c r="D133" i="7" a="1"/>
  <c r="D133" i="7" s="1"/>
  <c r="D132" i="7" a="1"/>
  <c r="D132" i="7" s="1"/>
  <c r="D131" i="7" a="1"/>
  <c r="D131" i="7" s="1"/>
  <c r="D130" i="7" a="1"/>
  <c r="D130" i="7" s="1"/>
  <c r="D129" i="7" a="1"/>
  <c r="E129" i="7" s="1"/>
  <c r="D128" i="7" a="1"/>
  <c r="D128" i="7" s="1"/>
  <c r="D127" i="7" a="1"/>
  <c r="D127" i="7" s="1"/>
  <c r="D126" i="7" a="1"/>
  <c r="D126" i="7" s="1"/>
  <c r="D125" i="7" a="1"/>
  <c r="D125" i="7" s="1"/>
  <c r="D124" i="7" a="1"/>
  <c r="D124" i="7" s="1"/>
  <c r="D123" i="7" a="1"/>
  <c r="D123" i="7" s="1"/>
  <c r="D122" i="7" a="1"/>
  <c r="D122" i="7" s="1"/>
  <c r="D121" i="7" a="1"/>
  <c r="D121" i="7" s="1"/>
  <c r="D120" i="7" a="1"/>
  <c r="D120" i="7" s="1"/>
  <c r="D119" i="7" a="1"/>
  <c r="D119" i="7" s="1"/>
  <c r="D118" i="7" a="1"/>
  <c r="D118" i="7" s="1"/>
  <c r="D117" i="7" a="1"/>
  <c r="E117" i="7" s="1"/>
  <c r="D116" i="7" a="1"/>
  <c r="D116" i="7" s="1"/>
  <c r="D115" i="7" a="1"/>
  <c r="D115" i="7" s="1"/>
  <c r="D114" i="7" a="1"/>
  <c r="D114" i="7" s="1"/>
  <c r="D113" i="7" a="1"/>
  <c r="D113" i="7" s="1"/>
  <c r="D112" i="7" a="1"/>
  <c r="D112" i="7" s="1"/>
  <c r="D111" i="7" a="1"/>
  <c r="D111" i="7" s="1"/>
  <c r="D110" i="7" a="1"/>
  <c r="D110" i="7" s="1"/>
  <c r="D109" i="7" a="1"/>
  <c r="D109" i="7" s="1"/>
  <c r="D108" i="7" a="1"/>
  <c r="D108" i="7" s="1"/>
  <c r="D107" i="7" a="1"/>
  <c r="D107" i="7" s="1"/>
  <c r="D106" i="7" a="1"/>
  <c r="N106" i="7" s="1"/>
  <c r="D105" i="7" a="1"/>
  <c r="D105" i="7" s="1"/>
  <c r="D104" i="7" a="1"/>
  <c r="D104" i="7" s="1"/>
  <c r="D103" i="7" a="1"/>
  <c r="D103" i="7" s="1"/>
  <c r="D102" i="7" a="1"/>
  <c r="D102" i="7" s="1"/>
  <c r="D101" i="7" a="1"/>
  <c r="D101" i="7" s="1"/>
  <c r="D100" i="7" a="1"/>
  <c r="D100" i="7" s="1"/>
  <c r="D99" i="7" a="1"/>
  <c r="D99" i="7" s="1"/>
  <c r="D98" i="7" a="1"/>
  <c r="D98" i="7" s="1"/>
  <c r="D97" i="7" a="1"/>
  <c r="D97" i="7" s="1"/>
  <c r="D96" i="7" a="1"/>
  <c r="D96" i="7" s="1"/>
  <c r="D95" i="7" a="1"/>
  <c r="D95" i="7" s="1"/>
  <c r="D94" i="7" a="1"/>
  <c r="D94" i="7" s="1"/>
  <c r="D93" i="7" a="1"/>
  <c r="D93" i="7" s="1"/>
  <c r="D92" i="7" a="1"/>
  <c r="D92" i="7" s="1"/>
  <c r="D91" i="7" a="1"/>
  <c r="D91" i="7" s="1"/>
  <c r="D90" i="7" a="1"/>
  <c r="D90" i="7" s="1"/>
  <c r="D89" i="7" a="1"/>
  <c r="D89" i="7" s="1"/>
  <c r="D88" i="7" a="1"/>
  <c r="D88" i="7" s="1"/>
  <c r="D87" i="7" a="1"/>
  <c r="D87" i="7" s="1"/>
  <c r="D86" i="7" a="1"/>
  <c r="D86" i="7" s="1"/>
  <c r="D85" i="7" a="1"/>
  <c r="D85" i="7" s="1"/>
  <c r="D84" i="7" a="1"/>
  <c r="D84" i="7" s="1"/>
  <c r="D83" i="7" a="1"/>
  <c r="D83" i="7" s="1"/>
  <c r="D82" i="7" a="1"/>
  <c r="D82" i="7" s="1"/>
  <c r="D81" i="7" a="1"/>
  <c r="E81" i="7" s="1"/>
  <c r="D80" i="7" a="1"/>
  <c r="D80" i="7" s="1"/>
  <c r="D79" i="7" a="1"/>
  <c r="D79" i="7" s="1"/>
  <c r="D78" i="7" a="1"/>
  <c r="D78" i="7" s="1"/>
  <c r="D77" i="7" a="1"/>
  <c r="D77" i="7" s="1"/>
  <c r="D76" i="7" a="1"/>
  <c r="D76" i="7" s="1"/>
  <c r="D75" i="7" a="1"/>
  <c r="D75" i="7" s="1"/>
  <c r="D74" i="7" a="1"/>
  <c r="E74" i="7" s="1"/>
  <c r="D73" i="7" a="1"/>
  <c r="D73" i="7" s="1"/>
  <c r="D72" i="7" a="1"/>
  <c r="D72" i="7" s="1"/>
  <c r="D71" i="7" a="1"/>
  <c r="D71" i="7" s="1"/>
  <c r="D70" i="7" a="1"/>
  <c r="D70" i="7" s="1"/>
  <c r="D69" i="7" a="1"/>
  <c r="D69" i="7" s="1"/>
  <c r="D68" i="7" a="1"/>
  <c r="D68" i="7" s="1"/>
  <c r="D67" i="7" a="1"/>
  <c r="D67" i="7" s="1"/>
  <c r="D66" i="7" a="1"/>
  <c r="F66" i="7" s="1"/>
  <c r="D65" i="7" a="1"/>
  <c r="F65" i="7" s="1"/>
  <c r="D64" i="7" a="1"/>
  <c r="F64" i="7" s="1"/>
  <c r="D63" i="7" a="1"/>
  <c r="I63" i="7" s="1"/>
  <c r="D62" i="7" a="1"/>
  <c r="D62" i="7" s="1"/>
  <c r="D61" i="7" a="1"/>
  <c r="D61" i="7" s="1"/>
  <c r="D60" i="7" a="1"/>
  <c r="D60" i="7" s="1"/>
  <c r="D59" i="7" a="1"/>
  <c r="E59" i="7" s="1"/>
  <c r="D58" i="7" a="1"/>
  <c r="D58" i="7" s="1"/>
  <c r="D57" i="7" a="1"/>
  <c r="D57" i="7" s="1"/>
  <c r="D56" i="7" a="1"/>
  <c r="D56" i="7" s="1"/>
  <c r="D55" i="7" a="1"/>
  <c r="D55" i="7" s="1"/>
  <c r="D54" i="7" a="1"/>
  <c r="D54" i="7" s="1"/>
  <c r="D53" i="7" a="1"/>
  <c r="F53" i="7" s="1"/>
  <c r="D52" i="7" a="1"/>
  <c r="D52" i="7" s="1"/>
  <c r="D51" i="7" a="1"/>
  <c r="D51" i="7" s="1"/>
  <c r="D50" i="7" a="1"/>
  <c r="D50" i="7" s="1"/>
  <c r="D49" i="7" a="1"/>
  <c r="D49" i="7" s="1"/>
  <c r="D48" i="7" a="1"/>
  <c r="D48" i="7" s="1"/>
  <c r="D47" i="7" a="1"/>
  <c r="F47" i="7" s="1"/>
  <c r="D46" i="7" a="1"/>
  <c r="D46" i="7" s="1"/>
  <c r="D45" i="7" a="1"/>
  <c r="E45" i="7" s="1"/>
  <c r="D44" i="7" a="1"/>
  <c r="D44" i="7" s="1"/>
  <c r="D43" i="7" a="1"/>
  <c r="D43" i="7" s="1"/>
  <c r="D42" i="7" a="1"/>
  <c r="D42" i="7" s="1"/>
  <c r="D41" i="7" a="1"/>
  <c r="D41" i="7" s="1"/>
  <c r="D40" i="7" a="1"/>
  <c r="D40" i="7" s="1"/>
  <c r="D39" i="7" a="1"/>
  <c r="D39" i="7" s="1"/>
  <c r="D38" i="7" a="1"/>
  <c r="D38" i="7" s="1"/>
  <c r="D37" i="7" a="1"/>
  <c r="D37" i="7" s="1"/>
  <c r="D36" i="7" a="1"/>
  <c r="D36" i="7" s="1"/>
  <c r="D35" i="7" a="1"/>
  <c r="D35" i="7" s="1"/>
  <c r="D34" i="7" a="1"/>
  <c r="D34" i="7" s="1"/>
  <c r="D33" i="7" a="1"/>
  <c r="D33" i="7" s="1"/>
  <c r="D32" i="7" a="1"/>
  <c r="D32" i="7" s="1"/>
  <c r="D31" i="7" a="1"/>
  <c r="D31" i="7" s="1"/>
  <c r="D30" i="7" a="1"/>
  <c r="D30" i="7" s="1"/>
  <c r="D29" i="7" a="1"/>
  <c r="D29" i="7" s="1"/>
  <c r="D28" i="7" a="1"/>
  <c r="D28" i="7" s="1"/>
  <c r="D27" i="7" a="1"/>
  <c r="D27" i="7" s="1"/>
  <c r="D26" i="7" a="1"/>
  <c r="D26" i="7" s="1"/>
  <c r="D25" i="7" a="1"/>
  <c r="D25" i="7" s="1"/>
  <c r="D24" i="7" a="1"/>
  <c r="D24" i="7" s="1"/>
  <c r="D23" i="7" a="1"/>
  <c r="D23" i="7" s="1"/>
  <c r="D22" i="7" a="1"/>
  <c r="D22" i="7" s="1"/>
  <c r="D21" i="7" a="1"/>
  <c r="D21" i="7" s="1"/>
  <c r="D20" i="7" a="1"/>
  <c r="D20" i="7" s="1"/>
  <c r="D19" i="7" a="1"/>
  <c r="D19" i="7" s="1"/>
  <c r="D18" i="7" a="1"/>
  <c r="D18" i="7" s="1"/>
  <c r="D17" i="7" a="1"/>
  <c r="D17" i="7" s="1"/>
  <c r="D16" i="7" a="1"/>
  <c r="D16" i="7" s="1"/>
  <c r="D15" i="7" a="1"/>
  <c r="D15" i="7" s="1"/>
  <c r="D14" i="7" a="1"/>
  <c r="D14" i="7" s="1"/>
  <c r="D13" i="7" a="1"/>
  <c r="D13" i="7" s="1"/>
  <c r="D12" i="7" a="1"/>
  <c r="D12" i="7" s="1"/>
  <c r="D11" i="7" a="1"/>
  <c r="D11" i="7" s="1"/>
  <c r="D10" i="7" a="1"/>
  <c r="D10" i="7" s="1"/>
  <c r="D9" i="7" a="1"/>
  <c r="D9" i="7" s="1"/>
  <c r="D8" i="7" a="1"/>
  <c r="D8" i="7" s="1"/>
  <c r="D7" i="7" a="1"/>
  <c r="D7" i="7" s="1"/>
  <c r="D6" i="7" a="1"/>
  <c r="D6" i="7" s="1"/>
  <c r="D5" i="7" a="1"/>
  <c r="D5" i="7" s="1"/>
  <c r="D4" i="7" a="1"/>
  <c r="D4" i="7" s="1"/>
  <c r="D3" i="7" a="1"/>
  <c r="E3" i="7" s="1"/>
  <c r="D2" i="7" a="1"/>
  <c r="E2" i="7" s="1"/>
  <c r="I18" i="5"/>
  <c r="I17" i="5"/>
  <c r="I16" i="5"/>
  <c r="I15" i="5"/>
  <c r="I14" i="5"/>
  <c r="I13" i="5"/>
  <c r="I12" i="5"/>
  <c r="I11" i="5"/>
  <c r="I10" i="5"/>
  <c r="I9" i="5"/>
  <c r="I8" i="5"/>
  <c r="I7" i="5"/>
  <c r="I19" i="5" s="1"/>
  <c r="G18" i="4"/>
  <c r="G17" i="4"/>
  <c r="G16" i="4"/>
  <c r="G15" i="4"/>
  <c r="G14" i="4"/>
  <c r="G13" i="4"/>
  <c r="G12" i="4"/>
  <c r="G11" i="4"/>
  <c r="G10" i="4"/>
  <c r="G9" i="4"/>
  <c r="G8" i="4"/>
  <c r="G7" i="4"/>
  <c r="G19" i="4" s="1"/>
  <c r="I19" i="3"/>
  <c r="I18" i="3"/>
  <c r="I17" i="3"/>
  <c r="I16" i="3"/>
  <c r="I15" i="3"/>
  <c r="I14" i="3"/>
  <c r="I20" i="3" s="1"/>
  <c r="I13" i="3"/>
  <c r="I12" i="3"/>
  <c r="I11" i="3"/>
  <c r="I10" i="3"/>
  <c r="I9" i="3"/>
  <c r="I8" i="3"/>
  <c r="I7" i="3"/>
  <c r="G19" i="2"/>
  <c r="G18" i="2"/>
  <c r="G17" i="2"/>
  <c r="G16" i="2"/>
  <c r="G15" i="2"/>
  <c r="G14" i="2"/>
  <c r="G13" i="2"/>
  <c r="G12" i="2"/>
  <c r="G11" i="2"/>
  <c r="G10" i="2"/>
  <c r="G9" i="2"/>
  <c r="G8" i="2"/>
  <c r="G20" i="2" s="1"/>
  <c r="G7" i="2"/>
  <c r="D2" i="7" l="1"/>
  <c r="D147" i="7"/>
  <c r="D45" i="7"/>
  <c r="D3" i="7"/>
  <c r="D81" i="7"/>
  <c r="D53" i="7"/>
  <c r="D106" i="7"/>
  <c r="D2" i="9" a="1"/>
  <c r="D2" i="9" s="1"/>
  <c r="O3" i="9" s="1"/>
  <c r="O7" i="9" a="1"/>
  <c r="O7" i="9" s="1"/>
  <c r="O2" i="9"/>
  <c r="D66" i="7"/>
  <c r="D141" i="7"/>
  <c r="F106" i="7"/>
  <c r="D117" i="7"/>
  <c r="F140" i="7"/>
  <c r="D47" i="7"/>
  <c r="D65" i="7"/>
  <c r="G65" i="7"/>
  <c r="D155" i="7"/>
  <c r="E92" i="7"/>
  <c r="H106" i="7"/>
  <c r="D129" i="7"/>
  <c r="D140" i="7"/>
  <c r="E65" i="7"/>
  <c r="G106" i="7"/>
  <c r="G140" i="7"/>
  <c r="D63" i="7"/>
  <c r="D64" i="7"/>
  <c r="D74" i="7"/>
  <c r="G53" i="7"/>
  <c r="E155" i="7"/>
  <c r="E47" i="7"/>
  <c r="F63" i="7"/>
  <c r="E147" i="7"/>
  <c r="F155" i="7"/>
  <c r="G63" i="7"/>
  <c r="E106" i="7"/>
  <c r="D148" i="7"/>
  <c r="D156" i="7"/>
  <c r="E64" i="7"/>
  <c r="D59" i="7"/>
  <c r="K106" i="7"/>
  <c r="E102" i="7"/>
  <c r="E53" i="7"/>
  <c r="F117" i="7"/>
  <c r="F45" i="7"/>
  <c r="E66" i="7"/>
  <c r="H63" i="7"/>
  <c r="J106" i="7"/>
  <c r="L106" i="7"/>
  <c r="E63" i="7"/>
  <c r="M106" i="7"/>
  <c r="E60" i="7"/>
  <c r="I106" i="7"/>
  <c r="O6" i="9" l="1" a="1"/>
  <c r="O6" i="9" s="1"/>
  <c r="O9" i="9" s="1"/>
  <c r="O8" i="9" a="1"/>
  <c r="O8" i="9" s="1"/>
  <c r="O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Ahmad Sharaf Al Masri</author>
  </authors>
  <commentList>
    <comment ref="D75" authorId="0" shapeId="0" xr:uid="{7E8E80E1-C8B2-4960-AA7E-7B5A4AFAF41F}">
      <text>
        <r>
          <rPr>
            <sz val="11"/>
            <color theme="1"/>
            <rFont val="Calibri"/>
            <family val="2"/>
            <charset val="1"/>
          </rPr>
          <t>Ahmad Sharaf Al Masri:
HMI reads 56.3 C on IMG_9601.jpeg - by far the highest reading seen across all QNL drawings, against 19.6 C on FCU-1F-058 directly beneath it. Almost certainly a failed sensor; worth raising with the BMS team.</t>
        </r>
      </text>
    </comment>
    <comment ref="D118" authorId="0" shapeId="0" xr:uid="{1F82BB0B-B9B6-44D7-B413-817CFA4F4EA3}">
      <text>
        <r>
          <rPr>
            <sz val="11"/>
            <color theme="1"/>
            <rFont val="Calibri"/>
            <family val="2"/>
            <charset val="1"/>
          </rPr>
          <t>Ahmad Sharaf Al Masri:
IMG_9592.jpeg (Basement Zone-3-P2): FCU-B-001 is drawn outside the plan outline on the left with no leader line to any room. Nearest labels are 'IDF Rooom' and 'VIP Restroom', both of which would make this Not Included (technical / executive). Key Plan name used per the agreed rule - please confirm.</t>
        </r>
      </text>
    </comment>
    <comment ref="D155" authorId="0" shapeId="0" xr:uid="{070C9BD6-1AC4-4B8C-AC98-32F1582F1DE4}">
      <text>
        <r>
          <rPr>
            <sz val="11"/>
            <color theme="1"/>
            <rFont val="Calibri"/>
            <family val="2"/>
            <charset val="1"/>
          </rPr>
          <t>Ahmad Sharaf Al Masri:
FCU-B-038 shows '??????' instead of a temperature on the HMI (no sensor reading). Room name taken from its yellow leader line pointing into the Pantry.</t>
        </r>
      </text>
    </comment>
    <comment ref="D185" authorId="0" shapeId="0" xr:uid="{96834FD6-C970-43F8-AADA-6DC28282C7D5}">
      <text>
        <r>
          <rPr>
            <sz val="11"/>
            <color theme="1"/>
            <rFont val="Calibri"/>
            <family val="2"/>
            <charset val="1"/>
          </rPr>
          <t>Ahmad Sharaf Al Masri:
HMI reads 34.1 C on IMG_9599.jpeg - well above the ~17-20 C of the adjacent media studios. Consistent with an unconditioned store, but worth checking.</t>
        </r>
      </text>
    </comment>
    <comment ref="D331" authorId="0" shapeId="0" xr:uid="{4A9E82FD-627F-4909-B20F-789D28BA69E8}">
      <text>
        <r>
          <rPr>
            <sz val="11"/>
            <color theme="1"/>
            <rFont val="Calibri"/>
            <family val="2"/>
            <charset val="1"/>
          </rPr>
          <t>Ahmad Sharaf Al Masri:
CONFLICT: previously recorded as 'Plant Room 1 / Plant Room 2 (IMG_9588.jpeg)', Not Included. Honeywell BMS VAV Summary Type-01 (IMG_9563.jpeg) groups VAV/B/S11/022 (Master) and /023 (Slave) together under 'Basement Zone 1 Corridor Leading To Reception &amp; Lounge B009'. Updated to match the BMS and changed to Included. Verify against the basement drawing before final sign-off.</t>
        </r>
      </text>
    </comment>
    <comment ref="D367" authorId="0" shapeId="0" xr:uid="{2257BDC7-65C0-45CD-9A82-343E93A3C8F4}">
      <text>
        <r>
          <rPr>
            <sz val="11"/>
            <color theme="1"/>
            <rFont val="Calibri"/>
            <family val="2"/>
            <charset val="1"/>
          </rPr>
          <t>Ahmad Sharaf Al Masri:
HMI label on IMG_9589.jpeg reads 'VAV-B-S11-005'. Positionally it sits between VAV-B-S14-004 and VAV-B-S14-006 in the Digitization Room, and VAV_B_S11_005 (row 1075) is already assigned to Tech, Services &amp; Collections Office from IMG_9587.jpeg. Recorded here as S14_005 - please confirm the correct HMI tag.</t>
        </r>
      </text>
    </comment>
    <comment ref="D399" authorId="0" shapeId="0" xr:uid="{6692F30D-2CAD-444C-9102-BEB31B962784}">
      <text>
        <r>
          <rPr>
            <sz val="11"/>
            <color theme="1"/>
            <rFont val="Calibri"/>
            <family val="2"/>
            <charset val="1"/>
          </rPr>
          <t>Ahmad Sharaf Al Masri:
Flagged for the executive-room rule, not for the room name. 'Asst. Head' is a management office - confirm whether it counts as an executive room (Not Included) or a senior staff office (currently Included).</t>
        </r>
      </text>
    </comment>
    <comment ref="D400" authorId="0" shapeId="0" xr:uid="{E8D51BEB-925C-4CFD-87AF-DBCFCAF22528}">
      <text>
        <r>
          <rPr>
            <sz val="11"/>
            <color theme="1"/>
            <rFont val="Calibri"/>
            <family val="2"/>
            <charset val="1"/>
          </rPr>
          <t>Ahmad Sharaf Al Masri:
Flagged for the executive-room rule, not for the room name. 'Asst. Head' is a management office - confirm whether it counts as an executive room (Not Included) or a senior staff office (currently Included).</t>
        </r>
      </text>
    </comment>
    <comment ref="D459" authorId="0" shapeId="0" xr:uid="{0392E5FD-B98F-4B51-B201-D59EEE4FCB5E}">
      <text>
        <r>
          <rPr>
            <b/>
            <sz val="9"/>
            <color indexed="81"/>
            <rFont val="Tahoma"/>
            <family val="2"/>
          </rPr>
          <t>Ahmad Sharaf Al Masri:</t>
        </r>
        <r>
          <rPr>
            <sz val="9"/>
            <color indexed="81"/>
            <rFont val="Tahoma"/>
            <family val="2"/>
          </rPr>
          <t xml:space="preserve">
No B083 in the room-name list supplied (list jumps B082 TRANSFORMER ROOM to B084 UPS BATTERY ROOM). Name needed.</t>
        </r>
      </text>
    </comment>
    <comment ref="D460" authorId="0" shapeId="0" xr:uid="{BAA5E4CD-60FB-4723-A94A-BE317C6144CD}">
      <text>
        <r>
          <rPr>
            <b/>
            <sz val="9"/>
            <color indexed="81"/>
            <rFont val="Tahoma"/>
            <family val="2"/>
          </rPr>
          <t>Ahmad Sharaf Al Masri:</t>
        </r>
        <r>
          <rPr>
            <sz val="9"/>
            <color indexed="81"/>
            <rFont val="Tahoma"/>
            <family val="2"/>
          </rPr>
          <t xml:space="preserve">
No B083 in the room-name list supplied (list jumps B082 TRANSFORMER ROOM to B084 UPS BATTERY ROOM). Name needed.</t>
        </r>
      </text>
    </comment>
    <comment ref="D471" authorId="0" shapeId="0" xr:uid="{906E436E-F3DC-40C7-8354-A075652F27D6}">
      <text>
        <r>
          <rPr>
            <b/>
            <sz val="9"/>
            <color indexed="81"/>
            <rFont val="Tahoma"/>
            <family val="2"/>
          </rPr>
          <t>Ahmad Sharaf Al Masri:</t>
        </r>
        <r>
          <rPr>
            <sz val="9"/>
            <color indexed="81"/>
            <rFont val="Tahoma"/>
            <family val="2"/>
          </rPr>
          <t xml:space="preserve">
No B045 / B045A in the room-name list supplied. Name needed.</t>
        </r>
      </text>
    </comment>
    <comment ref="D472" authorId="0" shapeId="0" xr:uid="{4D9BD79C-E207-4962-BBB3-1057E1618FAD}">
      <text>
        <r>
          <rPr>
            <b/>
            <sz val="9"/>
            <color indexed="81"/>
            <rFont val="Tahoma"/>
            <family val="2"/>
          </rPr>
          <t>Ahmad Sharaf Al Masri:</t>
        </r>
        <r>
          <rPr>
            <sz val="9"/>
            <color indexed="81"/>
            <rFont val="Tahoma"/>
            <family val="2"/>
          </rPr>
          <t xml:space="preserve">
No B045 / B045A in the room-name list supplied. Name needed.</t>
        </r>
      </text>
    </comment>
    <comment ref="D473" authorId="0" shapeId="0" xr:uid="{4D260E7F-F9AD-48D7-AA89-F349E4DC4BB6}">
      <text>
        <r>
          <rPr>
            <b/>
            <sz val="9"/>
            <color indexed="81"/>
            <rFont val="Tahoma"/>
            <family val="2"/>
          </rPr>
          <t>Ahmad Sharaf Al Masri:</t>
        </r>
        <r>
          <rPr>
            <sz val="9"/>
            <color indexed="81"/>
            <rFont val="Tahoma"/>
            <family val="2"/>
          </rPr>
          <t xml:space="preserve">
No B045 / B045A in the room-name list supplied. Name needed.</t>
        </r>
      </text>
    </comment>
    <comment ref="D475" authorId="0" shapeId="0" xr:uid="{D4633AE2-B9E5-4989-8F8D-155F06E34D99}">
      <text>
        <r>
          <rPr>
            <b/>
            <sz val="9"/>
            <color indexed="81"/>
            <rFont val="Tahoma"/>
            <family val="2"/>
          </rPr>
          <t>Ahmad Sharaf Al Masri:</t>
        </r>
        <r>
          <rPr>
            <sz val="9"/>
            <color indexed="81"/>
            <rFont val="Tahoma"/>
            <family val="2"/>
          </rPr>
          <t xml:space="preserve">
DX/RP/21 is a Roof unit (Zone C) — no room number on HMI.</t>
        </r>
      </text>
    </comment>
    <comment ref="D476" authorId="0" shapeId="0" xr:uid="{4AFADFC5-1B3D-4E92-94DE-5B6E76BEC679}">
      <text>
        <r>
          <rPr>
            <b/>
            <sz val="9"/>
            <color indexed="81"/>
            <rFont val="Tahoma"/>
            <family val="2"/>
          </rPr>
          <t>Ahmad Sharaf Al Masri:</t>
        </r>
        <r>
          <rPr>
            <sz val="9"/>
            <color indexed="81"/>
            <rFont val="Tahoma"/>
            <family val="2"/>
          </rPr>
          <t xml:space="preserve">
Ambiguous: list has two B106 entries - 'REST ROOM SECURITY B106_RES' and 'SECURITY STORES SECURITY UPS B106_SEC'. Confirm which applies to DX_B22.</t>
        </r>
      </text>
    </comment>
    <comment ref="D478" authorId="0" shapeId="0" xr:uid="{BEB560C8-96D3-4F8B-8A42-1C89243C35D9}">
      <text>
        <r>
          <rPr>
            <b/>
            <sz val="9"/>
            <color indexed="81"/>
            <rFont val="Tahoma"/>
            <family val="2"/>
          </rPr>
          <t>Ahmad Sharaf Al Masri:</t>
        </r>
        <r>
          <rPr>
            <sz val="9"/>
            <color indexed="81"/>
            <rFont val="Tahoma"/>
            <family val="2"/>
          </rPr>
          <t xml:space="preserve">
DX/RP/21 is a Roof unit (Zone C) — no room number on HMI.</t>
        </r>
      </text>
    </comment>
    <comment ref="D533" authorId="0" shapeId="0" xr:uid="{702B3CA4-9D9A-4674-B059-5BB01A821055}">
      <text>
        <r>
          <rPr>
            <b/>
            <sz val="9"/>
            <color indexed="81"/>
            <rFont val="Tahoma"/>
            <family val="2"/>
          </rPr>
          <t>Ahmad Sharaf Al Masri:</t>
        </r>
        <r>
          <rPr>
            <sz val="9"/>
            <color indexed="81"/>
            <rFont val="Tahoma"/>
            <family val="2"/>
          </rPr>
          <t xml:space="preserve">
Ambiguous: list has two B141 entries - 'HL PLANT ROOM B141_HLP' and 'VAULT B141_VAU'. Confirm which applies to CCU_B08.</t>
        </r>
      </text>
    </comment>
    <comment ref="D534" authorId="0" shapeId="0" xr:uid="{885BDC28-CE74-4FCD-8CD1-AF71223D3112}">
      <text>
        <r>
          <rPr>
            <b/>
            <sz val="9"/>
            <color indexed="81"/>
            <rFont val="Tahoma"/>
            <family val="2"/>
          </rPr>
          <t>Ahmad Sharaf Al Masri:</t>
        </r>
        <r>
          <rPr>
            <sz val="9"/>
            <color indexed="81"/>
            <rFont val="Tahoma"/>
            <family val="2"/>
          </rPr>
          <t xml:space="preserve">
Ambiguous: list has two B141 entries - 'HL PLANT ROOM B141_HLP' and 'VAULT B141_VAU'. Confirm which applies to CCU_B09.</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<sst xmlns="http://schemas.openxmlformats.org/spreadsheetml/2006/main" count="16366" uniqueCount="6887">
  <si>
    <t>Controllable Asset Registry</t>
  </si>
  <si>
    <t>Tag No.</t>
  </si>
  <si>
    <t>Equipment Type</t>
  </si>
  <si>
    <t>Inluded/ Not Inlcuded</t>
  </si>
  <si>
    <t>ROOM NAME AS PER DRAWINGS</t>
  </si>
  <si>
    <t>AHU12_0001</t>
  </si>
  <si>
    <t>AHU</t>
  </si>
  <si>
    <t>Not Included</t>
  </si>
  <si>
    <t>AHU12_0002</t>
  </si>
  <si>
    <t>Included</t>
  </si>
  <si>
    <t>AHU12_0003</t>
  </si>
  <si>
    <t>AHU12_0004</t>
  </si>
  <si>
    <t>AHU12_0006</t>
  </si>
  <si>
    <t>AHU12_0007</t>
  </si>
  <si>
    <t>AHU12_0008</t>
  </si>
  <si>
    <t>AHU12_0009</t>
  </si>
  <si>
    <t>AHU12_0010</t>
  </si>
  <si>
    <t>AHU2_0001</t>
  </si>
  <si>
    <t>AHU5_0001</t>
  </si>
  <si>
    <t>AHU5_0002</t>
  </si>
  <si>
    <t>AHU9_0001</t>
  </si>
  <si>
    <t>AHU9_0002</t>
  </si>
  <si>
    <t>AHU9_0003</t>
  </si>
  <si>
    <t>AHUB_0001</t>
  </si>
  <si>
    <t>AHUB_0002</t>
  </si>
  <si>
    <t>AHUB_0003</t>
  </si>
  <si>
    <t>AHUB_0004</t>
  </si>
  <si>
    <t>AHUB_0005</t>
  </si>
  <si>
    <t>AHUB_0006</t>
  </si>
  <si>
    <t>AHUB_0007</t>
  </si>
  <si>
    <t>AHUB_0008</t>
  </si>
  <si>
    <t>AHUB_0009</t>
  </si>
  <si>
    <t>AHUB_0010</t>
  </si>
  <si>
    <t>AHUB_0011</t>
  </si>
  <si>
    <t>FCU0001</t>
  </si>
  <si>
    <t>FCU</t>
  </si>
  <si>
    <t>FCU0002</t>
  </si>
  <si>
    <t>FCU0003</t>
  </si>
  <si>
    <t>FCU0004</t>
  </si>
  <si>
    <t>FCU0005</t>
  </si>
  <si>
    <t>FCU0006</t>
  </si>
  <si>
    <t>FCU0007</t>
  </si>
  <si>
    <t>FCU0008</t>
  </si>
  <si>
    <t>FCU0009</t>
  </si>
  <si>
    <t>FCU0010</t>
  </si>
  <si>
    <t>FCU0011</t>
  </si>
  <si>
    <t>FCU0012</t>
  </si>
  <si>
    <t>FCU0013</t>
  </si>
  <si>
    <t>FCU0014</t>
  </si>
  <si>
    <t>FCU0015</t>
  </si>
  <si>
    <t>FCU0016</t>
  </si>
  <si>
    <t>FCU0017</t>
  </si>
  <si>
    <t>FCU0018</t>
  </si>
  <si>
    <t>FCU0019</t>
  </si>
  <si>
    <t>FCU0020</t>
  </si>
  <si>
    <t>FCU0021</t>
  </si>
  <si>
    <t>FCU0022</t>
  </si>
  <si>
    <t>FCU0023</t>
  </si>
  <si>
    <t>FCU0024</t>
  </si>
  <si>
    <t>FCU0025</t>
  </si>
  <si>
    <t>FCU0026</t>
  </si>
  <si>
    <t>FCU0027</t>
  </si>
  <si>
    <t>FCU0028</t>
  </si>
  <si>
    <t>FCU0029</t>
  </si>
  <si>
    <t>FCU0030</t>
  </si>
  <si>
    <t>FCU0031</t>
  </si>
  <si>
    <t>FCU0032</t>
  </si>
  <si>
    <t>FCU0033</t>
  </si>
  <si>
    <t>FCU0034</t>
  </si>
  <si>
    <t>FCU0035</t>
  </si>
  <si>
    <t>FCU0036</t>
  </si>
  <si>
    <t>FCU0037</t>
  </si>
  <si>
    <t>FCU0038</t>
  </si>
  <si>
    <t>FCU0039</t>
  </si>
  <si>
    <t>FCU0040</t>
  </si>
  <si>
    <t>FCU0041</t>
  </si>
  <si>
    <t>FCU0042</t>
  </si>
  <si>
    <t>FCU0043</t>
  </si>
  <si>
    <t>FCU0044</t>
  </si>
  <si>
    <t>FCU0045</t>
  </si>
  <si>
    <t>FCU0046</t>
  </si>
  <si>
    <t>FCU0047</t>
  </si>
  <si>
    <t>FCU0048</t>
  </si>
  <si>
    <t>FCU0049</t>
  </si>
  <si>
    <t>FCU0050</t>
  </si>
  <si>
    <t>FCU0051</t>
  </si>
  <si>
    <t>FCU0052</t>
  </si>
  <si>
    <t>FCU0053</t>
  </si>
  <si>
    <t>FCU0054</t>
  </si>
  <si>
    <t>FCU0055</t>
  </si>
  <si>
    <t>FCU0056</t>
  </si>
  <si>
    <t>FCU0057</t>
  </si>
  <si>
    <t>FCU0058</t>
  </si>
  <si>
    <t>FCU0059</t>
  </si>
  <si>
    <t>FCU0060</t>
  </si>
  <si>
    <t>FCU0061</t>
  </si>
  <si>
    <t>FCU0062</t>
  </si>
  <si>
    <t>FCU0063</t>
  </si>
  <si>
    <t>FCU0064</t>
  </si>
  <si>
    <t>FCU0065</t>
  </si>
  <si>
    <t>FCU0066</t>
  </si>
  <si>
    <t>FCU0067</t>
  </si>
  <si>
    <t>FCU0068</t>
  </si>
  <si>
    <t>FCU0069</t>
  </si>
  <si>
    <t>FCU0070</t>
  </si>
  <si>
    <t>FCU0071</t>
  </si>
  <si>
    <t>FCU0072</t>
  </si>
  <si>
    <t>FCU0073</t>
  </si>
  <si>
    <t>FCU0074</t>
  </si>
  <si>
    <t>FCU0075</t>
  </si>
  <si>
    <t>FCU0076</t>
  </si>
  <si>
    <t>FCU0077</t>
  </si>
  <si>
    <t>FCU0078</t>
  </si>
  <si>
    <t>FCU0079</t>
  </si>
  <si>
    <t>FCU0080</t>
  </si>
  <si>
    <t>FCU0081</t>
  </si>
  <si>
    <t>FCU0082</t>
  </si>
  <si>
    <t>FCU0083</t>
  </si>
  <si>
    <t>FCU0084</t>
  </si>
  <si>
    <t>FCU0085</t>
  </si>
  <si>
    <t>FCU0086</t>
  </si>
  <si>
    <t>FCU0087</t>
  </si>
  <si>
    <t>FCU0088</t>
  </si>
  <si>
    <t>FCU0089</t>
  </si>
  <si>
    <t>FCU0090</t>
  </si>
  <si>
    <t>FCU0091</t>
  </si>
  <si>
    <t>FCU0092</t>
  </si>
  <si>
    <t>FCU0093</t>
  </si>
  <si>
    <t>FCU0094</t>
  </si>
  <si>
    <t>FCU0095</t>
  </si>
  <si>
    <t>FCU0096</t>
  </si>
  <si>
    <t>FCU0097</t>
  </si>
  <si>
    <t>FCU0098</t>
  </si>
  <si>
    <t>FCU0099</t>
  </si>
  <si>
    <t>FCU0100</t>
  </si>
  <si>
    <t>FCU0101</t>
  </si>
  <si>
    <t>FCU0102</t>
  </si>
  <si>
    <t>FCU0103</t>
  </si>
  <si>
    <t>FCU0104</t>
  </si>
  <si>
    <t>FCU0105</t>
  </si>
  <si>
    <t>FCU0106</t>
  </si>
  <si>
    <t>FCU0107</t>
  </si>
  <si>
    <t>FCU0108</t>
  </si>
  <si>
    <t>FCU0109</t>
  </si>
  <si>
    <t>FCU0110</t>
  </si>
  <si>
    <t>FCU0111</t>
  </si>
  <si>
    <t>FCU0112</t>
  </si>
  <si>
    <t>FCU0113</t>
  </si>
  <si>
    <t>FCU0114</t>
  </si>
  <si>
    <t>FCU0115</t>
  </si>
  <si>
    <t>FCU0116</t>
  </si>
  <si>
    <t>FCU0117</t>
  </si>
  <si>
    <t>FCU0118</t>
  </si>
  <si>
    <t>FCU0119</t>
  </si>
  <si>
    <t>FCU0120</t>
  </si>
  <si>
    <t>FCU0121</t>
  </si>
  <si>
    <t>FCU0122</t>
  </si>
  <si>
    <t>FCU0123</t>
  </si>
  <si>
    <t>FCU0124</t>
  </si>
  <si>
    <t>FCU0125</t>
  </si>
  <si>
    <t>FCU0126</t>
  </si>
  <si>
    <t>FCU0127</t>
  </si>
  <si>
    <t>FCU0128</t>
  </si>
  <si>
    <t>FCU0129</t>
  </si>
  <si>
    <t>FCU0130</t>
  </si>
  <si>
    <t>FCU0131</t>
  </si>
  <si>
    <t>FCU0132</t>
  </si>
  <si>
    <t>VAV0001</t>
  </si>
  <si>
    <t>VAV</t>
  </si>
  <si>
    <t>VAV0002</t>
  </si>
  <si>
    <t>VAV0003</t>
  </si>
  <si>
    <t>VAV0004</t>
  </si>
  <si>
    <t>VAV0005</t>
  </si>
  <si>
    <t>VAV0006</t>
  </si>
  <si>
    <t>VAV0007</t>
  </si>
  <si>
    <t>VAV0008</t>
  </si>
  <si>
    <t>VAV0009</t>
  </si>
  <si>
    <t>VAV0011</t>
  </si>
  <si>
    <t>VAV0012</t>
  </si>
  <si>
    <t>VAV0013</t>
  </si>
  <si>
    <t>VAV0014</t>
  </si>
  <si>
    <t>VAV0015</t>
  </si>
  <si>
    <t>VAV0016</t>
  </si>
  <si>
    <t>VAV0017</t>
  </si>
  <si>
    <t>VAV0018</t>
  </si>
  <si>
    <t>VAV0019</t>
  </si>
  <si>
    <t>VAV0020</t>
  </si>
  <si>
    <t>VAV0021</t>
  </si>
  <si>
    <t>VAV0022</t>
  </si>
  <si>
    <t>VAV0023</t>
  </si>
  <si>
    <t>VAV0024</t>
  </si>
  <si>
    <t>VAV0025</t>
  </si>
  <si>
    <t>VAV0026</t>
  </si>
  <si>
    <t>VAV0027</t>
  </si>
  <si>
    <t>VAV0028</t>
  </si>
  <si>
    <t>VAV0029</t>
  </si>
  <si>
    <t>VAV0030</t>
  </si>
  <si>
    <t>VAV0031</t>
  </si>
  <si>
    <t>VAV0032</t>
  </si>
  <si>
    <t>VAV0033</t>
  </si>
  <si>
    <t>VAV0034</t>
  </si>
  <si>
    <t>VAV0035</t>
  </si>
  <si>
    <t>VAV0036</t>
  </si>
  <si>
    <t>VAV0037</t>
  </si>
  <si>
    <t>VAV0038</t>
  </si>
  <si>
    <t>VAV0039</t>
  </si>
  <si>
    <t>VAV0040</t>
  </si>
  <si>
    <t>VAV0041</t>
  </si>
  <si>
    <t>VAV0042</t>
  </si>
  <si>
    <t>VAV0043</t>
  </si>
  <si>
    <t>VAV0044</t>
  </si>
  <si>
    <t>VAV0045</t>
  </si>
  <si>
    <t>VAV0046</t>
  </si>
  <si>
    <t>VAV0047</t>
  </si>
  <si>
    <t>VAV0048</t>
  </si>
  <si>
    <t>VAV0049</t>
  </si>
  <si>
    <t>VAV0050</t>
  </si>
  <si>
    <t>VAV0051</t>
  </si>
  <si>
    <t>VAV0052</t>
  </si>
  <si>
    <t>VAV0053</t>
  </si>
  <si>
    <t>VAV0054</t>
  </si>
  <si>
    <t>VAV0055</t>
  </si>
  <si>
    <t>VAV0056</t>
  </si>
  <si>
    <t>VAV0057</t>
  </si>
  <si>
    <t>VAV0058</t>
  </si>
  <si>
    <t>VAV0059</t>
  </si>
  <si>
    <t>VAV0060</t>
  </si>
  <si>
    <t>VAV0061</t>
  </si>
  <si>
    <t>VAV0062</t>
  </si>
  <si>
    <t>VAV0063</t>
  </si>
  <si>
    <t>VAV0064</t>
  </si>
  <si>
    <t>VAV0065</t>
  </si>
  <si>
    <t>VAV0066</t>
  </si>
  <si>
    <t>VAV0067</t>
  </si>
  <si>
    <t>VAV0068</t>
  </si>
  <si>
    <t>VAV0069</t>
  </si>
  <si>
    <t>VAV0070</t>
  </si>
  <si>
    <t>VAV0071</t>
  </si>
  <si>
    <t>VAV0072</t>
  </si>
  <si>
    <t>VAV0073</t>
  </si>
  <si>
    <t>VAV0074</t>
  </si>
  <si>
    <t>VAV0075</t>
  </si>
  <si>
    <t>VAV0076</t>
  </si>
  <si>
    <t>VAV0077</t>
  </si>
  <si>
    <t>VAV0078</t>
  </si>
  <si>
    <t>VAV0079</t>
  </si>
  <si>
    <t>VAV0080</t>
  </si>
  <si>
    <t>VAV0081</t>
  </si>
  <si>
    <t>VAV0082</t>
  </si>
  <si>
    <t>VAV0083</t>
  </si>
  <si>
    <t>VAV0084</t>
  </si>
  <si>
    <t>VAV0085</t>
  </si>
  <si>
    <t>VAV0086</t>
  </si>
  <si>
    <t>VAV0087</t>
  </si>
  <si>
    <t>VAV0088</t>
  </si>
  <si>
    <t>VAV0089</t>
  </si>
  <si>
    <t>VAV0090</t>
  </si>
  <si>
    <t>VAV0091</t>
  </si>
  <si>
    <t>VAV0092</t>
  </si>
  <si>
    <t>VAV0093</t>
  </si>
  <si>
    <t>VAV0094</t>
  </si>
  <si>
    <t>VAV0095</t>
  </si>
  <si>
    <t>VAV0096</t>
  </si>
  <si>
    <t>VAV0097</t>
  </si>
  <si>
    <t>VAV0098</t>
  </si>
  <si>
    <t>VAV0099</t>
  </si>
  <si>
    <t>VAV0100</t>
  </si>
  <si>
    <t>VAV0101</t>
  </si>
  <si>
    <t>VAV0102</t>
  </si>
  <si>
    <t>VAV0103</t>
  </si>
  <si>
    <t>VAV0104</t>
  </si>
  <si>
    <t>VAV0105</t>
  </si>
  <si>
    <t>VAV0106</t>
  </si>
  <si>
    <t>VAV0107</t>
  </si>
  <si>
    <t>VAV0108</t>
  </si>
  <si>
    <t>VAV0109</t>
  </si>
  <si>
    <t>VAV0110</t>
  </si>
  <si>
    <t>VAV0111</t>
  </si>
  <si>
    <t>VAV0112</t>
  </si>
  <si>
    <t>VAV0113</t>
  </si>
  <si>
    <t>VAV0114</t>
  </si>
  <si>
    <t>VAV0115</t>
  </si>
  <si>
    <t>VAV0116</t>
  </si>
  <si>
    <t>VAV0117</t>
  </si>
  <si>
    <t>VAV0118</t>
  </si>
  <si>
    <t>VAV0119</t>
  </si>
  <si>
    <t>VAV0120</t>
  </si>
  <si>
    <t>VAV0121</t>
  </si>
  <si>
    <t>VAV0122</t>
  </si>
  <si>
    <t>VAV0123</t>
  </si>
  <si>
    <t>VAV0124</t>
  </si>
  <si>
    <t>VAV0125</t>
  </si>
  <si>
    <t>VAV0126</t>
  </si>
  <si>
    <t>VAV0127</t>
  </si>
  <si>
    <t>VAV0128</t>
  </si>
  <si>
    <t>VAV0129</t>
  </si>
  <si>
    <t>VAV0130</t>
  </si>
  <si>
    <t>VAV0131</t>
  </si>
  <si>
    <t>VAV0132</t>
  </si>
  <si>
    <t>VAV0133</t>
  </si>
  <si>
    <t>VAV0134</t>
  </si>
  <si>
    <t>VAV0135</t>
  </si>
  <si>
    <t>VAV0136</t>
  </si>
  <si>
    <t>VAV0137</t>
  </si>
  <si>
    <t>VAV0138</t>
  </si>
  <si>
    <t>VAV0139</t>
  </si>
  <si>
    <t>VAV0140</t>
  </si>
  <si>
    <t>VAV0141</t>
  </si>
  <si>
    <t>VAV0142</t>
  </si>
  <si>
    <t>VAV0143</t>
  </si>
  <si>
    <t>VAV0144</t>
  </si>
  <si>
    <t>VAV0145</t>
  </si>
  <si>
    <t>VAV0146</t>
  </si>
  <si>
    <t>VAV0147</t>
  </si>
  <si>
    <t>VAV0148</t>
  </si>
  <si>
    <t>VAV0149</t>
  </si>
  <si>
    <t>VAV0150</t>
  </si>
  <si>
    <t>VAV0151</t>
  </si>
  <si>
    <t>VAV0152</t>
  </si>
  <si>
    <t>VAV0153</t>
  </si>
  <si>
    <t>VAV0154</t>
  </si>
  <si>
    <t>VAV0155</t>
  </si>
  <si>
    <t>VAV0156</t>
  </si>
  <si>
    <t>VAV0157</t>
  </si>
  <si>
    <t>VAV0158</t>
  </si>
  <si>
    <t>VAV0159</t>
  </si>
  <si>
    <t>VAV0160</t>
  </si>
  <si>
    <t>VAV0161</t>
  </si>
  <si>
    <t>VAV0162</t>
  </si>
  <si>
    <t>VAV0163</t>
  </si>
  <si>
    <t>VAV0164</t>
  </si>
  <si>
    <t>VAV0165</t>
  </si>
  <si>
    <t>VAV0166</t>
  </si>
  <si>
    <t>VAV0167</t>
  </si>
  <si>
    <t>VAV0168</t>
  </si>
  <si>
    <t>VAV0169</t>
  </si>
  <si>
    <t>VAV0170</t>
  </si>
  <si>
    <t>VAV0171</t>
  </si>
  <si>
    <t>VAV0172</t>
  </si>
  <si>
    <t>VAV0173</t>
  </si>
  <si>
    <t>VAV0174</t>
  </si>
  <si>
    <t>VAV0175</t>
  </si>
  <si>
    <t>VAV0176</t>
  </si>
  <si>
    <t>VAV0177</t>
  </si>
  <si>
    <t>VAV0178</t>
  </si>
  <si>
    <t>VAV0179</t>
  </si>
  <si>
    <t>VAV0180</t>
  </si>
  <si>
    <t>VAV0181</t>
  </si>
  <si>
    <t>VAV0182</t>
  </si>
  <si>
    <t>VAV0183</t>
  </si>
  <si>
    <t>VAV0184</t>
  </si>
  <si>
    <t>VAV0185</t>
  </si>
  <si>
    <t>VAV0186</t>
  </si>
  <si>
    <t>VAV0187</t>
  </si>
  <si>
    <t>VAV0188</t>
  </si>
  <si>
    <t>VAV0189</t>
  </si>
  <si>
    <t>VAV0190</t>
  </si>
  <si>
    <t>VAV0191</t>
  </si>
  <si>
    <t>VAV0192</t>
  </si>
  <si>
    <t>VAV0193</t>
  </si>
  <si>
    <t>VAV0194</t>
  </si>
  <si>
    <t>VAV0195</t>
  </si>
  <si>
    <t>VAV0196</t>
  </si>
  <si>
    <t>VAV0197</t>
  </si>
  <si>
    <t>VAV0198</t>
  </si>
  <si>
    <t>VAV0199</t>
  </si>
  <si>
    <t>VAV0200</t>
  </si>
  <si>
    <t>VAV0201</t>
  </si>
  <si>
    <t>VAV0202</t>
  </si>
  <si>
    <t>VAV0203</t>
  </si>
  <si>
    <t>VAV0204</t>
  </si>
  <si>
    <t>VAV0205</t>
  </si>
  <si>
    <t>VAV0206</t>
  </si>
  <si>
    <t>VAV0207</t>
  </si>
  <si>
    <t>VAV0208</t>
  </si>
  <si>
    <t>VAV0209</t>
  </si>
  <si>
    <t>VAV0210</t>
  </si>
  <si>
    <t>VAV0211</t>
  </si>
  <si>
    <t>VAV0212</t>
  </si>
  <si>
    <t>VAV0213</t>
  </si>
  <si>
    <t>VAV0214</t>
  </si>
  <si>
    <t>VAV0215</t>
  </si>
  <si>
    <t>VAV0216</t>
  </si>
  <si>
    <t>VAV0217</t>
  </si>
  <si>
    <t>VAV0218</t>
  </si>
  <si>
    <t>VAV0219</t>
  </si>
  <si>
    <t>VAV0220</t>
  </si>
  <si>
    <t>VAV0221</t>
  </si>
  <si>
    <t>VAV0222</t>
  </si>
  <si>
    <t>VAV0223</t>
  </si>
  <si>
    <t>VAV0224</t>
  </si>
  <si>
    <t>VAV0225</t>
  </si>
  <si>
    <t>VAV0226</t>
  </si>
  <si>
    <t>VAV0227</t>
  </si>
  <si>
    <t>VAV0228</t>
  </si>
  <si>
    <t>VAV0229</t>
  </si>
  <si>
    <t>VAV0230</t>
  </si>
  <si>
    <t>VAV0231</t>
  </si>
  <si>
    <t>VAV0232</t>
  </si>
  <si>
    <t>VAV0233</t>
  </si>
  <si>
    <t>VAV0234</t>
  </si>
  <si>
    <t>VAV0235</t>
  </si>
  <si>
    <t>VAV0236</t>
  </si>
  <si>
    <t>VAV0237</t>
  </si>
  <si>
    <t>VAV0238</t>
  </si>
  <si>
    <t>VAV0239</t>
  </si>
  <si>
    <t>VAV0240</t>
  </si>
  <si>
    <t>VAV0241</t>
  </si>
  <si>
    <t>VAV0242</t>
  </si>
  <si>
    <t>VAV0243</t>
  </si>
  <si>
    <t>VAV0244</t>
  </si>
  <si>
    <t>VAV0245</t>
  </si>
  <si>
    <t>VAV0246</t>
  </si>
  <si>
    <t>VAV0247</t>
  </si>
  <si>
    <t>VAV0248</t>
  </si>
  <si>
    <t>VAV0249</t>
  </si>
  <si>
    <t>VAV0250</t>
  </si>
  <si>
    <t>VAV0251</t>
  </si>
  <si>
    <t>VAV0252</t>
  </si>
  <si>
    <t>VAV0253</t>
  </si>
  <si>
    <t>VAV0254</t>
  </si>
  <si>
    <t>VAV0255</t>
  </si>
  <si>
    <t>VAV0256</t>
  </si>
  <si>
    <t>VAV0257</t>
  </si>
  <si>
    <t>VAV0258</t>
  </si>
  <si>
    <t>VAV0259</t>
  </si>
  <si>
    <t>VAV0260</t>
  </si>
  <si>
    <t>VAV0261</t>
  </si>
  <si>
    <t>VAV0262</t>
  </si>
  <si>
    <t>VAV0263</t>
  </si>
  <si>
    <t>VAV0264</t>
  </si>
  <si>
    <t>VAV0265</t>
  </si>
  <si>
    <t>VAV0266</t>
  </si>
  <si>
    <t>VAV0267</t>
  </si>
  <si>
    <t>VAV0268</t>
  </si>
  <si>
    <t>VAV0269</t>
  </si>
  <si>
    <t>VAV0270</t>
  </si>
  <si>
    <t>VAV0271</t>
  </si>
  <si>
    <t>VAV0272</t>
  </si>
  <si>
    <t>VAV0273</t>
  </si>
  <si>
    <t>VAV0274</t>
  </si>
  <si>
    <t>VAV0275</t>
  </si>
  <si>
    <t>VAV0276</t>
  </si>
  <si>
    <t>VAV0277</t>
  </si>
  <si>
    <t>VAV0278</t>
  </si>
  <si>
    <t>VAV0279</t>
  </si>
  <si>
    <t>VAV0280</t>
  </si>
  <si>
    <t>VAV0281</t>
  </si>
  <si>
    <t>VAV0282</t>
  </si>
  <si>
    <t>VAV0283</t>
  </si>
  <si>
    <t>VAV0284</t>
  </si>
  <si>
    <t>VAV0285</t>
  </si>
  <si>
    <t>VAV0286</t>
  </si>
  <si>
    <t>VAV0287</t>
  </si>
  <si>
    <t>VAV0288</t>
  </si>
  <si>
    <t>VAV0289</t>
  </si>
  <si>
    <t>VAV0290</t>
  </si>
  <si>
    <t>VAV0291</t>
  </si>
  <si>
    <t>VAV0292</t>
  </si>
  <si>
    <t>VAV0293</t>
  </si>
  <si>
    <t>VAV0294</t>
  </si>
  <si>
    <t>VAV0295</t>
  </si>
  <si>
    <t>VAV0296</t>
  </si>
  <si>
    <t>VAV0297</t>
  </si>
  <si>
    <t>VAV0298</t>
  </si>
  <si>
    <t>VAV0299</t>
  </si>
  <si>
    <t>VAV0300</t>
  </si>
  <si>
    <t>VAV0301</t>
  </si>
  <si>
    <t>VAV0302</t>
  </si>
  <si>
    <t>VAV0303</t>
  </si>
  <si>
    <t>VAV0304</t>
  </si>
  <si>
    <t>VAV0305</t>
  </si>
  <si>
    <t>VAV0306</t>
  </si>
  <si>
    <t>VAV0307</t>
  </si>
  <si>
    <t>VAV0308</t>
  </si>
  <si>
    <t>VAV0309</t>
  </si>
  <si>
    <t>VAV0310</t>
  </si>
  <si>
    <t>VAV0311</t>
  </si>
  <si>
    <t>VAV0312</t>
  </si>
  <si>
    <t>VAV0313</t>
  </si>
  <si>
    <t>VAV0314</t>
  </si>
  <si>
    <t>VAV0315</t>
  </si>
  <si>
    <t>VAV0316</t>
  </si>
  <si>
    <t>VAV0317</t>
  </si>
  <si>
    <t>VAV0318</t>
  </si>
  <si>
    <t>VAV0319</t>
  </si>
  <si>
    <t>VAV0320</t>
  </si>
  <si>
    <t>VAV0321</t>
  </si>
  <si>
    <t>VAV0322</t>
  </si>
  <si>
    <t>VAV0323</t>
  </si>
  <si>
    <t>VAV0324</t>
  </si>
  <si>
    <t>VAV0325</t>
  </si>
  <si>
    <t>VAV0326</t>
  </si>
  <si>
    <t>VAV0327</t>
  </si>
  <si>
    <t>VAV0328</t>
  </si>
  <si>
    <t>VAV0329</t>
  </si>
  <si>
    <t>VAV0330</t>
  </si>
  <si>
    <t>VAV0331</t>
  </si>
  <si>
    <t>VAV0332</t>
  </si>
  <si>
    <t>VAV0333</t>
  </si>
  <si>
    <t>VAV0334</t>
  </si>
  <si>
    <t>VAV0335</t>
  </si>
  <si>
    <t>VAV0336</t>
  </si>
  <si>
    <t>VAV0337</t>
  </si>
  <si>
    <t>VAV0338</t>
  </si>
  <si>
    <t>VAV0339</t>
  </si>
  <si>
    <t>VAV0340</t>
  </si>
  <si>
    <t>VAV0341</t>
  </si>
  <si>
    <t>VAV0342</t>
  </si>
  <si>
    <t>VAV0343</t>
  </si>
  <si>
    <t>VAV0344</t>
  </si>
  <si>
    <t>VAV0345</t>
  </si>
  <si>
    <t>VAV0346</t>
  </si>
  <si>
    <t>VAV0347</t>
  </si>
  <si>
    <t>VAV0348</t>
  </si>
  <si>
    <t>VAV0349</t>
  </si>
  <si>
    <t>VAV0350</t>
  </si>
  <si>
    <t>VAV0351</t>
  </si>
  <si>
    <t>VAV0352</t>
  </si>
  <si>
    <t>VAV0353</t>
  </si>
  <si>
    <t>VAV0354</t>
  </si>
  <si>
    <t>VAV0355</t>
  </si>
  <si>
    <t>VAV0356</t>
  </si>
  <si>
    <t>VAV0357</t>
  </si>
  <si>
    <t>VAV0358</t>
  </si>
  <si>
    <t>VAV0359</t>
  </si>
  <si>
    <t>VAV0360</t>
  </si>
  <si>
    <t>VAV0361</t>
  </si>
  <si>
    <t>VAV0362</t>
  </si>
  <si>
    <t>VAV0363</t>
  </si>
  <si>
    <t>VAV0364</t>
  </si>
  <si>
    <t>VAV0365</t>
  </si>
  <si>
    <t>VAV0366</t>
  </si>
  <si>
    <t>VAV0367</t>
  </si>
  <si>
    <t>VAV0368</t>
  </si>
  <si>
    <t>VAV0369</t>
  </si>
  <si>
    <t>VAV0370</t>
  </si>
  <si>
    <t>VAV0371</t>
  </si>
  <si>
    <t>VAV0372</t>
  </si>
  <si>
    <t>VAV0373</t>
  </si>
  <si>
    <t>VAV0374</t>
  </si>
  <si>
    <t>VAV0375</t>
  </si>
  <si>
    <t>VAV0376</t>
  </si>
  <si>
    <t>VAV0377</t>
  </si>
  <si>
    <t>VAV0378</t>
  </si>
  <si>
    <t>VAV0379</t>
  </si>
  <si>
    <t>VAV0380</t>
  </si>
  <si>
    <t>VAV0381</t>
  </si>
  <si>
    <t>VAV0382</t>
  </si>
  <si>
    <t>VAV0383</t>
  </si>
  <si>
    <t>VAV0384</t>
  </si>
  <si>
    <t>VAV0385</t>
  </si>
  <si>
    <t>VAV0386</t>
  </si>
  <si>
    <t>VAV0387</t>
  </si>
  <si>
    <t>VAV0388</t>
  </si>
  <si>
    <t>VAV0389</t>
  </si>
  <si>
    <t>VAV0390</t>
  </si>
  <si>
    <t>VAV0391</t>
  </si>
  <si>
    <t>VAV0392</t>
  </si>
  <si>
    <t>VAV0393</t>
  </si>
  <si>
    <t>VAV0394</t>
  </si>
  <si>
    <t>VAV0395</t>
  </si>
  <si>
    <t>VAV0396</t>
  </si>
  <si>
    <t>VAV0397</t>
  </si>
  <si>
    <t>VAV0398</t>
  </si>
  <si>
    <t>VAV0399</t>
  </si>
  <si>
    <t>VAV0400</t>
  </si>
  <si>
    <t>VAV0401</t>
  </si>
  <si>
    <t>VAV0402</t>
  </si>
  <si>
    <t>VAV0403</t>
  </si>
  <si>
    <t>VAV0404</t>
  </si>
  <si>
    <t>VAV0405</t>
  </si>
  <si>
    <t>VAV0406</t>
  </si>
  <si>
    <t>VAV0407</t>
  </si>
  <si>
    <t>VAV0408</t>
  </si>
  <si>
    <t>VAV0409</t>
  </si>
  <si>
    <t>VAV0410</t>
  </si>
  <si>
    <t>VAV0411</t>
  </si>
  <si>
    <t>VAV0412</t>
  </si>
  <si>
    <t>VAV0413</t>
  </si>
  <si>
    <t>VAV0414</t>
  </si>
  <si>
    <t>VAV0415</t>
  </si>
  <si>
    <t>VAV0416</t>
  </si>
  <si>
    <t>VAV0417</t>
  </si>
  <si>
    <t>VAV0418</t>
  </si>
  <si>
    <t>VAV0419</t>
  </si>
  <si>
    <t>VAV0420</t>
  </si>
  <si>
    <t>VAV0421</t>
  </si>
  <si>
    <t>VAV0422</t>
  </si>
  <si>
    <t>VAV0423</t>
  </si>
  <si>
    <t>VAV0424</t>
  </si>
  <si>
    <t>VAV0425</t>
  </si>
  <si>
    <t>VAV0426</t>
  </si>
  <si>
    <t>VAV0427</t>
  </si>
  <si>
    <t>VAV0428</t>
  </si>
  <si>
    <t>VAV0429</t>
  </si>
  <si>
    <t>VAV0430</t>
  </si>
  <si>
    <t>VAV0431</t>
  </si>
  <si>
    <t>VAV0432</t>
  </si>
  <si>
    <t>VAV0433</t>
  </si>
  <si>
    <t>VAV0434</t>
  </si>
  <si>
    <t>VAV0435</t>
  </si>
  <si>
    <t>VAV0436</t>
  </si>
  <si>
    <t>VAV0437</t>
  </si>
  <si>
    <t>VAV0438</t>
  </si>
  <si>
    <t>VAV0439</t>
  </si>
  <si>
    <t>VAV0440</t>
  </si>
  <si>
    <t>VAV0441</t>
  </si>
  <si>
    <t>VAV0442</t>
  </si>
  <si>
    <t>VAV0443</t>
  </si>
  <si>
    <t>VAV0444</t>
  </si>
  <si>
    <t>VAV0445</t>
  </si>
  <si>
    <t>VAV0446</t>
  </si>
  <si>
    <t>VAV0447</t>
  </si>
  <si>
    <t>VAV0448</t>
  </si>
  <si>
    <t>VAV0449</t>
  </si>
  <si>
    <t>VAV0450</t>
  </si>
  <si>
    <t>VAV0451</t>
  </si>
  <si>
    <t>VAV0452</t>
  </si>
  <si>
    <t>VAV0453</t>
  </si>
  <si>
    <t>VAV0454</t>
  </si>
  <si>
    <t>VAV0455</t>
  </si>
  <si>
    <t>VAV0456</t>
  </si>
  <si>
    <t>VAV0457</t>
  </si>
  <si>
    <t>VAV0458</t>
  </si>
  <si>
    <t>VAV0459</t>
  </si>
  <si>
    <t>VAV0460</t>
  </si>
  <si>
    <t>VAV0461</t>
  </si>
  <si>
    <t>VAV0462</t>
  </si>
  <si>
    <t>VAV0463</t>
  </si>
  <si>
    <t>VAV0464</t>
  </si>
  <si>
    <t>VAV0465</t>
  </si>
  <si>
    <t>VAV0466</t>
  </si>
  <si>
    <t>VAV0467</t>
  </si>
  <si>
    <t>VAV0468</t>
  </si>
  <si>
    <t>VAV0469</t>
  </si>
  <si>
    <t>VAV0470</t>
  </si>
  <si>
    <t>VAV0471</t>
  </si>
  <si>
    <t>VAV0472</t>
  </si>
  <si>
    <t>VAV0473</t>
  </si>
  <si>
    <t>VAV0474</t>
  </si>
  <si>
    <t>VAV0475</t>
  </si>
  <si>
    <t>VAV0476</t>
  </si>
  <si>
    <t>VAV0477</t>
  </si>
  <si>
    <t>VAV0478</t>
  </si>
  <si>
    <t>VAV0479</t>
  </si>
  <si>
    <t>VAV0480</t>
  </si>
  <si>
    <t>VAV0481</t>
  </si>
  <si>
    <t>VAV0482</t>
  </si>
  <si>
    <t>VAV0483</t>
  </si>
  <si>
    <t>VAV0484</t>
  </si>
  <si>
    <t>VAV0485</t>
  </si>
  <si>
    <t>VAV0486</t>
  </si>
  <si>
    <t>VAV0487</t>
  </si>
  <si>
    <t>VAV0488</t>
  </si>
  <si>
    <t>VAV0489</t>
  </si>
  <si>
    <t>VAV0490</t>
  </si>
  <si>
    <t>VAV0491</t>
  </si>
  <si>
    <t>VAV0492</t>
  </si>
  <si>
    <t>VAV0493</t>
  </si>
  <si>
    <t>VAV0494</t>
  </si>
  <si>
    <t>VAV0495</t>
  </si>
  <si>
    <t>VAV0496</t>
  </si>
  <si>
    <t>VAV0497</t>
  </si>
  <si>
    <t>VAV0498</t>
  </si>
  <si>
    <t>VAV0499</t>
  </si>
  <si>
    <t>VAV0500</t>
  </si>
  <si>
    <t>VAV0501</t>
  </si>
  <si>
    <t>VAV0502</t>
  </si>
  <si>
    <t>VAV0503</t>
  </si>
  <si>
    <t>VAV0504</t>
  </si>
  <si>
    <t>VAV0505</t>
  </si>
  <si>
    <t>VAV0506</t>
  </si>
  <si>
    <t>VAV0507</t>
  </si>
  <si>
    <t>VAV0508</t>
  </si>
  <si>
    <t>VAV0509</t>
  </si>
  <si>
    <t>VAV0510</t>
  </si>
  <si>
    <t>VAV0511</t>
  </si>
  <si>
    <t>VAV0512</t>
  </si>
  <si>
    <t>VAV0513</t>
  </si>
  <si>
    <t>VAV0514</t>
  </si>
  <si>
    <t>VAV0515</t>
  </si>
  <si>
    <t>VAV0516</t>
  </si>
  <si>
    <t>VAV0517</t>
  </si>
  <si>
    <t>VAV0518</t>
  </si>
  <si>
    <t>VAV0519</t>
  </si>
  <si>
    <t>VAV0520</t>
  </si>
  <si>
    <t>VAV0521</t>
  </si>
  <si>
    <t>VAV0522</t>
  </si>
  <si>
    <t>VAV0523</t>
  </si>
  <si>
    <t>VAV0524</t>
  </si>
  <si>
    <t>VAV0525</t>
  </si>
  <si>
    <t>VAV0526</t>
  </si>
  <si>
    <t>VAV0527</t>
  </si>
  <si>
    <t>VAV0528</t>
  </si>
  <si>
    <t>VAV0529</t>
  </si>
  <si>
    <t>VAV0530</t>
  </si>
  <si>
    <t>VAV0531</t>
  </si>
  <si>
    <t>VAV0532</t>
  </si>
  <si>
    <t>VAV0533</t>
  </si>
  <si>
    <t>VAV0534</t>
  </si>
  <si>
    <t>VAV0535</t>
  </si>
  <si>
    <t>VAV0536</t>
  </si>
  <si>
    <t>VAV0537</t>
  </si>
  <si>
    <t>VAV0538</t>
  </si>
  <si>
    <t>VAV0539</t>
  </si>
  <si>
    <t>VAV0540</t>
  </si>
  <si>
    <t>VAV0541</t>
  </si>
  <si>
    <t>VAV0542</t>
  </si>
  <si>
    <t>VAV0543</t>
  </si>
  <si>
    <t>VAV0544</t>
  </si>
  <si>
    <t>VAV0545</t>
  </si>
  <si>
    <t>VAV0546</t>
  </si>
  <si>
    <t>VAV0547</t>
  </si>
  <si>
    <t>VAV0548</t>
  </si>
  <si>
    <t>VAV0549</t>
  </si>
  <si>
    <t>VAV0550</t>
  </si>
  <si>
    <t>VAV0551</t>
  </si>
  <si>
    <t>VAV0552</t>
  </si>
  <si>
    <t>VAV0553</t>
  </si>
  <si>
    <t>VAV0554</t>
  </si>
  <si>
    <t>VAV0555</t>
  </si>
  <si>
    <t>VAV0556</t>
  </si>
  <si>
    <t>VAV0557</t>
  </si>
  <si>
    <t>VAV0558</t>
  </si>
  <si>
    <t>VAV0559</t>
  </si>
  <si>
    <t>VAV0560</t>
  </si>
  <si>
    <t>VAV0561</t>
  </si>
  <si>
    <t>VAV0562</t>
  </si>
  <si>
    <t>VAV0564</t>
  </si>
  <si>
    <t>VAV0565</t>
  </si>
  <si>
    <t>VAV0567</t>
  </si>
  <si>
    <t>VAV0568</t>
  </si>
  <si>
    <t>VAV0570</t>
  </si>
  <si>
    <t>VAV0571</t>
  </si>
  <si>
    <t>VAV0573</t>
  </si>
  <si>
    <t>VAV0574</t>
  </si>
  <si>
    <t>VAV0575</t>
  </si>
  <si>
    <t>VAV0576</t>
  </si>
  <si>
    <t>VAV0577</t>
  </si>
  <si>
    <t>VAV0578</t>
  </si>
  <si>
    <t>VAV0579</t>
  </si>
  <si>
    <t>VAV0580</t>
  </si>
  <si>
    <t>VAV0581</t>
  </si>
  <si>
    <t>VAV0582</t>
  </si>
  <si>
    <t>VAV0583</t>
  </si>
  <si>
    <t>VAV0584</t>
  </si>
  <si>
    <t>VAV0585</t>
  </si>
  <si>
    <t>VAV0586</t>
  </si>
  <si>
    <t>VAV0587</t>
  </si>
  <si>
    <t>VAV0588</t>
  </si>
  <si>
    <t>VAV0589</t>
  </si>
  <si>
    <t>VAV0590</t>
  </si>
  <si>
    <t>VAV0591</t>
  </si>
  <si>
    <t>VAV0592</t>
  </si>
  <si>
    <t>VAV0593</t>
  </si>
  <si>
    <t>VAV0594</t>
  </si>
  <si>
    <t>VAV0595</t>
  </si>
  <si>
    <t>VAV0596</t>
  </si>
  <si>
    <t>VAV0597</t>
  </si>
  <si>
    <t>VAV0598</t>
  </si>
  <si>
    <t>VAV0599</t>
  </si>
  <si>
    <t>VAV0600</t>
  </si>
  <si>
    <t>VAV0601</t>
  </si>
  <si>
    <t>VAV0602</t>
  </si>
  <si>
    <t>VAV0603</t>
  </si>
  <si>
    <t>VAV0604</t>
  </si>
  <si>
    <t>VAV0605</t>
  </si>
  <si>
    <t>VAV0606</t>
  </si>
  <si>
    <t>VAV0607</t>
  </si>
  <si>
    <t>QNL</t>
  </si>
  <si>
    <t>AHUB001</t>
  </si>
  <si>
    <t>Basement Level Zone 4 Plant Room 4 B.220</t>
  </si>
  <si>
    <t>AHUB002</t>
  </si>
  <si>
    <t>Basement Level Zone 1 Plant Room 1 B.063</t>
  </si>
  <si>
    <t>AHUB003</t>
  </si>
  <si>
    <t>Basement Level Zone 1 Plant Room 2 B.070</t>
  </si>
  <si>
    <t>AHUB004</t>
  </si>
  <si>
    <t>Basement Level Zone 2 Plant Room 3 B.110</t>
  </si>
  <si>
    <t>AHUB005</t>
  </si>
  <si>
    <t>AHUB006</t>
  </si>
  <si>
    <t>AHUB007</t>
  </si>
  <si>
    <t>AHUB008</t>
  </si>
  <si>
    <t>AHUB009</t>
  </si>
  <si>
    <t>AHUB010</t>
  </si>
  <si>
    <t>AHUB011</t>
  </si>
  <si>
    <t>AHUB012</t>
  </si>
  <si>
    <t>AHUB013</t>
  </si>
  <si>
    <t>AHUB014</t>
  </si>
  <si>
    <t>AHUB015</t>
  </si>
  <si>
    <t>FCU_1F_001</t>
  </si>
  <si>
    <t>FCU_1F_002</t>
  </si>
  <si>
    <t>ICT Room 02 L1.030</t>
  </si>
  <si>
    <t>FCU_1F_003</t>
  </si>
  <si>
    <t>IDF Room 02 L1.099</t>
  </si>
  <si>
    <t>FCU_1F_004</t>
  </si>
  <si>
    <t>FCU_1F_005</t>
  </si>
  <si>
    <t>FCU_1F_006</t>
  </si>
  <si>
    <t>FCU_1F_007</t>
  </si>
  <si>
    <t>FCU_1F_008</t>
  </si>
  <si>
    <t>FCU_1F_009</t>
  </si>
  <si>
    <t>FCU_1F_010</t>
  </si>
  <si>
    <t>FCU_1F_011</t>
  </si>
  <si>
    <t>FCU_1F_012</t>
  </si>
  <si>
    <t>FCU_1F_013</t>
  </si>
  <si>
    <t>FCU_1F_014</t>
  </si>
  <si>
    <t>FCU_1F_015</t>
  </si>
  <si>
    <t>FCU_1F_016</t>
  </si>
  <si>
    <t>FCU_1F_017</t>
  </si>
  <si>
    <t>FCU_1F_018</t>
  </si>
  <si>
    <t>FCU_1F_019</t>
  </si>
  <si>
    <t>FCU_1F_020</t>
  </si>
  <si>
    <t>FCU_1F_021</t>
  </si>
  <si>
    <t>FCU_1F_022</t>
  </si>
  <si>
    <t>FCU_1F_023</t>
  </si>
  <si>
    <t>FCU_1F_024</t>
  </si>
  <si>
    <t>FCU_1F_025</t>
  </si>
  <si>
    <t>FCU_1F_026</t>
  </si>
  <si>
    <t>FCU_1F_027</t>
  </si>
  <si>
    <t>FCU_1F_028</t>
  </si>
  <si>
    <t>FCU_1F_029</t>
  </si>
  <si>
    <t>FCU_1F_030</t>
  </si>
  <si>
    <t>FCU_1F_031</t>
  </si>
  <si>
    <t>FCU_1F_032</t>
  </si>
  <si>
    <t>FCU_1F_033</t>
  </si>
  <si>
    <t>FCU_1F_034</t>
  </si>
  <si>
    <t>FCU_1F_035</t>
  </si>
  <si>
    <t>FCU_1F_036</t>
  </si>
  <si>
    <t>FCU_1F_037</t>
  </si>
  <si>
    <t>FCU_1F_038</t>
  </si>
  <si>
    <t>FCU_1F_039</t>
  </si>
  <si>
    <t>FCU_1F_040</t>
  </si>
  <si>
    <t>FCU_1F_041</t>
  </si>
  <si>
    <t>FCU_1F_042</t>
  </si>
  <si>
    <t>FCU_1F_043</t>
  </si>
  <si>
    <t>FCU_1F_044</t>
  </si>
  <si>
    <t>FCU_1F_045</t>
  </si>
  <si>
    <t>FCU_1F_046</t>
  </si>
  <si>
    <t>FCU_1F_047</t>
  </si>
  <si>
    <t>FCU_1F_048</t>
  </si>
  <si>
    <t>FCU_1F_049</t>
  </si>
  <si>
    <t>FCU_1F_050</t>
  </si>
  <si>
    <t>FCU_1F_051</t>
  </si>
  <si>
    <t>FCU_1F_052</t>
  </si>
  <si>
    <t>FCU_1F_053</t>
  </si>
  <si>
    <t>FCU_1F_054</t>
  </si>
  <si>
    <t>FCU_1F_055</t>
  </si>
  <si>
    <t>VESTIBULE L1</t>
  </si>
  <si>
    <t>FCU_1F_056</t>
  </si>
  <si>
    <t>External Book Drop L1</t>
  </si>
  <si>
    <t>FCU_1F_057</t>
  </si>
  <si>
    <t>FCU_1F_058</t>
  </si>
  <si>
    <t>FCU_1F_059</t>
  </si>
  <si>
    <t>Restaurant L1.150</t>
  </si>
  <si>
    <t>FCU_1F_060</t>
  </si>
  <si>
    <t>FCU_1F_061</t>
  </si>
  <si>
    <t>FCU_1F_062</t>
  </si>
  <si>
    <t>FCU_1F_063</t>
  </si>
  <si>
    <t>FCU_1F_064</t>
  </si>
  <si>
    <t>FCU_1F_065</t>
  </si>
  <si>
    <t>FCU_2F_001</t>
  </si>
  <si>
    <t>FCU_2F_002</t>
  </si>
  <si>
    <t>FCU_2F_003</t>
  </si>
  <si>
    <t>FCU_2F_004</t>
  </si>
  <si>
    <t>FCU_2F_005</t>
  </si>
  <si>
    <t>MDF Room L2.009</t>
  </si>
  <si>
    <t>FCU_2F_034</t>
  </si>
  <si>
    <t>Auditorium High Levlel in Ceiling Void L2.087</t>
  </si>
  <si>
    <t>FCU_2F_035</t>
  </si>
  <si>
    <t>FCU_2F_036</t>
  </si>
  <si>
    <t>FCU_2F_037</t>
  </si>
  <si>
    <t>FCU_2F_038</t>
  </si>
  <si>
    <t>Auditorium Booths L2.087</t>
  </si>
  <si>
    <t>FCU_2F_039</t>
  </si>
  <si>
    <t>FCU_2F_040</t>
  </si>
  <si>
    <t>FCU_2F_041</t>
  </si>
  <si>
    <t>Bridge Raised Floor L2.088</t>
  </si>
  <si>
    <t>FCU_2F_042</t>
  </si>
  <si>
    <t>STUDY AREA L2.088</t>
  </si>
  <si>
    <t>FCU_2F_043</t>
  </si>
  <si>
    <t>Bridge L2.088</t>
  </si>
  <si>
    <t>FCU_2F_044</t>
  </si>
  <si>
    <t>FCU_2F_045</t>
  </si>
  <si>
    <t>Group Study Room L2.081</t>
  </si>
  <si>
    <t>FCU_2F_046</t>
  </si>
  <si>
    <t>Group Study Room L2.076</t>
  </si>
  <si>
    <t>FCU_2F_047</t>
  </si>
  <si>
    <t>FCU_2F_048</t>
  </si>
  <si>
    <t>INDIVIDUAL STUDY ROOM L2.070</t>
  </si>
  <si>
    <t>FCU_2F_049</t>
  </si>
  <si>
    <t>FCU_2F_050</t>
  </si>
  <si>
    <t>FCU_2F_051</t>
  </si>
  <si>
    <t>INDIVIDUAL STUDY ROOM L2.073</t>
  </si>
  <si>
    <t>FCU_2F_052</t>
  </si>
  <si>
    <t>FCU_2F_053</t>
  </si>
  <si>
    <t>FCU_2F_054</t>
  </si>
  <si>
    <t>FCU_2F_055</t>
  </si>
  <si>
    <t>FCU_2F_056</t>
  </si>
  <si>
    <t>FCU_2F_057</t>
  </si>
  <si>
    <t>North East Core T1.021</t>
  </si>
  <si>
    <t>FCU_2F_058</t>
  </si>
  <si>
    <t>FCU_2F_059</t>
  </si>
  <si>
    <t>FCU_2F_060</t>
  </si>
  <si>
    <t>North West Core T1.020</t>
  </si>
  <si>
    <t>FCU_2F_061</t>
  </si>
  <si>
    <t>FCU_2F_062</t>
  </si>
  <si>
    <t>FCU_B_001</t>
  </si>
  <si>
    <t>IDF ROOM B.155</t>
  </si>
  <si>
    <t>FCU_B_002</t>
  </si>
  <si>
    <t>FUMIGATION B.085</t>
  </si>
  <si>
    <t>FCU_B_003</t>
  </si>
  <si>
    <t>IDF (Corridor) B.062</t>
  </si>
  <si>
    <t>FCU_B_004</t>
  </si>
  <si>
    <t>IDF FM Storage B.215</t>
  </si>
  <si>
    <t>FCU_B_005</t>
  </si>
  <si>
    <t>HL Plant Room B.140</t>
  </si>
  <si>
    <t>FCU_B_006</t>
  </si>
  <si>
    <t>Fire Command ROOM  B.071</t>
  </si>
  <si>
    <t>FCU_B_007</t>
  </si>
  <si>
    <t>Sprinklers Pumps ROOM B.072</t>
  </si>
  <si>
    <t>FCU_B_008</t>
  </si>
  <si>
    <t>GAS SUPPRESSION ROOM B.087</t>
  </si>
  <si>
    <t>FCU_B_009</t>
  </si>
  <si>
    <t>PEOPLE MOVER ROOM B.088</t>
  </si>
  <si>
    <t>FCU_B_010</t>
  </si>
  <si>
    <t>Security Contol Room B.105</t>
  </si>
  <si>
    <t>FCU_B_011</t>
  </si>
  <si>
    <t>Plant Room 1 B.063</t>
  </si>
  <si>
    <t>FCU_B_012</t>
  </si>
  <si>
    <t>FCU_B_013</t>
  </si>
  <si>
    <t>Plant Room 2 B.070</t>
  </si>
  <si>
    <t>FCU_B_014</t>
  </si>
  <si>
    <t>FCU_B_015</t>
  </si>
  <si>
    <t>Plant Room 3 B.110</t>
  </si>
  <si>
    <t>FCU_B_016</t>
  </si>
  <si>
    <t>FCU_B_017</t>
  </si>
  <si>
    <t>FCU_B_018</t>
  </si>
  <si>
    <t>Plant Room 4 B.220</t>
  </si>
  <si>
    <t>FCU_B_019</t>
  </si>
  <si>
    <t>FCU_B_020</t>
  </si>
  <si>
    <t>FCU_B_021</t>
  </si>
  <si>
    <t>FCU_B_022</t>
  </si>
  <si>
    <t>FM Storage B.210</t>
  </si>
  <si>
    <t>FCU_B_023</t>
  </si>
  <si>
    <t>FCU_B_024</t>
  </si>
  <si>
    <t>PH Plant ROOM B.211</t>
  </si>
  <si>
    <t>FCU_B_025</t>
  </si>
  <si>
    <t>MISTING PUMP ROOM B.212</t>
  </si>
  <si>
    <t>FCU_B_026</t>
  </si>
  <si>
    <t>FCU_B_027</t>
  </si>
  <si>
    <t>Sorting Shelving Room B.121</t>
  </si>
  <si>
    <t>FCU_B_028</t>
  </si>
  <si>
    <t>FCU_B_029</t>
  </si>
  <si>
    <t xml:space="preserve"> B.145.05</t>
  </si>
  <si>
    <t>FCU_B_030</t>
  </si>
  <si>
    <t>FCU_B_031</t>
  </si>
  <si>
    <t>IDF ROOM B.215A</t>
  </si>
  <si>
    <t>FCU_B_032</t>
  </si>
  <si>
    <t>Shell Space-Special Collection B.132</t>
  </si>
  <si>
    <t>FCU_B_033</t>
  </si>
  <si>
    <t>FCU_B_034</t>
  </si>
  <si>
    <t>FCU_B_035</t>
  </si>
  <si>
    <t>FCU_B_036</t>
  </si>
  <si>
    <t>IT Office B.122</t>
  </si>
  <si>
    <t>FCU_B_037</t>
  </si>
  <si>
    <t>DIGITALIZATION SERVER SPACE B.215A</t>
  </si>
  <si>
    <t>FCU_B_038</t>
  </si>
  <si>
    <t>ELEC. B.145</t>
  </si>
  <si>
    <t>VAV_1F_S11_001</t>
  </si>
  <si>
    <t>Group Study Room1 L1.026</t>
  </si>
  <si>
    <t>VAV_1F_S11_002</t>
  </si>
  <si>
    <t>Group Study Room2 L1.027</t>
  </si>
  <si>
    <t>VAV_1F_S11_003</t>
  </si>
  <si>
    <t>Group Study Room3 L1.028</t>
  </si>
  <si>
    <t>VAV_1F_S11_004</t>
  </si>
  <si>
    <t>Information Literacy Instr 1 L1.020</t>
  </si>
  <si>
    <t>VAV_1F_S11_005</t>
  </si>
  <si>
    <t>VAV_1F_S11_006</t>
  </si>
  <si>
    <t>Infor. Lteracy Instr.2 L1.021</t>
  </si>
  <si>
    <t>VAV_1F_S11_007</t>
  </si>
  <si>
    <t>VAV_1F_S11_008</t>
  </si>
  <si>
    <t>VAV_1F_S11_009</t>
  </si>
  <si>
    <t>VAV_1F_S11_010</t>
  </si>
  <si>
    <t>VAV_1F_S11_011</t>
  </si>
  <si>
    <t>VAV_1F_S11_012</t>
  </si>
  <si>
    <t>VAV_1F_S11_013</t>
  </si>
  <si>
    <t>VAV_1F_S11_014</t>
  </si>
  <si>
    <t>Computer Classroom L1.022</t>
  </si>
  <si>
    <t>VAV_1F_S11_015</t>
  </si>
  <si>
    <t>VAV_1F_S11_016</t>
  </si>
  <si>
    <t>VAV_1F_S11_017</t>
  </si>
  <si>
    <t>VAV_1F_S11_018</t>
  </si>
  <si>
    <t>VAV_1F_S11_019</t>
  </si>
  <si>
    <t>VAV_1F_S11_020</t>
  </si>
  <si>
    <t>VAV_1F_S11_021</t>
  </si>
  <si>
    <t>VAV_1F_S11_022</t>
  </si>
  <si>
    <t>Group Study Room 4 L1.029</t>
  </si>
  <si>
    <t>VAV_1F_S11_087</t>
  </si>
  <si>
    <t>CHILDRENS LIBRARY SLOPE  CORRIDOR L1.023</t>
  </si>
  <si>
    <t>VAV_1F_S11_088</t>
  </si>
  <si>
    <t>VAV_1F_S11_089</t>
  </si>
  <si>
    <t>VAV_1F_S11_090</t>
  </si>
  <si>
    <t>VAV_1F_S15_001</t>
  </si>
  <si>
    <t>Media Studio1 L1.063</t>
  </si>
  <si>
    <t>VAV_1F_S15_002</t>
  </si>
  <si>
    <t>VAV_1F_S15_003</t>
  </si>
  <si>
    <t>Media Studio2 L1.065</t>
  </si>
  <si>
    <t>VAV_1F_S15_004</t>
  </si>
  <si>
    <t>VAV_1F_S15_005</t>
  </si>
  <si>
    <t>Head Librarian Office L1.040</t>
  </si>
  <si>
    <t>VAV_1F_S15_006</t>
  </si>
  <si>
    <t>Children Library - Pre School Reading &amp; Playing L1.047</t>
  </si>
  <si>
    <t>VAV_1F_S15_007</t>
  </si>
  <si>
    <t>VAV_1F_S15_008</t>
  </si>
  <si>
    <t>VAV_1F_S15_009</t>
  </si>
  <si>
    <t>CHILDRENS LIBRARY-PRE SCHOOL COLLECTION L1.047</t>
  </si>
  <si>
    <t>VAV_1F_S15_010</t>
  </si>
  <si>
    <t>VAV_1F_S15_011</t>
  </si>
  <si>
    <t>VAV_1F_S15_012</t>
  </si>
  <si>
    <t>Staff Office L1.048</t>
  </si>
  <si>
    <t>VAV_1F_S15_021</t>
  </si>
  <si>
    <t>Prayer Room (Female) L1.104</t>
  </si>
  <si>
    <t>VAV_1F_S15_022</t>
  </si>
  <si>
    <t>VAV_1F_S15_023</t>
  </si>
  <si>
    <t>Prayer Room (Male) L1.104</t>
  </si>
  <si>
    <t>VAV_1F_S15_024</t>
  </si>
  <si>
    <t>VAV_1F_S15_025</t>
  </si>
  <si>
    <t>Ablution (Women) L1.106</t>
  </si>
  <si>
    <t>VAV_1F_S15_038</t>
  </si>
  <si>
    <t>Ablution (Men) L1.105</t>
  </si>
  <si>
    <t>VAV_1F_S15_039</t>
  </si>
  <si>
    <t>Green Room L1.002A</t>
  </si>
  <si>
    <t>VAV_1F_S15_039S</t>
  </si>
  <si>
    <t>VAV_1F_S15_040</t>
  </si>
  <si>
    <t>VAV_1F_S15_096</t>
  </si>
  <si>
    <t>Multipurpose Room L1.041</t>
  </si>
  <si>
    <t>VAV_1F_S15_097</t>
  </si>
  <si>
    <t>VAV_1F_S15_098</t>
  </si>
  <si>
    <t>VAV_2F_S10_001</t>
  </si>
  <si>
    <t>VAV_2F_S10_002</t>
  </si>
  <si>
    <t>VAV_2F_S10_003</t>
  </si>
  <si>
    <t>VAV_2F_S10_004</t>
  </si>
  <si>
    <t>VAV_2F_S10_005</t>
  </si>
  <si>
    <t>VAV_2F_S10_006</t>
  </si>
  <si>
    <t>VAV_2F_S12_001</t>
  </si>
  <si>
    <t>OPEN READING AREA L1.001</t>
  </si>
  <si>
    <t>VAV_2F_S12_002</t>
  </si>
  <si>
    <t>VAV_2F_S12_003</t>
  </si>
  <si>
    <t>VAV_2F_S12_004</t>
  </si>
  <si>
    <t>VAV_2F_S12_005</t>
  </si>
  <si>
    <t>VAV_2F_S12_006</t>
  </si>
  <si>
    <t>VAV_2F_S12_007</t>
  </si>
  <si>
    <t>VAV_2F_S12_008</t>
  </si>
  <si>
    <t>VAV_2F_S12_009</t>
  </si>
  <si>
    <t>VAV_2F_S12_010</t>
  </si>
  <si>
    <t>BRAILLE READER L1.002</t>
  </si>
  <si>
    <t>VAV_2F_S12_011</t>
  </si>
  <si>
    <t>VAV_2F_S12_012</t>
  </si>
  <si>
    <t>TUTORING HEAD L1.003</t>
  </si>
  <si>
    <t>VAV_2F_S12_013</t>
  </si>
  <si>
    <t>WRITING ROOM 1 L1.004</t>
  </si>
  <si>
    <t>VAV_2F_S12_014</t>
  </si>
  <si>
    <t>WRITING HEAD L1.005</t>
  </si>
  <si>
    <t>VAV_2F_S12_015</t>
  </si>
  <si>
    <t>WRITING ROOM 2 L1.005</t>
  </si>
  <si>
    <t>VAV_2F_S12_016</t>
  </si>
  <si>
    <t>STUDENT CARRELS L1.007</t>
  </si>
  <si>
    <t>VAV_2F_S12_017</t>
  </si>
  <si>
    <t>VAV_2F_S12_018</t>
  </si>
  <si>
    <t>VAV_2F_S12_019</t>
  </si>
  <si>
    <t>VAV_2F_S12_020</t>
  </si>
  <si>
    <t>VAV_2F_S12_021</t>
  </si>
  <si>
    <t>Breakout Space L2.010</t>
  </si>
  <si>
    <t>VAV_2F_S12_022</t>
  </si>
  <si>
    <t>Circulation Office L2.011</t>
  </si>
  <si>
    <t>VAV_2F_S12_023</t>
  </si>
  <si>
    <t>Office SpL Collection L2.012</t>
  </si>
  <si>
    <t>VAV_2F_S12_024</t>
  </si>
  <si>
    <t>Office SpL Collection L2.013</t>
  </si>
  <si>
    <t>VAV_2F_S12_025</t>
  </si>
  <si>
    <t>CORRIDOR L2</t>
  </si>
  <si>
    <t>VAV_2F_S12_026</t>
  </si>
  <si>
    <t>VAV_2F_S12_027</t>
  </si>
  <si>
    <t>Group Study Room 7 L2.017</t>
  </si>
  <si>
    <t>VAV_2F_S12_028</t>
  </si>
  <si>
    <t>Meeting Room L2.018</t>
  </si>
  <si>
    <t>VAV_2F_S12_029</t>
  </si>
  <si>
    <t>VAV_2F_S12_097</t>
  </si>
  <si>
    <t>Group Study Room 8 L2.018</t>
  </si>
  <si>
    <t>VAV_2F_S13_001</t>
  </si>
  <si>
    <t>Lib. Director's Room L2.044</t>
  </si>
  <si>
    <t>VAV_2F_S13_002</t>
  </si>
  <si>
    <t>VAV_2F_S13_003</t>
  </si>
  <si>
    <t>Service &amp; Lounge L2.043</t>
  </si>
  <si>
    <t>VAV_2F_S13_004</t>
  </si>
  <si>
    <t>OPEN OFFICE L2.025</t>
  </si>
  <si>
    <t>VAV_2F_S13_005</t>
  </si>
  <si>
    <t>VAV_2F_S13_006</t>
  </si>
  <si>
    <t>ACD PERS LIBRARIAN L2.022</t>
  </si>
  <si>
    <t>VAV_2F_S13_007</t>
  </si>
  <si>
    <t>AD ADMIN &amp; PLANNING L2.023</t>
  </si>
  <si>
    <t>VAV_2F_S13_008</t>
  </si>
  <si>
    <t>Office Coord L2.024</t>
  </si>
  <si>
    <t>VAV_2F_S13_009</t>
  </si>
  <si>
    <t>VAV_2F_S13_010</t>
  </si>
  <si>
    <t>VAV_2F_S13_011</t>
  </si>
  <si>
    <t>VAV_2F_S13_012</t>
  </si>
  <si>
    <t>VAV_2F_S13_013</t>
  </si>
  <si>
    <t>VAV_2F_S13_014</t>
  </si>
  <si>
    <t>VAV_2F_S13_015</t>
  </si>
  <si>
    <t>VAV_2F_S13_016</t>
  </si>
  <si>
    <t>VIP Waiting ROOM L2.048</t>
  </si>
  <si>
    <t>VAV_2F_S14_001</t>
  </si>
  <si>
    <t>PUBLIC SERVICES L1.080</t>
  </si>
  <si>
    <t>VAV_2F_S14_002</t>
  </si>
  <si>
    <t>VAV_2F_S14_003</t>
  </si>
  <si>
    <t>VAV_2F_S14_004</t>
  </si>
  <si>
    <t>VAV_2F_S14_005</t>
  </si>
  <si>
    <t>VAV_2F_S14_006</t>
  </si>
  <si>
    <t>VAV_2F_S14_007</t>
  </si>
  <si>
    <t>SPEC COLL &amp; ARCH L1.083</t>
  </si>
  <si>
    <t>VAV_2F_S14_008</t>
  </si>
  <si>
    <t>R&amp;L SERVICES L1.084</t>
  </si>
  <si>
    <t>VAV_2F_S14_009</t>
  </si>
  <si>
    <t>AD. PUBLIC SERVICE L1.085</t>
  </si>
  <si>
    <t>VAV_2F_S14_010</t>
  </si>
  <si>
    <t>REF LIBRARIAN L1.086</t>
  </si>
  <si>
    <t>VAV_2F_S14_011</t>
  </si>
  <si>
    <t>REF LIBRARIAN L1.087</t>
  </si>
  <si>
    <t>VAV_2F_S14_012</t>
  </si>
  <si>
    <t>REF LIBRARIAN L1.088</t>
  </si>
  <si>
    <t>VAV_2F_S14_013</t>
  </si>
  <si>
    <t>REF LIBRARIAN L1.089</t>
  </si>
  <si>
    <t>VAV_2F_S14_014</t>
  </si>
  <si>
    <t>REF LIBRARIAN L1.090</t>
  </si>
  <si>
    <t>VAV_2F_S14_015</t>
  </si>
  <si>
    <t>REF LIBRARIAN L1.091</t>
  </si>
  <si>
    <t>VAV_2F_S14_016</t>
  </si>
  <si>
    <t>REF LIBRARIAN L1.092</t>
  </si>
  <si>
    <t>VAV_2F_S14_017</t>
  </si>
  <si>
    <t>REF LIBRARIAN L1.093</t>
  </si>
  <si>
    <t>VAV_2F_S14_018</t>
  </si>
  <si>
    <t>REF LIBRARIAN L1.094</t>
  </si>
  <si>
    <t>VAV_2F_S14_019</t>
  </si>
  <si>
    <t>REF LIBRARIAN L1.095</t>
  </si>
  <si>
    <t>VAV_2F_S14_020</t>
  </si>
  <si>
    <t>REF LIBRARIAN L1.096</t>
  </si>
  <si>
    <t>VAV_2F_S14_021</t>
  </si>
  <si>
    <t>REF LIBRARIAN L1.097</t>
  </si>
  <si>
    <t>VAV_2F_S15_001</t>
  </si>
  <si>
    <t>VIP Room L2.051</t>
  </si>
  <si>
    <t>VAV_2F_S15_002</t>
  </si>
  <si>
    <t>VAV_2F_S15_003</t>
  </si>
  <si>
    <t>VAV_2F_S15_004</t>
  </si>
  <si>
    <t>VAV_2F_S15_005</t>
  </si>
  <si>
    <t>MAJLIS-VIP Meeting L2.046</t>
  </si>
  <si>
    <t>VAV_B_S10_001</t>
  </si>
  <si>
    <t>DIGITISATION AREA B.200</t>
  </si>
  <si>
    <t>VAV_B_S10_002</t>
  </si>
  <si>
    <t>VAV_B_S10_003</t>
  </si>
  <si>
    <t>VAV_B_S10_004</t>
  </si>
  <si>
    <t>VAV_B_S10_005</t>
  </si>
  <si>
    <t>VAV_B_S10_006</t>
  </si>
  <si>
    <t>VAV_B_S10_007</t>
  </si>
  <si>
    <t>VAV_B_S10_008</t>
  </si>
  <si>
    <t>VAV_B_S10_009</t>
  </si>
  <si>
    <t>VAV_B_S10_010</t>
  </si>
  <si>
    <t>TECHNICAL SERVICES B.204</t>
  </si>
  <si>
    <t>VAV_B_S10_011</t>
  </si>
  <si>
    <t>VAV_B_S10_012</t>
  </si>
  <si>
    <t>CR6 CONVERSATION WORK AREA B.209</t>
  </si>
  <si>
    <t>VAV_B_S10_013</t>
  </si>
  <si>
    <t>VAV_B_S10_014</t>
  </si>
  <si>
    <t>VAV_B_S10_015</t>
  </si>
  <si>
    <t>INSTRUCTION OUTREACH B.206</t>
  </si>
  <si>
    <t>VAV_B_S10_016</t>
  </si>
  <si>
    <t>MULTIMEDIA PRESENTATION B.205</t>
  </si>
  <si>
    <t>VAV_B_S10_017</t>
  </si>
  <si>
    <t>VAV_B_S10_018</t>
  </si>
  <si>
    <t>VAV_B_S10_019</t>
  </si>
  <si>
    <t xml:space="preserve">CR6 PROF LIBRARIAN B.208 </t>
  </si>
  <si>
    <t>VAV_B_S10_020</t>
  </si>
  <si>
    <t>Reserchers Reading Area B.207</t>
  </si>
  <si>
    <t>VAV_B_S10_021</t>
  </si>
  <si>
    <t>VAV_B_S10_022</t>
  </si>
  <si>
    <t>VAV_B_S10_023</t>
  </si>
  <si>
    <t>VAV_B_S10_024</t>
  </si>
  <si>
    <t>VAV_B_S11_001</t>
  </si>
  <si>
    <t>Break Out Area B.001A</t>
  </si>
  <si>
    <t>VAV_B_S11_002</t>
  </si>
  <si>
    <t>VAV_B_S11_003</t>
  </si>
  <si>
    <t>Tech, Services &amp; Collections Office B.001</t>
  </si>
  <si>
    <t>VAV_B_S11_004</t>
  </si>
  <si>
    <t>VAV_B_S11_005</t>
  </si>
  <si>
    <t>VAV_B_S11_006</t>
  </si>
  <si>
    <t>VAV_B_S11_007</t>
  </si>
  <si>
    <t>VAV_B_S11_008</t>
  </si>
  <si>
    <t>VAV_B_S11_009</t>
  </si>
  <si>
    <t>VAV_B_S11_010</t>
  </si>
  <si>
    <t>VAV_B_S11_011</t>
  </si>
  <si>
    <t>VAV_B_S11_012</t>
  </si>
  <si>
    <t>VAV_B_S11_013</t>
  </si>
  <si>
    <t>VAV_B_S11_014</t>
  </si>
  <si>
    <t>VAV_B_S11_015</t>
  </si>
  <si>
    <t>VAV_B_S11_016</t>
  </si>
  <si>
    <t>VAV_B_S11_017</t>
  </si>
  <si>
    <t>VAV_B_S11_018</t>
  </si>
  <si>
    <t>VAV_B_S11_019</t>
  </si>
  <si>
    <t>VAV_B_S11_020</t>
  </si>
  <si>
    <t>VAV_B_S11_021</t>
  </si>
  <si>
    <t>Reception &amp; Lounge B.009</t>
  </si>
  <si>
    <t>VAV_B_S11_022</t>
  </si>
  <si>
    <t>Corridor Leading To Reception &amp; Lounge B.009</t>
  </si>
  <si>
    <t>VAV_B_S11_023</t>
  </si>
  <si>
    <t>VAV_B_S11_024</t>
  </si>
  <si>
    <t>Kitchen B.002</t>
  </si>
  <si>
    <t>VAV_B_S11_025</t>
  </si>
  <si>
    <t>Storage B.028</t>
  </si>
  <si>
    <t>VAV_B_S11_026</t>
  </si>
  <si>
    <t>AD TECH SERVICES DIRECTOR B.003</t>
  </si>
  <si>
    <t>VAV_B_S11_027</t>
  </si>
  <si>
    <t>VAV_B_S11_028</t>
  </si>
  <si>
    <t>Analogue Resources B.004</t>
  </si>
  <si>
    <t>VAV_B_S11_029</t>
  </si>
  <si>
    <t>Digital Resources B.005</t>
  </si>
  <si>
    <t>VAV_B_S11_030</t>
  </si>
  <si>
    <t>Budget &amp; Payment 1 B.006</t>
  </si>
  <si>
    <t>VAV_B_S11_031</t>
  </si>
  <si>
    <t>Budget &amp; Payment 2 B.007</t>
  </si>
  <si>
    <t>VAV_B_S11_032</t>
  </si>
  <si>
    <t>Ad Collection B.024</t>
  </si>
  <si>
    <t>VAV_B_S11_033</t>
  </si>
  <si>
    <t>VAV_B_S11_034</t>
  </si>
  <si>
    <t>Engineering B.020</t>
  </si>
  <si>
    <t>VAV_B_S11_035</t>
  </si>
  <si>
    <t>Arabic Sudies B.021</t>
  </si>
  <si>
    <t>VAV_B_S11_036</t>
  </si>
  <si>
    <t>Licensing Expert B.022</t>
  </si>
  <si>
    <t>VAV_B_S11_037</t>
  </si>
  <si>
    <t>Art &amp; Humanities B.023</t>
  </si>
  <si>
    <t>VAV_B_S11_038</t>
  </si>
  <si>
    <t>VAV_B_S11_039</t>
  </si>
  <si>
    <t>Business Computing B.026</t>
  </si>
  <si>
    <t>VAV_B_S11_040</t>
  </si>
  <si>
    <t>Social Sciences B.025</t>
  </si>
  <si>
    <t>VAV_B_S11_041</t>
  </si>
  <si>
    <t>Literature Language B.029</t>
  </si>
  <si>
    <t>VAV_B_S11_042</t>
  </si>
  <si>
    <t>GENERAL B.030</t>
  </si>
  <si>
    <t>VAV_B_S11_043</t>
  </si>
  <si>
    <t>Receiving Area B.008</t>
  </si>
  <si>
    <t>VAV_B_S11_044</t>
  </si>
  <si>
    <t>VAV_B_S11_045</t>
  </si>
  <si>
    <t>VAV_B_S11_046</t>
  </si>
  <si>
    <t>VAV_B_S13_001</t>
  </si>
  <si>
    <t>Meeting Room B.034</t>
  </si>
  <si>
    <t>VAV_B_S13_002</t>
  </si>
  <si>
    <t>VAV_B_S13_003</t>
  </si>
  <si>
    <t>Processing Room B.103</t>
  </si>
  <si>
    <t>VAV_B_S13_004</t>
  </si>
  <si>
    <t>VAV_B_S13_005</t>
  </si>
  <si>
    <t>VAV_B_S13_006</t>
  </si>
  <si>
    <t>Fumigation Room B.085</t>
  </si>
  <si>
    <t>VAV_B_S13_007</t>
  </si>
  <si>
    <t>Shipping CLIRK B.101</t>
  </si>
  <si>
    <t>VAV_B_S13_008</t>
  </si>
  <si>
    <t>SECURITY CONTROL ROOM B.105</t>
  </si>
  <si>
    <t>VAV_B_S14_001</t>
  </si>
  <si>
    <t>Office B.040</t>
  </si>
  <si>
    <t>VAV_B_S14_002</t>
  </si>
  <si>
    <t>Office Dig Init B.056</t>
  </si>
  <si>
    <t>VAV_B_S14_003</t>
  </si>
  <si>
    <t>Office AD For LIT B.057</t>
  </si>
  <si>
    <t>VAV_B_S14_004</t>
  </si>
  <si>
    <t>Digitization Room B.041</t>
  </si>
  <si>
    <t>VAV_B_S14_005</t>
  </si>
  <si>
    <t>VAV_B_S14_006</t>
  </si>
  <si>
    <t>VAV_B_S14_007</t>
  </si>
  <si>
    <t>Shell Space B.58</t>
  </si>
  <si>
    <t>VAV_B_S14_008</t>
  </si>
  <si>
    <t>Shell Space B.59</t>
  </si>
  <si>
    <t>VAV_B_S14_009</t>
  </si>
  <si>
    <t>VAV_B_S14_010</t>
  </si>
  <si>
    <t>VAV_B_S14_011</t>
  </si>
  <si>
    <t>VAV_B_S14_012</t>
  </si>
  <si>
    <t>VAV_B_S14_013</t>
  </si>
  <si>
    <t>VAV_B_S14_014</t>
  </si>
  <si>
    <t>VAV_B_S14_015</t>
  </si>
  <si>
    <t>VAV_B_S14_016</t>
  </si>
  <si>
    <t>VAV_B_S14_040</t>
  </si>
  <si>
    <t>BOH Kitchen B.044</t>
  </si>
  <si>
    <t>VAV_B_S14_041</t>
  </si>
  <si>
    <t>Fine Binding B.044</t>
  </si>
  <si>
    <t>VAV_B_S14_042</t>
  </si>
  <si>
    <t>Binding &amp; Preservation B.043</t>
  </si>
  <si>
    <t>VAV_B_S14_043</t>
  </si>
  <si>
    <t>VAV_B_S14_044</t>
  </si>
  <si>
    <t>VAV_B_S14_045</t>
  </si>
  <si>
    <t>VAV_B_S14_046</t>
  </si>
  <si>
    <t>VAV_B_S14_047</t>
  </si>
  <si>
    <t xml:space="preserve"> Fine Binding B.044</t>
  </si>
  <si>
    <t>VAV_B_S14_048</t>
  </si>
  <si>
    <t>VAV_B_S14_049</t>
  </si>
  <si>
    <t>VAV_B_S14_050</t>
  </si>
  <si>
    <t>VAV_B_S14_051</t>
  </si>
  <si>
    <t>VAV_B_S15_001</t>
  </si>
  <si>
    <t>Prof. Librarian B.153</t>
  </si>
  <si>
    <t>VAV_B_S15_002</t>
  </si>
  <si>
    <t>Lobby and Security B.145</t>
  </si>
  <si>
    <t>VAV_B_S15_003</t>
  </si>
  <si>
    <t>VAV_B_S15_004</t>
  </si>
  <si>
    <t>VAV_B_S15_005</t>
  </si>
  <si>
    <t>VAV_B_S15_006</t>
  </si>
  <si>
    <t>VAV_B_S15_007</t>
  </si>
  <si>
    <t>HC SECURITY ROOM B.152</t>
  </si>
  <si>
    <t>VAV_B_S15_008</t>
  </si>
  <si>
    <t>RESEARCH &amp; DOC RECORD MGMT B.151</t>
  </si>
  <si>
    <t>VAV_B_S15_009</t>
  </si>
  <si>
    <t>HC DIRECTOR HEAD B.149</t>
  </si>
  <si>
    <t>VAV_B_S15_010</t>
  </si>
  <si>
    <t>VAV_B_S15_011</t>
  </si>
  <si>
    <t>VIP Majlis B.149</t>
  </si>
  <si>
    <t>VAV_B_S15_012</t>
  </si>
  <si>
    <t>VAV_B_S15_013</t>
  </si>
  <si>
    <t>CAV_1F_S11_001</t>
  </si>
  <si>
    <t>CAV</t>
  </si>
  <si>
    <t>CORRIDOR L1.023</t>
  </si>
  <si>
    <t>CAV_1F_S11_002</t>
  </si>
  <si>
    <t>CAV_1F_S11_006</t>
  </si>
  <si>
    <t>CHILDRENS LIBRRY CIRCULATION NW GLAZED L1.047</t>
  </si>
  <si>
    <t>CAV_1F_S11_007</t>
  </si>
  <si>
    <t>CAV_1F_S11_008</t>
  </si>
  <si>
    <t>CAV_1F_S11_009</t>
  </si>
  <si>
    <t>CAV_1F_S15_002</t>
  </si>
  <si>
    <t>CAV_1F_S15_004</t>
  </si>
  <si>
    <t>AERIAL PLATFORM PARKING L1.100</t>
  </si>
  <si>
    <t>CAV_1F_S15_005</t>
  </si>
  <si>
    <t>CAV_1F_S15_006</t>
  </si>
  <si>
    <t>CAV_1F_S15_010</t>
  </si>
  <si>
    <t>CAV_1F_S15_011</t>
  </si>
  <si>
    <t>CAV_1F_S15_012</t>
  </si>
  <si>
    <t>CAV_1F_S15_013</t>
  </si>
  <si>
    <t>CAV_1F_S15_014</t>
  </si>
  <si>
    <t>CAV_1F_S15_015</t>
  </si>
  <si>
    <t>CAV_1F_S15_016</t>
  </si>
  <si>
    <t>CAV_1F_S15_017</t>
  </si>
  <si>
    <t>CAV_1F_S15_018</t>
  </si>
  <si>
    <t>AREAL PLATFORM PARK L1.100</t>
  </si>
  <si>
    <t>CAV_1F_S15_019</t>
  </si>
  <si>
    <t>FURNITURE STORE L1.153</t>
  </si>
  <si>
    <t>CAV_B_S12_001</t>
  </si>
  <si>
    <t>CAV_B_S12_002</t>
  </si>
  <si>
    <t>CAV_B_S12_003</t>
  </si>
  <si>
    <t>CAV_B_S13_001</t>
  </si>
  <si>
    <t>Corridor 2 B.064</t>
  </si>
  <si>
    <t>CAV_B_S13_002</t>
  </si>
  <si>
    <t>CAV_B_S13_003</t>
  </si>
  <si>
    <t>CAV_B_S13_004</t>
  </si>
  <si>
    <t>CAV_B_S13_005</t>
  </si>
  <si>
    <t>CAV_B_S13_006</t>
  </si>
  <si>
    <t>CORRIDOR 4 B.035</t>
  </si>
  <si>
    <t>CAV_B_S13_007</t>
  </si>
  <si>
    <t>CAV_B_S13_008</t>
  </si>
  <si>
    <t>CAV_B_S13_009</t>
  </si>
  <si>
    <t>IT STORAGE B.104</t>
  </si>
  <si>
    <t>CAV_B_S13_010</t>
  </si>
  <si>
    <t>CAV_B_S13_011</t>
  </si>
  <si>
    <t>CAV_B_S13_012</t>
  </si>
  <si>
    <t>Fire Command B.071</t>
  </si>
  <si>
    <t>CAV_B_S13_013</t>
  </si>
  <si>
    <t>GAS SUPPRESSION B.087</t>
  </si>
  <si>
    <t>CAV_B_S13_014</t>
  </si>
  <si>
    <t>CAV_B_S13_015</t>
  </si>
  <si>
    <t>Server Room B.089</t>
  </si>
  <si>
    <t>CAV_B_S13_020</t>
  </si>
  <si>
    <t>UPS BATTERY ROOM B.084</t>
  </si>
  <si>
    <t>CAV_B_S13_021</t>
  </si>
  <si>
    <t>Sprinklers Pumps &amp; Zones Valves B.072</t>
  </si>
  <si>
    <t>CAV_B_S13_050</t>
  </si>
  <si>
    <t>PLANT ROOM B.104A</t>
  </si>
  <si>
    <t>CAV_B_S14_001</t>
  </si>
  <si>
    <t>CAV_B_S14_002</t>
  </si>
  <si>
    <t>CORRIDOR 3 B.052</t>
  </si>
  <si>
    <t>CAV_B_S14_003</t>
  </si>
  <si>
    <t>PLANT ROOM 3 B.110</t>
  </si>
  <si>
    <t>CAV_B_S14_004</t>
  </si>
  <si>
    <t>CAV_B_S14_005</t>
  </si>
  <si>
    <t>CAV_B_S14_006</t>
  </si>
  <si>
    <t>Referigerate Store Kitchen Lobby B.044</t>
  </si>
  <si>
    <t>CAV_B_S14_007</t>
  </si>
  <si>
    <t>Washing Area &amp; Fine Binding B.044</t>
  </si>
  <si>
    <t>CAV_B_S15_001</t>
  </si>
  <si>
    <t>Corridor 5 B.063</t>
  </si>
  <si>
    <t>CAV_B_S15_002</t>
  </si>
  <si>
    <t>CAV_B_S15_003</t>
  </si>
  <si>
    <t>entity:SSC_B1_013_CHILLED_WATER</t>
  </si>
  <si>
    <t>entity:SSC_B1_014_VENT_PLANT</t>
  </si>
  <si>
    <t>entity:SSC_B1_008_VENT_PLANT</t>
  </si>
  <si>
    <t>entity:SSC_B1_016_SPRINKLER_&amp;_WATER</t>
  </si>
  <si>
    <t>entity:SSC_B1_039_BMS</t>
  </si>
  <si>
    <t>entity:SSC_01_008_AV_ROOM</t>
  </si>
  <si>
    <t>entity:SSC_01_027_IDF_1</t>
  </si>
  <si>
    <t>entity:SSC_01_039_IDF_2</t>
  </si>
  <si>
    <t>entity:SSC_01_028_CORRIDOR</t>
  </si>
  <si>
    <t>entity:SSC_01_010_CORRIDOR</t>
  </si>
  <si>
    <t>entity:SSC_03_033_PRINTING</t>
  </si>
  <si>
    <t>entity:SSC_B1_015_ENTRANCE</t>
  </si>
  <si>
    <t>entity:SSC_01_014_SHELL_SPACE</t>
  </si>
  <si>
    <t>entity:SSC_01_015_SHELL_SPACE</t>
  </si>
  <si>
    <t>entity:SSC_01_024_CORRIDOR</t>
  </si>
  <si>
    <t>entity:SSC_01_019_PRAYER_ROOM</t>
  </si>
  <si>
    <t>VAV0010</t>
  </si>
  <si>
    <t>entity:SSC_01_029_ROOM_NO_42</t>
  </si>
  <si>
    <t>entity:SSC_01_013_CORRIDOR</t>
  </si>
  <si>
    <t>entity:SSC_01_003_OPEN_SPACE</t>
  </si>
  <si>
    <t>entity:SSC_01_001_CORRIDOR</t>
  </si>
  <si>
    <t>entity:SSC_01_002_SHELL_SPACE</t>
  </si>
  <si>
    <t>entity:SSC_01_016_SHELL_SPACE</t>
  </si>
  <si>
    <t>entity:SSC_01_018_CORRIDOR</t>
  </si>
  <si>
    <t>entity:SSC_01_022_ABLUTION_ROOM</t>
  </si>
  <si>
    <t>entity:SSC_01_ST-4_STAIR_4</t>
  </si>
  <si>
    <t>entity:SSC_02_006_CONFERENCE_ROOM</t>
  </si>
  <si>
    <t>entity:SSC_02_005_EXECUTIVE_CONFERENCE_ROOM</t>
  </si>
  <si>
    <t>entity:SSC_02_004_CORRIDOR</t>
  </si>
  <si>
    <t>entity:SSC_02_001_FOYER</t>
  </si>
  <si>
    <t>entity:SSC_02_002_LOBBY</t>
  </si>
  <si>
    <t>entity:SSC_02_003_CORRIDOR</t>
  </si>
  <si>
    <t>entity:SSC_03_015_RESEARCHERS_OFFICE</t>
  </si>
  <si>
    <t>entity:SSC_03_014_VISITORS_CUBICLE</t>
  </si>
  <si>
    <t>entity:SSC_03_013_RESEARCHERS_OFFICE</t>
  </si>
  <si>
    <t>entity:SSC_03_012_RESEARCHERS_OFFICE</t>
  </si>
  <si>
    <t>entity:SSC_03_011_VISITORS_CUBICLE</t>
  </si>
  <si>
    <t>entity:SSC_03_010_RESEARCHERS_OFFICE</t>
  </si>
  <si>
    <t>entity:SSC_03_009_RESEARCHERS_OFFICE</t>
  </si>
  <si>
    <t>entity:SSC_03_008_VISITORS_CUBICLE</t>
  </si>
  <si>
    <t>entity:SSC_03_007_OPERATIONS_MANAGER</t>
  </si>
  <si>
    <t>entity:SSC_03_006_MEETING_ROOM</t>
  </si>
  <si>
    <t>entity:SSC_03_005_RESEARCHERS_OFFICE</t>
  </si>
  <si>
    <t>entity:SSC_03_004_VISITORS_CUBICLE</t>
  </si>
  <si>
    <t>entity:SSC_03_003_RESEARCHERS_OFFICE</t>
  </si>
  <si>
    <t>entity:SSC_03_002_DIRECTORS_MEETING_ROOM</t>
  </si>
  <si>
    <t>entity:SSC_03_001_DIRECTORS_OFFICE</t>
  </si>
  <si>
    <t>entity:SSC_03_029_RESEARCHERS_OFFICE</t>
  </si>
  <si>
    <t>entity:SSC_03_028_VISITORS_CUBICLE</t>
  </si>
  <si>
    <t>entity:SSC_03_027_RESEARCHERS_OFFICE</t>
  </si>
  <si>
    <t>entity:SSC_03_026_MEETING_ROOM</t>
  </si>
  <si>
    <t>entity:SSC_03_025_SECRETARIAL_AREA</t>
  </si>
  <si>
    <t>entity:SSC_03_024_VISITORS_CUBICLE</t>
  </si>
  <si>
    <t>entity:SSC_03_023_RESEARCHERS_OFFICE</t>
  </si>
  <si>
    <t>entity:SSC_03_022_RESEARCHERS_OFFICE</t>
  </si>
  <si>
    <t>entity:SSC_03_021_VISITORS_CUBICLE</t>
  </si>
  <si>
    <t>entity:SSC_03_020_RESEARCHERS_OFFICE</t>
  </si>
  <si>
    <t>entity:SSC_03_019_IT_MANAGERS_OFFICE</t>
  </si>
  <si>
    <t>entity:SSC_03_018_VISITORS_CUBICLE</t>
  </si>
  <si>
    <t>entity:SSC_03_017_RESEARCHERS_OFFICE</t>
  </si>
  <si>
    <t>entity:SSC_03_016_LOUNGE</t>
  </si>
  <si>
    <t>entity:SSC_03_049_IT_OFFICE</t>
  </si>
  <si>
    <t>entity:SSC_03_042_CORRIDOR</t>
  </si>
  <si>
    <t>entity:SSC_03_041_CORRIDOR</t>
  </si>
  <si>
    <t>entity:SSC_03_044_CORRIDOR</t>
  </si>
  <si>
    <t>entity:SSC_03_034_CORRIDOR</t>
  </si>
  <si>
    <t>RDC_UB_AHU8601</t>
  </si>
  <si>
    <t>RDC_UB_AHU8602</t>
  </si>
  <si>
    <t>RDC_UB_AHU8603</t>
  </si>
  <si>
    <t>RDC_UB_AHU8604</t>
  </si>
  <si>
    <t>RDC_UB_AHU8605</t>
  </si>
  <si>
    <t>RDC_UB_AHU8606</t>
  </si>
  <si>
    <t>RDC_UB_AHU8607</t>
  </si>
  <si>
    <t>RDC_UB_AHU8608</t>
  </si>
  <si>
    <t>RDC_UB_AHU8609</t>
  </si>
  <si>
    <t>RDC_NB_GF_VAV4001</t>
  </si>
  <si>
    <t>RDC_NB_GF_VAV4005_EV4006</t>
  </si>
  <si>
    <t>RDC_NB_GF_VAV4040</t>
  </si>
  <si>
    <t>RDC_NB_GF_VAV4050_VEV4051</t>
  </si>
  <si>
    <t>RDC_NB_GF_VAV4060_VEV4061</t>
  </si>
  <si>
    <t>RDC_NB_GF_VAV4070A_VEV4073A</t>
  </si>
  <si>
    <t>RDC_NB_GF_VAV4070B_VEV4073B</t>
  </si>
  <si>
    <t>RDC_NB_GF_VAV4071A_VEV4074A</t>
  </si>
  <si>
    <t>RDC_NB_GF_VAV4071B_VEV4074B</t>
  </si>
  <si>
    <t>RDC_NB_GF_VAV4072A_VEV4075A</t>
  </si>
  <si>
    <t>RDC_NB_GF_VAV4072B_VEV4075B</t>
  </si>
  <si>
    <t>RDC_NB_GF_VAV4080A_VEV4082A</t>
  </si>
  <si>
    <t>RDC_NB_GF_VAV4080B_VEV4082B</t>
  </si>
  <si>
    <t>RDC_NB_GF_VAV4081A_VEV4083A</t>
  </si>
  <si>
    <t>RDC_NB_GF_VAV4081B_VEV4083B</t>
  </si>
  <si>
    <t>RDC_NB_GF_VAV4090_VEV4091</t>
  </si>
  <si>
    <t>RDC_NB_GF_VAV4100_EV4101</t>
  </si>
  <si>
    <t>RDC_NB_GF_VAV4105_EV4106</t>
  </si>
  <si>
    <t>RDC_NB_GF_VAV4110_EV4111</t>
  </si>
  <si>
    <t>RDC_NB_GF_VAV4115_EV4116</t>
  </si>
  <si>
    <t>RDC_NB_GF_VAV4120_EV4121</t>
  </si>
  <si>
    <t>RDC_NB_GF_VAV4125_EV4126</t>
  </si>
  <si>
    <t>RDC_NB_GF_VAV4130_EV4131</t>
  </si>
  <si>
    <t>RDC_NB_GF_VAV4135_EV4136</t>
  </si>
  <si>
    <t>RDC_NB_GF_VAV4140_EV4141</t>
  </si>
  <si>
    <t>RDC_NB_GF_VAV4145_EV4146</t>
  </si>
  <si>
    <t>RDC_NB_GF_VAV4165_EV4166</t>
  </si>
  <si>
    <t>RDC_NB_GF_VAV4180_VEV4181</t>
  </si>
  <si>
    <t>RDC_NB_GF_VAV4190_VEV4192</t>
  </si>
  <si>
    <t>RDC_NB_GF_VAV4191</t>
  </si>
  <si>
    <t>RDC_NB_GF_VAV4200_VEV4201</t>
  </si>
  <si>
    <t>RDC_NB_GF_VAV4210</t>
  </si>
  <si>
    <t>RDC_NB_GF_VAV4211</t>
  </si>
  <si>
    <t>RDC_NB_GF_VAV4212</t>
  </si>
  <si>
    <t>RDC_NB_GF_VAV4225</t>
  </si>
  <si>
    <t>RDC_NB_GF_VAV4230</t>
  </si>
  <si>
    <t>RDC_NB_GF_VAV4235</t>
  </si>
  <si>
    <t>RDC_NB_GF_VAV4240</t>
  </si>
  <si>
    <t>RDC_NB_GF_VAV4245</t>
  </si>
  <si>
    <t>RDC_NB_GF_VAV4250</t>
  </si>
  <si>
    <t>RDC_NB_GF_VAV4255</t>
  </si>
  <si>
    <t>RDC_NB_GF_VAV4260</t>
  </si>
  <si>
    <t>RDC_NB_GF_VAV4265</t>
  </si>
  <si>
    <t>RDC_NB_GF_VAV4270</t>
  </si>
  <si>
    <t>RDC_NB_GF_VAV4275</t>
  </si>
  <si>
    <t>RDC_NB_GF_VAV4280</t>
  </si>
  <si>
    <t>RDC_NB_GF_VAV4285</t>
  </si>
  <si>
    <t>RDC_NB_GF_VAV4290</t>
  </si>
  <si>
    <t>RDC_NB_GF_VAV4295</t>
  </si>
  <si>
    <t>RDC_NB_GF_VAV4300</t>
  </si>
  <si>
    <t>RDC_NB_GF_VAV4305</t>
  </si>
  <si>
    <t>RDC_NB_GF_VAV4310</t>
  </si>
  <si>
    <t>RDC_NB_GF_VAV4312</t>
  </si>
  <si>
    <t>RDC_NB_GF_VAV5000_EV5002</t>
  </si>
  <si>
    <t>RDC_NB_GF_VAV5001_EV5003</t>
  </si>
  <si>
    <t>RDC_NB_GF_VAV5010_EV5011</t>
  </si>
  <si>
    <t>RDC_NB_GF_VAV5015_EV5016</t>
  </si>
  <si>
    <t>RDC_NB_GF_VAV5025</t>
  </si>
  <si>
    <t>RDC_NB_GF_VAV5030_EV5031</t>
  </si>
  <si>
    <t>RDC_NB_GF_VAV5040_EV5041</t>
  </si>
  <si>
    <t>RDC_NB_GF_VAV5045_EV5046</t>
  </si>
  <si>
    <t>RDC_NB_GF_VAV5050</t>
  </si>
  <si>
    <t>RDC_NB_GF_VAV5051</t>
  </si>
  <si>
    <t>RDC_NB_GF_VAV5054</t>
  </si>
  <si>
    <t>RDC_NB_GF_VAV5060_CEV5061</t>
  </si>
  <si>
    <t>RDC_NB_GF_VAV5070</t>
  </si>
  <si>
    <t>RDC_NB_GF_VAV5080_VEV5081</t>
  </si>
  <si>
    <t>RDC_NB_GF_VAV5090</t>
  </si>
  <si>
    <t>RDC_NB_GF_VAV5091</t>
  </si>
  <si>
    <t>RDC_NB_GF_VAV5100_EV5101</t>
  </si>
  <si>
    <t>RDC_NB_GF_VAV5105</t>
  </si>
  <si>
    <t>RDC_NB_GF_VAV5110</t>
  </si>
  <si>
    <t>RDC_NB_GF_VAV5115</t>
  </si>
  <si>
    <t>RDC_NB_GF_VAV5120</t>
  </si>
  <si>
    <t>RDC_NB_GF_VAV5125</t>
  </si>
  <si>
    <t>RDC_NB_GF_VAV5130</t>
  </si>
  <si>
    <t>RDC_NB_GF_VAV5135</t>
  </si>
  <si>
    <t>RDC_NB_GF_VAV5140</t>
  </si>
  <si>
    <t>RDC_NB_GF_VAV5145</t>
  </si>
  <si>
    <t>RDC_NB_GF_VAV5150</t>
  </si>
  <si>
    <t>RDC_NB_GF_VAV5152</t>
  </si>
  <si>
    <t>RDC_NB_GF_VAV5155</t>
  </si>
  <si>
    <t>RDC_NB_GF_VAV5156</t>
  </si>
  <si>
    <t>RDC_NB_GF_VAV5165_EV5166</t>
  </si>
  <si>
    <t>RDC_NB_GF_VAV5180</t>
  </si>
  <si>
    <t>RDC_NB_GF_VAV5181</t>
  </si>
  <si>
    <t>RDC_NB_GF_VAV5190</t>
  </si>
  <si>
    <t>RDC_NB_GF_VAV5200</t>
  </si>
  <si>
    <t>RDC_NB_GF_VAV5210</t>
  </si>
  <si>
    <t>RDC_NB_GF_VAV5220</t>
  </si>
  <si>
    <t>RDC_NB_GF_VAV5230</t>
  </si>
  <si>
    <t>RDC_NB_GF_VAV5250_VEV5251</t>
  </si>
  <si>
    <t>RDC_NB_GF_VAV5260_VEV5261</t>
  </si>
  <si>
    <t>RDC_NB_GF_VAV5270A</t>
  </si>
  <si>
    <t>RDC_NB_GF_VAV5270B</t>
  </si>
  <si>
    <t>RDC_NB_GF_VAV5295_EV5296</t>
  </si>
  <si>
    <t>RDC_NB_GF_VAV5300</t>
  </si>
  <si>
    <t>RDC_NB_GF_VAV5305</t>
  </si>
  <si>
    <t>RDC_NB_GF_VAV5310</t>
  </si>
  <si>
    <t>RDC_NB_GF_VAV5315</t>
  </si>
  <si>
    <t>RDC_NB_GF_VAV5325</t>
  </si>
  <si>
    <t>RDC_NB_GF_VAV5330</t>
  </si>
  <si>
    <t>RDC_NB_GF_VAV5335</t>
  </si>
  <si>
    <t>RDC_NB_GF_VAV5340</t>
  </si>
  <si>
    <t>RDC_NB_GF_VAV5345</t>
  </si>
  <si>
    <t>RDC_NB_GF_VAV5355</t>
  </si>
  <si>
    <t>RDC_NB_GF_VAV5360</t>
  </si>
  <si>
    <t>RDC_NB_GF_VAV5365</t>
  </si>
  <si>
    <t>RDC_NB_GF_VAV5370</t>
  </si>
  <si>
    <t>RDC_NB_GF_VAV5380</t>
  </si>
  <si>
    <t>RDC_NB_GF_VAV5385</t>
  </si>
  <si>
    <t>RDC_NB_GF_VAV5390</t>
  </si>
  <si>
    <t>RDC_NB_GF_VAV5395</t>
  </si>
  <si>
    <t>RDC_NB_GF_VAV5400</t>
  </si>
  <si>
    <t>RDC_NB_GF_VAV5405</t>
  </si>
  <si>
    <t>RDC_NB_GF_VAV5410_EV5411</t>
  </si>
  <si>
    <t>RDC_NB_GF_VAV5415</t>
  </si>
  <si>
    <t>RDC_NB_GF_VAV6000_EV6001</t>
  </si>
  <si>
    <t>RDC_NB_GF_VAV6010_EV6011</t>
  </si>
  <si>
    <t>RDC_NB_GF_VAV6025_EV6026</t>
  </si>
  <si>
    <t>RDC_NB_GF_VAV6130_EV6131</t>
  </si>
  <si>
    <t>RDC_NB_GF_VAV6135</t>
  </si>
  <si>
    <t>RDC_NB_GF_VAV6140</t>
  </si>
  <si>
    <t>RDC_NB_GF_VAV6145</t>
  </si>
  <si>
    <t>RDC_NB_GF_VAV6150</t>
  </si>
  <si>
    <t>RDC_NB_GF_VAV6155</t>
  </si>
  <si>
    <t>RDC_NB_GF_VAV6160</t>
  </si>
  <si>
    <t>RDC_NB_GF_VAV6170</t>
  </si>
  <si>
    <t>RDC_NB_GF_VAV6175</t>
  </si>
  <si>
    <t>RDC_NB_GF_VAV6180</t>
  </si>
  <si>
    <t>RDC_NB_GF_VAV6185_EV6186</t>
  </si>
  <si>
    <t>RDC_NB_GF_VAV6190_EV6191</t>
  </si>
  <si>
    <t>RDC_NB_GF_VAV6195</t>
  </si>
  <si>
    <t>RDC_NB_GF_VAV6200_EV6201</t>
  </si>
  <si>
    <t>RDC_NB_GF_VAV6205_EV6206</t>
  </si>
  <si>
    <t>RDC_NB_GF_VAV6210</t>
  </si>
  <si>
    <t>RDC_NB_GF_VAV6220_EV6221</t>
  </si>
  <si>
    <t>RDC_NB_GF_VAV6240_EV6241</t>
  </si>
  <si>
    <t>RDC_NB_GF_VAV6285_EV6286</t>
  </si>
  <si>
    <t>RDC_NB_GF_VAV6295_EV6296</t>
  </si>
  <si>
    <t>RDC_NB_GF_VAV6300</t>
  </si>
  <si>
    <t>RDC_NB_GF_VAV6305</t>
  </si>
  <si>
    <t>RDC_NB_GF_VAV6310</t>
  </si>
  <si>
    <t>RDC_NB_GF_VAV6315_EV6316</t>
  </si>
  <si>
    <t>RDC_NB_GF_VAV6320</t>
  </si>
  <si>
    <t>RDC_NB_GF_VAV6325</t>
  </si>
  <si>
    <t>RDC_NB_GF_VAV6330</t>
  </si>
  <si>
    <t>RDC_NB_GF_VAV6335</t>
  </si>
  <si>
    <t>RDC_NB_GF_VAV6340</t>
  </si>
  <si>
    <t>RDC_NB_GF_VAV6345</t>
  </si>
  <si>
    <t>RDC_NB_GF_VAV6350</t>
  </si>
  <si>
    <t>RDC_NB_GF_VAV6355</t>
  </si>
  <si>
    <t>RDC_NB_GF_VAV6360</t>
  </si>
  <si>
    <t>RDC_NB_GF_VAV6365</t>
  </si>
  <si>
    <t>RDC_NB_GF_VAV6370</t>
  </si>
  <si>
    <t>RDC_NB_GF_VAV6375</t>
  </si>
  <si>
    <t>RDC_NB_GF_VAV6380</t>
  </si>
  <si>
    <t>RDC_NB_GF_VAV6390</t>
  </si>
  <si>
    <t>RDC_NB_GF_VAV6395</t>
  </si>
  <si>
    <t>RDC_NB_GF_VAV6400</t>
  </si>
  <si>
    <t>RDC_NB_GF_VAV6405</t>
  </si>
  <si>
    <t>RDC_NB_GF_VAV6410</t>
  </si>
  <si>
    <t>RDC_NB_GF_VAV7000</t>
  </si>
  <si>
    <t>RDC_NB_GF_VAV7020A</t>
  </si>
  <si>
    <t>RDC_NB_GF_VAV7020B</t>
  </si>
  <si>
    <t>RDC_NB_GF_VAV7021A</t>
  </si>
  <si>
    <t>RDC_NB_GF_VAV7021B</t>
  </si>
  <si>
    <t>RDC_NB_GF_VAV7030_VEV7031</t>
  </si>
  <si>
    <t>RDC_NB_GF_VAV7040</t>
  </si>
  <si>
    <t>RDC_NB_GF_VAV7050_VEV7051</t>
  </si>
  <si>
    <t>RDC_NB_GF_VAV7060_VEV7061</t>
  </si>
  <si>
    <t>RDC_NB_GF_VAV7070A</t>
  </si>
  <si>
    <t>RDC_NB_GF_VAV7070B</t>
  </si>
  <si>
    <t>RDC_NB_GF_VAV7071A</t>
  </si>
  <si>
    <t>RDC_NB_GF_VAV7071B</t>
  </si>
  <si>
    <t>RDC_NB_GF_VAV7080</t>
  </si>
  <si>
    <t>RDC_NB_GF_VAV7085</t>
  </si>
  <si>
    <t>RDC_NB_GF_VAV7090</t>
  </si>
  <si>
    <t>RDC_NB_GF_VAV7095</t>
  </si>
  <si>
    <t>RDC_NB_GF_VAV7100</t>
  </si>
  <si>
    <t>RDC_NB_GF_VAV7105</t>
  </si>
  <si>
    <t>RDC_NB_GF_VAV7110</t>
  </si>
  <si>
    <t>RDC_NB_GF_VAV7115</t>
  </si>
  <si>
    <t>RDC_NB_GF_VAV7120</t>
  </si>
  <si>
    <t>RDC_NB_GF_VAV7125_EV7126</t>
  </si>
  <si>
    <t>RDC_NB_GF_VAV7130</t>
  </si>
  <si>
    <t>RDC_NB_GF_VAV7135</t>
  </si>
  <si>
    <t>RDC_NB_GF_VAV7140_EV7141</t>
  </si>
  <si>
    <t>RDC_NB_GF_VAV7145</t>
  </si>
  <si>
    <t>RDC_NB_GF_VAV7155</t>
  </si>
  <si>
    <t>RDC_NB_GF_VAV7165</t>
  </si>
  <si>
    <t>RDC_NB_GF_VAV7175</t>
  </si>
  <si>
    <t>RDC_NB_GF_VAV7176</t>
  </si>
  <si>
    <t>RDC_NB_GF_VAV7180</t>
  </si>
  <si>
    <t>RDC_NB_GF_VAV7185_EV7186</t>
  </si>
  <si>
    <t>RDC_NB_GF_VAV7195</t>
  </si>
  <si>
    <t>RDC_NB_GF_VAV7205</t>
  </si>
  <si>
    <t>RDC_NB_GF_VAV7215_EV7216</t>
  </si>
  <si>
    <t>RDC_NB_GF_VAV7220_CEV7221</t>
  </si>
  <si>
    <t>RDC_NB_GF_VAV7230_VEV7231</t>
  </si>
  <si>
    <t>RDC_NB_GF_VAV7240_VEV7241A</t>
  </si>
  <si>
    <t>RDC_NB_GF_VAV7250_VEV7251</t>
  </si>
  <si>
    <t>RDC_NB_GF_VAV7260_VEV7261</t>
  </si>
  <si>
    <t>RDC_NB_GF_VAV7270_VEV7271</t>
  </si>
  <si>
    <t>RDC_NB_GF_VAV7280_VEV7281</t>
  </si>
  <si>
    <t>RDC_NB_GF_VAV7290_VEV7291</t>
  </si>
  <si>
    <t>RDC_NB_GF_VAV7300</t>
  </si>
  <si>
    <t>RDC_NB_GF_VAV7310_VEV7311</t>
  </si>
  <si>
    <t>RDC_NB_GF_VAV7320_VEV7321</t>
  </si>
  <si>
    <t>RDC_NB_GF_VAV7330_VEV7331</t>
  </si>
  <si>
    <t>RDC_NB_GF_VAV7340_VEV7341</t>
  </si>
  <si>
    <t>RDC_NB_GF_VAV7350_VEV7351</t>
  </si>
  <si>
    <t>RDC_NB_GF_VAV7360_VEV7361</t>
  </si>
  <si>
    <t>RDC_NB_GF_VAV7370_VEV7371</t>
  </si>
  <si>
    <t>RDC_NB_GF_VAV7385</t>
  </si>
  <si>
    <t>RDC_NB_GF_VAV7390</t>
  </si>
  <si>
    <t>RDC_NB_GF_VAV7395</t>
  </si>
  <si>
    <t>RDC_NB_GF_VAV7400</t>
  </si>
  <si>
    <t>RDC_NB_GF_VAV7405</t>
  </si>
  <si>
    <t>RDC_NB_GF_VAV7410</t>
  </si>
  <si>
    <t>RDC_NB_GF_VAV7415</t>
  </si>
  <si>
    <t>RDC_NB_GF_VAV7425</t>
  </si>
  <si>
    <t>RDC_NB_GF_VAV7430</t>
  </si>
  <si>
    <t>RDC_NB_GF_VAV7435</t>
  </si>
  <si>
    <t>RDC_NB_GF_VAV7440</t>
  </si>
  <si>
    <t>RDC_NB_GF_VAV7445</t>
  </si>
  <si>
    <t>RDC_NB_GF_VAV7460</t>
  </si>
  <si>
    <t>RDC_NB_GF_VAV7465</t>
  </si>
  <si>
    <t>RDC_NB_GF_VAV7470</t>
  </si>
  <si>
    <t>RDC_NB_GF_VAV7475</t>
  </si>
  <si>
    <t>RDC_NB_GF_VAV7480</t>
  </si>
  <si>
    <t>RDC_NB_GF_VAV7485</t>
  </si>
  <si>
    <t>RDC_NB_GF_VAV7490_EV7495</t>
  </si>
  <si>
    <t>RDC_NB_GF_VAV7496</t>
  </si>
  <si>
    <t>RDC_NB_GF_VAV7498</t>
  </si>
  <si>
    <t>RDC_NB_GF_VAV7499</t>
  </si>
  <si>
    <t>RDC_SB_1F_VAV0506</t>
  </si>
  <si>
    <t>RDC_SB_1F_VAV0507</t>
  </si>
  <si>
    <t>RDC_SB_1F_VAV0508</t>
  </si>
  <si>
    <t>RDC_SB_1F_VAV0509</t>
  </si>
  <si>
    <t>RDC_SB_1F_VAV0510</t>
  </si>
  <si>
    <t>RDC_SB_1F_VAV0511</t>
  </si>
  <si>
    <t>RDC_SB_1F_VAV0512</t>
  </si>
  <si>
    <t>RDC_SB_1F_VAV0513</t>
  </si>
  <si>
    <t>RDC_SB_1F_VAV0514</t>
  </si>
  <si>
    <t>RDC_SB_1F_VAV0518</t>
  </si>
  <si>
    <t>RDC_SB_1F_VAV0519</t>
  </si>
  <si>
    <t>RDC_SB_1F_VAV0520</t>
  </si>
  <si>
    <t>RDC_SB_1F_VAV0521</t>
  </si>
  <si>
    <t>RDC_SB_1F_VAV0522</t>
  </si>
  <si>
    <t>RDC_SB_1F_VAV0523</t>
  </si>
  <si>
    <t>RDC_SB_1F_VAV0526</t>
  </si>
  <si>
    <t>RDC_SB_1F_VAV0527</t>
  </si>
  <si>
    <t>RDC_SB_1F_VAV0528</t>
  </si>
  <si>
    <t>RDC_SB_1F_VAV0529</t>
  </si>
  <si>
    <t>RDC_SB_1F_VAV0530</t>
  </si>
  <si>
    <t>RDC_SB_1F_VAV0531</t>
  </si>
  <si>
    <t>RDC_SB_1F_VAV0532</t>
  </si>
  <si>
    <t>RDC_SB_1F_VAV0533</t>
  </si>
  <si>
    <t>RDC_SB_1F_VAV0538</t>
  </si>
  <si>
    <t>RDC_SB_1F_VAV1501</t>
  </si>
  <si>
    <t>RDC_SB_1F_VAV1502</t>
  </si>
  <si>
    <t>RDC_SB_1F_VAV1503</t>
  </si>
  <si>
    <t>RDC_SB_1F_VAV1505</t>
  </si>
  <si>
    <t>RDC_SB_1F_VAV1506</t>
  </si>
  <si>
    <t>RDC_SB_1F_VAV1507</t>
  </si>
  <si>
    <t>RDC_SB_1F_VAV1508</t>
  </si>
  <si>
    <t>RDC_SB_1F_VAV1509</t>
  </si>
  <si>
    <t>RDC_SB_1F_VAV1510</t>
  </si>
  <si>
    <t>RDC_SB_1F_VAV1511</t>
  </si>
  <si>
    <t>RDC_SB_1F_VAV1512</t>
  </si>
  <si>
    <t>RDC_SB_1F_VAV1513</t>
  </si>
  <si>
    <t>RDC_SB_1F_VAV1514</t>
  </si>
  <si>
    <t>RDC_SB_1F_VAV1515</t>
  </si>
  <si>
    <t>RDC_SB_1F_VAV1516</t>
  </si>
  <si>
    <t>RDC_SB_1F_VAV1517</t>
  </si>
  <si>
    <t>RDC_SB_1F_VAV1518</t>
  </si>
  <si>
    <t>RDC_SB_1F_VAV1519</t>
  </si>
  <si>
    <t>RDC_SB_1F_VAV1520</t>
  </si>
  <si>
    <t>RDC_SB_1F_VAV1521</t>
  </si>
  <si>
    <t>RDC_SB_1F_VAV1522</t>
  </si>
  <si>
    <t>RDC_SB_1F_VAV1523</t>
  </si>
  <si>
    <t>RDC_SB_1F_VAV1524</t>
  </si>
  <si>
    <t>RDC_SB_1F_VAV1525</t>
  </si>
  <si>
    <t>RDC_SB_1F_VAV1526</t>
  </si>
  <si>
    <t>RDC_SB_1F_VAV1527</t>
  </si>
  <si>
    <t>RDC_SB_1F_VAV1528</t>
  </si>
  <si>
    <t>RDC_SB_1F_VAV1529</t>
  </si>
  <si>
    <t>RDC_SB_1F_VAV1530</t>
  </si>
  <si>
    <t>RDC_SB_1F_VAV1531</t>
  </si>
  <si>
    <t>RDC_SB_1F_VAV1532</t>
  </si>
  <si>
    <t>RDC_SB_1F_VAV1533</t>
  </si>
  <si>
    <t>RDC_SB_1F_VAV1534</t>
  </si>
  <si>
    <t>RDC_SB_1F_VAV1536</t>
  </si>
  <si>
    <t>RDC_SB_1F_VAV1539</t>
  </si>
  <si>
    <t>RDC_SB_1F_VAV1540</t>
  </si>
  <si>
    <t>RDC_SB_1F_VAV1542</t>
  </si>
  <si>
    <t>RDC_SB_1F_VAV1543</t>
  </si>
  <si>
    <t>RDC_SB_1F_VAV1544</t>
  </si>
  <si>
    <t>RDC_SB_1F_VAV1545</t>
  </si>
  <si>
    <t>RDC_SB_1F_VAV1546</t>
  </si>
  <si>
    <t>RDC_SB_1F_VAV1547</t>
  </si>
  <si>
    <t>RDC_SB_1F_VAV1548</t>
  </si>
  <si>
    <t>RDC_SB_1F_VAV1549</t>
  </si>
  <si>
    <t>RDC_SB_1F_VAV1550</t>
  </si>
  <si>
    <t>RDC_SB_1F_VAV1551</t>
  </si>
  <si>
    <t>RDC_SB_1F_VAV1552</t>
  </si>
  <si>
    <t>RDC_SB_1F_VAV1553</t>
  </si>
  <si>
    <t>RDC_SB_1F_VAV1554</t>
  </si>
  <si>
    <t>RDC_SB_1F_VAV1555</t>
  </si>
  <si>
    <t>RDC_SB_1F_VAV1556</t>
  </si>
  <si>
    <t>RDC_SB_1F_VAV1557</t>
  </si>
  <si>
    <t>RDC_SB_1F_VAV1558</t>
  </si>
  <si>
    <t>RDC_SB_1F_VAV1559</t>
  </si>
  <si>
    <t>RDC_SB_1F_VAV1560</t>
  </si>
  <si>
    <t>RDC_SB_1F_VAV1561</t>
  </si>
  <si>
    <t>RDC_SB_1F_VAV2501</t>
  </si>
  <si>
    <t>RDC_SB_1F_VAV2502</t>
  </si>
  <si>
    <t>RDC_SB_1F_VAV2503</t>
  </si>
  <si>
    <t>RDC_SB_1F_VAV2504</t>
  </si>
  <si>
    <t>RDC_SB_1F_VAV2505</t>
  </si>
  <si>
    <t>RDC_SB_1F_VAV2506</t>
  </si>
  <si>
    <t>RDC_SB_1F_VAV2508</t>
  </si>
  <si>
    <t>RDC_SB_1F_VAV2509</t>
  </si>
  <si>
    <t>RDC_SB_1F_VAV2510</t>
  </si>
  <si>
    <t>RDC_SB_1F_VAV2511</t>
  </si>
  <si>
    <t>RDC_SB_1F_VAV2512</t>
  </si>
  <si>
    <t>RDC_SB_1F_VAV2513</t>
  </si>
  <si>
    <t>RDC_SB_1F_VAV2514</t>
  </si>
  <si>
    <t>RDC_SB_1F_VAV2515</t>
  </si>
  <si>
    <t>RDC_SB_1F_VAV2516</t>
  </si>
  <si>
    <t>RDC_SB_1F_VAV2517</t>
  </si>
  <si>
    <t>RDC_SB_1F_VAV2518</t>
  </si>
  <si>
    <t>RDC_SB_1F_VAV2519</t>
  </si>
  <si>
    <t>RDC_SB_1F_VAV2520</t>
  </si>
  <si>
    <t>RDC_SB_1F_VAV2521</t>
  </si>
  <si>
    <t>RDC_SB_1F_VAV2522</t>
  </si>
  <si>
    <t>RDC_SB_1F_VAV2523</t>
  </si>
  <si>
    <t>RDC_SB_1F_VAV2524</t>
  </si>
  <si>
    <t>RDC_SB_1F_VAV2525</t>
  </si>
  <si>
    <t>RDC_SB_1F_VAV2526</t>
  </si>
  <si>
    <t>RDC_SB_1F_VAV2527</t>
  </si>
  <si>
    <t>RDC_SB_1F_VAV2528</t>
  </si>
  <si>
    <t>RDC_SB_1F_VAV2529</t>
  </si>
  <si>
    <t>RDC_SB_1F_VAV2530</t>
  </si>
  <si>
    <t>RDC_SB_1F_VAV2531</t>
  </si>
  <si>
    <t>RDC_SB_1F_VAV2532</t>
  </si>
  <si>
    <t>RDC_SB_1F_VAV2533</t>
  </si>
  <si>
    <t>RDC_SB_1F_VAV2534</t>
  </si>
  <si>
    <t>RDC_SB_1F_VAV2535</t>
  </si>
  <si>
    <t>RDC_SB_1F_VAV2536</t>
  </si>
  <si>
    <t>RDC_SB_1F_VAV2538</t>
  </si>
  <si>
    <t>RDC_SB_1F_VAV2539</t>
  </si>
  <si>
    <t>RDC_SB_1F_VAV2540</t>
  </si>
  <si>
    <t>RDC_SB_1F_VAV2541</t>
  </si>
  <si>
    <t>RDC_SB_1F_VAV2542</t>
  </si>
  <si>
    <t>RDC_SB_1F_VAV2543</t>
  </si>
  <si>
    <t>RDC_SB_1F_VAV2544</t>
  </si>
  <si>
    <t>RDC_SB_1F_VAV2545</t>
  </si>
  <si>
    <t>RDC_SB_1F_VAV2546</t>
  </si>
  <si>
    <t>RDC_SB_1F_VAV2547</t>
  </si>
  <si>
    <t>RDC_SB_1F_VAV2548</t>
  </si>
  <si>
    <t>RDC_SB_1F_VAV2549</t>
  </si>
  <si>
    <t>RDC_SB_1F_VAV2550</t>
  </si>
  <si>
    <t>RDC_SB_1F_VAV2551</t>
  </si>
  <si>
    <t>RDC_SB_1F_VAV2552</t>
  </si>
  <si>
    <t>RDC_SB_1F_VAV2553</t>
  </si>
  <si>
    <t>RDC_SB_1F_VAV3504</t>
  </si>
  <si>
    <t>RDC_SB_1F_VAV3505</t>
  </si>
  <si>
    <t>RDC_SB_1F_VAV3506</t>
  </si>
  <si>
    <t>RDC_SB_1F_VAV3507</t>
  </si>
  <si>
    <t>RDC_SB_1F_VAV3508</t>
  </si>
  <si>
    <t>RDC_SB_1F_VAV3509</t>
  </si>
  <si>
    <t>RDC_SB_1F_VAV3510</t>
  </si>
  <si>
    <t>RDC_SB_1F_VAV3511</t>
  </si>
  <si>
    <t>RDC_SB_1F_VAV3512</t>
  </si>
  <si>
    <t>RDC_SB_1F_VAV3513</t>
  </si>
  <si>
    <t>RDC_SB_1F_VAV3514</t>
  </si>
  <si>
    <t>RDC_SB_1F_VAV3515</t>
  </si>
  <si>
    <t>RDC_SB_1F_VAV3516</t>
  </si>
  <si>
    <t>RDC_SB_1F_VAV3517</t>
  </si>
  <si>
    <t>RDC_SB_1F_VAV3518</t>
  </si>
  <si>
    <t>RDC_SB_1F_VAV3519</t>
  </si>
  <si>
    <t>RDC_SB_1F_VAV3520</t>
  </si>
  <si>
    <t>RDC_SB_1F_VAV3521</t>
  </si>
  <si>
    <t>RDC_SB_1F_VAV3522</t>
  </si>
  <si>
    <t>RDC_SB_1F_VAV3523</t>
  </si>
  <si>
    <t>RDC_SB_1F_VAV3524</t>
  </si>
  <si>
    <t>RDC_SB_GF_VAV0001</t>
  </si>
  <si>
    <t>RDC_SB_GF_VAV0002</t>
  </si>
  <si>
    <t>RDC_SB_GF_VAV0003</t>
  </si>
  <si>
    <t>RDC_SB_GF_VAV0007</t>
  </si>
  <si>
    <t>RDC_SB_GF_VAV0008</t>
  </si>
  <si>
    <t>RDC_SB_GF_VAV0009</t>
  </si>
  <si>
    <t>RDC_SB_GF_VAV0010</t>
  </si>
  <si>
    <t>RDC_SB_GF_VAV0011</t>
  </si>
  <si>
    <t>RDC_SB_GF_VAV0012</t>
  </si>
  <si>
    <t>RDC_SB_GF_VAV0013</t>
  </si>
  <si>
    <t>RDC_SB_GF_VAV0014</t>
  </si>
  <si>
    <t>RDC_SB_GF_VAV0016</t>
  </si>
  <si>
    <t>RDC_SB_GF_VAV0017</t>
  </si>
  <si>
    <t>RDC_SB_GF_VAV0018</t>
  </si>
  <si>
    <t>RDC_SB_GF_VAV0019</t>
  </si>
  <si>
    <t>RDC_SB_GF_VAV0025</t>
  </si>
  <si>
    <t>RDC_SB_GF_VAV1003_VEV1002</t>
  </si>
  <si>
    <t>RDC_SB_GF_VAV1004</t>
  </si>
  <si>
    <t>RDC_SB_GF_VAV1008</t>
  </si>
  <si>
    <t>RDC_SB_GF_VAV2002</t>
  </si>
  <si>
    <t>RDC_SB_GF_VAV2003</t>
  </si>
  <si>
    <t>RDC_SB_GF_VAV2004</t>
  </si>
  <si>
    <t>RDC_SB_GF_VAV2005</t>
  </si>
  <si>
    <t>RDC_SB_GF_VAV2006</t>
  </si>
  <si>
    <t>RDC_SB_GF_VAV2007</t>
  </si>
  <si>
    <t>RDC_SB_GF_VAV2008</t>
  </si>
  <si>
    <t>RDC_SB_GF_VAV2009</t>
  </si>
  <si>
    <t>RDC_SB_GF_VAV2010</t>
  </si>
  <si>
    <t>RDC_SB_GF_VAV2011</t>
  </si>
  <si>
    <t>RDC_SB_GF_VAV2012</t>
  </si>
  <si>
    <t>RDC_SB_GF_VAV2013</t>
  </si>
  <si>
    <t>RDC_SB_GF_VAV2014</t>
  </si>
  <si>
    <t>RDC_SB_GF_VAV2015</t>
  </si>
  <si>
    <t>RDC_SB_GF_VAV2016</t>
  </si>
  <si>
    <t>RDC_SB_GF_VAV2017</t>
  </si>
  <si>
    <t>RDC_SB_GF_VAV2018</t>
  </si>
  <si>
    <t>RDC_SB_GF_VAV2019</t>
  </si>
  <si>
    <t>RDC_SB_GF_VAV2020</t>
  </si>
  <si>
    <t>RDC_SB_GF_VAV2021</t>
  </si>
  <si>
    <t>RDC_SB_GF_VAV2022</t>
  </si>
  <si>
    <t>RDC_SB_GF_VAV2023</t>
  </si>
  <si>
    <t>RDC_SB_GF_VAV2024</t>
  </si>
  <si>
    <t>RDC_SB_GF_VAV2025</t>
  </si>
  <si>
    <t>RDC_SB_GF_VAV2026</t>
  </si>
  <si>
    <t>RDC_SB_GF_VAV2027</t>
  </si>
  <si>
    <t>RDC_SB_GF_VAV2028</t>
  </si>
  <si>
    <t>RDC_SB_GF_VAV2029</t>
  </si>
  <si>
    <t>RDC_SB_GF_VAV2030</t>
  </si>
  <si>
    <t>RDC_SB_GF_VAV2031</t>
  </si>
  <si>
    <t>RDC_SB_GF_VAV2032</t>
  </si>
  <si>
    <t>RDC_SB_GF_VAV2033</t>
  </si>
  <si>
    <t>RDC_SB_GF_VAV2034</t>
  </si>
  <si>
    <t>RDC_SB_GF_VAV2035</t>
  </si>
  <si>
    <t>RDC_SB_GF_VAV2036</t>
  </si>
  <si>
    <t>RDC_SB_GF_VAV2037</t>
  </si>
  <si>
    <t>RDC_SB_GF_VAV2038</t>
  </si>
  <si>
    <t>RDC_SB_GF_VAV2039</t>
  </si>
  <si>
    <t>RDC_SB_GF_VAV2040</t>
  </si>
  <si>
    <t>RDC_SB_GF_VAV2041</t>
  </si>
  <si>
    <t>RDC_SB_GF_VAV2042</t>
  </si>
  <si>
    <t>RDC_SB_GF_VAV2043</t>
  </si>
  <si>
    <t>RDC_SB_GF_VAV2044</t>
  </si>
  <si>
    <t>RDC_SB_GF_VAV2045</t>
  </si>
  <si>
    <t>RDC_SB_GF_VAV2046</t>
  </si>
  <si>
    <t>RDC_SB_GF_VAV2047</t>
  </si>
  <si>
    <t>RDC_SB_GF_VAV3001</t>
  </si>
  <si>
    <t>RDC_SB_GF_VAV3002</t>
  </si>
  <si>
    <t>RDC_SB_GF_VAV3003</t>
  </si>
  <si>
    <t>RDC_SB_GF_VAV3004</t>
  </si>
  <si>
    <t>RDC_SB_GF_VAV3005</t>
  </si>
  <si>
    <t>RDC_SB_GF_VAV3006</t>
  </si>
  <si>
    <t>RDC_SB_GF_VAV3007</t>
  </si>
  <si>
    <t>RDC_SB_GF_VAV3008</t>
  </si>
  <si>
    <t>RDC_SB_GF_VAV3009</t>
  </si>
  <si>
    <t>RDC_SB_GF_VAV3010</t>
  </si>
  <si>
    <t>RDC_SB_GF_VAV3011</t>
  </si>
  <si>
    <t>RDC_SB_GF_VAV3012</t>
  </si>
  <si>
    <t>RDC_SB_GF_VAV3013</t>
  </si>
  <si>
    <t>RDC_SB_GF_VAV3014</t>
  </si>
  <si>
    <t>RDC_SB_GF_VAV3015</t>
  </si>
  <si>
    <t>RDC_SB_GF_VAV3016</t>
  </si>
  <si>
    <t>RDC_SB_GF_VAV3017</t>
  </si>
  <si>
    <t>RDC_SB_GF_VAV3018</t>
  </si>
  <si>
    <t>RDC_SB_GF_VAV3019</t>
  </si>
  <si>
    <t>RDC_SB_GF_VAV3020</t>
  </si>
  <si>
    <t>RDC_SB_GF_VAV3021</t>
  </si>
  <si>
    <t>RDC_SB_GF_VAV3022</t>
  </si>
  <si>
    <t>RDC_SB_GF_VAV3023</t>
  </si>
  <si>
    <t>RDC_SB_GF_VAV3024</t>
  </si>
  <si>
    <t>RDC_SB_GF_VAV3025</t>
  </si>
  <si>
    <t>RDC_SB_GF_VAV3026</t>
  </si>
  <si>
    <t>RDC_SB_GF_VAV3027</t>
  </si>
  <si>
    <t>RDC_SB_GF_VAV3028</t>
  </si>
  <si>
    <t>RDC_SB_GF_VAV3029</t>
  </si>
  <si>
    <t>RDC_SB_GF_VAV3030</t>
  </si>
  <si>
    <t>RDC_SB_GF_VAV3031</t>
  </si>
  <si>
    <t>RDC_SB_GF_VAV3032</t>
  </si>
  <si>
    <t>RDC_SB_GF_VAV3033</t>
  </si>
  <si>
    <t>RDC_SB_GF_VAV3034</t>
  </si>
  <si>
    <t>RDC_SB_GF_VAV3035</t>
  </si>
  <si>
    <t>RDC_SB_GF_VAV3036</t>
  </si>
  <si>
    <t>RDC_SB_GF_VAV3501</t>
  </si>
  <si>
    <t>RDC_SB_GF_VAV3502</t>
  </si>
  <si>
    <t>RDC_SB_GF_VAV3503</t>
  </si>
  <si>
    <t>RDC_NB_1F_VAV4510</t>
  </si>
  <si>
    <t>RDC_NB_1F_VAV4515_EV4516</t>
  </si>
  <si>
    <t>RDC_NB_1F_VAV4520_EV4521</t>
  </si>
  <si>
    <t>RDC_NB_1F_VAV4525_EV4526</t>
  </si>
  <si>
    <t>RDC_NB_1F_VAV4530_EV4531</t>
  </si>
  <si>
    <t>RDC_NB_1F_VAV4535_EV4536</t>
  </si>
  <si>
    <t>RDC_NB_1F_VAV4540_EV4541</t>
  </si>
  <si>
    <t>RDC_NB_1F_VAV4545_EV4546</t>
  </si>
  <si>
    <t>RDC_NB_1F_VAV4550_EV4551</t>
  </si>
  <si>
    <t>RDC_NB_1F_VAV4555_EV4556</t>
  </si>
  <si>
    <t>RDC_NB_1F_VAV4560_EV4561</t>
  </si>
  <si>
    <t>RDC_NB_1F_VAV4565_EV4566</t>
  </si>
  <si>
    <t>RDC_NB_1F_VAV4570_EV4571</t>
  </si>
  <si>
    <t>RDC_NB_1F_VAV4575_EV4576</t>
  </si>
  <si>
    <t>RDC_NB_1F_VAV4580</t>
  </si>
  <si>
    <t>RDC_NB_1F_VAV4600</t>
  </si>
  <si>
    <t>RDC_NB_1F_VAV4601</t>
  </si>
  <si>
    <t>RDC_NB_1F_VAV4620_VEV4621</t>
  </si>
  <si>
    <t>RDC_NB_1F_VAV4630_VEV4631</t>
  </si>
  <si>
    <t>RDC_NB_1F_VAV4650</t>
  </si>
  <si>
    <t>RDC_NB_1F_VAV4660</t>
  </si>
  <si>
    <t>RDC_NB_1F_VAV4665</t>
  </si>
  <si>
    <t>RDC_NB_1F_VAV4670</t>
  </si>
  <si>
    <t>RDC_NB_1F_VAV4675</t>
  </si>
  <si>
    <t>RDC_NB_1F_VAV4680</t>
  </si>
  <si>
    <t>RDC_NB_1F_VAV4685</t>
  </si>
  <si>
    <t>RDC_NB_1F_VAV4690</t>
  </si>
  <si>
    <t>RDC_NB_1F_VAV4695</t>
  </si>
  <si>
    <t>RDC_NB_1F_VAV4700</t>
  </si>
  <si>
    <t>RDC_NB_1F_VAV4705</t>
  </si>
  <si>
    <t>RDC_NB_1F_VAV4710</t>
  </si>
  <si>
    <t>RDC_NB_1F_VAV4715</t>
  </si>
  <si>
    <t>RDC_NB_1F_VAV4720</t>
  </si>
  <si>
    <t>RDC_NB_1F_VAV4725</t>
  </si>
  <si>
    <t>RDC_NB_1F_VAV4730</t>
  </si>
  <si>
    <t>RDC_NB_1F_VAV4735</t>
  </si>
  <si>
    <t>RDC_NB_1F_VAV4740</t>
  </si>
  <si>
    <t>RDC_NB_1F_VAV4745</t>
  </si>
  <si>
    <t>RDC_NB_1F_VAV4900P</t>
  </si>
  <si>
    <t>RDC_NB_1F_VAV4910P</t>
  </si>
  <si>
    <t>RDC_NB_1F_VAV5500</t>
  </si>
  <si>
    <t>RDC_NB_1F_VAV5501</t>
  </si>
  <si>
    <t>RDC_NB_1F_VAV5510_EV5511</t>
  </si>
  <si>
    <t>RDC_NB_1F_VAV5515_EV5516</t>
  </si>
  <si>
    <t>RDC_NB_1F_VAV5520_EV5521</t>
  </si>
  <si>
    <t>RDC_NB_1F_VAV5525_EV5526</t>
  </si>
  <si>
    <t>RDC_NB_1F_VAV5535_EV5536</t>
  </si>
  <si>
    <t>RDC_NB_1F_VAV5540_EV5541</t>
  </si>
  <si>
    <t>RDC_NB_1F_VAV5550_VEV5551</t>
  </si>
  <si>
    <t>RDC_NB_1F_VAV5560_VEV5561</t>
  </si>
  <si>
    <t>RDC_NB_1F_VAV5570</t>
  </si>
  <si>
    <t>RDC_NB_1F_VAV5571</t>
  </si>
  <si>
    <t>RDC_NB_1F_VAV5580_VEV5581</t>
  </si>
  <si>
    <t>RDC_NB_1F_VAV5590</t>
  </si>
  <si>
    <t>RDC_NB_1F_VAV5600_VEV5601</t>
  </si>
  <si>
    <t>RDC_NB_1F_VAV5610_VEV5611</t>
  </si>
  <si>
    <t>RDC_NB_1F_VAV5620_VEV5622</t>
  </si>
  <si>
    <t>RDC_NB_1F_VAV5621_VEV5623</t>
  </si>
  <si>
    <t>RDC_NB_1F_VAV5630_VEV5631</t>
  </si>
  <si>
    <t>RDC_NB_1F_VAV5650</t>
  </si>
  <si>
    <t>RDC_NB_1F_VAV5655_EV5656</t>
  </si>
  <si>
    <t>RDC_NB_1F_VAV5660</t>
  </si>
  <si>
    <t>RDC_NB_1F_VAV5665</t>
  </si>
  <si>
    <t>RDC_NB_1F_VAV5670</t>
  </si>
  <si>
    <t>RDC_NB_1F_VAV5675</t>
  </si>
  <si>
    <t>RDC_NB_1F_VAV5680</t>
  </si>
  <si>
    <t>RDC_NB_1F_VAV5685</t>
  </si>
  <si>
    <t>RDC_NB_1F_VAV5690</t>
  </si>
  <si>
    <t>RDC_NB_1F_VAV5695</t>
  </si>
  <si>
    <t>RDC_NB_1F_VAV5700</t>
  </si>
  <si>
    <t>RDC_NB_1F_VAV5705</t>
  </si>
  <si>
    <t>RDC_NB_1F_VAV5710</t>
  </si>
  <si>
    <t>RDC_NB_1F_VAV5715_EV5716</t>
  </si>
  <si>
    <t>RDC_NB_1F_VAV5730_EV5731</t>
  </si>
  <si>
    <t>RDC_NB_1F_VAV5735_EV5736</t>
  </si>
  <si>
    <t>RDC_NB_1F_VAV5740_EV5741</t>
  </si>
  <si>
    <t>RDC_NB_1F_VAV5745</t>
  </si>
  <si>
    <t>RDC_NB_1F_VAV5760_EV5761</t>
  </si>
  <si>
    <t>RDC_NB_1F_VAV5770_VEV5771</t>
  </si>
  <si>
    <t>RDC_NB_1F_VAV5780_VEV5781</t>
  </si>
  <si>
    <t>RDC_NB_1F_VAV5790</t>
  </si>
  <si>
    <t>RDC_NB_1F_VAV5792_VEV5793</t>
  </si>
  <si>
    <t>RDC_NB_1F_VAV5794_VEV5795A</t>
  </si>
  <si>
    <t>RDC_NB_1F_VAV5800_VEV5801</t>
  </si>
  <si>
    <t>RDC_NB_1F_VAV5810</t>
  </si>
  <si>
    <t>RDC_NB_1F_VAV5814</t>
  </si>
  <si>
    <t>RDC_NB_1F_VAV5835_EV5836</t>
  </si>
  <si>
    <t>RDC_NB_1F_VAV5840</t>
  </si>
  <si>
    <t>RDC_NB_1F_VAV5845</t>
  </si>
  <si>
    <t>RDC_NB_1F_VAV5850</t>
  </si>
  <si>
    <t>RDC_NB_1F_VAV5855</t>
  </si>
  <si>
    <t>RDC_NB_1F_VAV5860</t>
  </si>
  <si>
    <t>RDC_NB_1F_VAV5865</t>
  </si>
  <si>
    <t>RDC_NB_1F_VAV5870</t>
  </si>
  <si>
    <t>RDC_NB_1F_VAV5875</t>
  </si>
  <si>
    <t>RDC_NB_1F_VAV5880</t>
  </si>
  <si>
    <t>RDC_NB_1F_VAV5885</t>
  </si>
  <si>
    <t>RDC_NB_1F_VAV5890</t>
  </si>
  <si>
    <t>RDC_NB_1F_VAV5895</t>
  </si>
  <si>
    <t>RDC_NB_1F_VAV5900</t>
  </si>
  <si>
    <t>RDC_NB_1F_VAV5905</t>
  </si>
  <si>
    <t>RDC_NB_1F_VAV5910</t>
  </si>
  <si>
    <t>RDC_NB_1F_VAV5915</t>
  </si>
  <si>
    <t>RDC_NB_1F_VAV5920</t>
  </si>
  <si>
    <t>RDC_NB_1F_VAV5925</t>
  </si>
  <si>
    <t>RDC_NB_1F_VAV5930</t>
  </si>
  <si>
    <t>RDC_NB_1F_VAV5930P</t>
  </si>
  <si>
    <t>RDC_NB_1F_VAV5935</t>
  </si>
  <si>
    <t>RDC_NB_1F_VAV5940</t>
  </si>
  <si>
    <t>RDC_NB_1F_VAV5940P</t>
  </si>
  <si>
    <t>RDC_NB_1F_VAV6505_EV6506</t>
  </si>
  <si>
    <t>RDC_NB_1F_VAV6510_EV6511</t>
  </si>
  <si>
    <t>RDC_NB_1F_VAV6525_EV6526</t>
  </si>
  <si>
    <t>RDC_NB_1F_VAV6530_VEV6531</t>
  </si>
  <si>
    <t>RDC_NB_1F_VAV6540</t>
  </si>
  <si>
    <t>RDC_NB_1F_VAV6550</t>
  </si>
  <si>
    <t>RDC_NB_1F_VAV6551</t>
  </si>
  <si>
    <t>RDC_NB_1F_VAV6560_VEV6561</t>
  </si>
  <si>
    <t>RDC_NB_1F_VAV6570_VEV6571</t>
  </si>
  <si>
    <t>RDC_NB_1F_VAV6590_VEV6591</t>
  </si>
  <si>
    <t>RDC_NB_1F_VAV6600_VEV6601</t>
  </si>
  <si>
    <t>RDC_NB_1F_VAV6610_VEV6611</t>
  </si>
  <si>
    <t>RDC_NB_1F_VAV6620_VEV6621</t>
  </si>
  <si>
    <t>RDC_NB_1F_VAV6630A</t>
  </si>
  <si>
    <t>RDC_NB_1F_VAV6630B</t>
  </si>
  <si>
    <t>RDC_NB_1F_VAV6631A</t>
  </si>
  <si>
    <t>RDC_NB_1F_VAV6631B</t>
  </si>
  <si>
    <t>RDC_NB_1F_VAV6650</t>
  </si>
  <si>
    <t>RDC_NB_1F_VAV6655</t>
  </si>
  <si>
    <t>RDC_NB_1F_VAV6660</t>
  </si>
  <si>
    <t>RDC_NB_1F_VAV6665</t>
  </si>
  <si>
    <t>RDC_NB_1F_VAV6670</t>
  </si>
  <si>
    <t>RDC_NB_1F_VAV6675</t>
  </si>
  <si>
    <t>RDC_NB_1F_VAV6680</t>
  </si>
  <si>
    <t>RDC_NB_1F_VAV6685</t>
  </si>
  <si>
    <t>RDC_NB_1F_VAV6690</t>
  </si>
  <si>
    <t>RDC_NB_1F_VAV6695</t>
  </si>
  <si>
    <t>RDC_NB_1F_VAV6700_EV6701</t>
  </si>
  <si>
    <t>RDC_NB_1F_VAV6705</t>
  </si>
  <si>
    <t>RDC_NB_1F_VAV6710</t>
  </si>
  <si>
    <t>RDC_NB_1F_VAV6715</t>
  </si>
  <si>
    <t>RDC_NB_1F_VAV6720</t>
  </si>
  <si>
    <t>RDC_NB_1F_VAV6725_EV6726</t>
  </si>
  <si>
    <t>RDC_NB_1F_VAV6750</t>
  </si>
  <si>
    <t>RDC_NB_1F_VAV6760</t>
  </si>
  <si>
    <t>RDC_NB_1F_VAV6761</t>
  </si>
  <si>
    <t>RDC_NB_1F_VAV6800_VEV6801</t>
  </si>
  <si>
    <t>RDC_NB_1F_VAV6810_VEV6811</t>
  </si>
  <si>
    <t>RDC_NB_1F_VAV6820_VEV6821</t>
  </si>
  <si>
    <t>RDC_NB_1F_VAV6830_VEV6831</t>
  </si>
  <si>
    <t>RDC_NB_1F_VAV6840_VEV6841</t>
  </si>
  <si>
    <t>RDC_NB_1F_VAV6850</t>
  </si>
  <si>
    <t>RDC_NB_1F_VAV6851</t>
  </si>
  <si>
    <t>RDC_NB_1F_VAV6870_EV6871</t>
  </si>
  <si>
    <t>RDC_NB_1F_VAV6880</t>
  </si>
  <si>
    <t>RDC_NB_1F_VAV6885</t>
  </si>
  <si>
    <t>RDC_NB_1F_VAV6890_EV6891</t>
  </si>
  <si>
    <t>RDC_NB_1F_VAV6895</t>
  </si>
  <si>
    <t>RDC_NB_1F_VAV6900</t>
  </si>
  <si>
    <t>RDC_NB_1F_VAV6905</t>
  </si>
  <si>
    <t>RDC_NB_1F_VAV6910</t>
  </si>
  <si>
    <t>RDC_NB_1F_VAV6915</t>
  </si>
  <si>
    <t>RDC_NB_1F_VAV6920</t>
  </si>
  <si>
    <t>RDC_NB_1F_VAV6925</t>
  </si>
  <si>
    <t>RDC_NB_1F_VAV6930</t>
  </si>
  <si>
    <t>RDC_NB_1F_VAV6935</t>
  </si>
  <si>
    <t>RDC_NB_1F_VAV6940</t>
  </si>
  <si>
    <t>RDC_NB_1F_VAV6945</t>
  </si>
  <si>
    <t>RDC_NB_1F_VAV6950</t>
  </si>
  <si>
    <t>RDC_NB_1F_VAV6955</t>
  </si>
  <si>
    <t>RDC_NB_1F_VAV6960</t>
  </si>
  <si>
    <t>RDC_NB_1F_VAV6965</t>
  </si>
  <si>
    <t>RDC_NB_1F_VAV6967</t>
  </si>
  <si>
    <t>RDC_NB_1F_VAV6968</t>
  </si>
  <si>
    <t>RDC_NB_1F_VAV6970_EV6971</t>
  </si>
  <si>
    <t>RDC_NB_1F_VAV6972</t>
  </si>
  <si>
    <t>RDC_NB_1F_VAV6974</t>
  </si>
  <si>
    <t>RDC_NB_1F_VAV6976</t>
  </si>
  <si>
    <t>RDC_NB_1F_VAV6978</t>
  </si>
  <si>
    <t>RDC_NB_1F_VAV6979P</t>
  </si>
  <si>
    <t>RDC_NB_1F_VAV6980P</t>
  </si>
  <si>
    <t>RDC_NB_1F_VAV7510_VEV7511</t>
  </si>
  <si>
    <t>RDC_NB_1F_VAV7530_VEV7532</t>
  </si>
  <si>
    <t>RDC_NB_1F_VAV7531_VEV7533</t>
  </si>
  <si>
    <t>RDC_NB_1F_VAV7540_VEV7541</t>
  </si>
  <si>
    <t>RDC_NB_1F_VAV7550_VEV7551</t>
  </si>
  <si>
    <t>RDC_NB_1F_VAV7560_VEV7561</t>
  </si>
  <si>
    <t>RDC_NB_1F_VAV7570_VEV7571</t>
  </si>
  <si>
    <t>RDC_NB_1F_VAV7580_VEV7581</t>
  </si>
  <si>
    <t>RDC_NB_1F_VAV7600_VEV7601</t>
  </si>
  <si>
    <t>RDC_NB_1F_VAV7620</t>
  </si>
  <si>
    <t>RDC_NB_1F_VAV7625</t>
  </si>
  <si>
    <t>RDC_NB_1F_VAV7630</t>
  </si>
  <si>
    <t>RDC_NB_1F_VAV7635</t>
  </si>
  <si>
    <t>RDC_NB_1F_VAV7640</t>
  </si>
  <si>
    <t>RDC_NB_1F_VAV7645</t>
  </si>
  <si>
    <t>RDC_NB_1F_VAV7650</t>
  </si>
  <si>
    <t>RDC_NB_1F_VAV7655</t>
  </si>
  <si>
    <t>RDC_NB_1F_VAV7660</t>
  </si>
  <si>
    <t>RDC_NB_1F_VAV7665_EV7666</t>
  </si>
  <si>
    <t>RDC_NB_1F_VAV7670</t>
  </si>
  <si>
    <t>RDC_NB_1F_VAV7675</t>
  </si>
  <si>
    <t>RDC_NB_1F_VAV7680_EV7681</t>
  </si>
  <si>
    <t>RDC_NB_1F_VAV7685</t>
  </si>
  <si>
    <t>RDC_NB_1F_VAV7690</t>
  </si>
  <si>
    <t>RDC_NB_1F_VAV7695</t>
  </si>
  <si>
    <t>RDC_NB_1F_VAV7700_EV7701</t>
  </si>
  <si>
    <t>RDC_NB_1F_VAV7705</t>
  </si>
  <si>
    <t>RDC_NB_1F_VAV7710</t>
  </si>
  <si>
    <t>RDC_NB_1F_VAV7730_VEV7731</t>
  </si>
  <si>
    <t>RDC_NB_1F_VAV7740_VEV7741</t>
  </si>
  <si>
    <t>RDC_NB_1F_VAV7750_VEV7751</t>
  </si>
  <si>
    <t>RDC_NB_1F_VAV7770_VEV7771</t>
  </si>
  <si>
    <t>RDC_NB_1F_VAV7780_VEV7781</t>
  </si>
  <si>
    <t>RDC_NB_1F_VAV7800_VEV7801</t>
  </si>
  <si>
    <t>RDC_NB_1F_VAV7810_VEV7811</t>
  </si>
  <si>
    <t>RDC_NB_1F_VAV7820_VEV7822</t>
  </si>
  <si>
    <t>RDC_NB_1F_VAV7821_VEV7823</t>
  </si>
  <si>
    <t>RDC_NB_1F_VAV7840_EV7841</t>
  </si>
  <si>
    <t>RDC_NB_1F_VAV7845_EV7846</t>
  </si>
  <si>
    <t>RDC_NB_1F_VAV7850</t>
  </si>
  <si>
    <t>RDC_NB_1F_VAV7860</t>
  </si>
  <si>
    <t>RDC_NB_1F_VAV7865</t>
  </si>
  <si>
    <t>RDC_NB_1F_VAV7870</t>
  </si>
  <si>
    <t>RDC_NB_1F_VAV7875</t>
  </si>
  <si>
    <t>RDC_NB_1F_VAV7880</t>
  </si>
  <si>
    <t>RDC_NB_1F_VAV7885</t>
  </si>
  <si>
    <t>RDC_NB_1F_VAV7890</t>
  </si>
  <si>
    <t>RDC_NB_1F_VAV7895</t>
  </si>
  <si>
    <t>RDC_NB_1F_VAV7900</t>
  </si>
  <si>
    <t>RDC_NB_1F_VAV7905</t>
  </si>
  <si>
    <t>RDC_NB_1F_VAV7910</t>
  </si>
  <si>
    <t>RDC_NB_1F_VAV7915</t>
  </si>
  <si>
    <t>RDC_NB_1F_VAV7920</t>
  </si>
  <si>
    <t>RDC_NB_1F_VAV7925</t>
  </si>
  <si>
    <t>RDC_NB_1F_VAV7930</t>
  </si>
  <si>
    <t>RDC_NB_1F_VAV7935</t>
  </si>
  <si>
    <t>RDC_NB_1F_VAV7940</t>
  </si>
  <si>
    <t>RDC_NB_1F_VAV7945</t>
  </si>
  <si>
    <t>RDC_NB_1F_VAV7950</t>
  </si>
  <si>
    <t>RDC_NB_1F_VAV7955</t>
  </si>
  <si>
    <t>RDC_NB_1F_VAV7960</t>
  </si>
  <si>
    <t>RDC_NB_1F_VAV7975P</t>
  </si>
  <si>
    <t>RDC_NB_1F_VAV7980P</t>
  </si>
  <si>
    <t>RDC_NB_1F_FCU4910</t>
  </si>
  <si>
    <t>RDC_NB_1F_FCU4914</t>
  </si>
  <si>
    <t>RDC_NB_1F_FCU4915</t>
  </si>
  <si>
    <t>RDC_NB_1F_FCU4916</t>
  </si>
  <si>
    <t>RDC_NB_1F_FCU4917</t>
  </si>
  <si>
    <t>RDC_NB_1F_FCU5983</t>
  </si>
  <si>
    <t>RDC_NB_1F_FCU5984</t>
  </si>
  <si>
    <t>RDC_NB_1F_FCU5985</t>
  </si>
  <si>
    <t>RDC_NB_1F_FCU5986</t>
  </si>
  <si>
    <t>RDC_NB_1F_FCU5987</t>
  </si>
  <si>
    <t>RDC_NB_1F_FCU5993</t>
  </si>
  <si>
    <t>RDC_NB_1F_FCU5994</t>
  </si>
  <si>
    <t>RDC_NB_1F_FCU6988</t>
  </si>
  <si>
    <t>RDC_NB_1F_FCU6989</t>
  </si>
  <si>
    <t>RDC_NB_1F_FCU6990</t>
  </si>
  <si>
    <t>RDC_NB_1F_FCU6991</t>
  </si>
  <si>
    <t>RDC_NB_1F_FCU6992</t>
  </si>
  <si>
    <t>RDC_NB_1F_FCU7790</t>
  </si>
  <si>
    <t>RDC_NB_1F_FCU7984</t>
  </si>
  <si>
    <t>RDC_NB_1F_FCU7985</t>
  </si>
  <si>
    <t>RDC_NB_1F_FCU7986</t>
  </si>
  <si>
    <t>RDC_NB_1F_FCU7987</t>
  </si>
  <si>
    <t>RDC_NB_1F_FCU7988</t>
  </si>
  <si>
    <t>RDC_NB_1F_FCU7989</t>
  </si>
  <si>
    <t>RDC_NB_2F_FCU4918</t>
  </si>
  <si>
    <t>RDC_NB_2F_FCU4919</t>
  </si>
  <si>
    <t>RDC_NB_2F_FCU5988</t>
  </si>
  <si>
    <t>RDC_NB_2F_FCU5989</t>
  </si>
  <si>
    <t>RDC_NB_2F_FCU5990</t>
  </si>
  <si>
    <t>RDC_NB_2F_FCU6993</t>
  </si>
  <si>
    <t>RDC_NB_2F_FCU6994</t>
  </si>
  <si>
    <t>RDC_NB_2F_FCU6995</t>
  </si>
  <si>
    <t>RDC_NB_2F_FCU6996</t>
  </si>
  <si>
    <t>RDC_NB_2F_FCU7991</t>
  </si>
  <si>
    <t>RDC_NB_2F_FCU7992</t>
  </si>
  <si>
    <t>RDC_NB_GF_FCU4911</t>
  </si>
  <si>
    <t>RDC_NB_GF_FCU4912</t>
  </si>
  <si>
    <t>RDC_NB_GF_FCU4913</t>
  </si>
  <si>
    <t>RDC_NB_GF_FCU4920</t>
  </si>
  <si>
    <t>RDC_NB_GF_FCU5980</t>
  </si>
  <si>
    <t>RDC_NB_GF_FCU5981</t>
  </si>
  <si>
    <t>RDC_NB_GF_FCU5982</t>
  </si>
  <si>
    <t>RDC_NB_GF_FCU5991</t>
  </si>
  <si>
    <t>RDC_NB_GF_FCU5992</t>
  </si>
  <si>
    <t>RDC_NB_GF_FCU6981</t>
  </si>
  <si>
    <t>RDC_NB_GF_FCU6982</t>
  </si>
  <si>
    <t>RDC_NB_GF_FCU6983</t>
  </si>
  <si>
    <t>RDC_NB_GF_FCU6984</t>
  </si>
  <si>
    <t>RDC_NB_GF_FCU6985</t>
  </si>
  <si>
    <t>RDC_NB_GF_FCU6986</t>
  </si>
  <si>
    <t>RDC_NB_GF_FCU6987</t>
  </si>
  <si>
    <t>RDC_NB_GF_FCU7981</t>
  </si>
  <si>
    <t>RDC_NB_GF_FCU7982</t>
  </si>
  <si>
    <t>RDC_NB_GF_FCU7983</t>
  </si>
  <si>
    <t>RDC_NB_SB_Walkway_FCU9001</t>
  </si>
  <si>
    <t>RDC_NB_SB_Walkway_FCU9002</t>
  </si>
  <si>
    <t>RDC_NB_SB_Walkway_FCU9003</t>
  </si>
  <si>
    <t>RDC_NB_SB_Walkway_FCU9004</t>
  </si>
  <si>
    <t>RDC_NB_SB_Walkway_FCU9005</t>
  </si>
  <si>
    <t>RDC_SB_1F_FCU0501</t>
  </si>
  <si>
    <t>RDC_SB_1F_FCU0502</t>
  </si>
  <si>
    <t>RDC_SB_1F_FCU0503</t>
  </si>
  <si>
    <t>RDC_SB_1F_FCU1501</t>
  </si>
  <si>
    <t>RDC_SB_1F_FCU1502</t>
  </si>
  <si>
    <t>RDC_SB_1F_FCU1503</t>
  </si>
  <si>
    <t>RDC_SB_1F_FCU2501</t>
  </si>
  <si>
    <t>RDC_SB_1F_FCU2502</t>
  </si>
  <si>
    <t>RDC_SB_1F_FCU2503</t>
  </si>
  <si>
    <t>RDC_SB_1F_FCU2504</t>
  </si>
  <si>
    <t>RDC_SB_1F_FCU2505</t>
  </si>
  <si>
    <t>RDC_SB_1F_FCU3501</t>
  </si>
  <si>
    <t>RDC_SB_2F_FCU0201</t>
  </si>
  <si>
    <t>RDC_SB_2F_FCU0202</t>
  </si>
  <si>
    <t>RDC_SB_2F_FCU0203</t>
  </si>
  <si>
    <t>RDC_SB_2F_FCU0204</t>
  </si>
  <si>
    <t>RDC_SB_2F_FCU0205</t>
  </si>
  <si>
    <t>RDC_SB_2F_FCU0206</t>
  </si>
  <si>
    <t>RDC_SB_2F_FCU0207</t>
  </si>
  <si>
    <t>RDC_SB_2F_FCU0208</t>
  </si>
  <si>
    <t>RDC_SB_2F_FCU1201</t>
  </si>
  <si>
    <t>RDC_SB_2F_FCU1202</t>
  </si>
  <si>
    <t>RDC_SB_2F_FCU2201</t>
  </si>
  <si>
    <t>RDC_SB_2F_FCU2202</t>
  </si>
  <si>
    <t>RDC_SB_2F_FCU2203</t>
  </si>
  <si>
    <t>RDC_SB_2F_FCU2204</t>
  </si>
  <si>
    <t>RDC_SB_2F_FCU2205</t>
  </si>
  <si>
    <t>RDC_SB_2F_FCU2206</t>
  </si>
  <si>
    <t>RDC_SB_2F_FCU2207</t>
  </si>
  <si>
    <t>RDC_SB_2F_FCU2208</t>
  </si>
  <si>
    <t>RDC_SB_2F_FCU2209</t>
  </si>
  <si>
    <t>RDC_SB_2F_FCU2210</t>
  </si>
  <si>
    <t>RDC_SB_GF_FCU0001</t>
  </si>
  <si>
    <t>RDC_SB_GF_FCU1001</t>
  </si>
  <si>
    <t>RDC_SB_GF_FCU1002</t>
  </si>
  <si>
    <t>RDC_SB_GF_FCU1003</t>
  </si>
  <si>
    <t>RDC_SB_GF_FCU1004</t>
  </si>
  <si>
    <t>RDC_SB_GF_FCU1005</t>
  </si>
  <si>
    <t>RDC_SB_GF_FCU1006</t>
  </si>
  <si>
    <t>RDC_SB_GF_FCU1007</t>
  </si>
  <si>
    <t>RDC_SB_GF_FCU1008</t>
  </si>
  <si>
    <t>RDC_SB_GF_FCU2001</t>
  </si>
  <si>
    <t>RDC_SB_GF_FCU2002</t>
  </si>
  <si>
    <t>RDC_SB_GF_FCU2003</t>
  </si>
  <si>
    <t>RDC_SB_GF_FCU2004</t>
  </si>
  <si>
    <t>RDC_SB_GF_FCU2005</t>
  </si>
  <si>
    <t>RDC_SB_GF_FCU3001</t>
  </si>
  <si>
    <t>RDC_UB_GF_FCU8001</t>
  </si>
  <si>
    <t>RDC_UB_GF_FCU8002</t>
  </si>
  <si>
    <t>RDC_UB_GF_FCU8003</t>
  </si>
  <si>
    <t>RDC_UB_GF_FCU8004</t>
  </si>
  <si>
    <t>RDC_UB_GF_FCU8005</t>
  </si>
  <si>
    <t>RDC_UB_GF_FCU8006</t>
  </si>
  <si>
    <t>RDC_UB_GF_FCU8007</t>
  </si>
  <si>
    <t>RDC_UB_GF_FCU8008</t>
  </si>
  <si>
    <t>RDC_UB_GF_FCU8009</t>
  </si>
  <si>
    <t>RDC_UB_GF_FCU8010</t>
  </si>
  <si>
    <t>RDC_UB_GF_FCU8011</t>
  </si>
  <si>
    <t>RDC_UB_GF_FCU8012</t>
  </si>
  <si>
    <t>RDC_UB_GF_FCU8013</t>
  </si>
  <si>
    <t>RDC_UB_GF_FCU8014</t>
  </si>
  <si>
    <t>RDC_UB_GF_FCU8502</t>
  </si>
  <si>
    <t>RDC_UB_GF_FCU8503</t>
  </si>
  <si>
    <t>RDC_UB_GF_FCU8504</t>
  </si>
  <si>
    <t>RDC_UB_GF_FCU8505</t>
  </si>
  <si>
    <t>RDC_UB_GF_FCU8512</t>
  </si>
  <si>
    <t>RDC_UB_GF_FCU8513</t>
  </si>
  <si>
    <t>RDC_UB_GF_FCU8514</t>
  </si>
  <si>
    <t>RDC_UB_GF_FCU8515</t>
  </si>
  <si>
    <t>RDC_UB_MF_FCU8501</t>
  </si>
  <si>
    <t>RDC_UB_MF_FCU8506</t>
  </si>
  <si>
    <t>RDC_UB_MF_FCU8507</t>
  </si>
  <si>
    <t>RDC_UB_MF_FCU8508</t>
  </si>
  <si>
    <t>RDC_UB_MF_FCU8509</t>
  </si>
  <si>
    <t>RDC_UB_MF_FCU8510</t>
  </si>
  <si>
    <t>RDC_UB_MF_FCU8511</t>
  </si>
  <si>
    <t>VEV</t>
  </si>
  <si>
    <t>FEV</t>
  </si>
  <si>
    <t>Turn #</t>
  </si>
  <si>
    <t>Date</t>
  </si>
  <si>
    <t>User Request</t>
  </si>
  <si>
    <t>Action Taken</t>
  </si>
  <si>
    <t>Details</t>
  </si>
  <si>
    <t>Outcome</t>
  </si>
  <si>
    <t>Provided full transcript from previous session (classifying HQ VAV/FCU tags as Included/Not Included in column D by room type across Ground Floor–Level 11). New session; selection at D1174.</t>
  </si>
  <si>
    <t>Loaded prior context; set up Claude Log sheet; inspected the registry section around D1174.</t>
  </si>
  <si>
    <t>Row 1170 = AHUB_0005; FCU numbering restarts at FCU0001 on row 1171 — this is a separate building/section where column D holds room descriptions (e.g. 'SPRINKLER AND WATER','B.M.S'), not Included/Not Included marks. AHUs (rows 4-28) still unmarked pending direction.</t>
  </si>
  <si>
    <t>Awaiting user direction on next step (new floor, AHU handling, or final excluded-room verification).</t>
  </si>
  <si>
    <t>Clarified: wants room names (rooms served by each equipment tag) filled for the HQ block, rows 3–763, in column E (keeping the Included/Not Included marks in column D).</t>
  </si>
  <si>
    <t>Confirmed target column E via question; checked E is empty apart from a legend at E3/E4. Explained I cannot view the previous session's drawing images and my prior notes are not a clean per-row room map.</t>
  </si>
  <si>
    <t>Room names must be exact; prior notes grouped multiple tags per room label. Requested the floor drawings be resent one at a time to fill column E accurately, floor by floor.</t>
  </si>
  <si>
    <t>Awaiting user to resend the first HQ floor drawing to begin populating column E.</t>
  </si>
  <si>
    <t>Said they will send the floor drawings later tonight.</t>
  </si>
  <si>
    <t>Acknowledged; no workbook changes made. Confirmed the floor-by-floor workflow to populate column E with room names once drawings arrive.</t>
  </si>
  <si>
    <t>No cells written to Controllable Asset Registry this turn.</t>
  </si>
  <si>
    <t>On hold — awaiting HQ floor drawings from user (expected tonight).</t>
  </si>
  <si>
    <t>Sent HQ Roof Top (Level 12) drawing; asked me to start filling room names in column E for that floor.</t>
  </si>
  <si>
    <t>Wrote FCU room names to E155:E160 (FCU0126/0127 → 12.002 MCC Closet; FCU0128/0129 → 12.003 MCC Closet; FCU0130 → 12.004 MCC Closet; FCU0131 → roof plant/walkway near CSRR-0008). Verified by re-reading A155:E160.</t>
  </si>
  <si>
    <t>Roof VAV/12/01-13 units are NOT in the tag list (all VAV0001-0607 already assigned to Ground-L11; HQ block ends row 763, QNL starts 764). AHU/12/01-10 (rows 4-12) left blank — parked per earlier decision and AHUs don't serve a single room.</t>
  </si>
  <si>
    <t>Level 12 FCUs done. Flagged: SE 12.001 Electrical Closet sits beside 12.002 MCC Closet — could not confirm if one FCU serves 12.001 instead; FCU0131 has no room number on the drawing.</t>
  </si>
  <si>
    <t>Sent the 3rd image pair — new: South Building L0 Section A1.3; old: North Building L0 Section A2.3. Asked me to continue the established workflow (map the new floor, extract standalone tags from the old floor).</t>
  </si>
  <si>
    <t>Filled 3 blank FCU rows (FCU6987 row 2118, SB FCU0001 row 2159, SB FCU2001 row 2168). Appended 33 new rows (2365-2397): 5 A1.3 South Building AT tags, 24 A2.3 North Building AT tags, 4 A2.3 standalone EV valves. Flagged 7 uncertain rows yellow in C:D.</t>
  </si>
  <si>
    <t>Duplicate avoidance: skipped AT-0006 (already row 2262 from B1.1) and all A2.3 numbers already embedded in existing VAV rows (5000/5002, 5001/5003, 5010/5011, 5015/5016, 5030/5031, 5040/5041, 5045/5046, 5395, 5400, 5405, 5410/5411, 6000/6001, 6010/6011, 6025/6026, 6240/6241, 6300, 6305, 6310, 6315/6316). Appended only valves with no VAV row: EV-5021, EV-5035, EV-6016, EV-6127. Equipment type = each tag's own prefix (AT/EV) per the standing rule. NB FCU5982/5991/5992/6985/6986 were already populated from an earlier session and matched A2.3, so left untouched.</t>
  </si>
  <si>
    <t>3rd pair complete and verified (rows 2118, 2159, 2168, 2365-2397 re-read; no gaps). Next append row = 2398. Flagged yellow: AT-0002, AT-0005, AT-2001, AT-5030, AT-5045, EV-5035, EV-6127. Open note: A2.3 right-hand area is labelled RECEPTION AREA N-0169, which duplicates the left-side EXP. OFFICE N-0169 label - no tag sits there so no row was written.</t>
  </si>
  <si>
    <t>Sent the 4th image pair — new: South Building L0 Section A1.2; old: North Building L0 Section B2.1. Continue the established workflow.</t>
  </si>
  <si>
    <t>Filled SB FCU2002-2005 (rows 2169-2172). Mapped 45 of 46 blank VAV rows for A1.2 (C/D 1738:1783 = VAV2002-VAV2047). Appended 112 rows (2398-2509): 45 A1.2 AT-20xx, 8 A1.2 standalone 0-series AT, 43 B2.1 AT, 15 B2.1 valves, FCU6997. Corrected AT-2001 (row 2369). Flagged 39 uncertain rows yellow, then fixed 14 misplaced flags.</t>
  </si>
  <si>
    <t>A1.2 turned out to be a map-the-rooms floor: VAV2002-VAV2047 existed but were blank, and AT numbers correspond 1:1 to VAV numbers. There is no VAV2001 row and no VAV rows for the 0115-0124 series, so those 9 tags were appended only. VAV2005 (row 1741) left blank - AT-2005 does not appear on A1.2. Self-caught error: skipping AT-2005 in the append shifted my flag row offsets by one, so 7 flags landed on confident rows (AT-2010/2014/2017/2018/2026/2034/2036) and 7 uncertain rows were unflagged; cleared and re-applied correctly. AT-2001 moved from Vestibule S-0202 (per A1.3) to High-Density Room S-0206 (per A1.2, box sits inside the room outline) - still flagged.</t>
  </si>
  <si>
    <t>4th pair complete and verified (rows 2169-2172, 2369, 1738-1783, 2398-2510 re-read; no gaps; flag colours confirmed on C:D). Next append row = 2510. DEFERRED / NEEDS USER DECISION: (1) 21 blank NB VAV rows discovered - 1468 (VAV6295), 1473-1490 (VAV6320-6410), 1543-1544 (VAV7385/7390) - not filled because two existing rows conflict with the drawing, so a bulk same-number fill is unsafe. (2) Conflict A: registry row 1465 VAV6220 = Conf N-0331 and row 1463 VAV6205 = Emergency Elec. N-0333, but B2.1 shows AT-6220 at Emergency Elec. N-0333 and AT-6205 at Conference N-0331 (appears swapped). (3) Conflict B: registry row 1485 VAV6380 = Office N-0376, but B2.1 shows AT-6370 at Office N-0376 and AT-6380 at Workstation N-0378 (possible off-by-one, same pattern as the A2.2 fix).</t>
  </si>
  <si>
    <t>Sent the 5th image pair — new: South Building L0 Section A1.1; old: North Building L0 Section B2.2. Continue the established workflow.</t>
  </si>
  <si>
    <t>A1.1: filled VAV3001-3007 (rows 1784-1790) and FCU3001 (row 2173); appended 45 tags (2510-2554) = 32 AT-30xx plus 13 of the 2301-AT-01xx BACnet points. B2.2: appended 77 rows (2555-2631) = 51 AT (incl. the AT-7090/7105/7120 multi-node sensors), 8 standalone EV, 17 lab valves, FCU7993. Flagged 34 rows yellow across both.</t>
  </si>
  <si>
    <t>B2.2's VAV rows mostly already existed with rooms, so the AT twins inherited the registry room (consistent with the A2.1/A2.2 approach) rather than my read of the drawing; the five places where the drawing disagrees were flagged instead of overwritten. Multi-node tags (AT-7090-N1/N2, AT-7105-N1/N2, AT-7120-N1..N9) have no VAV rows and were mapped from the drawing to N-0412/0412A, N-0415/0415A, N-0418/0418A and N-0430A..N-0430F - all flagged. Skipped every valve already embedded in a VAV row name (VEV7031, VEV7051, VEV7061, CEV7221, VEV7231, VEV7241A, VEV7251/7261/7271/7281/7291/7311/7321/7331/7341/7351/7361/7371, EV7126/7141/7186/7216/7495). FEV-7232 appears twice on the drawing - appended once and flagged.</t>
  </si>
  <si>
    <t>5th pair complete and verified (rows 1784-1790, 2173, 2510-2632 re-read; 122 appended rows with no gaps; flag colours spot-checked against tag names). Next append row = 2632. NEW CONFLICTS FLAGGED, NOT OVERWRITTEN: (1) FCU rows 2119/2120/2121 (FCU7981 = Stair 5 N-0STO5, FCU7982 and FCU7983 = Service Corridor N-0344) disagree with B2.2, which shows FCU-7993 at Stair 5, FCU-7981 at IDF N-0419 and FCU-7982 near Mech/FPC N-0434. (2) Row 2085 FCU7790 is tagged NB_1F but B2.2 (Level 0) shows FCU-7790 at Stair 6 N-0ST06. (3) Registry rows 1517/1518 give both VAV7145 and VAV7155 the same room (Office N-0427) - drawing suggests 7145 = N-0425. (4) Row 1519 VAV7165 = N-0428 vs drawing N-0429. (5) Row 1523 VAV7185 = Office N-0426 vs drawing Emer. Elec. Room N-0433, and row 1526 VAV7215 = Emergency Elec. N-0433 vs drawing Office N-0438. STILL OPEN from turn 7: the 21 blank NB VAV rows (1468, 1473-1490, 1543-1544) and the VAV6205/6220 and VAV6380 conflicts.</t>
  </si>
  <si>
    <t>Sent the 6th image pair — new: South Building Level 1 Section B1.2; old: North Building Level 01 Section A2.1. First pair on Level 1 rather than Level 0.</t>
  </si>
  <si>
    <t>B1.2: filled 45 blank VAV rows (C/D across 1595:1645) and FCU1503 (row 2132); appended 49 AT tags (2632-2680). A2.1 L01: appended 28 rows (2681-2708) = 8 AT twins, 19 valves, FCU2004. Flagged 5 rows yellow after correcting 2 that landed one row off.</t>
  </si>
  <si>
    <t>Both drawings are Level 1, so writes went to the SB_1F and NB_1F blocks (not GF). SB VAV15xx occupies rows 1590-1645 but the series is not contiguous - VAV1504, 1535, 1537, 1538 and 1541 have no rows, so AT-1504/1535/1537 were appended only. NB_1F registry rooms for VAV4660-4745 matched my reading of the drawing exactly (N-1227 through N-1244), so those 8 AT twins needed no flags. NB_1F FCU4910/4915/4916/4917 were already correctly populated and match A2.1, so left untouched. Skipped valves already embedded in VAV row names (VEV4621, VEV4631, VEV4051/4061/4091, the VAV4070-4083 high-bay pairs) and VEV-4041 which was already appended at row 2253.</t>
  </si>
  <si>
    <t>6th pair complete and verified (rows 1590-1645, 2132, 2632-2709 re-read; 77 appended rows with no gaps; flag cells checked against tag names). Next append row = 2709. Flagged: AT-1504 (corridor position), AT-1533 and AT-1536 (sit between an electrical room and an office), AT-1537, CEV-4502, FCU2004. Still-blank SB L1 VAV rows with no tag on this drawing: 1590-1594 (VAV1501-1503, 1505, 1506), 1624-1625 (VAV1539/1540), 1627-1629 (VAV1543-1545), 1631 (VAV1547) - likely on the B1.1 half of Level 1. STILL OPEN: the 21 blank NB GF VAV rows (1468, 1473-1490, 1543-1544) and the registry conflicts at rows 1463/1465, 1485, 1517/1518, 1519, 1523/1526, 2085, 2119-2121.</t>
  </si>
  <si>
    <t>Sent the 7th image pair — new: South Building Level 1 Section B1.1; old: North Building Level 1 Section A2.2.</t>
  </si>
  <si>
    <t>B1.1: filled 34 blank VAV rows (1566-1594, 1624-1631) + FCU1501/1502 (2130-2131); appended 46 AT tags (2709-2754). A2.2: filled FCU5986 (2076) and VAV4650 (1842); appended 67 rows (2755-2821) = 42 AT, 7 EV, 18 lab valves. Flagged 12 rows yellow.</t>
  </si>
  <si>
    <t>ERROR MADE AND CORRECTED: I wrote to FCU5983 (row 2073) and FCU5984 (row 2074) without reading them first - they already held 'Not Included / JC N-1139' and 'Included / Corridor N-1138'. I overwrote both with my own reading of the drawing (IDF N-1140 / JC N-1139), then restored the original values from the pre-write snapshot and flagged all three rows instead. Only FCU5986 was genuinely blank and kept a new value. Lesson: read FCU rows before writing, as several were populated in earlier sessions. Otherwise: NB_1F VAV5650-5940 rooms already matched the drawing closely, so those 38 AT twins inherited the registry room. Skipped valves embedded in VAV row names (VEV5601/5611/5622/5623/5631/5771/5781/5793/5795A/5801, EV5656/5716/5731/5736/5741/5761/5836). Unnumbered 'TAG 0.0' boxes on A2.2 could not be appended.</t>
  </si>
  <si>
    <t>7th pair complete and verified (rows 1566-1645, 1842, 2073-2076, 2130-2132, 2709-2822 re-read; 113 appended rows with no gaps; all 12 flag cells checked against tag names). Next append row = 2822. South Building Level 1 is now fully mapped except VAV0509 (row 1569) - no AT-0509 appears on either B1.1 or B1.2. Flagged: AT-0504, AT-0505, AT-0515, AT-0534, AT-0529, AT-5685 (registry calls N-1126 an Office, drawing calls it Corridor), AT-5840 and AT-5905 (registry gives both Office N-1163), EV-5686, VEV-5581 (label appears twice on drawing), VEV-5821, FCU1503 (row 2132 - B1.2 shows it at Stair 1, B1.1 shows it near FPC S-1108/UPS S-1107D), FCU5983/5984/5986. STILL OPEN: 21 blank NB GF VAV rows (1468, 1473-1490, 1543-1544) and conflicts at rows 1463/1465, 1485, 1517/1518, 1519, 1523/1526, 2085, 2119-2121.</t>
  </si>
  <si>
    <t>Sent the 8th image pair — new: South Building Level 1 Section A1.3; old: North Building Level 1 Section A2.3. Both are sparse core/lobby sections.</t>
  </si>
  <si>
    <t>A1.3: filled VAV2501 (row 1646, Lobby S-1201), FCU0501 (2127, Stair 2 S-1ST02) and FCU2501 (2133, Stair 3 S-1ST03); appended 2 AT tags (2822-2823 = AT-2501 Lobby S-1201, AT-2507 Female S-1204); corrected AT-0503 and AT-0505 rooms. A2.3: NO rows written - see details. Flagged 4 rows.</t>
  </si>
  <si>
    <t>Pre-read all three fill targets before writing this turn (lesson from turn 10) - all were genuinely blank. AT-0503 changed from NCIR Office S-1115 to Women S-1106B and AT-0505 from UPS S-1107D to Emergency Elec. S-1107B: A1.3 is the section that actually contains the S-1105/S-1106B/S-1107B core, AT-0502 already matched Vestibule S-1105, and 0502/0503/0505 form a clean sequence onto those three rooms. A2.3 yielded nothing appendable: every sensor box on it is an unnumbered 'TAG' with no tag ID, so there is nothing to key a registry row on. Separately, FCU-2004 appears SIX times on A2.3 (Stair 3 N-1ST03, Stair 4 N-1ST04, Normal Elec. N-1310, IDF N-1311, Mech/FPC N-1353A, Reception N-1355) all reading 25.3 C - one BMS point bound to six graphic boxes, so no new rows could be derived; flagged row 2708 instead.</t>
  </si>
  <si>
    <t>8th pair complete and verified (rows 1646, 2127, 2133, 2708, 2711-2713, 2822-2824 re-read; flag fills confirmed). Next append row = 2824. OPEN QUESTION raised: moving AT-0503 to Women S-1106B leaves NCIR Office S-1115 with no sensor and VAV0509 (row 1569) still blank - the B1.1 tag I read as AT-0503 in that office may actually be AT-0509. Needs user confirmation before writing. Flagged: AT-0503, AT-0505, AT-2501, FCU2004. STILL OPEN from earlier turns: 21 blank NB GF VAV rows (1468, 1473-1490, 1543-1544) and conflicts at rows 1463/1465, 1485, 1517/1518, 1519, 1523/1526, 2085, 2119-2121, 1889, 1910/1923, 2132, 2073/2074.</t>
  </si>
  <si>
    <t>Sent the 9th image pair — new: South Building Level 1 Section A1.2; old: North Building Level 1 Section B2.1.</t>
  </si>
  <si>
    <t>A1.2: filled 50 blank VAV rows (C/D 1647:1696 = VAV2502-VAV2553) and 4 FCU rows (2134-2137); appended 51 AT tags (2824-2874). B2.1: appended 79 rows (2875-2953) = 40 AT, 8 EV, 31 lab valves. 130 appended rows total. Flagged 22 rows yellow.</t>
  </si>
  <si>
    <t>Pre-read all 54 fill targets before writing - all confirmed blank, no overwrite. Verified fill alignment by spot-checking VAV2511=Office S-1212, VAV2536=Normal Elec. S-1251, VAV2553=Male Prayer S-1278 after the block write. B2.1 registry rooms matched the drawing throughout (VAV6650-6725 = N-1319 to N-1336, VAV6900-6970 = N-1357 to N-1371, VAV7865 = N-1461A), so those 34 AT twins inherited the registry room with no flags. VAV6630B/6631B were checked and already populated (Bio-Med Chem Lab 1 N-1316L) so were skipped, as were FCU6988/6989 which already read Service Corridor N-1337 and match the drawing. Corridor-run valves EV-6936/6961/6969 were assigned by the EV-pairs-with-VAV convention (Workstation N-1363/N-1368/N-1371) and flagged, since the dotted corridor they sit on carries no room number on this drawing.</t>
  </si>
  <si>
    <t>9th pair complete and verified (rows 1647-1696, 2080-2081, 2134-2137, 2824-2954 re-read; 130 appended rows with no gaps; all 22 flag cells checked against tag names). Next append row = 2954. Flagged: AT-2502/2503/2505/2506 and VAV2502/2503/2505/2506 (four lobby-band sensors with no room label of their own - all assigned Lobby S-1202), AT-2552/VAV2552 (label appears twice on A1.2), AT-4260 (4000-series tag on a South Building drawing, assigned Men S-1254), FCU2502-2505, AT-7500, EV-7501, EV-6936/6961/6969, CEV-6581, FEV-6731. STILL OPEN: 21 blank NB GF VAV rows (1468, 1473-1490, 1543-1544); conflicts at rows 1463/1465, 1485, 1517/1518, 1519, 1523/1526, 2085, 2119-2121, 1889, 1910/1923, 2132, 2073/2074; and the AT-0503/AT-0509 vs NCIR Office S-1115 question (row 1569 still blank).</t>
  </si>
  <si>
    <t>Sent the 10th image pair — new: South Building Level 1 Section A1.1; old: North Building Level 1 Section B2.2.</t>
  </si>
  <si>
    <t>A1.1: filled 20 blank VAV rows (C/D 1697:1717 = VAV3504-VAV3524, leaving VAV3519 blank) and FCU3501 (row 2138, Stair S-1ST104); appended 28 AT tags (2954-2981). B2.2: appended 58 rows (2982-3039) = 42 AT, 8 EV, 8 lab valves. 86 appended rows total. Flagged 15 rows yellow.</t>
  </si>
  <si>
    <t>Pre-read all 22 fill targets and aborted-on-conflict guard was in the code; all were blank so nothing was overwritten. Verified alignment after the block write (VAV3504=Open Plan S-1229, VAV3514=Office S-1294, VAV3519 blank, VAV3524=Normal Elec. S-1238). VAV3519 left blank - no AT-3519 on the drawing. There are no VAV rows for AT-3501/3502/3503 or for the 2301-AT-02xx BACnet points, so those were appended only. B2.2 registry rooms matched the drawing throughout (VAV7620-7710 = N-1415 to N-1442, VAV7840-7960 = N-1458 to N-1480, and the N-1404x / N-1450x lab series), so all 42 AT twins inherited the registry room. RESOLVED an earlier flag: row 2085 FCU7790 was flagged in turn 8 because it carries the NB_1F tag but appeared on a Level 0 drawing - B2.2 (Level 1) now shows FCU-7790 at Stair 6 N-1ST06, matching the registry, so the NB_1F assignment looks correct and the Level 0 sighting was a graphic repeat. All seven NB_1F FCU rows (2085-2091) were already populated and match B2.2, so none were touched.</t>
  </si>
  <si>
    <t>10th pair complete and verified (rows 1697-1717, 2085-2091, 2138, 2954-3040 re-read; 86 appended rows with no gaps; all 15 flag cells checked against tag names). Next append row = 3040. Flagged: AT-3501 (sits under Lobby S-0294 which is a Level 0 room number on a Level 1 drawing), AT-3502, AT-3511/VAV3511, AT-3514/VAV3514 and AT-3520/VAV3520 (drawing carries TWO rooms labelled OFFICE S-1294 - one bottom-centre, one right of the stair), AT-0207/AT-0208, AT-7705 (registry room is just 'Expansion (Office)' with no number), EV-7663, EV-7712, CEV-7761, CEV-7791. NEW pre-existing issue spotted: rows 2034 and 2036 both give Flow Cyto N-1450C (VEV7751 and VEV7781) but the drawing puts VEV-7781 in iPS-TC N-1450F. STILL OPEN: 21 blank NB GF VAV rows (1468, 1473-1490, 1543-1544); conflicts at rows 1463/1465, 1485, 1517/1518, 1519, 1523/1526, 2119-2121, 1889, 1910/1923, 2132, 2073/2074, 2034/2036; and the AT-0503/AT-0509 vs NCIR Office S-1115 question (row 1569 still blank).</t>
  </si>
  <si>
    <t>Sent the 11th and final image pair — South Building Level 2 and North Building Level 2. Both are plant / penthouse levels.</t>
  </si>
  <si>
    <t>SB L2: filled all 20 blank FCU rows (C/D 2139:2158 = FCU0201-0208, FCU1201/1202, FCU2201-2210), all Not Included. NB L2: appended 10 rows (3040-3049) = 8 AT and 2 EV tags for the electrical and IDF rooms. NB L2 FCU rows (2092-2102) already populated and matching, so untouched. Flagged 6 rows yellow.</t>
  </si>
  <si>
    <t>Pre-read the 20 SB targets with an abort-on-conflict guard; all blank. Verified alignment after the write (FCU0201=South Penthouse S-2101, FCU1201=IDF S-2102, FCU2204=Emerg. Elec. S-2105, FCU2210=IDF S-2107). AT-5930 and AT-5940 also exist as NB_1F rows with different rooms (Office N-1170 / Workstation N-1165); the NB_2F prefix keeps them distinct, and the registry's own VAV5930P (row 1929, Normal Elec. N-2105) and VAV5940P (row 1932, Emer. Elec. N-2106) confirm the Level 2 penthouse assignment is right. AHUs (8011-8026, 8512-8521), ERUs (8531-8541) and EFs (8011A, 8012A, 8041-8044, 8551-8554) were NOT written - continuing the decision made early in this project that AHU-class plant does not serve a single room. If those should be registered, they need a separate pass.</t>
  </si>
  <si>
    <t>Final pair complete and verified (rows 2092-2102, 2139-2158, 3040-3050 re-read; 10 appended rows with no gaps; row 3050 empty; all 6 flag cells checked against tag names). Next append row = 3050. Flagged: FCU0204, FCU2201, FCU2202, FCU2203, FCU2205, FCU2210 - the penthouse FCUs sit in open plant space with no room boundary, so the split between South Penthouse S-2101 and the adjacent Emerg. Elec./IDF rooms is a best-guess. ALL 11 IMAGE PAIRS NOW PROCESSED. OUTSTANDING WORK FOR NEXT SESSION: (1) 21 blank NB GF VAV rows - 1468, 1473-1490, 1543-1544; (2) registry conflicts at rows 1463/1465, 1485, 1517/1518, 1519, 1523/1526, 2119-2121, 1889, 1910/1923, 2132, 2073/2074, 2034/2036; (3) AT-0503 vs AT-0509 and NCIR Office S-1115, row 1569 still blank; (4) SB L1 VAV3519 (row 1712) blank, no AT-3519 on any drawing; (5) unnumbered TAG boxes on NB A2.3, B2.1 and B2.2 that carry no tag ID; (6) AHU/ERU/EF plant equipment unregistered.</t>
  </si>
  <si>
    <t>Re-sent all 18 drawings and asked me to tackle outstanding items 1 to 3: the blank North Building GF VAV rows, the 12 registry conflicts, and the AT-0503 / AT-0509 / NCIR Office S-1115 question.</t>
  </si>
  <si>
    <t>Item 1: filled 19 blank NB GF VAV rows (1468, 1473-1484, 1486, 1488-1490, 1543-1544). Item 2: corrected 13 conflicting rows (1463, 1465, 1485, 1517, 1519, 1523, 1526, 1889, 1910, 2036, 2074, 2119, 2120) and synced 9 dependent appended rows (2565, 2567, 2569, 2572, 2711, 2762, 2775, 2797). Item 3: filled VAV0509 (row 1569). Bonus: filled FCU0502/FCU0503 (2128-2129) from B1.1. Cleared 21 resolved flags, set 11 remaining. Added 16 cell notes recording the evidence for each change.</t>
  </si>
  <si>
    <t>Two swaps were confirmed by temperature, not just position: AT-6220 reads 18.1 C and AT-6205 reads 20.8 C, so VAV6220 is the Emergency Elec. N-0333 unit and VAV6205 the Conference N-0331 unit (rows 1463/1465 were reversed); AT-7185 reads 15.0 C, so VAV7185 is the Emer. Elec. Room N-0433 unit and VAV7215 serves Office N-0438 (rows 1523/1526). Three duplicate-room errors resolved: VAV7145 was sharing N-0427 with VAV7155 (now N-0425); VAV5840 was sharing N-1163 with VAV5905 - A2.2's bottom office band has exactly 17 tags for 17 rooms with AT-5840 left over sitting on the Corridor N-1150 run, so VAV5840 is the corridor unit; VEV7781 was sharing Flow Cyto N-1450C with VEV7751 (now iPS-TC N-1450F). Row 2132 FCU1503 needed no change at all - my turn-10 flag was a misreading of B1.1, which actually shows FCU-0502 and FCU-0503, and filling those two was the bonus. VAV0509 was resolved by elimination rather than read off a drawing, and is flagged with a note saying so.</t>
  </si>
  <si>
    <t>Items 1-3 complete and verified (all 38 changed rows re-read; NB GF rows 1468-1490 and 1543-1544 now have zero blanks; the entire South Building Level 1 block 1566-1696 now has zero blanks; flag colours spot-checked against tag names). REMAINING OPEN: (a) row 2121 FCU7983 - reads Service Corridor N-0344 but does not appear on any drawing supplied, still flagged; (b) VAV6295 (1468), VAV6320 (1473), VAV6410 (1490) - filled but flagged, positions are best-guess; (c) VAV0509 (1569) and AT-0503 (2711) - flagged, need the BMS point list to settle whether the S-1115 sensor is AT-0503 or AT-0509; (d) FCU0502/0503 (2128-2129) flagged on position; (e) SB L1 VAV3519 (row 1712) still blank, no AT-3519 on any drawing; (f) unnumbered TAG boxes on NB A2.3, B2.1, B2.2 need IDs from the mechanical drawings or point list; (g) AHU / ERU / EF plant equipment still unregistered.</t>
  </si>
  <si>
    <t>Switched to the QNL section (rows 766-1165). Sent IMG_9606.jpeg (Honeywell HMI, QNL Second Floor Zone-1 Part-1). New rules: use the Key Plan zone name + image name in parentheses when a room number is absent, mark those Included and highlight red; highlight uncertain rows yellow; only technical/executive rooms are Not Included. Follow-up: CAV/FEV/VEV tags found on drawings must be appended above the SSC section.</t>
  </si>
  <si>
    <t>Filled C/D for VAV_2F_S12_001-029, _097 (rows 975-1004), VAV_2F_S13_004 (row 1008) and FCU_2F_005 (row 850). Applied red fill to the 20 zone-named rows and yellow to the 2 uncertain/technical rows. Located the QNL/SSC boundary for future CAV/FEV/VEV inserts.</t>
  </si>
  <si>
    <t>Rows 975-994 (VAV_2F_S12_001-020) sit in the unlabelled open library floor, so all 20 got 'Second Floor Zone-1 Part-1 (IMG_9606.jpeg)' per the new Key Plan rule (Current View = Part-1), Included, red fill. Named rooms mapped left-to-right along the top office band: 021 Breakout Space, 022 Circulation Office, 023 + 024 Office Space Col., 025 Transl. Spc &amp; ED Publications Spc.; group study band: 026 Room 5, 029 Room 6, 027 Room 7, 097 Room 8; S13_004 Open Office. FCU_2F_005 = MDF Room, Not Included as a technical room, flagged yellow. VAV_2F_S12_028 sits between the two Office Space Col. cells and Transl. Spc with no clear boundary - given a dual name and flagged yellow. QNL section confirmed as rows 766-1165 with the SSC header at row 1166; QNL currently holds only AHUB, FCU and VAV prefixes (no CAV/FEV/VEV rows exist yet).</t>
  </si>
  <si>
    <t>Verified by re-reading A970:D1010 and C850:D850 - values and fill colours confirmed. NOT WRITTEN this turn (right edge of the photo is cut off, rooms not fully readable): VAV_2F_S13_005/006/009/011/012/013 and VAV_2F_S10_001/002/004/005 - awaiting a clearer or adjacent view. No CAV/FEV/VEV tags appear on IMG_9606, so no rows were appended; when they do appear they will be inserted at row 1166, immediately above the SSC header.</t>
  </si>
  <si>
    <t>Second image: IMG_9608.jpeg - QNL Honeywell HMI, 'Second Floor Zone-2-P1' (Key Plan: Second Level, Current View = Part-1). Fill in the QNL section using the same rules as the first image.</t>
  </si>
  <si>
    <t>Filled C/D for 33 rows: VAV_2F_S10_003 (971), _006 (974); VAV_2F_S13_001/002/003/008/010/015/016 (1005-1020); VAV_2F_S14_001-014 (1021-1034) and _016-020 (1036-1040); VAV_2F_S15_001-005 (1042-1046). Red fill on the 21 zone-named rows, yellow on 2 rows needing review.</t>
  </si>
  <si>
    <t>Named rooms read left-to-right off the executive/admin band: S13_010 + S13_015 = Ad. Admin &amp; Planning, S13_008 = Office Coord., S13_001 + S13_002 = Lib. Director's Room, S13_003 = Service &amp; Lounge, S13_016 = VIP Waiting, S15_001-004 = VIP Room, S15_005 = VIP Meeting. Applied the executive-room rule: Lib. Director's Room, VIP Room, VIP Waiting and VIP Meeting all set to Not Included (7 rows). Ad. Admin &amp; Planning set to Included but flagged yellow - it sits inside the same executive suite band and may be an executive office rather than a staff office, so it needs your call. The whole right-hand grid (S14_001-014, _016-020) and the two S10 units on the left have no room label on the drawing, so all 21 got 'Second Floor Zone-2 Part-1 (IMG_9608.jpeg)' per the Key Plan rule, Included, red fill.</t>
  </si>
  <si>
    <t>Verified by re-reading A971:D1046 - tags, values and fill colours all confirmed against the intended mapping. NOT WRITTEN (cropped off the right edge of the photo): VAV_2F_S14_015 (row 1035) and VAV_2F_S14_021 (row 1041) - their tags are cut off mid-label. Also still outstanding from image 1: VAV_2F_S13_005/006/009/011/012/013 and VAV_2F_S10_001/002/004/005. No CAV, FEV or VEV tags on this drawing either, so no rows appended above the SSC header (row 1166).</t>
  </si>
  <si>
    <t>Third image: IMG_9610.jpeg - QNL Honeywell HMI, 'Second Floor Zone-3-P1' (Key Plan: Second Level, Current View = Part-1). Fill in the QNL section using the same rules.</t>
  </si>
  <si>
    <t>Filled C/D for 2 rows: FCU_2F_043 (row 860) and FCU_2F_044 (row 861), both set to Included / 'Display Area'. No highlight applied.</t>
  </si>
  <si>
    <t>This view is almost empty - only two FCU tags and a single blue room label, 'Display Area', are present. Both FCUs sit inside the same wall-bounded open hall as that label (between the vertical wall runs at either side), so the real room name was used rather than the Key Plan zone fallback, meaning no red highlight was needed. Display Area is a public library space, so neither the technical-room nor the executive-room exclusion applies and both are Included. Row positions confirmed by reading A846:A880: the FCU_2F block runs 001-005 at rows 846-850 then jumps to 034-062 at rows 851-879, which puts 043 at 860 and 044 at 861.</t>
  </si>
  <si>
    <t>Verified by re-reading A860:D861 as rendered text - both rows show the correct tag, Included, and Display Area. Judgement call flagged to the user in chat rather than with a yellow fill: the 'Display Area' label sits a fair distance from the two tags in a sparse drawing, so it is worth a glance on review. Outstanding backlog unchanged: VAV_2F_S14_015 (1035), VAV_2F_S14_021 (1041), VAV_2F_S13_005/006/009/011/012/013, VAV_2F_S10_001/002/004/005. Still no CAV, FEV or VEV tags seen on any drawing so far, so nothing appended above the SSC header at row 1166.</t>
  </si>
  <si>
    <t>Fourth image: IMG_9611.jpeg - QNL Honeywell HMI, 'Second Floor Zone-3-P2' (Key Plan: Second Level, Zn-3, Current View = Part-2). Fill the QNL section using the established rules.</t>
  </si>
  <si>
    <t>Filled C/D for 18 FCU rows: FCU_2F_034-040 (851-857), _045-055 (862-872). All set Included. Yellow flag on 2 rows (866, 869). No red/zone-named rows needed - every device on this view sits in a labelled room.</t>
  </si>
  <si>
    <t>Auditorium is the large room top-centre and holds 7 units: FCU_2F_034-040 (rows 851-857). The middle block carries two 'Group Study Room' labels (one above, one below) with FCU_2F_045, _046, _047 inside - all three named Group Study Room since both labels read identically. The right block is split into a rest-room column and an individual-study column, top and bottom: FCU_2F_048 = Rest Room (Men), _051 = Rest Room (Women), _050 and _053 = Indiv. Study Room. Bottom of view: FCU_2F_054 and _055 = Lounge Area. Rest rooms, lounge, auditorium and study rooms are all public library spaces - none are technical or executive - so nothing on this drawing is Not Included.</t>
  </si>
  <si>
    <t>Verified by re-reading A851:D872 - tags, values and fill colours all confirmed. FLAGGED YELLOW for review: FCU_2F_049 (row 866) and FCU_2F_052 (row 869) sit in a middle column between the rest rooms and the individual study rooms with no label directly above them, so each was given a dual name pending your decision. NOT WRITTEN: FCU_2F_041 (858) and _042 (859) do not appear on this view. Backlog still open: VAV_2F_S14_015 (1035), _021 (1041), VAV_2F_S13_005/006/009/011/012/013, VAV_2F_S10_001/002/004/005. Still no CAV, FEV or VEV tags on any drawing so far - nothing inserted above the SSC header (row 1166).</t>
  </si>
  <si>
    <t>Fifth image: IMG_9621.jpeg - QNL Honeywell HMI, 'Terrace Floor Zone-1-P1' (Key Plan: Terrace Level, Current View = Part-1). First terrace-level drawing; only 4 tags on the view.</t>
  </si>
  <si>
    <t>Filled C/D for 4 FCU rows, all Included: FCU_2F_060/061/062 (rows 877-879) = Recreational Area; FCU_2F_003 (row 848) = 'Book Shelf (IMG_9621.jpeg)' flagged yellow. No red rows - every sensor had a nearby drawing label.</t>
  </si>
  <si>
    <t>FCU_2F_060, _061 and _062 sit clearly inside the walled box carrying the 'Recreational Area' label, so those three were straightforward. FCU_2F_003 is the judgement call: it sits at the left end of the long open strip along the top of the terrace that carries three repeated 'Book Shelf' labels. That is a furniture/zone descriptor rather than a discrete room, and because the label repeats three times it does not uniquely identify a space - so it was named 'Book Shelf (IMG_9621.jpeg)' and flagged yellow rather than red, since a real drawing label does exist and the Key Plan fallback was not strictly triggered. Note the terrace level still uses the FCU_2F_ tag prefix, so terrace assets live inside the same FCU_2F block (rows 846-879) as the second floor - no separate terrace range.</t>
  </si>
  <si>
    <t>Verified by re-reading A877:D879 and A848:D848 as rendered text - tags, values and Included flags all confirmed. Open question raised with the user: whether 'Book Shelf' should stand as the room name or be replaced with the Terrace Zone-1 Part-1 Key Plan name. Backlog still owed: VAV_2F_S14_015 (1035), _021 (1041), VAV_2F_S13_005/006/009/011/012/013 (1009/1010/1013/1015/1016/1017), VAV_2F_S10_001/002/004/005 (969/970/972/973), plus FCU_2F_041 (858) and _042 (859). Also still pending user decision: middle-column rows 866 and 869 from IMG_9611, and the Ad. Admin &amp; Planning rows 1014/1019 from IMG_9608. Still zero CAV/FEV/VEV on any drawing so far.</t>
  </si>
  <si>
    <t>Sixth image: IMG_9622.jpeg - QNL Honeywell HMI, 'Terrace Floor Zone-2-P1' (Key Plan: Terrace Level, Current View = Part-1). Fill in the QNL section using the established rules.</t>
  </si>
  <si>
    <t>Filled C/D for 5 rows, all Included: FCU_2F_056-059 (rows 873-876) = Internal Terrace; FCU_2F_004 (row 849) = zone name, red fill. Confirmed tags in column A before writing.</t>
  </si>
  <si>
    <t>The four sensors FCU_2F_056-059 sit inside the walled box carrying the blue 'Internal Terrace' label, so that room name was used directly - no highlight needed. FCU_2F_004 sits alone in the upper open band at the top right of the drawing with no room or area label anywhere near it, so the Key Plan fallback applied: 'Terrace Floor Zone-2 Part-1 (IMG_9622.jpeg)', Included, red fill. Neither the technical-room nor executive-room exclusion applies to anything on this view. Row positions confirmed against the FCU_2F block: 034=851 so 056=873 ... 059=876, and 004=849.</t>
  </si>
  <si>
    <t>Verified by re-reading A849:D849 and A873:D876 - tags, values and fill colours all confirmed. Open question still unanswered from the previous turn: how to treat terrace open-plan furniture labels (Book Shelf, Carrels, Media Station, Computer Station, Open Seating) - use the label as-is or fall back to the Key Plan zone name. Row 848 remains yellow pending that decision. Backlog owed: FCU_2F_041 (858), _042 (859), VAV_2F_S14_015 (1035), _021 (1041), VAV_2F_S13_005/006/009/011/012/013, VAV_2F_S10_001/002/004/005. Pending user decisions: rows 866/869 middle column, rows 1014/1019 Ad. Admin &amp; Planning. Still zero CAV/FEV/VEV on any drawing, so nothing appended above the SSC header (row 1166).</t>
  </si>
  <si>
    <t>Seventh image: IMG_9624.jpeg - QNL Honeywell HMI, 'Terrace Floor Zone-3-P1' (Key Plan: Terrace Level, Zn-3, Current View = Part-1). Fill in the QNL section.</t>
  </si>
  <si>
    <t>Filled C/D for a single row: FCU_1F_001 (row 781) = Included / 'Scholarly Journals (IMG_9624.jpeg)', yellow flagged pending the terrace naming decision.</t>
  </si>
  <si>
    <t>This view has only one tag on the whole drawing. Note the prefix is FCU-1F-001, not FCU-2F - the terrace level draws on both the FCU_1F and FCU_2F blocks, so row lookup was confirmed by reading A780:B782 (FCU_1F_001 = row 781, immediately after AHUB015 at row 780). The only nearby label is 'Scholarly Journals', which is a collection/furniture-area descriptor of the same kind as 'Book Shelf' on row 848 - not a discrete room. Handled it identically to row 848: used the drawing label with the image name appended and flagged yellow, so both rows can be flipped together once the user decides whether terrace furniture labels count as room names or should fall back to the Key Plan zone name. Included, as it is neither a technical nor an executive room.</t>
  </si>
  <si>
    <t>Verified by re-reading A781:D781 as rendered text - tag FCU_1F_001, Included, 'Scholarly Journals (IMG_9624.jpeg)' confirmed. No other tags on this view. Backlog still owed: FCU_2F_041 (858), _042 (859), VAV_2F_S14_015 (1035), _021 (1041), VAV_2F_S13_005/006/009/011/012/013, VAV_2F_S10_001/002/004/005. Awaiting user decisions on: terrace furniture-label policy (rows 848 and 781), rows 866/869 middle column, rows 1014/1019 Ad. Admin &amp; Planning. Still zero CAV, FEV or VEV tags across all seven drawings, so nothing appended above the SSC header (row 1166).</t>
  </si>
  <si>
    <t>Ninth image: IMG_9627.jpeg - QNL Honeywell HMI, 'Terrace Floor Zone-4-P2' (Key Plan: Terrace Level, Current View = Part-2). Fill in the QNL section.</t>
  </si>
  <si>
    <t>Filled C/D for 2 rows: FCU_2F_001 (846) and FCU_2F_002 (847), both Included with the Key Plan zone name and red fill.</t>
  </si>
  <si>
    <t>Only two tags on this view: FCU-2F-001 (39.9 C) and FCU-2F-002 (38.7 C), both sitting in the unlabelled triangular open corner at the left of the plan, inside the outer wall. The surrounding text on this floor is all repeated open-plan furniture descriptors (Carrels, Media Station, Computer Station, Open Seating) rather than room names, and none of them sits on top of either unit - the nearest, Carrels, falls between the two. Because those descriptors repeat many times across the terrace and cannot uniquely identify a location, both rows got 'Terrace Floor Zone-4 Part-2 (IMG_9627.jpeg)' per the Key Plan rule, Included, red fill. Note this differs from rows 848 and 781, where the unit did sit inside a single labelled strip so the drawing label was kept and flagged yellow instead - both approaches remain open pending the user's terrace naming decision.</t>
  </si>
  <si>
    <t>Verified by re-reading A846:D847 as rendered text - tags confirmed as FCU_2F_001 and FCU_2F_002, values and red fill correct. Backlog still owed: FCU_2F_041 (858), _042 (859), VAV_2F_S14_015 (1035), _021 (1041), VAV_2F_S13_005/006/009/011/012/013 (1009/1010/1013/1015/1016/1017), VAV_2F_S10_001/002/004/005 (969/970/972/973). Awaiting user decisions on: terrace furniture-label policy (rows 781, 848 and the approach used here), rows 866/869 middle column, rows 1014/1019 Ad. Admin &amp; Planning. No CAV, FEV or VEV tags on this drawing - none seen on any of the eight drawings so far, so nothing appended above the SSC header (row 1166).</t>
  </si>
  <si>
    <t>IMG_9587.jpeg - QNL Honeywell HMI, 'Basement Zone-1-P1' (Key Plan: Basement Level, Current View = Part-1). Largest drawing so far and the FIRST one containing CAV tags, which per the earlier instruction must be added above the SSC section.</t>
  </si>
  <si>
    <t>Filled C/D for 49 existing rows and INSERTED 2 new CAV rows. Existing: VAV_B_S11_001-046 (rows 1071-1116, minus _023 not on view), VAV_B_S13_001/002/006 (1117/1118/1122), FCU_B_002 (881). New: inserted rows 1166-1167 for CAV_B_S13_007 and CAV_B_S13_020 - the SSC section header consequently moved from row 1166 to row 1168.</t>
  </si>
  <si>
    <t>Basement row map confirmed by reading A1047:A1166: VAV_B_S10_001-024 = 1047-1070, VAV_B_S11_001-046 = 1071-1116, VAV_B_S13_001-008 = 1117-1124, VAV_B_S14 = 1125+, VAV_B_S15_013 = 1165. Small labelled offices mapped one-to-one: 024 Kitchen, 025 Storage, 026 Finance Cooridinator &amp; Business Support OFCR. (yellow leader arrow), 028 Analog Resources, 029 Digital Resources, 030+031 Budget &amp; Payment, 032+033 Ad Collection, 034 Engineering, 035 Arabic Sudies, 037 Art &amp; Humanities, 038 Procurement SPC, 039 Business Computing, 040 Social Sciences, 041 Literature Language, 042 Coordinator, 043-046 Receiving Area, 022 Corridor 1, S13_001+002 Meeting Room. VAV_B_S11_036 sits alone at the top of the drawing but has a yellow leader line running down and left to the 'Licensing Expert' label, so it was named from the leader rather than from proximity. Spellings kept exactly as drawn ('Cooridinator', 'Arabic Sudies'). Both CAVs set Not Included as technical rooms (MV Room-01 / MV Room-02) and flagged yellow. Row 1091 (VAV_B_S11_021) has no room label so it took the Key Plan name, Included, red.</t>
  </si>
  <si>
    <t>Verified by re-reading A1071:D1073, A1090:D1092, A1094:D1098, A1106:D1107, A1116:D1118, A1122:D1122, A881:D881 and A1163:D1170 - tags, values and the row insert all confirmed; SSC header now at 1168. YELLOW flagged for user review (7 rows + 2 CAV): 1071/1072/1081/1082 Break Out Area - the top open area carries TWO labels ('Break Out Area' and 'Tech, Services &amp; Collections Office') with no dividing wall between them, so the split point between VAV _002/_003 and _012/_013 is a judgement call; 1097 (VAV_B_S11_027) sits between the Finance and Budget &amp; Payment cells with no label above it; 1122 + 881 'Freeze Area' - unclear whether this counts as a technical/plant space (currently Included); 1166/1167 CAVs - inferred from proximity to the MV rooms. NOT WRITTEN: VAV_B_S11_023 (row 1093) is not shown on this view. Non-HVAC tags on the drawing (EF-B-09, GCP-01, SMDB, DX-B-xx, MV Panel-1/2/3, CPNL-0006, LCP-Z1, FWS/FWP-01) are out of scope. Future CAV/FEV/VEV inserts now go at row 1168.</t>
  </si>
  <si>
    <t>IMG_9588.jpeg - QNL Honeywell HMI, 'Basement Zone-1-P2' (Lower Level Floor Plan Zone-1 Part-2). Heavily plant-orientated view containing 15 new CAV tags plus 18 FCU_B tags and the one VAV that was missing from the previous drawing.</t>
  </si>
  <si>
    <t>Filled C/D for 19 existing rows and INSERTED 15 new CAV rows. Existing: FCU_B_003/006/007/008/009/011/012/013/014/027/028/031-037 (rows 882-916) and VAV_B_S11_023 (row 1093). New: inserted rows 1168-1182 and rewrote the whole CAV block A1166:D1182 in sorted tag order - the SSC section header moved from row 1168 to row 1183.</t>
  </si>
  <si>
    <t>FCU_B row map confirmed (FCU_B_00N = row 879+N, 001=880 ... 038=917). Plant/technical rooms set Not Included per the rule: Plant Room 1 (FCU_B_011/012 + CAV_B_S12_001/002/003), Plant Room 2 (FCU_B_013/014 + CAV_B_S13_010/011), Sprinklers Pumps (FCU_B_007 + CAV_B_S13_021), Server Room (CAV_B_S13_013/014/015), Fire Command (FCU_B_006 + CAV_B_S13_006/012), GAS Suppression (CAV_B_S13_008), IDF (FCU_B_003). Library spaces set Included: Sorting Shelving Room (FCU_B_027/028), Compact Shelving Main Collection (FCU_B_031), Shell Space-Special Collection (FCU_B_032/033/034/035), IT Office (FCU_B_036 - treated as a staff office, not a plant room), Corridor 2 (CAV_B_S13_001/002). FCU_B_003 was named from a yellow leader line running up to the IDF label rather than by proximity. The CAV block was rebuilt as a single sorted range so the two CAVs added last turn (S13_007, S13_020) now sit in tag order with the new ones; their names were kept and re-stamped with their source image (IMG_9587).</t>
  </si>
  <si>
    <t>Verified by re-reading A882:D888, A890:D893, A906:D916, A1093:D1093 and A1166:D1183 - all 36 rows, the 15-row insert and the new SSC header position at 1183 confirmed. YELLOW flagged for review (10 rows): 882 IDF and 916 Corridor (leader/proximity calls); 885 + 1172 + 1177 Fire Command - three units sit in the top strip shared by Fire Command, GAS Suppression and UPS Battery Room with no clear wall, so the split is inferred partly from leader lines; 1174 GAS Suppression (same strip); 1178 + 1179 Server Room - these two sit left of the Server Room label near MF-B-02 and may belong to a separate space; 1171 Corridor - sits between People Mover, Shell Space and the Corridor label; 1093 VAV_B_S11_023 - sits exactly on the Plant Room 1 / Plant Room 2 boundary, though both are technical so Not Included holds either way. RED (2 rows): 887 + 888 (FCU_B_008/009) are at the cropped right edge with no room label, so they took the Key Plan name. Out of scope on this drawing: AHU-B-xx, EF-B-xx, DX-B-xx, PDP, PCP, MF-B, CPNL, GWSHL, CC-B, ATS Panel, SWP, FP/JP. Future CAV/FEV/VEV inserts now go at row 1183.</t>
  </si>
  <si>
    <t>IMG_9589.jpeg - QNL Honeywell HMI, 'Basement Zone-2-P1' (Lower Level Floor Plan Zone-2 Part-1). Back-of-house / bindery view with 28 VAV_B_S14 tags and 5 new CAV tags.</t>
  </si>
  <si>
    <t>Filled C/D for 28 existing VAV rows (VAV_B_S14_001-016 = rows 1125-1140, _040-051 = rows 1141-1152) and INSERTED 5 new CAV rows at 1183-1187 (CAV_B_S14_001, _006, _007, CAV_B_S15_002, _003). SSC section header moved from row 1183 to row 1188. Everything on this drawing is Included - no technical or executive rooms carry a controllable tag here.</t>
  </si>
  <si>
    <t>Clean one-to-one mappings: S14_001 Office, _002 Office DG., _003 Office AD. For LIT, _004/_005/_006 Digitization Room, _007/_008 Shell Space, _009 Dry Store, _015 Reception &amp; Lounge. CAVs: S14_001 Loading Area, S14_006 Referigerate Store, S14_007 BOH Kitchen, S15_002 Corridor 5 (label sits directly beside it). Kept the drawing's own spelling 'Referigerate Store'. The Q-Tel Room, Telecom Room and MEP Kitchen are technical spaces but carry no VAV/CAV/FCU tag on this view, so nothing was set to Not Included. Out of scope: EF-B-xx, DX-B-17/18/19, SWP-05/06, CCU-B-01 to 04, LCP-Z2, DRS &amp; DTS, Calorifier.</t>
  </si>
  <si>
    <t>Verified by re-reading A1125:D1152 and A1180:D1190 - all 33 rows, the 5-row insert and the new SSC header position at 1188 confirmed. IMPORTANT DISCREPANCY logged as a cell note on D1129: the HMI label between VAV-B-S14-004 and VAV-B-S14-006 reads 'VAV-B-S11-005', but VAV_B_S11_005 (row 1075) was already assigned to Tech, Services &amp; Collections Office from IMG_9587.jpeg. Recorded positionally as VAV_B_S14_005 = Digitization Room and flagged yellow - user to confirm the correct tag. OTHER YELLOW FLAGS (9 rows total): 1136/1137/1144/1145/1150/1151 - 'Fine Binding' and 'Binding &amp; Preservation Space' label one large open area with no dividing wall, so the left/right split of the 16 units in that room is a judgement call and these six sit nearest the split point; 1140 (S14_016) sits below the Reception &amp; Lounge cell near the DRS &amp; DTS panel; 1141 (S14_040) is drawn outside the plan at the bottom and was named from its yellow leader line running up into the BOH Kitchen; 1187 (CAV_B_S15_003) sits well above the Corridor 5 label and may belong to the bindery instead.</t>
  </si>
  <si>
    <t>IMG_9591.jpeg - QNL Honeywell HMI, 'Basement Zone-3-P1' (Lower Level Floor Plan Zone-3 Part-1). Heritage/researcher entrance sequence. The whole plan is drawn on a 45-degree diagonal, which makes label-to-device proximity much less reliable than on the orthogonal views.</t>
  </si>
  <si>
    <t>Filled C/D for 16 existing rows, all Included: VAV_B_S10_020-023 (rows 1066-1069), VAV_B_S15_001-009 (rows 1153-1161), VAV_B_S15_013 (row 1165), FCU_B_029 (row 908), FCU_B_038 (row 917). No CAV, FEV or VEV tags on this drawing, so no rows were inserted and the SSC header stays at row 1188.</t>
  </si>
  <si>
    <t>Confident mappings: S10_020/021 Reserchers Reading Area, S10_023 Entry, S15_008 Vestibule, S15_013 Reserchers &amp; Doc. RCRDS MGMT (yellow leader lines link the tag and that label across the drawing), FCU_B_029 Heritage Collection Entrance, FCU_B_038 Pantry (named from its yellow leader, since the tag itself sits outside the room outline). Drawing spellings preserved exactly: 'Reserchers Reading Area', 'Loby and Security', 'Reserchers &amp; Doc. RCRDS MGMT'. Nothing was set to Not Included - the only technical space on the view is the IDF Room and it carries no controllable tag. FCU_B_038 displays '??????' rather than a temperature, recorded as a cell note on D917.</t>
  </si>
  <si>
    <t>Verified by re-reading A908:D908, A917:D917, A1066:D1069, A1153:D1161 and A1165:D1165 - all values and notes confirmed. YELLOW flagged (9 rows): 1153/1157/1158 Prof. Librarian and 1154/1155/1156/1159 Loby and Security - these seven S15 units sit in the diagonal entrance band where Entry, Prof. Librarian, Loby and Security, Vestibule and Pantry are packed close together and the 45-degree rotation makes nearest-label assignment unreliable, so the split between Prof. Librarian and Loby and Security needs user confirmation; 1068 (S10_022) sits below the Reserchers Reading Area label and may belong to the adjacent space; 1161 (S15_009) Asst. Head is flagged for the INCLUSION question rather than the name - it is a management office and may qualify as an executive room, currently left Included, cell note added to D1161. NOT WRITTEN: VAV_B_S15_010/011/012 (rows 1162-1164) do not appear on this view.</t>
  </si>
  <si>
    <t>IMG_9592.jpeg - QNL Honeywell HMI, 'Basement Zone-3-P2' (Lower Level Floor Plan Zone-3 Part-2). Sparse view: mostly plant equipment plus the executive suite at the top. Contains the three S15 VAVs that were left blank from the previous drawing.</t>
  </si>
  <si>
    <t>Filled C/D for 4 existing rows: VAV_B_S15_010/011/012 (rows 1162-1164) and FCU_B_001 (row 880). No CAV, FEV or VEV tags on this drawing, so no rows inserted and the SSC header stays at row 1188. The VAV_B_S15 block (rows 1153-1165) is now complete.</t>
  </si>
  <si>
    <t>Applied the executive-room rule: VAV_B_S15_010 = Director Head and VAV_B_S15_012 = VIP Majlis, both Not Included, consistent with how Lib. Director's Room / VIP Room / VIP Meeting were treated on the second floor. Room names sit just below-right of each sensor's T circle on this drawing, which is what drove the assignment. Note the 'Asst. Head' label appears on BOTH this view and Zone-3-P1 - it is the same room seen across the Part-1 / Part-2 boundary, already recorded against VAV_B_S15_009 (row 1161), so it was not duplicated here. Out of scope on this drawing: UPS Panel, EF-B-12, FWP-05/06, PHX-B-01 to 04, CHWP-1/2/3/4, PU-B-01, CPNL-0005, LCP-Z3. Plant Room 4, Ventilation, Air Shaft, Maintanance and Corridor are labelled but carry no controllable tag, so nothing else was set to Not Included.</t>
  </si>
  <si>
    <t>Verified by re-reading A880:D880 and A1161:D1165 - values, fills and notes confirmed. YELLOW (1 row): 1163 (VAV_B_S15_011) sits between the Director Head and VIP Majlis labels with no clear wall; assigned to VIP Majlis, though both candidates are executive so Not Included holds either way. RED (1 row): 880 (FCU_B_001) is drawn outside the plan outline on the left with NO leader line to any room, so it took the Key Plan name and was auto-Included per the agreed rule - however its two nearest labels are 'IDF Rooom' and 'VIP Restroom', and BOTH of those would make it Not Included (technical / executive). This is the one row on this drawing where the standing rule and the likely reality disagree, so a cell note was added to D880 asking the user to confirm. Two 'VIP Restroom' labels with upward yellow leader arrows exist on the view but neither points at a controllable tag.</t>
  </si>
  <si>
    <t>IMG_9593.jpeg - QNL Honeywell HMI, 'Basement Zone-4-P1' (Lower Level Floor Plan Zone-4 Part-1). Almost entirely empty view - the bulk of it is the Compact Shelving Main Collection stacks and the Vault / Heritage Collection block, none of which carry controllable tags.</t>
  </si>
  <si>
    <t>Filled C/D for 1 existing row: FCU_B_005 (row 884) set to Not Included / 'HL Plant Room'. No CAV, FEV or VEV tags on this drawing, so no rows inserted and the SSC header stays at row 1188.</t>
  </si>
  <si>
    <t>FCU_B_005 was named from its yellow leader line rather than by proximity: the 'HL Plant Room' label sits below-left of the tag and runs a leader right then up into the small room at the apex of the diagonal wall, and the CCU-1,2,3,4,5,6 block leaders into the same space. HL Plant Room is a plant/technical room, so the technical-room rule applies and it was set Not Included. No highlight was needed - the leader makes the assignment unambiguous. Labelled but untagged on this view: Compact Shelving Main Collection (x2), Vault, Heritage Collection. Out of scope: CCU-1,2,3,4,5,6.</t>
  </si>
  <si>
    <t>Verified by re-reading A884:D884 as rendered text - FCU_B_005 / FCU / Not Included / HL Plant Room confirmed. No yellow or red flags raised on this drawing. Outstanding backlog unchanged: FCU_2F_041 (858), FCU_2F_042 (859), VAV_2F_S14_015 (1035), VAV_2F_S14_021 (1041), VAV_2F_S13_005/006/009/011/012/013 (1009/1010/1013/1015/1016/1017), VAV_2F_S10_001/002/004/005 (969/970/972/973). Pending user decisions carried forward: terrace furniture-label policy (rows 781, 848 vs 846/847), rows 866/869 middle column, rows 1014/1019 Ad. Admin &amp; Planning, row 1129 VAV-B-S11-005 vs S14-005 tag conflict, Fine Binding / Binding &amp; Preservation split, row 1161 Asst. Head executive question, row 880 FCU_B_001.</t>
  </si>
  <si>
    <t>IMG_9594.jpeg - QNL Honeywell HMI, 'Basement Zone-4-P2' (Lower Level Floor Plan Zone-4 Part-2). Plant-heavy view: Plant Room 4, PH Plant, Pump Room, FM Storage and the misting/storage cluster off Corridor 6.</t>
  </si>
  <si>
    <t>Filled C/D for 11 existing FCU rows: FCU_B_004 (883), _018/_019/_020/_021 (897-900), _022/_023 (901-902), _024 (903), _025/_026 (904-905), _030 (909). Seven set Not Included as technical rooms, four Included. No CAV, FEV or VEV tags on this drawing, so no rows inserted and the SSC header stays at row 1188.</t>
  </si>
  <si>
    <t>Technical rooms set Not Included per the rule: Plant Room 4 (FCU_B_018/019/020/021 - the room also holds AHU-B-01/05/06/07/08, EF-B-03, GWSHL-B-05, LCP-Z4, CPNL-0004), PH Plant (FCU_B_024, room holds PPSP-01 to 06), Pump Room (FCU_B_030), Misting System (FCU_B_026). Included: FM Storage (FCU_B_004/022/023) and Storage (FCU_B_025) - storage areas are neither technical plant nor executive, so they stay in scope. FCU_B_025 and _026 are drawn BELOW the plan outline and were placed using their yellow leader lines, which run up into the two small rooms off Corridor 6 labelled 'Storage' and 'Misting System'. Out of scope on this drawing: AHU-B-xx, EF-B-03, GWSHL-B-04/05, PDS/PDP-03/05, PPSP-01 to 06, MBP-01, LCP-Z4, CPNL-0004, CC-B-10/11, SWP-11/12, ST-12.</t>
  </si>
  <si>
    <t>Verified by re-reading A883:D883 and A897:D909 as rendered text - all 11 rows confirmed. YELLOW flagged (3 rows): 883 (FCU_B_004) sits OUTSIDE the FM Storage wall on the left with no leader line, assigned to FM Storage as the nearest room but unconfirmed; 904 (FCU_B_025) and 905 (FCU_B_026) - both are drawn outside the plan and their leaders terminate very close together at the Storage / Misting System pair, with the 'Corridor 6' label sitting directly between the two leader lines, so the Storage vs Misting System vs Corridor 6 split is a judgement call. This matters for classification, not just naming: FCU_B_025 was left Included as Storage while FCU_B_026 was set Not Included as Misting System, so if the pairing is reversed the inclusion flips too. FCU_B block status: 34 of 38 rows now filled; still blank are FCU_B_010 (889), _015 (894), _016 (895) and _017 (896), none of which have appeared on any drawing yet.</t>
  </si>
  <si>
    <t>IMG_9596.jpeg - QNL Honeywell HMI, 'First Floor Zone-1-P1' (First Level Floor Plan Zone-1 Part-1). First drawing from the first floor and the first to contain CAV_1F tags. Dense teaching/study view with 26 VAV_1F_S11, 8 VAV_1F_S15, 6 CAV_1F_S11 and one FCU_1F.</t>
  </si>
  <si>
    <t>Filled C/D for 34 existing rows and INSERTED 6 new CAV rows. Existing: VAV_1F_S11_001-022 (rows 919-940), _088/_089/_090 (942-944), VAV_1F_S15_005/006/007/008 (949-952), _012 (956), _039S (964), _096/_097 (966-967), FCU_1F_002 (782). New: inserted rows 1166-1171 for CAV_1F_S11_001/002/006/007/008/009, placed AHEAD of the CAV_B block to keep the CAV section in tag order. CAV block now spans 1166-1193 and the SSC header moved from row 1188 to row 1194.</t>
  </si>
  <si>
    <t>Clean mappings: Group Study Room1/2/3/4 (S11_001/002/003/022), Computer Classroom (S11_014-021, eight units in the right-hand teaching block), Childeren Library (S15_006/007/008 + CAV_1F_S11_009), Multipurpose Room (S15_096/097), Staff Office (S15_039S), Security Room (CAV_1F_S11_001), Open Reading Area (CAV_1F_S11_006). Drawing spellings preserved: 'Infor. Lteracy Instr.1/2', 'Childeren Library'. EXECUTIVE RULE APPLIED: VAV_1F_S15_005 = Head Librarian Office set Not Included, consistent with Lib. Director's Room and Director Head. Everything else on this view is Included. FCU_1F_002 named from its yellow leader line running down to the ICT Room (Women) label. Out of scope: EF-1-02C, LCP-Z1, ST-01, ST-16, L-1, L-2.</t>
  </si>
  <si>
    <t>Verified by re-reading A782, A919:D944, A949:D952, A956, A964:D967 and A1164:D1196 - all 40 rows, the 6-row insert and the new SSC header position at 1194 confirmed. YELLOW flagged (9 rows): 922/923/924/928 - the Infor. Lteracy Instr.1 and Instr.2 labels sit one above the other over a single 2x5 grid of VAVs with no clear wall between them; split as 2 units to Instr.1 and 8 to Instr.2, which is uneven and needs confirmation; 956 (S15_012) sits below the Staff Office in an unlabelled pocket and was assigned to Childeren Library on proximity; 782 (FCU_1F_002) ICT Room (Women) - flagged for the INCLUSION question, currently Included as a public ICT space rather than a technical room; 1167 (CAV_1F_S11_002) leader points into the Rest Room / ICT block; 1169 (CAV_1F_S11_007) sits in the corridor gap between the Computer Classroom and the Head Librarian/Staff Office block, reading a notably cold 15.2; 1170 (CAV_1F_S11_008) sits exactly between the downward leader arrows for Infor. Lteracy Instr.1 and Computer Classroom, so it was given a dual name. RED (3 rows): 942/943/944 (S11_088/089/090) sit in the bottom-right run with no room label. NOT WRITTEN: VAV_1F_S11_087 (row 941) does not appear on this view.</t>
  </si>
  <si>
    <t>IMG_9598.jpeg - QNL Honeywell HMI, 'First Floor Zone-2-P1' (First Level Floor Plan Zone-2 Part-1). Restaurant / Front Kitchen / Public Service view with 12 new CAV_1F_S15 tags.</t>
  </si>
  <si>
    <t>Filled C/D for 11 existing rows and INSERTED 12 new CAV rows. Existing: FCU_1F_003 (783), FCU_1F_059-064 (839-844), VAV_1F_S15_009/010/011 (953-955), VAV_1F_S15_098 (968). New: inserted rows 1172-1183 for CAV_1F_S15_002/005/006/010/011/012/013/014/015/016/017/018, placed after the CAV_1F_S11 group. CAV block now spans 1166-1205 and the SSC header moved from row 1194 to row 1206.</t>
  </si>
  <si>
    <t>The Restaurant / Front Kitchen block was split by row: the bottom run of sensors sits level with the 'Front Kitchen' label (CAV_1F_S15_006 + FCU_1F_062/063/064) and everything above it belongs to the Restaurant (CAV_1F_S15_002/005/010/011/012/013/014/015 + FCU_1F_059/060/061). Both are Included - a kitchen is neither plant nor executive. Multipurpose Room (VAV_1F_S15_098) sits inside the circular room outline, unambiguous. FCU_1F_003 = IDF Room set Not Included as a technical room. The right-hand staff rooms on this view (Bibliographer1/2, Spec. Coll &amp; Arch, R&amp;L Services, AD. Public Service, REF. Librarian 1-12) carry NO controllable tags, so none were recorded. Out of scope: EF-2-01, EF-1-01C, L-3, L-4, ST-03.</t>
  </si>
  <si>
    <t>Verified by re-reading A783, A839:D844, A953:D955, A968 and A1170:D1207 - all 23 rows, the 12-row insert and the new SSC header position at 1206 confirmed. YELLOW flagged (3 rows): 783 (FCU_1F_003) sits between the 'Storage' label above and 'IDF Room' below; assigned IDF Room per this drawing's label-below-right convention, which also drives the Not Included call, so if it is actually Storage the classification flips; 1181 + 1182 (CAV_1F_S15_016/017) sit just outside the restaurant's right-hand wall in the circulation zone and were assigned to Public Service on proximity. RED (4 rows): 953/954/955 (VAV_1F_S15_009/010/011) sit in the unlabelled open area at top-left outside the room outline; 1183 (CAV_1F_S15_018) sits in an unlabelled pocket near the L-3/L-4 lifts, above the Media Studio / Storage strip. Cell note added to D1180: CAV_1F_S15_015 displays '??????' instead of a temperature - second sensor found showing this fault after FCU_B_038 (row 917).</t>
  </si>
  <si>
    <t>IMG_9599.jpeg - QNL Honeywell HMI, 'First Floor Zone-2-P2' (First Level Floor Plan Zone-2 Part-2). Media studios, prayer/ablution block and the lounge FCU bank. Also contains VAV_1F_S11_087, which was outstanding from IMG_9596.</t>
  </si>
  <si>
    <t>Filled C/D for 26 existing rows and INSERTED 2 new CAV rows. Existing: FCU_1F_027/029/030/031/032/033/034/035 (807-815), FCU_1F_047-050 (827-830), VAV_1F_S11_087 (941), VAV_1F_S15_001-004 (945-948), _021-025 (957-961), _038/_039/_040 (962/963/965). New: CAV_1F_S15_004 at row 1173 and CAV_1F_S15_019 at row 1185, both placed in sorted tag position. CAV block now spans 1166-1207 and the SSC header moved from row 1206 to row 1208. Everything on this drawing is Included.</t>
  </si>
  <si>
    <t>Clean mappings: Media Studio1 (S15_001/002), Storage (S15_003), Media Studio2 (S15_004), Prayer Room (Female) (S15_021/022), Prayer Room (Male) (S15_023), Lounge (FCU_1F_047/048/049/050). Prayer rooms, ablution rooms and lounges are all public spaces, so none of the exclusion rules apply. BACKLOG CLEARED: VAV_1F_S11_087 (row 941) was the tag missing from IMG_9596 and appears here in the unlabelled open area at top-left, so it took the Key Plan name for THIS drawing (Zone-2 Part-2) rather than Zone-1 Part-1. Out of scope: Structure Area, Special Events and People Mover Main Entrance are labelled but carry no controllable tags.</t>
  </si>
  <si>
    <t>Verified by re-reading A807:D815, A827:D830, A941:D948, A957:D965 and A1170:D1209 - all 28 rows, both inserts and the new SSC header position at 1208 confirmed. YELLOW flagged (14 rows): 807/809/810/811/812/813/814/815 - eight FCUs drawn OUTSIDE the building outline below the two 'Lounge' cells with no labels of their own; all given 'Lounge' since both labels read the same, but whether they serve the lounges at all needs confirming; 960 (S15_024) and 961 (S15_025) sit between Prayer Room (Male)/(Female) and the two Ablution rooms, whose labels are placed far right with long horizontal leader arrows, making the split uncertain; 962 (S15_038) assigned Ablution (Men) from the same leader cluster; 963 + 965 (S15_039/040) and 1173 (CAV_1F_S15_004) - three units surround the small 'Green Room' label from above, left and below, which is more units than a green room would normally need; 1185 (CAV_1F_S15_019) sits just below the Media Studio1 block, possibly in the corridor. RED (1 row): 941. TEMPERATURE ANOMALIES noted as cell notes: D830 FCU_1F_050 reads 41.7 C against ~17 C on its neighbours, and D947 VAV_1F_S15_003 reads 34.1 C in Storage. NOT WRITTEN: FCU_1F_028 (row 808) does not appear on this view despite sitting mid-sequence in the lounge bank.</t>
  </si>
  <si>
    <t>IMG_9600.jpeg - QNL Honeywell HMI, 'First Floor Zone-3-P1' (First Level Floor Plan Zone-3 Part-1). Unusual view: 19 FCU tags but the drawing carries only ONE piece of text, the word 'Enter' near the top - no room names anywhere.</t>
  </si>
  <si>
    <t>Filled C/D for 19 existing rows, all Included and all red: FCU_1F_014 (794), _016/_017/_018 (796-798), _020 (800), _022-_028 (802-808), _036-_040 (816-820), _051/_052 (831-832), _065 (845). No CAV, FEV or VEV tags, so no rows inserted and the SSC header stays at row 1208.</t>
  </si>
  <si>
    <t>Every one of the 19 sensors took the Key Plan name 'First Floor Zone-3 Part-1 (IMG_9600.jpeg)' and was auto-Included per the agreed rule, because the drawing contains no room labels at all. The only text on the plan is 'Enter', which marks a doorway rather than naming a room, so it was not used. The sensors are drawn as a free-floating grid over an open diagonal area with no room outlines around them, which is consistent with this being open library floor rather than cellular rooms. BACKLOG CLEARED: FCU_1F_028 (row 808) was noted last turn as missing from the lounge bank on IMG_9599 - it appears here instead.</t>
  </si>
  <si>
    <t>Verified by re-reading A794:D845 - all 19 rows carry the correct zone name, and spot-checked A794:D798, A805:D808 and A845 as rendered text. No yellow flags: with no labels present there is nothing ambiguous to flag, the whole set is red for your review. Rows deliberately left blank because those tags are not on this view: FCU_1F_015 (795), _019 (799), _021 (801). FCU_1F block status: 40 of 65 rows now filled; still blank are FCU_1F_004-013 (784-793), _015 (795), _019 (799), _021 (801), _041-046 (821-826) and _053-058 (833-838). Temperature spread on this view is wide - FCU_1F_018 reads 12.8 C and _020 reads 14.1 C against 21.2 C on _023 - but all are plausible for an open floor so no anomaly notes were added.</t>
  </si>
  <si>
    <t>IMG_9601.jpeg - QNL Honeywell HMI, 'First Floor Zone-3-P2' (First Level Floor Plan Zone-3 Part-2). Circulation / book-handling area: 23 FCU tags arranged as a free-floating grid over open floor with blue zone labels interleaved between the rows.</t>
  </si>
  <si>
    <t>Filled C/D for 23 existing FCU_1F rows: _004-_013 (784-793), _015 (795), _019 (799), _021 (801), _041-_046 (821-826), _053/_054 (833-834), _057/_058 (837-838). Seventeen Included, six Not Included as executive rooms. No CAV, FEV or VEV tags, so no rows inserted and the SSC header stays at row 1208.</t>
  </si>
  <si>
    <t>There are no room outlines on this view - the sensors sit in two column-pairs and the blue labels act as headers sitting ABOVE each group, so assignment was made by reading down from each label to the next one. Left pair: 'Access Service' heads the first two rows (FCU_1F_019/021/053/054), then 'Book Drop Off' heads the remaining four rows (FCU_1F_011/012/010/042/008/009/007/041). Right pair: 'Circulation Director' heads the first two rows (FCU_1F_015/013/045/046), then 'Book Exit Point' heads the rest (FCU_1F_006/005/044/043/004). 'ILL Director' heads the two units above everything else (FCU_1F_057/058). EXECUTIVE RULE APPLIED: ILL Director and Circulation Director both set Not Included, consistent with Head Librarian Office, Lib. Director's Room and Director Head. People Mover Main Entrance and Heritage Collection Entrance are labelled on the view but sit well away from any tag.</t>
  </si>
  <si>
    <t>Verified by re-reading A784:D795, A799:D801, A821:D826 and A833:D838 as rendered text - all 23 rows confirmed. YELLOW flagged (6 rows): 837/838 ILL Director and 793/795/825/826 Circulation Director. The flag is about GROUPING, not the executive call - assigning four sensors to a single 'Circulation Director' office and two to 'ILL Director' is a lot for cellular offices, which suggests these blue labels may mark open-plan functional zones (a director's desk area within the circulation floor) rather than enclosed rooms. If they are open zones rather than private offices, the Not Included classification on all six rows should be reversed. TEMPERATURE ANOMALY: cell note added to D837 - FCU_1F_057 reads 56.3 C, the highest reading seen on any QNL drawing so far, against 19.6 C on FCU_1F_058 directly beneath it; almost certainly a failed sensor. FCU_1F BLOCK NOW 63 of 65 FILLED - only FCU_1F_055 (835) and _056 (836) remain outstanding.</t>
  </si>
  <si>
    <t>IMG_9603.jpeg - QNL Honeywell HMI, 'First Floor Zone-4-P2' (First Level Floor Plan Zone-4 Part-2). Final image of the batch. Near-empty view with only two FCU tags. User indicated this was the last drawing, so a completeness sweep of the whole QNL section was run afterwards.</t>
  </si>
  <si>
    <t>Filled C/D for the final 2 FCU_1F rows: FCU_1F_056 (836) = Included / 'External Book Drop', and FCU_1F_055 (835) = Included / 'First Floor Zone-4 Part-2 (IMG_9603.jpeg)' in red. This completes the FCU_1F block (all 65 rows, 781-845). No CAV, FEV or VEV tags; SSC header remains at row 1208.</t>
  </si>
  <si>
    <t>FCU_1F_056 has its room name printed directly beneath the tag inside the same box outline ('External Book Drop'), which is the clearest label placement seen on any drawing so far - no ambiguity, no highlight. FCU_1F_055 sits alone in a small angled room at top-right with no label anywhere near it, so it took the Key Plan name and was auto-Included per the rule. The other two blue labels on the view, 'RP-06' and 'Main Entrance', are a ramp reference and an entrance marker rather than room names, and both sit far from either tag, so neither was used. FCU_1F_056 reads 13.4 C, which is consistent with an external book drop exposed to outside air.</t>
  </si>
  <si>
    <t>Verified by re-reading A835:D836 as rendered text. COMPLETENESS SWEEP of the full QNL section (rows 766-1207, 442 tags) found 381 filled and 61 still blank, broken down as: AHUB001-015 (766-780, 15 rows); FCU_2F_041/042 (858-859); FCU_B_010/015/016/017 (889, 894, 895, 896); VAV0001 (918); VAV_2F_S10_001/002/004/005 (969, 970, 972, 973); VAV_2F_S13_005/006/007/009/011/012/013/014 (1009-1018); VAV_2F_S14_015/021 (1035, 1041); VAV_B_S10_001-019 and _024 (1047-1065, 1070 - 20 rows); VAV_B_S13_003/004/005/007/008 (1119-1124). RAISED WITH USER: the 15 AHUB rows are a scope question, not a missing drawing - AHU-B-01 to AHU-B-13 were visible inside Plant Room 1, Plant Room 2 and Plant Room 4 on IMG_9588 and IMG_9594 but were treated as out of scope because the brief named VAV, FCU, CAV, FEV and VEV only. If AHUs are wanted they would all be Not Included as plant-room equipment. The largest genuine gap is VAV_B_S10 (20 rows) - only _020 to _023 have appeared on any drawing so far.</t>
  </si>
  <si>
    <t>New validation stream: sending Honeywell BMS screenshots to validate/correct/update QNL room names and inclusion status, noting column A tag formats differ but are distinguishable. First image IMG_9563.jpeg = VAV Summary Type-01, basement S11 units.</t>
  </si>
  <si>
    <t>Matched the 24 VAV/B/S11 units on the BMS screen to registry rows 1071-1094 and 1113-1116. Appended the BMS room codes (B001, B001A, B002, B008, B009) to column D and corrected VAV_B_S11_022/023. Changed C1093 from Not Included to Included, flagged C1093:D1093 yellow and added an explanatory note.</t>
  </si>
  <si>
    <t>Tag format maps as VAV/B/S11/nnn -&gt; VAV_B_S11_nnn. BMS location groups: 001-004 + 011-014 = Tech.Services Area B001 &amp; Break Out Area B001A (kept the registry's finer Break Out vs Tech Services split, only added the codes); 005-010 + 015-020 = Tech.Services Area B001; 024 = Kitchen B002; 043-046 = Receiving Area B008; 022 + 023 = Corridor Leading To Reception &amp; Lounge B009. The Location column in the photo is skewed progressively downward toward the bottom, so group boundaries were resolved using the registry's existing names as the cross-check (024=Kitchen and 043-046=Receiving already agreed, which anchors the alignment). Row 1091 (VAV_B_S11_021, 'Basement Zone-1 Part-1') is not on this screen and was left untouched, as were rows 1095-1112 (S11_025-042).</t>
  </si>
  <si>
    <t>Verified by re-reading A1071:D1094 and A1113:D1116 - all 24 room names and the C1093 inclusion change confirmed. ONE CONFLICT RAISED: VAV_B_S11_023 was 'Plant Room 1 / Plant Room 2 (IMG_9588.jpeg)' / Not Included from an earlier drawing; the BMS pairs it with 022 (Master/Slave) on the corridor, so it was updated to Corridor Leading To Reception &amp; Lounge B009 / Included and flagged yellow pending your confirmation. Awaiting the next BMS image.</t>
  </si>
  <si>
    <t>Asked why the TRANSPOSE(FILTER(...)) formula in 'SSC Room Names'!D45 — pulling matching Tag Nos from the Controllable Asset Registry into a horizontal list — always returns #N/A.</t>
  </si>
  <si>
    <t>Diagnosed the criteria range and rewrote D45 to wrap the comparison in IFERROR.</t>
  </si>
  <si>
    <t>Scanned 'Controllable Asset Registry'!E1214:E1332 for error values: exactly one, E1287 (#N/A), on VAV0063 whose room reads '(NOT FOUND ON DRAWING LEVEL 3)'. A single error anywhere in a FILTER include-array poisons the whole array, so FILTER returned #N/A regardless of the match. New formula: =TRANSPOSE(FILTER('Controllable Asset Registry'!$A$1214:$A$1332,IFERROR('Controllable Asset Registry'!$E$1214:$E$1332=C45,FALSE),"No Equipment in entity")). Chose IFERROR over patching E1287 so the formula is robust to future error rows; E1287 itself still needs an entity name.</t>
  </si>
  <si>
    <t>D45 now spills VAV0002, VAV0003, VAV0004 across D45:F45. Only D45 was changed — same fix should be copied to other rows in column D. Open item: E1287 in the Controllable Asset Registry is still #N/A.</t>
  </si>
  <si>
    <t>Sent IMG_9565.jpeg - Honeywell VAV Summary Type-01 (QNL). Asked me to take the VAV names from the 3rd column of the screen, find them in column A of the Controllable Asset Registry, and fill the Location text from the 1st column into column D.</t>
  </si>
  <si>
    <t>Matched all 27 VAV tags on the screen to registry rows. Filled the 5 rows whose column D was blank: D1068 (VAV_B_S10_009), D1071/D1072/D1073 (VAV_B_S10_012/013/014) and D1078 (VAV_B_S10_019). Left the other 22 rows untouched because they already held room names.</t>
  </si>
  <si>
    <t>Screen tag format VAV/B/S10/009 maps to registry format VAV_B_S10_009. Groupings read off the merged Location cells: S10/009 = CR6 Circulation; S10/012, 013, 014 = CR6 Conversation Work Area B.209; S10/019 = CR6 Prof Librarian B.208. Image name appended in parentheses per the established convention. CONFLICTS NOT OVERWRITTEN, needing your call: (1) VAV_B_S15_001 row 1166 registry says 'Prof. Librarian (IMG_9591.jpeg)' but this screen shows it under HC Lobby &amp; Vestibule B154; (2) VAV_B_S15_002/003/004 rows 1167-1169 say 'Loby and Security' vs screen 'HC Lobby &amp; Vestibule B154'; (3) VAV_B_S15_011/012 rows 1176-1177 say 'VIP Majlis' vs screen 'Basement Zone 3 HC VIP Majlis B148' - same room, different wording. Rows 1060-1067 + 1083 (Digitisation Area B.200), 1069/1070 (Technical Services B.204), 1074 (Instruction Outreach B.206), 1075-1077 (Multimedia Presentation B.205) and 1137 (Security Control Room B.105) all agree with the screen.</t>
  </si>
  <si>
    <t>5 blank cells filled and verified by re-reading A1068:D1068, A1071:D1073 and A1078:D1078. Awaiting your decision on the 7 VAV_B_S15 wording conflicts listed in Details.</t>
  </si>
  <si>
    <t>Sent IMG_9564.jpeg - Honeywell VAV Summary Type-01 page P2 (QNL). Same task as the previous screen: match the VAV names to column A of the Controllable Asset Registry and write the Location into column D, and highlight all the matched rows in blue.</t>
  </si>
  <si>
    <t>Matched all 26 VAV tags from the screen, wrote the screen Location into column D for each, and applied a blue fill (#BDD7EE) across A:D on all 26 rows. Rows touched: 1104, 1108, 1132, 1133, 1135, 1141-1143, 1146-1149, 1152-1165.</t>
  </si>
  <si>
    <t>Adopted the naming convention you applied by hand earlier this session: dropped the 'Basement Zone N' prefix and punctuated the room number as B.xxx, no image-name suffix. Screen typo 'Presrvation' corrected to 'Preservation' to match existing sheet spelling; 'Boh Kitchen' written as 'BOH Kitchen' for the same reason. Location groupings read off the merged cells, allowing for the row drift in the Honeywell page: S14_040 = BOH Kitchen B.044 (standalone) and S13_003/004 = Processing Room B.103 (slave + master). Unlike the previous image I overwrote existing column D text, because the old entries were generic placeholders without room numbers. One overwrite worth noting: D1104 (VAV_B_S11_021) previously read 'Basement Zone-1 Part-1 (IMG_9587.jpeg)' and is now 'Reception &amp; Lounge B.009' per this screen - flag if IMG_9587 was the better source.</t>
  </si>
  <si>
    <t>All 26 rows re-read after writing; tag, location text and #BDD7EE fill confirmed on every one. Prior turn's VAV_B_S15 conflicts (rows 1166-1169, 1176-1177) remain open.</t>
  </si>
  <si>
    <t>Sent IMG_9563.jpeg - Honeywell VAV Summary Type-01 page P1 (QNL). Same task: match the VAV names to column A of the Controllable Asset Registry, put the Location into column D, and highlight them in blue.</t>
  </si>
  <si>
    <t>Matched all 27 VAV_B_S11 tags from the screen. Normalised 5 column D entries that still carried the old image-suffix format (D1107 to 'Kitchen B.002'; D1126:D1129 to 'Receiving Area B.008') and applied the blue fill (#BDD7EE) across A:D on all 27 rows: 1084-1103, 1105-1107, 1126-1129.</t>
  </si>
  <si>
    <t>The other 22 rows already held correct room text from your earlier manual pass, so I left the wording alone and only added the highlight. Deliberate decision on group 1: the screen shows one merged label 'Tech.Services Area B001 &amp; Break Out Area B001A' covering S11_001/002/003/004/011/012/013/014, but the sheet already splits that group - 001, 002, 011, 012 as 'Break Out Area B.001A' and 003, 004, 013, 014 as 'Tech, Services &amp; Collections Office B.001'. The split is more precise than the merged screen label so I preserved it rather than flattening all eight rows to the combined name. Row drift on the Honeywell page handled as before: standalone S11_024 = Kitchen B.002, and S11_022/023 = Corridor Leading To Reception &amp; Lounge B.009.</t>
  </si>
  <si>
    <t>All 27 rows re-read after writing; tag, location text and #BDD7EE fill confirmed on each. Open items unchanged: VAV_B_S15 wording conflicts at rows 1166-1169 and 1176-1177, and whether D1104 should revert to the IMG_9587 value.</t>
  </si>
  <si>
    <t>Sent IMG_3029.jpeg - Siemens RDC BMS 'Utility Building FCU Summary'. Asked me to take the FCU names from the 5th column of the screen, find them in column A of the Controllable Asset Registry, and write their location (room name + room no. from the 4th and 3rd columns) into column D, matching the format of the selected cell D2240.</t>
  </si>
  <si>
    <t>Matched all 29 RDC Utility Building FCU tags on the screen to registry rows 2238-2266 and wrote the room name + room number into column D for the 28 that were blank (D2240 was already filled).</t>
  </si>
  <si>
    <t>Format followed from D2240 ('MAIL ROOM U-0128'): room name in caps followed by the room number. Ground floor (RDC_UB_GF_): FCU8001 GENERAL STORAGE ROOM U-0129, 8002 SHOP U-0135, 8004 GENERAL STORAGE U-0108, 8005 RECYCLING ROOM U-0109, 8006 CYLINDER STORAGE U-0105, 8007 LN2 DISPENSER U-0104, 8008 FLAMMABLE STORAGE U-0103, 8009 FLAMMABLE WASTE STORAGE U-0102, 8010 BMS ROOM U-0117, 8011 BREAK ROOM U-0118, 8012 OFFICE SPACE U-0119, 8013/8014/8512/8513/8514/8515 WET/MECH/FIRE ROOM U-0120, 8502-8505 SHIPPING AND RECEIVING. Mezzanine (RDC_UB_MF_): FCU8501/8506/8507/8508/8509/8510/8511 MECHANICAL ROOM U-1101. Two judgement calls: (1) FCU-8502 to 8505 sit against a merged 'SHIPPING AND RECEIVING' room-name cell with the ROOM NO. column blank on the screen, so no room number was appended - note added on D2252. (2) U-1101 is shown as a single merged room number spanning the whole Level -1 mechanical block, so it was applied to all seven mezzanine FCUs.</t>
  </si>
  <si>
    <t>Rows 2238-2266 of column D on Controllable Asset Registry are now fully populated; verified by re-reading A2238:D2266. Open item: room numbers for the four SHIPPING AND RECEIVING FCUs (8502-8505) need confirming from drawings.</t>
  </si>
  <si>
    <t>Sent IMG_3056.jpeg - Siemens RDC BMS 'South Building Fan Coil Unit' summary (Level 0 and Level -1) - and asked me to apply the same treatment as the Utility Building screen: match the FCU tags to column A of the Controllable Asset Registry and write their room location into column D.</t>
  </si>
  <si>
    <t>Located all 26 South Building FCUs from the screen (rows 2191-2202 Level -1, rows 2223-2237 Ground Floor). Column D was already populated in an older abbreviated style, so I stopped and asked before overwriting; user chose to rewrite all 26 to the BMS format. Wrote D2191:D2202 and D2223:D2237.</t>
  </si>
  <si>
    <t>Format followed from D2240: room name in caps + room number. Level -1: FCU0501/FCU3501 STAIR-04 1ST04, FCU0502/0503 UPS ROOM S-1107D, FCU1501/1502 IDF ROOM S-1156, FCU1503 STAIR-01 1ST01, FCU2501 STAIR-03 1ST03, FCU2502/2503 IDF ROOM S-1244, FCU2504/2505 UPS ROOM S-1276. Ground floor: FCU0001 STAIR-02 S-02T02, FCU1001/1002 QTEL ROOM S-0132, FCU1003/1004 IDF ROOM S-0133, FCU1005/1006 EC MDF ROOM S-0134, FCU1007 MECHANICAL ROOM S-0136, FCU1008 STAIR-01 S-01T01, FCU2001 STAIR-03 S-0ST03, FCU2002/2003 AV ROOM S-0210, FCU2004/2005 IDF ROOM S-0271, FCU3001 STAIR-04 S-0ST04. Four rows were genuine data conflicts, not just wording: FCU2502 was 'MEETING ROOM S-1247' (screen pairs 2502 and 2503 to IDF S-1244), FCU2505 was 'MEETING ROOM S-1272' (screen pairs 2504 and 2505 to UPS S-1276), FCU0501 was 'Stair 2 S-1ST02' and FCU3501 was 'Stair S-1ST104' (screen shows both as STAIR-04 1ST04). Two cosmetic calls noted in-cell: the screen labels S-0271 'IDF-S-0271' and S-0ST04 'STAIR-OST04'; both were normalised to match the other IDF and stair entries.</t>
  </si>
  <si>
    <t>D2191:D2202 and D2223:D2237 rewritten and verified by re-read. Pre-existing drawing notes on D2192 and D2193 were left intact. Not covered: the screen has a NEXT &gt;&gt; button, so any further South Building FCU pages have not been reviewed, and the 2F rows (2203-2222) were untouched.</t>
  </si>
  <si>
    <t>Uploaded RDC_HVAC_DRAWINGS_MERGED.pdf (68 A0 as-built sheets) and the register. Asked to fill blank and verify yellow column-D cells for RDC FCU/VAV/EV/VEV equipment from the drawing schedules, North Building first. Rule: if room name/number not found, put the schedule page in column D and highlight blue; if a yellow row cannot be verified, note where to look in column E.</t>
  </si>
  <si>
    <t>Extracted the AIR TERMINAL DEVICES SCHEDULES and FAN COIL UNIT SCHEDULES for all North Building parts, then matched every NB target row by tag number. Processed all 219 NB targets: 105 VERIFIED (yellow cleared), 28 verified by room number but schedule uses a different room NAME (noted in E), 53 CORRECTED, 8 blanks filled, 12 blanks flagged blue (found but no room number on the schedule), 11 yellow unverifiable, 2 tags not in any NB schedule.</t>
  </si>
  <si>
    <t>Pages 1-66 have NO text layer (raster scans; confirmed with poppler and PyMuPDF) and OCR misread reference numbers (e.g. EV-5026 as EV-5025), so all tables were read visually at native 200 DPI. Sources: Level 0 p6 (A2.1), p7 (A2.2), p8 (A2.3), p9 (B2.1 + FCU@L0), p10 (B2.2); Level 1 p21 (A2.1 + FCU@L1), p22 (A2.2), p23 (A2.3), p24 (B2.1), p25 (B2.2); Level 2 FCU p32; Pedestrian Walkway FCU p57. 860 air-terminal refs + 44 FCUs captured. The AT schedules list VAV, EV, VEV, FEV, CEV and CAV refs in one table, so EV/VEV rows resolve from the same source. Corrections were applied only where the schedule room NUMBER differed; the previous value is preserved verbatim in column E as was: "...". Saved with openpyxl only - NOT LibreOffice-recalc - to preserve the 159 TRANSPOSE(FILTER) array formulas in SSC Room Names with Equip. (verified 159/159 intact).</t>
  </si>
  <si>
    <t>North Building COMPLETE - zero blank column-D cells remain in the NB block. KEY FINDING: the 53 corrections are not random - whole blocks were shifted by one position (e.g. GF lab block VAV5180-5270A: registry had Analyt Core-1/Org Chem/Furnace/MBE-Evap where the schedule reads Analytical Core Lab 2 N-0140A, Furnace N-0140B, Prep Lab N-0140C, Sputter N-0140D, ALD N-0140F, Support N-0140H, PLD N-0140J, Organic Chem N-0140K; also VAV4210-4212 CSP Lab -&gt; Desalination Lab N-0240D; VAV7195 Conference N-0440 -&gt; Office 04 N-0436). Note there is no MBE Room anywhere in the A2.2 schedule. DISCREPANCY: FCU-5993/5994 are listed on the LEVEL 0 schedule (p9, Part A2.2, Conference Room) but are tagged NB_1F in the register. UNRESOLVED: VAV5054 (schedule jumps 5053 to 5055) and FCU2004 (not in any NB schedule - likely a South Building unit). STILL TO DO: South Building (55 blank + 33 yellow) from Level 0 p1-p5/p11, Level 1 p16-p20/p26, Level 2 p27-p30, and rooms on p59-p60. Utility Building schedules are NOT in this PDF.</t>
  </si>
  <si>
    <t>After verifying and trimming my North Building edits, asked me to do the South Building and the Utility Building if any, using the same rules (fill blanks where found; verify yellows; blue + page ref in D when the schedule has no room name/number; note where to look in column E when a yellow cannot be verified).</t>
  </si>
  <si>
    <t>UTILITY BUILDING: nothing to do - all 38 UB rows already filled with no yellow flags, and this PDF contains no UB equipment schedule (UB appears only as airflow diagrams p56/p58 and one section sheet p45). SOUTH BUILDING: processed all 88 targets - 47 blanks filled, 23 verified (yellow cleared), 3 verified by room number but the schedule uses a different name, 2 corrected, 4 blanks blue-flagged, 9 not found (notes in column E).</t>
  </si>
  <si>
    <t>KEY: every South sheet carries an AIR TERMINAL UNIT NUMBERING legend that decodes the tags - digit 1 = drawing part (0 = A1.3 and B1.1, 1 = B1.2, 2 = A1.2, 3 = A1.1), digit 2 = level (0 = Level 0, 5 = Level 1, 2 = Level 2). So AT-3511 is A1.1/Level 1 and AT-0509 is B1.1/Level 1. Sources read at native 200 DPI: A1.1 L0 p1, B1.1 L0 p4, A1.1 plus a short A1.2 table L1 p16, A1.2 L1 p17, B1.1 L1 p19, B1.2 L1 p20. FCU tags were deliberately excluded from the air-terminal lookup so that e.g. FCU2502 is not matched to AT-2502. Saved with openpyxl only (no LibreOffice recalc); 159/159 TRANSPOSE(FILTER) array formulas verified intact. The North Building block was not touched this turn.</t>
  </si>
  <si>
    <t>South corrections: VAV3511 Dressing Room S-1286 -&gt; Corridor S-1280; VAV3514 Office S-1294 -&gt; Office S-1284. VAV3519 filled as Open Plan S-1293. NOT RESOLVABLE FROM THIS PDF: (1) the A1.2 and B1.2 Level 0 schedules on p2 and p5 have NO room name/number columns at all - only airflow and duct dimensions - so VAV1003/1004/1008 and VAV2005 are blue-flagged; (2) there is NO South Building fan-coil schedule anywhere in the document, so FCU2004, FCU2502, FCU2503 and FCU2205 stay unverified; (3) VAV0001 and VAV0002 - the B1.1 schedule starts at AT-0003; (4) AT-0122 - its second digit does not fit the level legend. DATA-ENTRY ISSUE: rows 1629 and 1782 have tags RDC_SB_1F_VAV and RDC_SB_GF_VAV with no unit number at all, so they can never be matched - complete or remove them at source. Remaining across the whole RDC block: 4 blank cells (rows 1629, 1782, 1783, 1784) and 5 SB plus 2 NB yellows.</t>
  </si>
  <si>
    <t>Pointed out that the AIR FLOW DIAGRAM sheets carry schedules I had dismissed, and that they may show the VAV locations I had inferred to be AT. Asked me to (1) use the exhaust/return diagrams for the EV/VEV rows, (2) resolve the rows still unresolved, and (3) cross-check everything already written.</t>
  </si>
  <si>
    <t>Opened the airflow diagrams (previously excluded at the indexing stage - my error). Item 2 COMPLETE: resolved 6 rows that the plan-sheet schedules could not - VAV0001, VAV0002, VAV1003, VAV1004, VAV1008, VAV2005. Item 3 STARTED: spot-verified North and South rows against the diagrams; every row checked so far confirms. Item 1 NOT STARTED: the return/exhaust diagrams (p51-p55, p64-p65 South) have not been read yet.</t>
  </si>
  <si>
    <t>AT vs VAV QUESTION SETTLED. The diagrams tag each terminal AT-xxxx with a vertical label beside it giving the valve type (VAV-01, VAV-02, VAV-05, CAV-01, CAV-03). The p36/p46 EQUIPMENT legend reads: AT = Air Terminal Device (Supply), VAV = Variable Air Valve (Supply Venturi), CAV = Constant Air Valve (Supply Venturi); and the SCHEMATIC LEGEND gives AT, VAV and CAV a single shared symbol. So AT-xxxx is the device number and VAV-nn is the valve fitted to it - there is no separate parallel VAV numbering series. Registry VAVxxxx = drawing AT-xxxx is therefore correct. IMPORTANT CORRECTION to an earlier note of mine: supply-side (AT/VAV/CAV) and exhaust-side (VEV/CEV/FEV/EV) are SEPARATELY NUMBERED. AT-1002 on the supply diagram is NOT VEV-1002. Any EV/VEV/FEV/CEV room I previously inferred from a paired VAV row needs checking against the exhaust diagrams.</t>
  </si>
  <si>
    <t>VERIFIED AGAINST THE DIAGRAMS (all matched what was already written): South p48 - AT-0017 S-0119 COMP.LAB, AT-0012 S-0114, AT-0011 S-0113 CONF, AT-0009/0010 S-0111/S-0112 PHONE, AT-0007 S-0109 CONF, AT-0004 S-0104, AT-0005 S-0105, AT-0006 S-0107/S-0106, AT-0008 S-0110, AT-0020 S-0120/0120A/0120B, AT-0018/0019 S-0123 RESTAURANT. North p35 - VAV-4190/4191 + FEV-4193/4194 CSP LAB N-0240B, AT-4200/VEV-4201 TEST RM 1 N-0240C, AT-4290 OFFICE N-0261. North p36 - VAV-5250/VEV-5251 SUP RM N-0140H, VAV-5260/VEV-5261 PLD N-0140J, CAV-5240/CEV-5241 A/L N-0140G, VAV-5220/VEV-5221 EVAP N-0140E, CAV-5170 SERVICE CORR N-0136, AT-5140 N-0123, AT-5135 N-0122. These independently confirm the Level 0 lab-block corrections made from the plan schedules. STILL OPEN: VAV5054 (not yet located on p36); the full exhaust-side pass (item 1); and the remaining bulk cross-check of ~300 rows (item 3). Airflow-diagram sheet map: North p35 A2.1 L0, p36 A2.2 L0, p37 B2.1 L0, p38 B2.2 L0, p39-p43 Level 1; South supply p46 (A1.1/A1.2/A1.3 L0), p47 (A1.x L1), p48 (B1.1/B1.2 L0), p49-p50; South return p51-p55; South exhaust p64-p65; Utility p56/p58.</t>
  </si>
  <si>
    <t>Told me to go ahead using all the document's information without limiting myself to specified pages, and asked what about the FEV, VEV and EV rows.</t>
  </si>
  <si>
    <t>Ran a full cross-check of EVERY RDC row against the extracted schedules, not just the blank/yellow ones. EXHAUST SIDE (202 rows: 73 FEV, 62 EV, 51 VEV, 12 CEV, 1 CAV, 3 SB EV): 152 already correct, 39 CORRECTED, 9 flagged unverifiable. SUPPLY SIDE (AT/VAV/CAV, 1383 rows with data): 1171 already correct, 47 CORRECTED, 17 held back by guards, 155 with no schedule source.</t>
  </si>
  <si>
    <t>The air terminal schedules list EV, VEV, FEV, CEV and CAV refs in the same AT-REF column as the supply tags, so the exhaust rows could be verified from the schedules already extracted - no new drawing reading was needed for them. THREE GUARDS stopped false corrections: (1) multi-node sensors AT-7090-N1/N2, AT-7105-N1/N2 and AT-7120-N1..N9 serve several rooms each and the schedule lists only the parent tag once, so all 13 were left as-is; (2) VAV5930P and VAV5940P carry a P suffix meaning penthouse/Level 2 and are distinct devices from the Level 1 5930/5940, so they were left as-is; (3) VAV4312 and AT-4312 map to a schedule row (Breakout) that has no room number, so they were noted rather than changed. Diagram evidence used: p35 and p36 North airflow diagrams independently confirmed the Level 0 lab-block corrections (VAV-5250/VEV-5251 SUP RM N-0140H, VAV-5260/VEV-5261 PLD N-0140J, CAV-5240/CEV-5241 A/L N-0140G, VAV-5220/VEV-5221 EVAP N-0140E).</t>
  </si>
  <si>
    <t>EXHAUST PATTERN FOUND - same lazy-fill as the supply side: EV-4236/4261/4286 all read Corridor N-0246 but belong to N-0250/N-0255/N-0260; EV-6356/6381/6401 all read Corridor N-0365 but belong to N-0372/N-0378/N-0381; EV-7396/7426/7461/7486 all read Corridor N-0451 but belong to N-0446/N-0452/N-0457/N-0462; EV-4661/4686/4711/4736 all read Corridor N-1223 but belong to N-1227/N-1232/N-1237/N-1242; EV-5891/5921/5941 all read Corridor N-1150 but belong to N-1160/N-1168/N-1165. Also corrected the pre-existing AT-0003 row (was Corridor S-0117, which duplicated AT-0015; the p4 schedule gives Entrance Lobby S-0102). Supply/exhaust numbering is SEPARATE: AT-1002 feeds S-0139 Comp Lab while EV-1002 serves NOC S-0140A. RUNNING TOTAL of corrections across the whole RDC block: 53 (North supply) + 2 (South supply) + 39 (exhaust) + 47 (full supply sweep) = 141. STILL OPEN: 155 supply and 9 exhaust rows with no schedule source (mostly multi-node sensors, Level 2 units and South AT rows on parts whose schedules carry no room columns) - these need the return/exhaust airflow diagrams p51-p55 and p64-p65, plus North p37-p43, which have not been read yet. VAV5054 still not located.</t>
  </si>
  <si>
    <t>Asked me to close out the 22 rows I had held back - the 13 multi-node sensors and the 9 unverified exhaust rows.</t>
  </si>
  <si>
    <t>Read p38 (Air Flow Diagram B2.2 Level 0) and re-used p36/p48. Outcome on the 22: 6 VERIFIED as already correct, 3 corrected or normalised, 13 multi-node rows deliberately left as-is with an explanatory note, and 3 marked NOT CONFIRMED as provisional.</t>
  </si>
  <si>
    <t>MULTI-NODE FINDING: p38 shows AT-7090, AT-7105 and AT-7120 each as a SINGLE air terminal (serving N-0412, WKS N-0415 and WKS N-0418 respectively). The diagrams depict air terminals, not BMS sensor points, so they can neither confirm nor refute the -N1..-N9 sub-node rooms (N-0412A, N-0415A, N-0418A, N-0430A..N-0430F) that an earlier session read off the plan drawings. Both can be true at once: one terminal serving a zone, with several sensor nodes distributed through it. Each of the 13 rows now carries a note saying explicitly NOT to overwrite them with the parent terminal's room - this is the trap an automated sweep would fall into. OTHER VERIFICATIONS: p38 confirmed VAV-7070/7071 SURF ANALYSIS N-0404F with VEV-7072/7073 and FEV-7074 on the exhaust branch (so FEV-7075 is consistent); CAV-7220/CEV-7221/EV-7126 SERVICE CORR N-0441 and NORMAL ELEC N-0420; EV-7122 IDF N-0419, confirming an earlier correction. p48 confirmed the South exhaust series runs one behind the supply series (AT-1002 supply = S-0139, EV-1001 exhaust = S-0139), which validates EV-1001/1002/1003.</t>
  </si>
  <si>
    <t>CHANGED: FEV-7232 corrected to Inter Lab N-0442A (the p10 schedule puts the 7230 series in N-0442A and the 7240 series in Optical Lab N-0442B); FEV-5222 and FEV-5223 normalised to Evap Room N-0140E, confirmed on the p36 EVAP branch alongside VAV-5220/VEV-5221. STILL PROVISIONAL (3 rows, flagged in column E): VEV-6053, EV-4920 and EV-6981 - VEV-6053 is absent from the p9 B2.1 schedule, and the two Level 2 units cannot be resolved because the p32 Level 2 FCU schedule carries no room numbers at all. RDC block final state: 2 blank cells (rows 1629 and 1782, tags with no unit number), 142 total corrections applied across all passes.</t>
  </si>
  <si>
    <t>Approved the room corrections, then asked me to delete all of column C and redo the Included / Not Included assessment across ALL sections (not just RDC), since the inclusion status may not have been updated after the room names were corrected. Rules: HQ excludes executive, technical AND public rooms; SSC, QNL and RDC exclude executive and technical only.</t>
  </si>
  <si>
    <t>Cleared all 2,942 existing column C values across HQ, QNL, SSC and RDC, then reclassified every row from the room name in column D. Result: HQ 404 Included / 368 Not Included; QNL 368 / 81; SSC 101 / 22; RDC 1,226 / 533. 5 rows could not be classified and were left blank and highlighted yellow. Column D and all other columns were left untouched.</t>
  </si>
  <si>
    <t>Classification is keyword-based on the column D room name. EXECUTIVE: executive, exec, director, dir., manager, sheikh(a), VP, president, chairman, CEO, head of, majlis, VIP, board room. TECHNICAL: electrical, mechanical, plant, IDF, MDF, UPS, BMS, FPC, sprinkler, pump, AHU, riser, shaft, telecom, MCC, server, control room/centre, switchgear, generator, chiller, vent plant, battery, penthouse, transformer, GSM, fire command, gas suppression, misting, Q-tel, AV room, calorifier, MEP, duct, air lock, service equipment, pipe chase, security, panel, boiler. PUBLIC (HQ ONLY): lobby, corridor, toilet/WC, prayer, ablution, vestibule, foyer, atrium, stair, lift, cafe, restaurant, reception, waiting, visitor, exhibition, gallery, auditorium, entrance, walkway, bridge, mens/womens, spa, salon, fitness, treatment, relaxation, changing, nursery, lounge, terrace, dining. THREE JUDGEMENT CALLS were put to the user before applying and answered as follows: (1) LABORATORIES count as technical -&gt; Not Included (bio-med chem, NMR, nano, gene therapy, analytical core, tissue culture, clean room, high bay, desal, CSP, photovoltaic, etc.); (2) EXECUTIVE SUPPORT rooms (VP secretary, exec. assistant, director's staff, officers, members, workstations) are Included, because the occupant is staff rather than the executive; (3) CEILING VOIDS and plenums are classified by the room they serve, so Bridge Ceiling Void and Auditorium high-level void are Included.</t>
  </si>
  <si>
    <t>5 rows left BLANK and highlighted YELLOW because column D holds no usable room name: HQ r126 'NOT FOUND ON THE DRAWING OR SCHEDULE', HQ r718 (blank), QNL r931 (blank), QNL r1134 (blank), SSC r1309 '(NOT FOUND ON DRAWING LEVEL 3)'. NOTE the classification is only as good as the room name in column D - rows whose column D holds a page reference (the blue-flagged RDC rows) or a Key Plan zone name rather than a real room were classified on that text and should be re-checked once the real room name is known. Borderline calls worth a spot-check: 'Service Corridor', 'Service Dock' and 'Shop' in RDC were left Included as circulation/back-of-house rather than plant; 'Technical Open Plan S-0211' and 'Situation Room' were left Included as occupied workspaces.</t>
  </si>
  <si>
    <t>EQUIPMENT ASSET REGISTER</t>
  </si>
  <si>
    <t>Description</t>
  </si>
  <si>
    <t>Remarks</t>
  </si>
  <si>
    <t xml:space="preserve">Air Handling Unit </t>
  </si>
  <si>
    <t>EQUIPMENT COUNT SUMMARY</t>
  </si>
  <si>
    <t>CHW Pump</t>
  </si>
  <si>
    <t>Variable Air Volume</t>
  </si>
  <si>
    <t>DX Unit</t>
  </si>
  <si>
    <t>Heat Exchanger</t>
  </si>
  <si>
    <t>CCU</t>
  </si>
  <si>
    <t>EF</t>
  </si>
  <si>
    <t>GEF</t>
  </si>
  <si>
    <t>TEF</t>
  </si>
  <si>
    <t>CEF</t>
  </si>
  <si>
    <t>SF</t>
  </si>
  <si>
    <t>Generator</t>
  </si>
  <si>
    <t>TOTAL</t>
  </si>
  <si>
    <t>#</t>
  </si>
  <si>
    <t>Equipment type</t>
  </si>
  <si>
    <t>Tag(s) in IO list</t>
  </si>
  <si>
    <t>Assumption</t>
  </si>
  <si>
    <t>These two tags refer to the same physical unit</t>
  </si>
  <si>
    <t>DX_B0001</t>
  </si>
  <si>
    <t>DX Unit - Interior</t>
  </si>
  <si>
    <t>AHU12_10</t>
  </si>
  <si>
    <t>DX_B0002</t>
  </si>
  <si>
    <t>AHUB01_02</t>
  </si>
  <si>
    <t>DX_B0003</t>
  </si>
  <si>
    <t>DX_B0004</t>
  </si>
  <si>
    <t>AHUB03_04</t>
  </si>
  <si>
    <t>DX_B0005</t>
  </si>
  <si>
    <t>DX_B0006</t>
  </si>
  <si>
    <t>AHUB05_06</t>
  </si>
  <si>
    <t>DX_B0007</t>
  </si>
  <si>
    <t>DX_B0008</t>
  </si>
  <si>
    <t>AHUB07</t>
  </si>
  <si>
    <t>DX_B0009</t>
  </si>
  <si>
    <t>DX_B0010</t>
  </si>
  <si>
    <t>AHUB08</t>
  </si>
  <si>
    <t>DX_B0011</t>
  </si>
  <si>
    <t>DX_B0012</t>
  </si>
  <si>
    <t>AHUB10</t>
  </si>
  <si>
    <t>DX_B0013</t>
  </si>
  <si>
    <t>DX_B0014</t>
  </si>
  <si>
    <t>AHUB11</t>
  </si>
  <si>
    <t>DX_B0015</t>
  </si>
  <si>
    <t>DX_B0016</t>
  </si>
  <si>
    <t>DX_ODSB0101</t>
  </si>
  <si>
    <t>This DX unit was added later and not reflected in the HVAC Drawing</t>
  </si>
  <si>
    <t>DX_CP_0001</t>
  </si>
  <si>
    <t>DX_ODSB0102</t>
  </si>
  <si>
    <t>DX_G0001</t>
  </si>
  <si>
    <t>DX_ODSB0201</t>
  </si>
  <si>
    <t>DX_G0002</t>
  </si>
  <si>
    <t>DX_ODSB0202</t>
  </si>
  <si>
    <t>DX_G0003</t>
  </si>
  <si>
    <t>DX Unit - Exterior</t>
  </si>
  <si>
    <t>Fan Coil Unit</t>
  </si>
  <si>
    <t>FCU00133</t>
  </si>
  <si>
    <t>HEX01</t>
  </si>
  <si>
    <t>HEX</t>
  </si>
  <si>
    <t>HEX02</t>
  </si>
  <si>
    <t>HEX03</t>
  </si>
  <si>
    <t>HEX04</t>
  </si>
  <si>
    <t>HEX05</t>
  </si>
  <si>
    <t>CCU_B0001</t>
  </si>
  <si>
    <t>CCU_B0002</t>
  </si>
  <si>
    <t>CCU_B0003A</t>
  </si>
  <si>
    <t>CCU_B0003B</t>
  </si>
  <si>
    <t>CCU_B0004A</t>
  </si>
  <si>
    <t>CCU_B0004B</t>
  </si>
  <si>
    <t>CCU_B0005</t>
  </si>
  <si>
    <t>CCU_B0006</t>
  </si>
  <si>
    <t>CCU_B0007</t>
  </si>
  <si>
    <t>CCU_B0008</t>
  </si>
  <si>
    <t>CCU_B0009</t>
  </si>
  <si>
    <t>GEF_BF</t>
  </si>
  <si>
    <t>GEF12</t>
  </si>
  <si>
    <t>GEF12_0005</t>
  </si>
  <si>
    <t>GEF12_0006</t>
  </si>
  <si>
    <t>GEF12_0008</t>
  </si>
  <si>
    <t>GEF12_0009</t>
  </si>
  <si>
    <t>GEFB_0007</t>
  </si>
  <si>
    <t>GEFB_0010</t>
  </si>
  <si>
    <t>GEFB_0011</t>
  </si>
  <si>
    <t>GEFB_0012</t>
  </si>
  <si>
    <t>GEFB_0013</t>
  </si>
  <si>
    <t>GEFB_CP0001</t>
  </si>
  <si>
    <t>GEFB_CP0002</t>
  </si>
  <si>
    <t>EF_CommonFireAlm</t>
  </si>
  <si>
    <t>Exhaust Fan</t>
  </si>
  <si>
    <t>EF_CommonFireAlm_1</t>
  </si>
  <si>
    <t>EF_CommonFireAlm_2</t>
  </si>
  <si>
    <t>EF_CPZ1</t>
  </si>
  <si>
    <t>EF_CPZ2</t>
  </si>
  <si>
    <t>EF_CPZ3</t>
  </si>
  <si>
    <t>EF_CPZ4</t>
  </si>
  <si>
    <t>EF_CPZ5</t>
  </si>
  <si>
    <t>EF_CPZ6</t>
  </si>
  <si>
    <t>EF_CPZ7</t>
  </si>
  <si>
    <t>EF_CPZ8</t>
  </si>
  <si>
    <t>EF_CPZ9</t>
  </si>
  <si>
    <t>TEF12_0001</t>
  </si>
  <si>
    <t>TEF12_0002</t>
  </si>
  <si>
    <t>TEF12_0003</t>
  </si>
  <si>
    <t>TEF12_0004</t>
  </si>
  <si>
    <t>CEF_CPZ1_B01</t>
  </si>
  <si>
    <t>CEF_CPZ1_B02</t>
  </si>
  <si>
    <t>CEF_CPZ1_B03</t>
  </si>
  <si>
    <t>CEF_CPZ1_B04</t>
  </si>
  <si>
    <t>CEF_CPZ1_B05</t>
  </si>
  <si>
    <t>CEF_CPZ2_B06</t>
  </si>
  <si>
    <t>CEF_CPZ2_B07</t>
  </si>
  <si>
    <t>CEF_CPZ2_B08</t>
  </si>
  <si>
    <t>CEF_CPZ2_B09</t>
  </si>
  <si>
    <t>CEF_CPZ2_B10</t>
  </si>
  <si>
    <t>CEF_CPZ3_B13</t>
  </si>
  <si>
    <t>CEF_CPZ3_B14</t>
  </si>
  <si>
    <t>CEF_CPZ3_B15</t>
  </si>
  <si>
    <t>CEF_CPZ3_B19</t>
  </si>
  <si>
    <t>CEF_CPZ4_B20</t>
  </si>
  <si>
    <t>CEF_CPZ4_B22</t>
  </si>
  <si>
    <t>CEF_CPZ4_B23</t>
  </si>
  <si>
    <t>CEF_CPZ4_B24</t>
  </si>
  <si>
    <t>CEF_CPZ5_B21</t>
  </si>
  <si>
    <t>CEF_CPZ5_B25</t>
  </si>
  <si>
    <t>CEF_CPZ5_B26</t>
  </si>
  <si>
    <t>CEF_CPZ5_B27</t>
  </si>
  <si>
    <t>CEF_CPZ7_B16</t>
  </si>
  <si>
    <t>CEF_CPZ7_B17</t>
  </si>
  <si>
    <t>CEF_CPZ7_B18</t>
  </si>
  <si>
    <t>CEF_CPZ8_B11</t>
  </si>
  <si>
    <t>CEF_CPZ8_B12</t>
  </si>
  <si>
    <t>CEF_Zone1</t>
  </si>
  <si>
    <t>CEF_Zone2</t>
  </si>
  <si>
    <t>CEF_Zone3</t>
  </si>
  <si>
    <t>CEF_Zone4</t>
  </si>
  <si>
    <t>CEF_Zone5</t>
  </si>
  <si>
    <t>CEF_Zone6_9</t>
  </si>
  <si>
    <t>CPNL09_CEF_B06</t>
  </si>
  <si>
    <t>CPNL09_CEF_B07</t>
  </si>
  <si>
    <t>CPNL09_CEF_B08</t>
  </si>
  <si>
    <t>CPNL09_CEF_B09</t>
  </si>
  <si>
    <t>CPNL09_CEF_B10</t>
  </si>
  <si>
    <t>CPNL09_CEF_B11</t>
  </si>
  <si>
    <t>CPNL09_CEF_B12</t>
  </si>
  <si>
    <t>CPNL09_CEF_B13</t>
  </si>
  <si>
    <t>CPNL09_CEF_B14</t>
  </si>
  <si>
    <t>CPNL09_CEF_B15</t>
  </si>
  <si>
    <t>CPNL09_CEF_B16</t>
  </si>
  <si>
    <t>CPNL09_CEF_B17</t>
  </si>
  <si>
    <t>CPNL09_CEF_B18</t>
  </si>
  <si>
    <t>CPNL09_CEF_B19</t>
  </si>
  <si>
    <t>CSRR10_CEF_B01_INV</t>
  </si>
  <si>
    <t>CSRR10_CEF_B02_INV</t>
  </si>
  <si>
    <t>CSRR10_CEF_B03_INV</t>
  </si>
  <si>
    <t>CSRR10_CEF_B04_INV</t>
  </si>
  <si>
    <t>CSRR10_CEF_B05_INV</t>
  </si>
  <si>
    <t>CSRR9_CEF_B20_INV</t>
  </si>
  <si>
    <t>CSRR9_CEF_B21_INV</t>
  </si>
  <si>
    <t>CSRR9_CEF_B22_INV</t>
  </si>
  <si>
    <t>CSRR9_CEF_B23_INV</t>
  </si>
  <si>
    <t>CSRR9_CEF_B24_INV</t>
  </si>
  <si>
    <t>CSRR9_CEF_B25_INV</t>
  </si>
  <si>
    <t>CSRR9_CEF_B26_INV</t>
  </si>
  <si>
    <t>CSRR9_CEF_B27_INV</t>
  </si>
  <si>
    <t>CHW_CHWP01</t>
  </si>
  <si>
    <t>Chilled Water Pump</t>
  </si>
  <si>
    <t>CHW_CHWP02</t>
  </si>
  <si>
    <t>CHW_CHWP03</t>
  </si>
  <si>
    <t>CHW_CHWP04</t>
  </si>
  <si>
    <t>SF05_0001A</t>
  </si>
  <si>
    <t>Fan</t>
  </si>
  <si>
    <t>SF05_0001B</t>
  </si>
  <si>
    <t>SF05_0002A</t>
  </si>
  <si>
    <t>SF05_0002B</t>
  </si>
  <si>
    <t>SF12_0001A</t>
  </si>
  <si>
    <t>SF12_0001B</t>
  </si>
  <si>
    <t>SF12_0002A</t>
  </si>
  <si>
    <t>SF12_0002B</t>
  </si>
  <si>
    <t>SF12_0003A</t>
  </si>
  <si>
    <t>SF12_0003B</t>
  </si>
  <si>
    <t>SF12_0004A</t>
  </si>
  <si>
    <t>SF12_0004B</t>
  </si>
  <si>
    <t>SF12_0005A</t>
  </si>
  <si>
    <t>SF12_0005B</t>
  </si>
  <si>
    <t>SF12_0006A</t>
  </si>
  <si>
    <t>SF12_0006B</t>
  </si>
  <si>
    <t>ELEC_Gen2</t>
  </si>
  <si>
    <t>ELEC_Gen3</t>
  </si>
  <si>
    <t>Constant Air Volume</t>
  </si>
  <si>
    <t>SEF</t>
  </si>
  <si>
    <t>DX_B01</t>
  </si>
  <si>
    <t>KEF</t>
  </si>
  <si>
    <t>DX_B02</t>
  </si>
  <si>
    <t>DX_B03</t>
  </si>
  <si>
    <t>DX_B04</t>
  </si>
  <si>
    <t>DX_B05</t>
  </si>
  <si>
    <t>DX_B06</t>
  </si>
  <si>
    <t>DX_B07</t>
  </si>
  <si>
    <t>DX_B08</t>
  </si>
  <si>
    <t>EF_RP001</t>
  </si>
  <si>
    <t>This is the same asset as : EF_RP01</t>
  </si>
  <si>
    <t>DX_B09</t>
  </si>
  <si>
    <t>EF_RP002</t>
  </si>
  <si>
    <t>This is the same asset as : EF_RP02</t>
  </si>
  <si>
    <t>DX_B10</t>
  </si>
  <si>
    <t>EF_RP003</t>
  </si>
  <si>
    <t>This is the same asset as : EF_RP03</t>
  </si>
  <si>
    <t>DX_B11</t>
  </si>
  <si>
    <t>EF_B009</t>
  </si>
  <si>
    <t>This is the same asset as : EF_B09</t>
  </si>
  <si>
    <t>DX_B12</t>
  </si>
  <si>
    <t>EF_B011</t>
  </si>
  <si>
    <t>This is the same asset as : EF_B11</t>
  </si>
  <si>
    <t>DX_B13</t>
  </si>
  <si>
    <t>This is the same asset as : DX_B10</t>
  </si>
  <si>
    <t>DX_B14</t>
  </si>
  <si>
    <t>This is the same asset as : DX_B11</t>
  </si>
  <si>
    <t>DX_B15</t>
  </si>
  <si>
    <t>This is the same asset as : DX_B12</t>
  </si>
  <si>
    <t>DX_B16</t>
  </si>
  <si>
    <t>DX_B0020</t>
  </si>
  <si>
    <t>This is the same asset as : DX_B20</t>
  </si>
  <si>
    <t>DX_B17</t>
  </si>
  <si>
    <t>DX_B022</t>
  </si>
  <si>
    <t>This is the same asset as : DX_B21</t>
  </si>
  <si>
    <t>DX_B18</t>
  </si>
  <si>
    <t>DX_B023</t>
  </si>
  <si>
    <t>This is the same asset as : DX_B22</t>
  </si>
  <si>
    <t>DX_B19</t>
  </si>
  <si>
    <t>DX_B22</t>
  </si>
  <si>
    <t>DX_B20</t>
  </si>
  <si>
    <t>DX_B23</t>
  </si>
  <si>
    <t>DX_B21</t>
  </si>
  <si>
    <t>DX_B24</t>
  </si>
  <si>
    <t>This asset is available in the Local and SWS SCADA but not in the HVAC Drawings</t>
  </si>
  <si>
    <t>This Heat Exchanger was added later and not reflecteed in the HVAC Drawing</t>
  </si>
  <si>
    <t>CCU_AVServer_Rm</t>
  </si>
  <si>
    <t xml:space="preserve">This CCU is available in the Local SCADA but not configures in the SWS </t>
  </si>
  <si>
    <t>CAV_1F_S15_001</t>
  </si>
  <si>
    <t>EF_201</t>
  </si>
  <si>
    <t>EF_B05</t>
  </si>
  <si>
    <t>EF_B06</t>
  </si>
  <si>
    <t>EF_B07</t>
  </si>
  <si>
    <t>EF_B08</t>
  </si>
  <si>
    <t>EF_B09</t>
  </si>
  <si>
    <t>EF_B10</t>
  </si>
  <si>
    <t>EF_B11</t>
  </si>
  <si>
    <t>EF_B12</t>
  </si>
  <si>
    <t>EF_B13</t>
  </si>
  <si>
    <t>EF_B14</t>
  </si>
  <si>
    <t>EF_B15</t>
  </si>
  <si>
    <t>EF_B16</t>
  </si>
  <si>
    <t>EF_BBV01</t>
  </si>
  <si>
    <t>EF_BBV02</t>
  </si>
  <si>
    <t>EF_RP01</t>
  </si>
  <si>
    <t>EF_RP02</t>
  </si>
  <si>
    <t>EF_RP03</t>
  </si>
  <si>
    <t>KEF_101</t>
  </si>
  <si>
    <t>KEF_B019</t>
  </si>
  <si>
    <t>KEF_B020</t>
  </si>
  <si>
    <t>KEF_B04</t>
  </si>
  <si>
    <t>SEF_RP04</t>
  </si>
  <si>
    <t>SEF_RP05</t>
  </si>
  <si>
    <t>SEF_RP06</t>
  </si>
  <si>
    <t>SEF_RP07</t>
  </si>
  <si>
    <t>SEF_RP08</t>
  </si>
  <si>
    <t>SEF_RP09</t>
  </si>
  <si>
    <t>SEF_RP10</t>
  </si>
  <si>
    <t>SEF_RP11</t>
  </si>
  <si>
    <t>SEF_RP12</t>
  </si>
  <si>
    <t>SEF_ZoneA</t>
  </si>
  <si>
    <t>SEF_ZoneB</t>
  </si>
  <si>
    <t>SEF_ZoneC</t>
  </si>
  <si>
    <t>TEF_101C</t>
  </si>
  <si>
    <t>TEF_102C</t>
  </si>
  <si>
    <t>TEF_B01A</t>
  </si>
  <si>
    <t>TEF_B01B</t>
  </si>
  <si>
    <t>TEF_B02A</t>
  </si>
  <si>
    <t>TEF_B02B</t>
  </si>
  <si>
    <t>TEF_B03A</t>
  </si>
  <si>
    <t>TEF_B03B</t>
  </si>
  <si>
    <t>CCU_B01</t>
  </si>
  <si>
    <t>CCU_B02</t>
  </si>
  <si>
    <t>CCU_B03</t>
  </si>
  <si>
    <t>CCU_B04</t>
  </si>
  <si>
    <t>CCU_B05</t>
  </si>
  <si>
    <t>CCU_B06</t>
  </si>
  <si>
    <t>CCU_B07</t>
  </si>
  <si>
    <t>CCU_B08</t>
  </si>
  <si>
    <t>CCU_B09</t>
  </si>
  <si>
    <t>CCU_B10</t>
  </si>
  <si>
    <t>CCU_B11</t>
  </si>
  <si>
    <t>CCU_8081</t>
  </si>
  <si>
    <t>CCU_8082</t>
  </si>
  <si>
    <t>CCU_8083</t>
  </si>
  <si>
    <t>CCU_8084</t>
  </si>
  <si>
    <t>CCU_8085</t>
  </si>
  <si>
    <t>CCU_8086</t>
  </si>
  <si>
    <t>CCU_MDFRm</t>
  </si>
  <si>
    <t>CCU_Qtel</t>
  </si>
  <si>
    <t>CCU_Server_Rm</t>
  </si>
  <si>
    <t>This Asset is available in Local SCADA but not in SWS (Historian)</t>
  </si>
  <si>
    <t>CCU_HeritageVault</t>
  </si>
  <si>
    <t>CHW_P01</t>
  </si>
  <si>
    <t>Primary CHW Pumps</t>
  </si>
  <si>
    <t>CHW_P02</t>
  </si>
  <si>
    <t>CHW_P03</t>
  </si>
  <si>
    <t>CHW_P04</t>
  </si>
  <si>
    <t>CHWPU_P01</t>
  </si>
  <si>
    <t xml:space="preserve">Chilled Water Pressurization Unit Pump </t>
  </si>
  <si>
    <t>CHWPU_P02</t>
  </si>
  <si>
    <t>ELEC_Gen</t>
  </si>
  <si>
    <t>DX/B/11</t>
  </si>
  <si>
    <t>This DX unit is not available in I/O (Local and SWS) but available in the drawings</t>
  </si>
  <si>
    <t>DX/B/12</t>
  </si>
  <si>
    <t>DX/B/13</t>
  </si>
  <si>
    <t>DX/B/14</t>
  </si>
  <si>
    <t>DX/B/15</t>
  </si>
  <si>
    <t>DX/B/16</t>
  </si>
  <si>
    <t>DX/1/01</t>
  </si>
  <si>
    <t>DX/1/02</t>
  </si>
  <si>
    <t>DX/1/03</t>
  </si>
  <si>
    <t>CCU3F0301</t>
  </si>
  <si>
    <t>CCU3F0302</t>
  </si>
  <si>
    <t>CCUB0001A</t>
  </si>
  <si>
    <t>CCUB0001B</t>
  </si>
  <si>
    <t>CCUB0002A</t>
  </si>
  <si>
    <t>CCUB0002B</t>
  </si>
  <si>
    <t>CCUB0003</t>
  </si>
  <si>
    <t>CCUB0004</t>
  </si>
  <si>
    <t>CCUB0005A</t>
  </si>
  <si>
    <t>CCUB0005B</t>
  </si>
  <si>
    <t>CCUB0006A</t>
  </si>
  <si>
    <t>CCUB0006B</t>
  </si>
  <si>
    <t>CCUB0007</t>
  </si>
  <si>
    <t>CCUB0008</t>
  </si>
  <si>
    <t>TEF0101</t>
  </si>
  <si>
    <t>TEF0102</t>
  </si>
  <si>
    <t>TEF0301</t>
  </si>
  <si>
    <t>TEF0302</t>
  </si>
  <si>
    <t>CHW_HE01</t>
  </si>
  <si>
    <t>CHW_HE02</t>
  </si>
  <si>
    <t>CHW_HE03</t>
  </si>
  <si>
    <t>CHW_HE04</t>
  </si>
  <si>
    <t>CHW_HE05</t>
  </si>
  <si>
    <t>DXB0001</t>
  </si>
  <si>
    <t>DX Unit - Ducted Split</t>
  </si>
  <si>
    <t>DXB0002</t>
  </si>
  <si>
    <t>DXB0003</t>
  </si>
  <si>
    <t>DXB0004</t>
  </si>
  <si>
    <t>DXB0005</t>
  </si>
  <si>
    <t>DXB0006</t>
  </si>
  <si>
    <t>DX Unit - Floor Standing Units</t>
  </si>
  <si>
    <t>DXB0007</t>
  </si>
  <si>
    <t>DXB0008</t>
  </si>
  <si>
    <t>DXB0009</t>
  </si>
  <si>
    <t>DXB0010</t>
  </si>
  <si>
    <t>MV_Generator</t>
  </si>
  <si>
    <t>KEF0103</t>
  </si>
  <si>
    <t>KEF0303</t>
  </si>
  <si>
    <t>CHWP_B01</t>
  </si>
  <si>
    <t>CHWP_B02</t>
  </si>
  <si>
    <t>CHWP_B03</t>
  </si>
  <si>
    <t>CHWP_B04</t>
  </si>
  <si>
    <t>CHWP01</t>
  </si>
  <si>
    <t>CHWP02</t>
  </si>
  <si>
    <t>CHWP03</t>
  </si>
  <si>
    <t>CHWP04</t>
  </si>
  <si>
    <t>GEFB0001</t>
  </si>
  <si>
    <t>General Extract Fan</t>
  </si>
  <si>
    <t>REF0001</t>
  </si>
  <si>
    <t>Extract Fan</t>
  </si>
  <si>
    <t>NB_AHU8511</t>
  </si>
  <si>
    <t>NB_AHU8512</t>
  </si>
  <si>
    <t>NB_AHU8513</t>
  </si>
  <si>
    <t>NB_AHU8514</t>
  </si>
  <si>
    <t>NB_AHU8515</t>
  </si>
  <si>
    <t>NB_AHU8516</t>
  </si>
  <si>
    <t>ERU</t>
  </si>
  <si>
    <t>NB_AHU8517</t>
  </si>
  <si>
    <t>NB_AHU8518</t>
  </si>
  <si>
    <t>NB_AHU8519</t>
  </si>
  <si>
    <t>NB_AHU8520</t>
  </si>
  <si>
    <t>NB_AHU8521</t>
  </si>
  <si>
    <t>RDC_NB_ERU8531</t>
  </si>
  <si>
    <t>RDC_NB_ERU8532</t>
  </si>
  <si>
    <t>EAV</t>
  </si>
  <si>
    <t>RDC_NB_ERU8533</t>
  </si>
  <si>
    <t>RDC_NB_ERU8534</t>
  </si>
  <si>
    <t>RDC_NB_ERU8535</t>
  </si>
  <si>
    <t>RDC_NB_ERU8536</t>
  </si>
  <si>
    <t>RDC_NB_ERU8537</t>
  </si>
  <si>
    <t>RDC_NB_ERU8538</t>
  </si>
  <si>
    <t>RDC_NB_ERU8539</t>
  </si>
  <si>
    <t>RDC_NB_ERU8540</t>
  </si>
  <si>
    <t>RDC_NB_ERU8541</t>
  </si>
  <si>
    <t>RDC_SB_AHU8011</t>
  </si>
  <si>
    <t>RDC_SB_AHU8012</t>
  </si>
  <si>
    <t>RDC_SB_AHU8021</t>
  </si>
  <si>
    <t>RDC_SB_AHU8022</t>
  </si>
  <si>
    <t>RDC_SB_AHU8023</t>
  </si>
  <si>
    <t>RDC_SB_AHU8024</t>
  </si>
  <si>
    <t>RDC_UB_AHU8603_DXUnit</t>
  </si>
  <si>
    <t>This is the DX coil/compressor of AHU8603</t>
  </si>
  <si>
    <t>RDC_SB_AHU8025</t>
  </si>
  <si>
    <t>RDC_UB_AHU8604_DXUnit</t>
  </si>
  <si>
    <t>This is the DX coil/compressor of AHU8604</t>
  </si>
  <si>
    <t>RDC_SB_AHU8026</t>
  </si>
  <si>
    <t>RDC_UB_AHU8605_DXUnit</t>
  </si>
  <si>
    <t>This is the DX coil/compressor of AHU8605</t>
  </si>
  <si>
    <t>RDC_SB_AHU8031</t>
  </si>
  <si>
    <t>RDC_UB_AHU8606_DXUnit</t>
  </si>
  <si>
    <t>This is the DX coil/compressor of AHU8606</t>
  </si>
  <si>
    <t>RDC_SB_AHU8032</t>
  </si>
  <si>
    <t>RDC_UB_AHU8607_DXUnit</t>
  </si>
  <si>
    <t>This is the DX coil/compressor of AHU8607</t>
  </si>
  <si>
    <t>RDC_SB_AHU8033</t>
  </si>
  <si>
    <t>RDC_UB_AHU8608_DXUnit</t>
  </si>
  <si>
    <t>This is the DX coil/compressor of AHU8608</t>
  </si>
  <si>
    <t>RDC_SB_AHU8034</t>
  </si>
  <si>
    <t>RDC_UB_AHU8609_DXUnit</t>
  </si>
  <si>
    <t>This is the DX coil/compressor of AHU8609</t>
  </si>
  <si>
    <t>RDC_SB_AHU8035</t>
  </si>
  <si>
    <t>RDC_SB_BUS_EFA1</t>
  </si>
  <si>
    <t>Extract fans serving the bus station</t>
  </si>
  <si>
    <t>RDC_SB_AHU8036</t>
  </si>
  <si>
    <t>RDC_SB_BUS_EFA2</t>
  </si>
  <si>
    <t>RDC_SB_AHU8037</t>
  </si>
  <si>
    <t>RDC_SB_BUS_EFA3</t>
  </si>
  <si>
    <t>RDC_SB_AHU8041</t>
  </si>
  <si>
    <t>RDC_SB_BUS_EFA4</t>
  </si>
  <si>
    <t>RDC_SB_AHU8042</t>
  </si>
  <si>
    <t>RDC_SB_BUS_EFA5</t>
  </si>
  <si>
    <t>RDC_SB_BUS_EFA6</t>
  </si>
  <si>
    <t>RDC_SB_BUS_EFA7</t>
  </si>
  <si>
    <t>RDC_SB_BUS_EFA8</t>
  </si>
  <si>
    <t>RDC_SB_BUS_EFB1</t>
  </si>
  <si>
    <t>RDC_SB_BUS_EFB2</t>
  </si>
  <si>
    <t>RDC_SB_BUS_EFB3</t>
  </si>
  <si>
    <t>RDC_SB_BUS_EFB4</t>
  </si>
  <si>
    <t>RDC_SB_BUS_EFB5</t>
  </si>
  <si>
    <t>RDC_SB_BUS_EFB6</t>
  </si>
  <si>
    <t>RDC_NB_EF8511</t>
  </si>
  <si>
    <t>RDC_SB_BUS_EFB7</t>
  </si>
  <si>
    <t>RDC_NB_EF8512</t>
  </si>
  <si>
    <t>RDC_SB_BUS_EFB8</t>
  </si>
  <si>
    <t>RDC_NB_EF8513</t>
  </si>
  <si>
    <t>RDC_SB_BUS_EFC1</t>
  </si>
  <si>
    <t>RDC_NB_EF8514</t>
  </si>
  <si>
    <t>RDC_SB_BUS_EFC2</t>
  </si>
  <si>
    <t>RDC_NB_EF8551</t>
  </si>
  <si>
    <t>RDC_SB_BUS_EFD1</t>
  </si>
  <si>
    <t>RDC_NB_EF8552</t>
  </si>
  <si>
    <t>RDC_SB_BUS_EFD2</t>
  </si>
  <si>
    <t>RDC_NB_EF8553</t>
  </si>
  <si>
    <t>RDC_NB_EF8554</t>
  </si>
  <si>
    <t>RDC_SB_EF8041</t>
  </si>
  <si>
    <t>RDC_SB_EF8042</t>
  </si>
  <si>
    <t>RDC_SB_EF8043</t>
  </si>
  <si>
    <t>RDC_SB_EF8044</t>
  </si>
  <si>
    <t>RDC_UB_EF8641</t>
  </si>
  <si>
    <t>RDC_UB_EF8642</t>
  </si>
  <si>
    <t>RDC_UB_EF8643</t>
  </si>
  <si>
    <t>RDC_UB_EF8644</t>
  </si>
  <si>
    <t>RDC_UB_EF8645</t>
  </si>
  <si>
    <t>RDC_UB_EF8646</t>
  </si>
  <si>
    <t>RDC_SB_1F_VAV</t>
  </si>
  <si>
    <t>RDC_SB_GF_VAV</t>
  </si>
  <si>
    <t>RDC_NB_1F_VAV7830_7831</t>
  </si>
  <si>
    <t>RDC_NB_1F_CAV4501</t>
  </si>
  <si>
    <t>RDC_NB_1F_CAV4581A</t>
  </si>
  <si>
    <t>RDC_NB_1F_CAV4581B</t>
  </si>
  <si>
    <t>RDC_NB_1F_CAV4582</t>
  </si>
  <si>
    <t>RDC_NB_1F_CAV4640_EV4641</t>
  </si>
  <si>
    <t>RDC_NB_1F_CAV5530</t>
  </si>
  <si>
    <t>RDC_NB_1F_CAV5640_EV5641</t>
  </si>
  <si>
    <t>RDC_NB_1F_CAV5720_EV5721</t>
  </si>
  <si>
    <t>RDC_NB_1F_CAV5750</t>
  </si>
  <si>
    <t>RDC_NB_1F_CAV5755</t>
  </si>
  <si>
    <t>RDC_NB_1F_CAV5818</t>
  </si>
  <si>
    <t>RDC_NB_1F_CAV6500</t>
  </si>
  <si>
    <t>RDC_NB_1F_CAV6515_EV6516</t>
  </si>
  <si>
    <t>RDC_NB_1F_CAV6520</t>
  </si>
  <si>
    <t>RDC_NB_1F_CAV6580</t>
  </si>
  <si>
    <t>RDC_NB_1F_CAV6730</t>
  </si>
  <si>
    <t>RDC_NB_1F_CAV6740_EV6741</t>
  </si>
  <si>
    <t>RDC_NB_1F_CAV6790_CEV6791</t>
  </si>
  <si>
    <t>RDC_NB_1F_CAV7500_EV7501</t>
  </si>
  <si>
    <t>RDC_NB_1F_CAV7520_CEV7521</t>
  </si>
  <si>
    <t>RDC_NB_1F_CAV7590_CEV7591</t>
  </si>
  <si>
    <t>RDC_NB_1F_CAV7610_CEV7611</t>
  </si>
  <si>
    <t>RDC_NB_1F_CAV7720</t>
  </si>
  <si>
    <t>RDC_NB_1F_CAV7760_CEV7761</t>
  </si>
  <si>
    <t>RDC_NB_1F_CAV7790_CEV7791</t>
  </si>
  <si>
    <t>RDC_NB_GF_CAV4030</t>
  </si>
  <si>
    <t>RDC_NB_GF_CAV4035</t>
  </si>
  <si>
    <t>RDC_NB_GF_CAV4170</t>
  </si>
  <si>
    <t>RDC_NB_GF_CAV4315_EV4316</t>
  </si>
  <si>
    <t>RDC_NB_GF_CAV5005</t>
  </si>
  <si>
    <t>RDC_NB_GF_CAV5020_EV5021</t>
  </si>
  <si>
    <t>RDC_NB_GF_CAV5160_EV5161</t>
  </si>
  <si>
    <t>RDC_NB_GF_CAV5170</t>
  </si>
  <si>
    <t>RDC_NB_GF_CAV5240_CEV5241</t>
  </si>
  <si>
    <t>RDC_NB_GF_CAV5280</t>
  </si>
  <si>
    <t>RDC_NB_GF_CAV5290_EV5291</t>
  </si>
  <si>
    <t>RDC_NB_GF_CAV5320</t>
  </si>
  <si>
    <t>RDC_NB_GF_CAV5350</t>
  </si>
  <si>
    <t>RDC_NB_GF_CAV5375</t>
  </si>
  <si>
    <t>RDC_NB_GF_CAV6005</t>
  </si>
  <si>
    <t>RDC_NB_GF_CAV6015_EV6016</t>
  </si>
  <si>
    <t>RDC_NB_GF_CAV6020</t>
  </si>
  <si>
    <t>RDC_NB_GF_CAV6280_EV6281</t>
  </si>
  <si>
    <t>RDC_NB_GF_CAV7005_EV7006</t>
  </si>
  <si>
    <t>RDC_NB_GF_CAV7380_EV7381</t>
  </si>
  <si>
    <t>RDC_SB_1F_CAV0501</t>
  </si>
  <si>
    <t>RDC_SB_1F_CAV0502</t>
  </si>
  <si>
    <t>RDC_SB_1F_CAV0503</t>
  </si>
  <si>
    <t>RDC_SB_1F_CAV0504</t>
  </si>
  <si>
    <t>RDC_SB_1F_CAV0505</t>
  </si>
  <si>
    <t>RDC_SB_1F_CAV0515</t>
  </si>
  <si>
    <t>RDC_SB_1F_CAV0516</t>
  </si>
  <si>
    <t>RDC_SB_1F_CAV0517</t>
  </si>
  <si>
    <t>RDC_SB_1F_CAV0524</t>
  </si>
  <si>
    <t>RDC_SB_1F_CAV0525</t>
  </si>
  <si>
    <t>RDC_SB_1F_CAV0534</t>
  </si>
  <si>
    <t>RDC_SB_1F_CAV0535</t>
  </si>
  <si>
    <t>RDC_SB_1F_CAV1504</t>
  </si>
  <si>
    <t>RDC_SB_1F_CAV1535</t>
  </si>
  <si>
    <t>RDC_SB_1F_CAV1537</t>
  </si>
  <si>
    <t>RDC_SB_1F_CAV1541</t>
  </si>
  <si>
    <t>RDC_SB_1F_CAV2507</t>
  </si>
  <si>
    <t>RDC_SB_GF_CAV0004</t>
  </si>
  <si>
    <t>RDC_SB_GF_CAV0005</t>
  </si>
  <si>
    <t>RDC_SB_GF_CAV0006</t>
  </si>
  <si>
    <t>RDC_SB_GF_CAV0015</t>
  </si>
  <si>
    <t>RDC_SB_GF_CAV0020</t>
  </si>
  <si>
    <t>RDC_SB_GF_CAV0021</t>
  </si>
  <si>
    <t>RDC_SB_GF_CAV0022</t>
  </si>
  <si>
    <t>RDC_SB_GF_CAV0023</t>
  </si>
  <si>
    <t>RDC_SB_GF_CAV0024</t>
  </si>
  <si>
    <t>RDC_SB_GF_CAV1001</t>
  </si>
  <si>
    <t>RDC_SB_GF_CAV1002</t>
  </si>
  <si>
    <t>RDC_SB_GF_CAV1005</t>
  </si>
  <si>
    <t>RDC_SB_GF_CAV1006</t>
  </si>
  <si>
    <t>RDC_SB_GF_CAV1007</t>
  </si>
  <si>
    <t>RDC_SB_GF_CAV1009</t>
  </si>
  <si>
    <t>RDC_SB_GF_CAV2001</t>
  </si>
  <si>
    <t>RDC_NB_CHW_HEX01</t>
  </si>
  <si>
    <t>RDC_NB_CHW_HEX02</t>
  </si>
  <si>
    <t>RDC_SB_CHW_Hex01</t>
  </si>
  <si>
    <t>RDC_SB_CHW_Hex02</t>
  </si>
  <si>
    <t>RDC_UB_CHW_HEX01</t>
  </si>
  <si>
    <t>RDC_UB_CHW_HEX02</t>
  </si>
  <si>
    <t>RDC_UB_CHW_HEX03</t>
  </si>
  <si>
    <t>RDC_NB_CHW_P01</t>
  </si>
  <si>
    <t>RDC_NB_CHW_P02</t>
  </si>
  <si>
    <t>RDC_NB_CHW_P03</t>
  </si>
  <si>
    <t>RDC_SB_CH_Pmp01</t>
  </si>
  <si>
    <t>RDC_SB_CH_Pmp02</t>
  </si>
  <si>
    <t>RDC_SB_CHW_Pmp01</t>
  </si>
  <si>
    <t>RDC_UB_CHW_Pmp01</t>
  </si>
  <si>
    <t>RDC_UB_CHW_Pmp02</t>
  </si>
  <si>
    <t>RDC_UB_CHW_Pmp03</t>
  </si>
  <si>
    <t>UB_GEN1</t>
  </si>
  <si>
    <t>UB_GEN2</t>
  </si>
  <si>
    <t>UB_GEN3</t>
  </si>
  <si>
    <t>RDC_NB_1F_VEV5791</t>
  </si>
  <si>
    <t>RDC_NB_GF_VEV4041</t>
  </si>
  <si>
    <t>RDC_NB_1F_VEV5811A</t>
  </si>
  <si>
    <t>RDC_NB_GF_VEV4213A</t>
  </si>
  <si>
    <t>RDC_NB_1F_VEV5821</t>
  </si>
  <si>
    <t>RDC_NB_GF_VEV5052A</t>
  </si>
  <si>
    <t>RDC_NB_1F_VEV6553</t>
  </si>
  <si>
    <t>RDC_NB_GF_VEV7073</t>
  </si>
  <si>
    <t>RDC_NB_GF_VEV5071</t>
  </si>
  <si>
    <t>RDC_NB_GF_VEV7023A</t>
  </si>
  <si>
    <t>RDC_NB_GF_VEV5092</t>
  </si>
  <si>
    <t>RDC_NB_1F_VEV6751</t>
  </si>
  <si>
    <t>RDC_NB_GF_VEV7301</t>
  </si>
  <si>
    <t>RDC_NB_1F_VEV6763</t>
  </si>
  <si>
    <t>RDC_NB_1F_VEV4586A</t>
  </si>
  <si>
    <t>RDC_NB_GF_VEV5231</t>
  </si>
  <si>
    <t>RDC_NB_1F_VEV4602</t>
  </si>
  <si>
    <t>RDC_NB_GF_VEV5182A</t>
  </si>
  <si>
    <t>RDC_NB_1F_VEV5572</t>
  </si>
  <si>
    <t>RDC_NB_1F_VEV5591</t>
  </si>
  <si>
    <t>RDC_NB_1F_VEV4585A</t>
  </si>
  <si>
    <t>RDC_NB_1F_VEV4585B</t>
  </si>
  <si>
    <t>RDC_NB_1F_VEV4586B</t>
  </si>
  <si>
    <t>RDC_NB_1F_VEV5573A</t>
  </si>
  <si>
    <t>RDC_NB_1F_VEV5573B</t>
  </si>
  <si>
    <t>RDC_NB_1F_VEV5811B</t>
  </si>
  <si>
    <t>RDC_NB_1F_VEV5795B</t>
  </si>
  <si>
    <t>RDC_NB_1F_VEV6552</t>
  </si>
  <si>
    <t>RDC_NB_1F_VEV6541</t>
  </si>
  <si>
    <t>RDC_NB_1F_VEV6762</t>
  </si>
  <si>
    <t>RDC_NB_GF_VEV4213B</t>
  </si>
  <si>
    <t>RDC_NB_GF_VEV5055</t>
  </si>
  <si>
    <t>RDC_NB_GF_VEV5052B</t>
  </si>
  <si>
    <t>RDC_NB_GF_VEV5182B</t>
  </si>
  <si>
    <t>RDC_NB_GF_VEV5221</t>
  </si>
  <si>
    <t>RDC_NB_GF_VEV5211</t>
  </si>
  <si>
    <t>RDC_NB_GF_VEV7022B</t>
  </si>
  <si>
    <t>RDC_NB_GF_VEV7022A</t>
  </si>
  <si>
    <t>RDC_NB_GF_VEV7024B</t>
  </si>
  <si>
    <t>RDC_NB_GF_VEV7024A</t>
  </si>
  <si>
    <t>RDC_NB_GF_VEV7023B</t>
  </si>
  <si>
    <t>RDC_NB_GF_VEV7072B</t>
  </si>
  <si>
    <t>RDC_NB_GF_VEV7072A</t>
  </si>
  <si>
    <t>RDC_NB_GF_VEV7241B</t>
  </si>
  <si>
    <t>RDC_NB_GF_EAV4261</t>
  </si>
  <si>
    <t>RDC_NB_1F_EAV4500</t>
  </si>
  <si>
    <t>RDC_NB_1F_EAV6661</t>
  </si>
  <si>
    <t>RDC_NB_GF_EAV4286</t>
  </si>
  <si>
    <t>RDC_NB_1F_EAV4661</t>
  </si>
  <si>
    <t>RDC_NB_GF_EAV4311</t>
  </si>
  <si>
    <t>RDC_NB_1F_EAV6676</t>
  </si>
  <si>
    <t>RDC_NB_1F_EAV4686</t>
  </si>
  <si>
    <t>RDC_NB_1F_EAV6691</t>
  </si>
  <si>
    <t>RDC_NB_GF_EAV5026</t>
  </si>
  <si>
    <t>RDC_NB_1F_EAV4711</t>
  </si>
  <si>
    <t>RDC_NB_GF_EAV5163</t>
  </si>
  <si>
    <t>RDC_NB_1F_EAV6936</t>
  </si>
  <si>
    <t>RDC_NB_1F_EAV4736</t>
  </si>
  <si>
    <t>RDC_NB_GF_EAV6127</t>
  </si>
  <si>
    <t>RDC_NB_1F_EAV6961</t>
  </si>
  <si>
    <t>RDC_NB_1F_EAV5502</t>
  </si>
  <si>
    <t>RDC_NB_GF_EAV6141</t>
  </si>
  <si>
    <t>RDC_NB_1F_EAV6969</t>
  </si>
  <si>
    <t>RDC_NB_1F_EAV5503</t>
  </si>
  <si>
    <t>RDC_NB_GF_EAV6156</t>
  </si>
  <si>
    <t>RDC_NB_1F_EAV7631</t>
  </si>
  <si>
    <t>RDC_NB_1F_EAV5686</t>
  </si>
  <si>
    <t>RDC_NB_GF_EAV6176</t>
  </si>
  <si>
    <t>RDC_NB_1F_EAV7646</t>
  </si>
  <si>
    <t>RDC_NB_1F_EAV5747</t>
  </si>
  <si>
    <t>RDC_NB_GF_EAV6356</t>
  </si>
  <si>
    <t>RDC_NB_1F_EAV7661</t>
  </si>
  <si>
    <t>RDC_NB_1F_EAV5891</t>
  </si>
  <si>
    <t>RDC_NB_GF_EAV6381</t>
  </si>
  <si>
    <t>RDC_NB_1F_EAV7663</t>
  </si>
  <si>
    <t>RDC_NB_1F_EAV5921</t>
  </si>
  <si>
    <t>RDC_NB_GF_EAV6401</t>
  </si>
  <si>
    <t>RDC_NB_1F_EAV7711</t>
  </si>
  <si>
    <t>RDC_NB_1F_EAV5941</t>
  </si>
  <si>
    <t>RDC_NB_GF_EAV7091</t>
  </si>
  <si>
    <t>RDC_NB_1F_EAV7712</t>
  </si>
  <si>
    <t>RDC_NB_1F_EAV6528</t>
  </si>
  <si>
    <t>RDC_NB_1F_EAV7861</t>
  </si>
  <si>
    <t>RDC_NB_GF_EAV7106</t>
  </si>
  <si>
    <t>RDC_NB_1F_EAV7916</t>
  </si>
  <si>
    <t>RDC_NB_GF_EAV7121</t>
  </si>
  <si>
    <t>RDC_NB_2F_EAV4920</t>
  </si>
  <si>
    <t>RDC_NB_GF_EAV7122</t>
  </si>
  <si>
    <t>RDC_NB_2F_EAV6981</t>
  </si>
  <si>
    <t>RDC_NB_GF_EAV7396</t>
  </si>
  <si>
    <t>RDC_NB_GF_EAV4028</t>
  </si>
  <si>
    <t>RDC_NB_GF_EAV7426</t>
  </si>
  <si>
    <t>RDC_NB_GF_EAV4236</t>
  </si>
  <si>
    <t>RDC_NB_GF_EAV7461</t>
  </si>
  <si>
    <t>RDC_NB_GF_EAV7486</t>
  </si>
  <si>
    <t>RDC_NB_1F_FEV5772</t>
  </si>
  <si>
    <t>RDC_NB_1F_FEV4587</t>
  </si>
  <si>
    <t>RDC_NB_1F_FEV6731</t>
  </si>
  <si>
    <t>RDC_NB_1F_FEV5796</t>
  </si>
  <si>
    <t>RDC_NB_1F_FEV4588</t>
  </si>
  <si>
    <t>RDC_NB_1F_FEV5812</t>
  </si>
  <si>
    <t>RDC_NB_1F_FEV6764</t>
  </si>
  <si>
    <t>RDC_NB_1F_FEV4603</t>
  </si>
  <si>
    <t>RDC_NB_1F_FEV5813</t>
  </si>
  <si>
    <t>RDC_NB_1F_FEV6765</t>
  </si>
  <si>
    <t>RDC_NB_1F_FEV4604</t>
  </si>
  <si>
    <t>RDC_NB_1F_FEV6554</t>
  </si>
  <si>
    <t>RDC_NB_1F_FEV6766</t>
  </si>
  <si>
    <t>RDC_NB_1F_FEV4605</t>
  </si>
  <si>
    <t>RDC_NB_1F_FEV6555</t>
  </si>
  <si>
    <t>RDC_NB_1F_FEV6852</t>
  </si>
  <si>
    <t>RDC_NB_1F_FEV4606</t>
  </si>
  <si>
    <t>RDC_NB_1F_FEV6853</t>
  </si>
  <si>
    <t>RDC_NB_1F_FEV4622</t>
  </si>
  <si>
    <t>RDC_NB_1F_FEV6602</t>
  </si>
  <si>
    <t>RDC_NB_1F_FEV6854</t>
  </si>
  <si>
    <t>RDC_NB_1F_FEV5574</t>
  </si>
  <si>
    <t>RDC_NB_1F_FEV6632</t>
  </si>
  <si>
    <t>RDC_NB_1F_FEV6855</t>
  </si>
  <si>
    <t>RDC_NB_1F_FEV5575</t>
  </si>
  <si>
    <t>RDC_NB_1F_FEV6633</t>
  </si>
  <si>
    <t>RDC_NB_1F_FEV5624</t>
  </si>
  <si>
    <t>RDC_NB_1F_FEV6634</t>
  </si>
  <si>
    <t>RDC_NB_1F_FEV6856</t>
  </si>
  <si>
    <t>RDC_NB_1F_FEV6635</t>
  </si>
  <si>
    <t>RDC_NB_1F_FEV6857</t>
  </si>
  <si>
    <t>RDC_NB_1F_FEV6636</t>
  </si>
  <si>
    <t>RDC_NB_1F_FEV6858</t>
  </si>
  <si>
    <t>RDC_NB_1F_FEV6637</t>
  </si>
  <si>
    <t>RDC_NB_1F_FEV6859</t>
  </si>
  <si>
    <t>RDC_NB_1F_FEV6638</t>
  </si>
  <si>
    <t>RDC_NB_1F_FEV7522</t>
  </si>
  <si>
    <t>RDC_NB_1F_FEV6639</t>
  </si>
  <si>
    <t>RDC_NB_1F_FEV7602</t>
  </si>
  <si>
    <t>RDC_NB_1F_FEV7824</t>
  </si>
  <si>
    <t>RDC_NB_GF_FEV4193</t>
  </si>
  <si>
    <t>RDC_NB_GF_FEV5223</t>
  </si>
  <si>
    <t>RDC_NB_GF_FEV5073</t>
  </si>
  <si>
    <t>RDC_NB_GF_FEV4194</t>
  </si>
  <si>
    <t>RDC_NB_GF_FEV5271</t>
  </si>
  <si>
    <t>RDC_NB_GF_FEV5074</t>
  </si>
  <si>
    <t>RDC_NB_GF_FEV4214</t>
  </si>
  <si>
    <t>RDC_NB_GF_FEV5272</t>
  </si>
  <si>
    <t>RDC_NB_GF_FEV5082</t>
  </si>
  <si>
    <t>RDC_NB_GF_FEV4215</t>
  </si>
  <si>
    <t>RDC_NB_GF_FEV5273</t>
  </si>
  <si>
    <t>RDC_NB_GF_FEV5083</t>
  </si>
  <si>
    <t>RDC_NB_GF_FEV4216</t>
  </si>
  <si>
    <t>RDC_NB_GF_FEV5274</t>
  </si>
  <si>
    <t>RDC_NB_GF_FEV5093</t>
  </si>
  <si>
    <t>RDC_NB_GF_FEV5053</t>
  </si>
  <si>
    <t>RDC_NB_GF_FEV5275</t>
  </si>
  <si>
    <t>RDC_NB_GF_FEV5094</t>
  </si>
  <si>
    <t>RDC_NB_GF_FEV5062</t>
  </si>
  <si>
    <t>RDC_NB_GF_FEV5276</t>
  </si>
  <si>
    <t>RDC_NB_GF_FEV5072</t>
  </si>
  <si>
    <t>RDC_NB_GF_FEV5095A</t>
  </si>
  <si>
    <t>RDC_NB_GF_FEV5277</t>
  </si>
  <si>
    <t>RDC_NB_GF_FEV5095B</t>
  </si>
  <si>
    <t>RDC_NB_GF_FEV7052</t>
  </si>
  <si>
    <t>RDC_NB_GF_FEV5183</t>
  </si>
  <si>
    <t>RDC_NB_GF_FEV7053</t>
  </si>
  <si>
    <t>RDC_NB_GF_FEV5192A</t>
  </si>
  <si>
    <t>RDC_NB_GF_FEV7062</t>
  </si>
  <si>
    <t>RDC_NB_GF_FEV5192B</t>
  </si>
  <si>
    <t>RDC_NB_GF_FEV7074</t>
  </si>
  <si>
    <t>RDC_NB_GF_FEV5203</t>
  </si>
  <si>
    <t>RDC_NB_GF_FEV7075</t>
  </si>
  <si>
    <t>RDC_NB_GF_FEV5222</t>
  </si>
  <si>
    <t>RDC_NB_GF_FEV7232</t>
  </si>
  <si>
    <t>RDC_NB_GF_FEV7262</t>
  </si>
  <si>
    <t>Name</t>
  </si>
  <si>
    <t>Number</t>
  </si>
  <si>
    <t xml:space="preserve">entity to use in Ontology </t>
  </si>
  <si>
    <t>Equipment located in Entity</t>
  </si>
  <si>
    <t>VENT PLANT</t>
  </si>
  <si>
    <t>B1.014</t>
  </si>
  <si>
    <t>CHILLED WATER</t>
  </si>
  <si>
    <t>B1.013</t>
  </si>
  <si>
    <t>GENERATOR</t>
  </si>
  <si>
    <t>B1.012</t>
  </si>
  <si>
    <t>entity:SSC_B1_012_GENERATOR</t>
  </si>
  <si>
    <t>STAIR-1</t>
  </si>
  <si>
    <t>B1.ST-1</t>
  </si>
  <si>
    <t>entity:SSC_B1_ST-1_STAIR-1</t>
  </si>
  <si>
    <t>ENTRANCE</t>
  </si>
  <si>
    <t>B1.015</t>
  </si>
  <si>
    <t>LIFT</t>
  </si>
  <si>
    <t>B1.P-1</t>
  </si>
  <si>
    <t>entity:SSC_B1_P-1_P1</t>
  </si>
  <si>
    <t>B1.P-2</t>
  </si>
  <si>
    <t>entity:SSC_B1_P-2_P2</t>
  </si>
  <si>
    <t>SPRINKLER &amp; WATER</t>
  </si>
  <si>
    <t>B1.016</t>
  </si>
  <si>
    <t>SER-2</t>
  </si>
  <si>
    <t>B1.038</t>
  </si>
  <si>
    <t>entity:SSC_B1_038_SER-2</t>
  </si>
  <si>
    <t>MDF-2</t>
  </si>
  <si>
    <t>B1.017</t>
  </si>
  <si>
    <t>entity:SSC_B1_017_MDF-2</t>
  </si>
  <si>
    <t>FM STORAGE</t>
  </si>
  <si>
    <t>B1.019</t>
  </si>
  <si>
    <t>entity:SSC_B1_019_FM_STORAGE</t>
  </si>
  <si>
    <t>CONDENSER ROOM</t>
  </si>
  <si>
    <t>B1.018</t>
  </si>
  <si>
    <t>entity:SSC_B1_018_CONDENSER_ROOM</t>
  </si>
  <si>
    <t>FILE STORAGE</t>
  </si>
  <si>
    <t>B1.028</t>
  </si>
  <si>
    <t>entity:SSC_B1_028_FILE_STORAGE</t>
  </si>
  <si>
    <t>CORRIDOR</t>
  </si>
  <si>
    <t>B1.030</t>
  </si>
  <si>
    <t>entity:SSC_B1_030_CORRIDOR</t>
  </si>
  <si>
    <t>B1.031</t>
  </si>
  <si>
    <t>entity:SSC_B1_031_CORRIDOR</t>
  </si>
  <si>
    <t>B1.029</t>
  </si>
  <si>
    <t>entity:SSC_B1_029_CORRIDOR</t>
  </si>
  <si>
    <t>B1.027</t>
  </si>
  <si>
    <t>entity:SSC_B1_027_CORRIDOR</t>
  </si>
  <si>
    <t>B1.034</t>
  </si>
  <si>
    <t>entity:SSC_B1_034_CORRIDOR</t>
  </si>
  <si>
    <t>B1.035</t>
  </si>
  <si>
    <t>entity:SSC_B1_035_CORRIDOR</t>
  </si>
  <si>
    <t>B1.008</t>
  </si>
  <si>
    <t>STAIR-2</t>
  </si>
  <si>
    <t>B1.ST-2</t>
  </si>
  <si>
    <t>entity:SSC_B1_ST-2_STAIR-2</t>
  </si>
  <si>
    <t>STORAGE</t>
  </si>
  <si>
    <t>B1.036</t>
  </si>
  <si>
    <t>entity:SSC_B1_036_STORAGE</t>
  </si>
  <si>
    <t>JANITORS CLOSET</t>
  </si>
  <si>
    <t>B1.011</t>
  </si>
  <si>
    <t>entity:SSC_B1_011_JANITORS_CLOSET</t>
  </si>
  <si>
    <t>VESTIBULE</t>
  </si>
  <si>
    <t>B1.010</t>
  </si>
  <si>
    <t>entity:SSC_B1_010_VESTIBULE</t>
  </si>
  <si>
    <t>TOILET</t>
  </si>
  <si>
    <t>B1.009</t>
  </si>
  <si>
    <t>entity:SSC_B1_009_TOILET</t>
  </si>
  <si>
    <t>SERVICE DOCK</t>
  </si>
  <si>
    <t>B1.007</t>
  </si>
  <si>
    <t>entity:SSC_B1_007_SERVICE_DOCK</t>
  </si>
  <si>
    <t>UPS</t>
  </si>
  <si>
    <t>B1.005</t>
  </si>
  <si>
    <t>entity:SSC_B1_005_UPS</t>
  </si>
  <si>
    <t>SERVICE AREA</t>
  </si>
  <si>
    <t>B1.006</t>
  </si>
  <si>
    <t>entity:SSC_B1_006_SERVICE_AREA</t>
  </si>
  <si>
    <t>MAIN SEC.  CONTROL ROOM</t>
  </si>
  <si>
    <t>B1.025</t>
  </si>
  <si>
    <t>entity:SSC_B1_025_MAIN_SEC_CONTROL_ROOM</t>
  </si>
  <si>
    <t>SSP</t>
  </si>
  <si>
    <t>B1.022</t>
  </si>
  <si>
    <t>entity:SSC_B1_022_SSP</t>
  </si>
  <si>
    <t>QTEL</t>
  </si>
  <si>
    <t>B1.023</t>
  </si>
  <si>
    <t>entity:SSC_B1_023_Q_TEL</t>
  </si>
  <si>
    <t>MDF/SER-1</t>
  </si>
  <si>
    <t>B1.026</t>
  </si>
  <si>
    <t>entity:SSC_B1_026_MDF_SER-1</t>
  </si>
  <si>
    <t>BIN STORAGE</t>
  </si>
  <si>
    <t>B1.024</t>
  </si>
  <si>
    <t>entity:SSC_B1_024_BIN_STORAGE</t>
  </si>
  <si>
    <t>BMS</t>
  </si>
  <si>
    <t>B1.039</t>
  </si>
  <si>
    <t>B1.021</t>
  </si>
  <si>
    <t>entity:SSC_B1_021_FM_STORAGE</t>
  </si>
  <si>
    <t>B1.032</t>
  </si>
  <si>
    <t>entity:SSC_B1_032_CORRIDOR</t>
  </si>
  <si>
    <t>B1.020</t>
  </si>
  <si>
    <t>entity:SSC_B1_020_FM_STORAGE</t>
  </si>
  <si>
    <t>B1.001</t>
  </si>
  <si>
    <t>entity:SSC_B1_001_FM_STORAGE</t>
  </si>
  <si>
    <t>HV</t>
  </si>
  <si>
    <t>B1.002</t>
  </si>
  <si>
    <t>entity:SSC_B1_002_HV_ROOM</t>
  </si>
  <si>
    <t>TRANSFORMER</t>
  </si>
  <si>
    <t>B1.003</t>
  </si>
  <si>
    <t>entity:SSC_B1_003_TRANSFORMER</t>
  </si>
  <si>
    <t>MV SWITCH ROOM</t>
  </si>
  <si>
    <t>B1.004</t>
  </si>
  <si>
    <t>entity:SSC_B1_004_MV_SWITCH_ROOM</t>
  </si>
  <si>
    <t>STAIR-9</t>
  </si>
  <si>
    <t>01.ST-9</t>
  </si>
  <si>
    <t>entity:SSC_01_ST-9_STAIR-9</t>
  </si>
  <si>
    <t>OUTDOOR AREA</t>
  </si>
  <si>
    <t>entity:SSC_01_037_OUTDOOR_AREA</t>
  </si>
  <si>
    <t>SHELL SPACE</t>
  </si>
  <si>
    <t>STAIR-3</t>
  </si>
  <si>
    <t>01.ST-3</t>
  </si>
  <si>
    <t>entity:SSC_01_ST-3_STAIR-3</t>
  </si>
  <si>
    <t>STAIR-8</t>
  </si>
  <si>
    <t>01.ST-8</t>
  </si>
  <si>
    <t>entity:SSC_01_ST-8_STAIR-8</t>
  </si>
  <si>
    <t>entity:SSC_01_041_STORAGE_ROOM</t>
  </si>
  <si>
    <t>FEMALE TOILET</t>
  </si>
  <si>
    <t>entity:SSC_01_017_FEMALE_TOILET</t>
  </si>
  <si>
    <t>ABLUTION ROOM</t>
  </si>
  <si>
    <t>entity:SSC_01_021_ABLUTION_ROOM</t>
  </si>
  <si>
    <t>entity:SSC_01_023_CORRIDOR</t>
  </si>
  <si>
    <t>entity:SSC_01_020_CORRIDOR</t>
  </si>
  <si>
    <t>IDF - 2</t>
  </si>
  <si>
    <t>IDF - 1</t>
  </si>
  <si>
    <t>FURNITURE STORAGE</t>
  </si>
  <si>
    <t>entity:SSC_01_026_STORAGE_ROOM</t>
  </si>
  <si>
    <t>MALE TOILET</t>
  </si>
  <si>
    <t>entity:SSC_01_025_MALE_TOILET</t>
  </si>
  <si>
    <t>PRAYER ROOM</t>
  </si>
  <si>
    <t>OPEN SPACE</t>
  </si>
  <si>
    <t>entity:SSC_01_012_STORAGE</t>
  </si>
  <si>
    <t>01.P-2</t>
  </si>
  <si>
    <t>entity:SSC_01_P-2_P-2</t>
  </si>
  <si>
    <t>01.P-1</t>
  </si>
  <si>
    <t>entity:SSC_01_P-1_P-1</t>
  </si>
  <si>
    <t>01.ST-1</t>
  </si>
  <si>
    <t>entity:SSC_01_ST-1_STAIR-1</t>
  </si>
  <si>
    <t>AUDITORIUM MEETING ROOM</t>
  </si>
  <si>
    <t>entity:SSC_01_009_AUDITORIUM</t>
  </si>
  <si>
    <t>STORAGE AREA</t>
  </si>
  <si>
    <t>entity:SSC_01_038_STORAGE_AREA</t>
  </si>
  <si>
    <t>A / V ROOM</t>
  </si>
  <si>
    <t>entity:SSC_01_007_FEMALE_TOILET</t>
  </si>
  <si>
    <t>entity:SSC_01_006_MALE_TOILET</t>
  </si>
  <si>
    <t>KITCHEN</t>
  </si>
  <si>
    <t>entity:SSC_01_005_KITCHEN</t>
  </si>
  <si>
    <t>entity:SSC_01_004_CORRIDOR</t>
  </si>
  <si>
    <t>STAIR-4</t>
  </si>
  <si>
    <t>01.ST-4</t>
  </si>
  <si>
    <t>AIR LOCK</t>
  </si>
  <si>
    <t>entity:SSC_01_011_AIR_LOCK</t>
  </si>
  <si>
    <t>STAIR-5</t>
  </si>
  <si>
    <t>01.ST-5</t>
  </si>
  <si>
    <t>entity:SSC_01_ST-5_STAIR-5</t>
  </si>
  <si>
    <t>entity:SSC_01_030_STORAGE</t>
  </si>
  <si>
    <t>entity:SSC_01_031_TOILET</t>
  </si>
  <si>
    <t>entity:SSC_01_032_VESTIBULE</t>
  </si>
  <si>
    <t>entity:SSC_01_033_JANITORS_CLOSET</t>
  </si>
  <si>
    <t>entity:SSC_01_035_CORRIDOR</t>
  </si>
  <si>
    <t>entity:SSC_01_034_AIR_LOCK</t>
  </si>
  <si>
    <t>STAIR-10</t>
  </si>
  <si>
    <t>ST-10</t>
  </si>
  <si>
    <t>entity:SSC_ST-10_STAIR-10</t>
  </si>
  <si>
    <t>entity:SSC_01_036_OUTDOOR_AREA</t>
  </si>
  <si>
    <t>01.ST-2</t>
  </si>
  <si>
    <t>entity:SSC_01_ST-2_STAIR-2</t>
  </si>
  <si>
    <t>RESEARCHER'S OFFICE</t>
  </si>
  <si>
    <t>VISITOR'S CUBICLE</t>
  </si>
  <si>
    <t>OPERATIONS MANAGER</t>
  </si>
  <si>
    <t>MEETING ROOM</t>
  </si>
  <si>
    <t>DIRECTOR'S MEETING ROOM</t>
  </si>
  <si>
    <t>DIRECTOR'S OFFICE</t>
  </si>
  <si>
    <t>IT MANAGER'S OFFICE</t>
  </si>
  <si>
    <t>SECRETARIAL AREA</t>
  </si>
  <si>
    <t>ASSOC. DIRECTOR'S MEETING ROOM</t>
  </si>
  <si>
    <t>entity:SSC_03_030_ASSOC_DIRECTORS_MEETING_ROOM</t>
  </si>
  <si>
    <t>ASSOC. DIRECTOR'S OFFICE</t>
  </si>
  <si>
    <t>entity:SSC_03_031_ASSOC_DIRECTORS_OFFICE</t>
  </si>
  <si>
    <t>GENERAL OFFICE AREA</t>
  </si>
  <si>
    <t>entity:SSC_03_032_GENERAL_OFFICE_AREA</t>
  </si>
  <si>
    <t>PRINTING</t>
  </si>
  <si>
    <t>03.ST-2</t>
  </si>
  <si>
    <t>entity:SSC_03_ST-2_STAIR-2</t>
  </si>
  <si>
    <t>entity:SSC_03_046_STORAGE</t>
  </si>
  <si>
    <t>JANITOR'S CLOSET</t>
  </si>
  <si>
    <t>entity:SSC_03_045_JANITORS_CLOSET</t>
  </si>
  <si>
    <t>BALCONY</t>
  </si>
  <si>
    <t>entity:SSC_03_047_BALCONY</t>
  </si>
  <si>
    <t>LOUNGE</t>
  </si>
  <si>
    <t>IT SERVER ROOM</t>
  </si>
  <si>
    <t>entity:SSC_03_038_SERVER_ROOM</t>
  </si>
  <si>
    <t>IT OFFICE</t>
  </si>
  <si>
    <t>entity:SSC_03_039_FEMALE_TOILET</t>
  </si>
  <si>
    <t>entity:SSC_03_037_MALE_TOILET</t>
  </si>
  <si>
    <t>entity:SSC_03_036_KITCHEN</t>
  </si>
  <si>
    <t>03.ST-1</t>
  </si>
  <si>
    <t>entity:SSC_03_ST-1_STAIR-1</t>
  </si>
  <si>
    <t>03.P-2</t>
  </si>
  <si>
    <t>entity:SSC_03_P-2_LIFT</t>
  </si>
  <si>
    <t>03.P-1</t>
  </si>
  <si>
    <t>entity:SSC_03_P-1_LIFT</t>
  </si>
  <si>
    <t>entity:SSC_03_040_CORRIDOR</t>
  </si>
  <si>
    <t>STUDY LIBRARY AREA</t>
  </si>
  <si>
    <t>entity:SSC_03_035_STUDY_LIBRARY_AREA</t>
  </si>
  <si>
    <t>EXTERIOR COURTYARD</t>
  </si>
  <si>
    <t>entity:SSC_03_043_EXTERIOR_COURTYARD</t>
  </si>
  <si>
    <t>entity:SSC_03_048_BALCONY</t>
  </si>
  <si>
    <t>PODIUM</t>
  </si>
  <si>
    <t>03.F7.1</t>
  </si>
  <si>
    <t>entity:SSC_03_F7_1_PODIUM</t>
  </si>
  <si>
    <t>EXECUTIVE CONFERENCE ROOM</t>
  </si>
  <si>
    <t>CONFERENCE ROOM</t>
  </si>
  <si>
    <t>02.P-1</t>
  </si>
  <si>
    <t>entity:SSC_02_P-1_LIFT</t>
  </si>
  <si>
    <t>02.P-2</t>
  </si>
  <si>
    <t>entity:SSC_02_P-2_LIFT</t>
  </si>
  <si>
    <t>MEZZANINE</t>
  </si>
  <si>
    <t>entity:SSC_02_007_MEZZANINE</t>
  </si>
  <si>
    <t>entity:SSC_02_008_TOILET</t>
  </si>
  <si>
    <t>entity:SSC_02_010_VESTIBULE</t>
  </si>
  <si>
    <t>02.ST-2</t>
  </si>
  <si>
    <t>entity:SSC_02_ST-2_STAIR-2</t>
  </si>
  <si>
    <t>LOBBY</t>
  </si>
  <si>
    <t>FOYER</t>
  </si>
  <si>
    <t>02.ST-1</t>
  </si>
  <si>
    <t>entity:SSC_02_ST-1_STAIR-1</t>
  </si>
  <si>
    <t>02.ST-8</t>
  </si>
  <si>
    <t>entity:SSC_02_ST-8_STAIR-8</t>
  </si>
  <si>
    <t>In the RDC section of Controllable Asset Registry, column A tags like RDC_SB_GF_VAV1003_VEV1002 were typed as VAV in column B when the trailing token shows the real device type (VEV). Asked me to review all such tags in the RDC section and correct them.</t>
  </si>
  <si>
    <t>Scanned A1356:B3114 (RDC section = rows 1356-3114) for tags containing more than one type token, compared column B against the trailing token's letters, and rewrote column B where they disagreed. 153 rows corrected.</t>
  </si>
  <si>
    <t>Rule applied: the LAST type token in the tag wins (e.g. ..._VAV1003_VEV1002 -&gt; VEV). Verified the target types already exist as valid values elsewhere in the RDC block (EV 65, VEV 51, CEV 12, FEV 73), so no new type vocabulary was introduced. Corrections by type: EV 80, VEV 71, CEV 2. Affected rows span 1394-2105. Tag strings in column A were left unchanged - only the Equipment Type in column B was corrected, since renaming tags would break the links to the RDC Asset Register and the appended AT/valve rows.</t>
  </si>
  <si>
    <t>Complete and verified: re-scanned A1356:B3114 after the write and found 0 remaining mismatches; spot-checked row 1797 (RDC_SB_GF_VAV1003_VEV1002 = VEV) and row 1394 (RDC_NB_GF_VAV4005_EV4006 = EV). Open item if wanted: whether the composite tag names in column A should also be shortened to the single correct type.</t>
  </si>
  <si>
    <t>entity:HQ_2.302_SPA_PLANTROOM</t>
  </si>
  <si>
    <t>entity:HQ_5.301_PLANT_ROOM</t>
  </si>
  <si>
    <t>entity:HQ_9.111_PLANT_ROOM</t>
  </si>
  <si>
    <t>entity:HQ_9.109_AHU_ROOM</t>
  </si>
  <si>
    <t>entity:HQ_B1.001_AHU_4</t>
  </si>
  <si>
    <t>entity:HQ_B1.006_AHU_1</t>
  </si>
  <si>
    <t>entity:HQ_B1.016_AHU_2</t>
  </si>
  <si>
    <t>entity:HQ_B1.022_AHU_3</t>
  </si>
  <si>
    <t>entity:HQ_B1.019_AHU</t>
  </si>
  <si>
    <t>entity:HQ_B1.512_IDF_ROOM</t>
  </si>
  <si>
    <t>entity:HQ_B1.003_CONTROL_ROOM</t>
  </si>
  <si>
    <t>entity:HQ_B1.107_DOCK_MASTER_OFFICE</t>
  </si>
  <si>
    <t>entity:HQ_B1.113_SHEIKHA_LOBBY_SECURITY_ROOM</t>
  </si>
  <si>
    <t>entity:HQ_B1.401_MALE_TOILET</t>
  </si>
  <si>
    <t>entity:HQ_B1.122_SUPPORT_SPACE_FOOD_STORAGE</t>
  </si>
  <si>
    <t>entity:HQ_B1.123_SUPPORT_SPACE_FOOD_STORAGE</t>
  </si>
  <si>
    <t>entity:HQ_B1.014_SUPPORT_SPACE_DRY_WASTE_STORAGE</t>
  </si>
  <si>
    <t>entity:HQ_B1.015_SUPPORT_SPACE_LOADING</t>
  </si>
  <si>
    <t>entity:HQ_B1.117_CHAUFFEUR_ROOM</t>
  </si>
  <si>
    <t>entity:HQ_G.531_IDF_ROOM</t>
  </si>
  <si>
    <t>entity:HQ_G.512_IDF_ROOM</t>
  </si>
  <si>
    <t>entity:HQ_G.031_PR_&amp;_MARKET_STAFF</t>
  </si>
  <si>
    <t>entity:HQ_G.017_COPY_PRINT</t>
  </si>
  <si>
    <t>entity:HQ_G.005_EMERGENCY_CONTROL_CENTER</t>
  </si>
  <si>
    <t>entity:HQ_G.511_VESTIBULE</t>
  </si>
  <si>
    <t>entity:HQ_1.531_IDF_ROOM</t>
  </si>
  <si>
    <t>entity:HQ_1.512_IDF_ROOM</t>
  </si>
  <si>
    <t>entity:HQ_1.112_PRINT_COPY</t>
  </si>
  <si>
    <t>entity:HQ_2.531_IDF_ROOM</t>
  </si>
  <si>
    <t>entity:HQ_2.701_TERRACE</t>
  </si>
  <si>
    <t>entity:HQ_2.103_PRINT_COPY</t>
  </si>
  <si>
    <t>entity:HQ_2.207_SPA_LOUNGE_BAR</t>
  </si>
  <si>
    <t>entity:HQ_2.208_SPA_FITNESS_DTUDIO</t>
  </si>
  <si>
    <t>entity:HQ_2.209_SPA_OFFICE</t>
  </si>
  <si>
    <t>entity:HQ_2.21_SPA_STAFF_WAITING_AREA</t>
  </si>
  <si>
    <t>entity:HQ_2.211_SPA_FEMALE_BEAUTY_SALON</t>
  </si>
  <si>
    <t>entity:HQ_2.212_SPA_FM_TREATMENT_1</t>
  </si>
  <si>
    <t>entity:HQ_2.213_SPA_CHANGING_ROOM</t>
  </si>
  <si>
    <t>entity:HQ_2.214_SPA_FM_TREATMENT_2</t>
  </si>
  <si>
    <t>entity:HQ_2.215_SPA_FM_TREATMENT_3</t>
  </si>
  <si>
    <t>entity:HQ_2.216_SPA_FM_RELAXATION</t>
  </si>
  <si>
    <t>entity:HQ_2.201_SPA_MALE_RELAXATION</t>
  </si>
  <si>
    <t>entity:HQ_2.202_SPA_MALE_TREATMENT_3</t>
  </si>
  <si>
    <t>entity:HQ_2.203_SPA_MALE_TREATMENT_2</t>
  </si>
  <si>
    <t>entity:HQ_2.204_SPA_MALE_TREATMENT_1</t>
  </si>
  <si>
    <t>entity:HQ_2.205_SPA_MALE_CHANGING_ROOM</t>
  </si>
  <si>
    <t>entity:HQ_2.206_SPA_ENTRANCE</t>
  </si>
  <si>
    <t>entity:HQ_2.603_SPA_LOBBY</t>
  </si>
  <si>
    <t>entity:HQ_2.512_MECHANICAL_ROOM</t>
  </si>
  <si>
    <t>entity:HQ_3.531_IDF_ROOM</t>
  </si>
  <si>
    <t>entity:HQ_3.512_IDF_ROOM</t>
  </si>
  <si>
    <t>entity:HQ_3.203_COPYPRINT</t>
  </si>
  <si>
    <t>entity:HQ_3.103_PRINT_COPY</t>
  </si>
  <si>
    <t>entity:HQ_3.603_CORRIDOR_BRIDGE</t>
  </si>
  <si>
    <t>entity:HQ_5.602_BRIDGE</t>
  </si>
  <si>
    <t>entity:HQ_4.531_IDF_ROOM</t>
  </si>
  <si>
    <t>entity:HQ_4.512_IDF_ROOM</t>
  </si>
  <si>
    <t>entity:HQ_5.202_VP_EDU_MEMBERS_OF_EDU</t>
  </si>
  <si>
    <t>entity:HQ_4.701_VP_ADM_TERRACE</t>
  </si>
  <si>
    <t>entity:HQ_4.702_TERRACE</t>
  </si>
  <si>
    <t>entity:HQ_4.703_TERRACE</t>
  </si>
  <si>
    <t>entity:HQ_5.531_IDF_ROOM</t>
  </si>
  <si>
    <t>entity:HQ_5.512_IDF_ROOM</t>
  </si>
  <si>
    <t>entity:HQ_5.103_PRINT_COPY</t>
  </si>
  <si>
    <t>entity:HQ_6.604_BRIDGE_CORRIDOR</t>
  </si>
  <si>
    <t>entity:HQ_6.531_IDF_ROOM</t>
  </si>
  <si>
    <t>entity:HQ_6.512_IDF_ROOM</t>
  </si>
  <si>
    <t>entity:HQ_7.602_BRIDGE</t>
  </si>
  <si>
    <t>entity:HQ_6.104_PRINT_COPY</t>
  </si>
  <si>
    <t>entity:HQ_6.208_PRINT_COPY</t>
  </si>
  <si>
    <t>entity:HQ_7.531_IDF_ROOM</t>
  </si>
  <si>
    <t>entity:HQ_7.512_IDF_ROOM</t>
  </si>
  <si>
    <t>entity:HQ_7.101_PRINT_COPY</t>
  </si>
  <si>
    <t>entity:HQ_7.104_PRINT_COPY</t>
  </si>
  <si>
    <t>entity:HQ_8.512_IDF_ROOM</t>
  </si>
  <si>
    <t>entity:HQ_9.531_IDF_ROOM</t>
  </si>
  <si>
    <t>entity:HQ_9.512_IDF_ROOM</t>
  </si>
  <si>
    <t>entity:HQ_10.531_IDF_ROOM</t>
  </si>
  <si>
    <t>entity:HQ_1.114_STAFF_LOUNGE_STORAGE</t>
  </si>
  <si>
    <t>entity:HQ_10.512_IDF_ROOM</t>
  </si>
  <si>
    <t>entity:HQ_10.038_PRINT_COPY</t>
  </si>
  <si>
    <t>entity:HQ_10.014_PRINT_COPY</t>
  </si>
  <si>
    <t>entity:HQ_10.111_AV_ROOM</t>
  </si>
  <si>
    <t>entity:HQ_11.531_IDF_ROOM</t>
  </si>
  <si>
    <t>entity:HQ_11.11_ELECTRICAL_CABINET</t>
  </si>
  <si>
    <t>entity:HQ_11.106_ELECTRICAL_ROOM</t>
  </si>
  <si>
    <t>entity:HQ_11.108_PRINT_COPY</t>
  </si>
  <si>
    <t>entity:HQ_11.107_AV_IT</t>
  </si>
  <si>
    <t>entity:HQ_11.512_IDF_ROOM</t>
  </si>
  <si>
    <t>entity:HQ_12.002_MCC_CLOSET</t>
  </si>
  <si>
    <t>entity:HQ_12.003_MCC_CLOSET</t>
  </si>
  <si>
    <t>entity:HQ_12.004_MCC_CLOSET</t>
  </si>
  <si>
    <t>entity:HQ_9.101_VISITORS_CENTER</t>
  </si>
  <si>
    <t>entity:HQ_B1.004_STAFF_ENTRANCE</t>
  </si>
  <si>
    <t>entity:HQ_B1.103_STAFF_LOBBY</t>
  </si>
  <si>
    <t>entity:HQ_B1.110_SUPPORT_SPACE_MAIL_ROOM</t>
  </si>
  <si>
    <t>entity:HQ_B1.116_SHEIKHA_LOBBY</t>
  </si>
  <si>
    <t>entity:HQ_G.008_CONTROL_ROOM</t>
  </si>
  <si>
    <t>entity:HQ_G.009_PR_&amp;_MARKET_MANAGER</t>
  </si>
  <si>
    <t>entity:HQ_G.010_PR_&amp;_MARKET_STAFF</t>
  </si>
  <si>
    <t>entity:HQ_G.011_PR_&amp;_MARKET_MANAGER</t>
  </si>
  <si>
    <t>entity:HQ_G.012_PR_&amp;_MARKET_STAFF</t>
  </si>
  <si>
    <t>entity:HQ_G.014_VISITOR_CENT_OFFICE</t>
  </si>
  <si>
    <t>entity:HQ_G.015_PR_&amp;_MARKET_STAFF</t>
  </si>
  <si>
    <t>entity:HQ_G.018_PR_&amp;_MARKET_STAFF</t>
  </si>
  <si>
    <t>entity:HQ_G.019_PR_&amp;_MARKET_STAFF</t>
  </si>
  <si>
    <t>entity:HQ_G.020_PR_&amp;_MARKET_STAFF</t>
  </si>
  <si>
    <t>entity:HQ_G.021_PR_&amp;_MARKET_STAFF</t>
  </si>
  <si>
    <t>entity:HQ_G.022_PR_&amp;_MARKET!_SECRETARY</t>
  </si>
  <si>
    <t>entity:HQ_G.023_PR_&amp;_MARKET_STAFF</t>
  </si>
  <si>
    <t>entity:HQ_G.601_CORRIDOR</t>
  </si>
  <si>
    <t>entity:HQ_G.105_SHOP</t>
  </si>
  <si>
    <t>entity:HQ_G.104_LOBBY</t>
  </si>
  <si>
    <t>entity:HQ_G.103_BMS</t>
  </si>
  <si>
    <t>entity:HQ_G.004_PR_&amp;_MARKET_MANAGER</t>
  </si>
  <si>
    <t>entity:HQ_G.003_PR_&amp;_MARKET_MANAGER</t>
  </si>
  <si>
    <t>entity:HQ_G.002_PR_&amp;_MARKET_MANAGER</t>
  </si>
  <si>
    <t>entity:HQ_G.001_PR_&amp;_MARKET_STAFF</t>
  </si>
  <si>
    <t>entity:HQ_G.038_PR_&amp;_MARKET_STAFF</t>
  </si>
  <si>
    <t>entity:HQ_G.037_PR_&amp;_MARKET_STAFF</t>
  </si>
  <si>
    <t>entity:HQ_G.036_PR_&amp;_MARKET_STAFF</t>
  </si>
  <si>
    <t>entity:HQ_G.035_PR_&amp;_MARKET_STAFF</t>
  </si>
  <si>
    <t>entity:HQ_G.034_PR_&amp;_MARKET_STAFF</t>
  </si>
  <si>
    <t>entity:HQ_G.033_PR_&amp;_MARKET_STAFF</t>
  </si>
  <si>
    <t>entity:HQ_G.032_PR_&amp;_MARKET_STAFF</t>
  </si>
  <si>
    <t>entity:HQ_G.030_STAFF</t>
  </si>
  <si>
    <t>entity:HQ_G.029_PR_&amp;_MARKET_STAFF</t>
  </si>
  <si>
    <t>entity:HQ_G.028_PR_&amp;_MARKET_DIRECTOR_ENSUIT</t>
  </si>
  <si>
    <t>entity:HQ_G.026_FINANCE_CASHIER</t>
  </si>
  <si>
    <t>entity:HQ_G.025_VIP_LOUNGE</t>
  </si>
  <si>
    <t>entity:HQ_G.107_E-TOWER_LOBBY</t>
  </si>
  <si>
    <t>entity:HQ_G.602_CORRIDOR_(SOUTH_EAST)</t>
  </si>
  <si>
    <t>entity:HQ_G.603_CORRIDOR_(SOUTH_EAST)</t>
  </si>
  <si>
    <t>entity:HQ_G.101_CONFERENCE_ROOM</t>
  </si>
  <si>
    <t>entity:HQ_G.108_CONSULTANT_SPACE_TRAINEES</t>
  </si>
  <si>
    <t>entity:HQ_1.011_FINANCE_MANAGER</t>
  </si>
  <si>
    <t>entity:HQ_1.012_FINANCE_MANAGER</t>
  </si>
  <si>
    <t>entity:HQ_1.013_FINANCE_MANAGER</t>
  </si>
  <si>
    <t>entity:HQ_1.014_FINANCE_PROFSTAFF</t>
  </si>
  <si>
    <t>entity:HQ_1.015_FINANCE_PROFSTAFF</t>
  </si>
  <si>
    <t>entity:HQ_1.016_FINANCE_SECRETARY</t>
  </si>
  <si>
    <t>entity:HQ_1.017_FINANCE_DIRECTOR_ENSUIT</t>
  </si>
  <si>
    <t>entity:HQ_1.018_FINANCE_MANAGER</t>
  </si>
  <si>
    <t>entity:HQ_1.019_FINANCE_MANAGER</t>
  </si>
  <si>
    <t>entity:HQ_1.02_FINANCE_MANAGER</t>
  </si>
  <si>
    <t>entity:HQ_1.021_FINANCE_SECRETARY</t>
  </si>
  <si>
    <t>entity:HQ_1.022_FINANCE_SECRETARY</t>
  </si>
  <si>
    <t>entity:HQ_1.023_FINANCE_AUDITOR</t>
  </si>
  <si>
    <t>entity:HQ_1.024_FINANCE_AUDITOR</t>
  </si>
  <si>
    <t>entity:HQ_1.025_FINANCE_PROFSTAFF</t>
  </si>
  <si>
    <t>entity:HQ_1.026_FINANCE_PROFSTAFF</t>
  </si>
  <si>
    <t>entity:HQ_1.027_FINANCE_AUDITOR</t>
  </si>
  <si>
    <t>entity:HQ_1.028_FINANCE_MANAGER</t>
  </si>
  <si>
    <t>entity:HQ_1.029_FINANCE_MANAGER</t>
  </si>
  <si>
    <t>entity:HQ_1.001_FINANCE_CLERICAL_SECRETARIES</t>
  </si>
  <si>
    <t>entity:HQ_1.002_FINANCE_MANAGERS</t>
  </si>
  <si>
    <t>entity:HQ_1.003_FINANCE_MANAGER</t>
  </si>
  <si>
    <t>entity:HQ_1.004_FINANCE_MANAGER</t>
  </si>
  <si>
    <t>entity:HQ_1.005_FINANCE_SECRETARY</t>
  </si>
  <si>
    <t>entity:HQ_1.006_FINANCE_PROFSTAFF</t>
  </si>
  <si>
    <t>entity:HQ_1.007_FINANCE_CLERICAL_PROFSTAFF</t>
  </si>
  <si>
    <t>entity:HQ_1.401_GROUND_FLOOR_VIP_ENTRANCE</t>
  </si>
  <si>
    <t>entity:HQ_1.101_STAFF_LOUNGE</t>
  </si>
  <si>
    <t>entity:HQ_1.108_FINANCE_MEETING_ROOM</t>
  </si>
  <si>
    <t>entity:HQ_1.109_CONSULTANT_SPACE_TRAINEES</t>
  </si>
  <si>
    <t>entity:HQ_1.11_CONFERENCE_ROOM</t>
  </si>
  <si>
    <t>entity:HQ_1.105_PRAYER_ROOM</t>
  </si>
  <si>
    <t>entity:HQ_1.106_FINANCE_CASHIER</t>
  </si>
  <si>
    <t>entity:HQ_1.116_FINANCE_SECURE_ROOM</t>
  </si>
  <si>
    <t>entity:HQ_1.117_FINANCE_AUDITOR</t>
  </si>
  <si>
    <t>entity:HQ_1.115_FINANCE_AUDITOR</t>
  </si>
  <si>
    <t>entity:HQ_1.602_CORRIDOR</t>
  </si>
  <si>
    <t>entity:HQ_1.601_CORRIDOR</t>
  </si>
  <si>
    <t>entity:HQ_1.111_FINANCE_RECORD_STORAGE</t>
  </si>
  <si>
    <t>entity:HQ_1.702_FOOD_HEAT_UP</t>
  </si>
  <si>
    <t>entity:HQ_1.706_WASHING_AREA</t>
  </si>
  <si>
    <t>entity:HQ_1.701_STAFF_CAFETERIA</t>
  </si>
  <si>
    <t>entity:HQ_2.018_SUPPSERVDIRECTOR_ENSUIT</t>
  </si>
  <si>
    <t>entity:HQ_2.019_SUPPSERVADMINIST</t>
  </si>
  <si>
    <t>entity:HQ_2.02_SUPPSERVADMINIST</t>
  </si>
  <si>
    <t>entity:HQ_2.021_SUPPSERVADMINIST</t>
  </si>
  <si>
    <t>entity:HQ_2.022_SUPPSERVSECRETARY</t>
  </si>
  <si>
    <t>entity:HQ_2.023_SUPPSERVADMINIST</t>
  </si>
  <si>
    <t>entity:HQ_2.024_SUPPSERVADMINIST</t>
  </si>
  <si>
    <t>entity:HQ_2.025_SUPPSERVADMINIST</t>
  </si>
  <si>
    <t>entity:HQ_2.026_SUPPSERVSECRETARY</t>
  </si>
  <si>
    <t>entity:HQ_2.027_SUPPSERVADMINIST</t>
  </si>
  <si>
    <t>entity:HQ_2.028_SUPPSERVADMINIST</t>
  </si>
  <si>
    <t>entity:HQ_2.029_SUPPSERVADMINIST</t>
  </si>
  <si>
    <t>entity:HQ_2.03_SUPPSERVSECRETARY</t>
  </si>
  <si>
    <t>entity:HQ_2.031_SUPPSERVADMINIST</t>
  </si>
  <si>
    <t>entity:HQ_2.032_SUPPSERVADMINIST</t>
  </si>
  <si>
    <t>entity:HQ_2.033_SUPPSERVADMINIST</t>
  </si>
  <si>
    <t>entity:HQ_2.034_SUPPSERVSECRETARY</t>
  </si>
  <si>
    <t>entity:HQ_2.035_SUPPSERVADMINIST</t>
  </si>
  <si>
    <t>entity:HQ_2.036_SUPPSERVADMINIST</t>
  </si>
  <si>
    <t>entity:HQ_2.110A_OFFICE_SPACE</t>
  </si>
  <si>
    <t>entity:HQ_2.601_S-TOWER_CORRIDOR</t>
  </si>
  <si>
    <t>entity:HQ_2.109_SHELL_SPACE</t>
  </si>
  <si>
    <t>entity:HQ_2.108_SUPPSERVMEETING_ROOM</t>
  </si>
  <si>
    <t>entity:HQ_2.105_LOUNGE</t>
  </si>
  <si>
    <t>entity:HQ_2.104_CONSULTANTS_SPACE-OTHERS</t>
  </si>
  <si>
    <t>entity:HQ_2.102_CONSULTANTS_SPACE-OTHERS</t>
  </si>
  <si>
    <t>entity:HQ_2.017_SUPPSERVSECRETARY</t>
  </si>
  <si>
    <t>entity:HQ_2.016_SUPPSERVADMINIST</t>
  </si>
  <si>
    <t>entity:HQ_2.015_SUPPSERVADMINIST</t>
  </si>
  <si>
    <t>entity:HQ_2.014_SUPPSERVADMINIST</t>
  </si>
  <si>
    <t>entity:HQ_2.013_SUPPSERVSECRETARY</t>
  </si>
  <si>
    <t>entity:HQ_2.012_SUPPSERVADMINIST</t>
  </si>
  <si>
    <t>entity:HQ_2.011_SUPPSERVADMINIST</t>
  </si>
  <si>
    <t>entity:HQ_2.01_SUPPSERVADMINIST</t>
  </si>
  <si>
    <t>entity:HQ_2.009_SUPPSERVSECRETARY</t>
  </si>
  <si>
    <t>entity:HQ_2.008_DOHA_DEBATE_EXECUTIVE</t>
  </si>
  <si>
    <t>entity:HQ_2.007_DOHA_DEBATE_EXECUTIVE</t>
  </si>
  <si>
    <t>entity:HQ_2.006_DOHA_DEBATE_EXECUTIVE</t>
  </si>
  <si>
    <t>entity:HQ_2.005_DOHA_DEBATE_EXECUTIVE</t>
  </si>
  <si>
    <t>entity:HQ_2.004_DOHA_DEBATE_SECRETARY</t>
  </si>
  <si>
    <t>entity:HQ_2.003_DOHA_DEBATE_EXECUTIVE</t>
  </si>
  <si>
    <t>entity:HQ_2.002_DOHA_DEBATE_EXECUTIVE</t>
  </si>
  <si>
    <t>entity:HQ_2.001_STORAGE_ROOM</t>
  </si>
  <si>
    <t>entity:HQ_2.101A_OFFICE_SPACE</t>
  </si>
  <si>
    <t>entity:HQ_3.017_HR_IMMIG_STAFF</t>
  </si>
  <si>
    <t>entity:HQ_3.018_HR_IMMIG_STAFF</t>
  </si>
  <si>
    <t>entity:HQ_3.019_HR_IMMIG_STAFF</t>
  </si>
  <si>
    <t>entity:HQ_3.02_HR_IMMIG_STAFF</t>
  </si>
  <si>
    <t>entity:HQ_3.021_HR_IMMIG_STAFF</t>
  </si>
  <si>
    <t>entity:HQ_3.022_HR_IMMIG_SECRETARY</t>
  </si>
  <si>
    <t>entity:HQ_3.023_HR_IMMIG_STAFF</t>
  </si>
  <si>
    <t>entity:HQ_3.024_HR_IMMIG_STAFF</t>
  </si>
  <si>
    <t>entity:HQ_3.025_HR_IMMIG_STAFF</t>
  </si>
  <si>
    <t>entity:HQ_3.026_HR_IMMIG_STAFF</t>
  </si>
  <si>
    <t>entity:HQ_3.027_HR_IMMIG_STAFF</t>
  </si>
  <si>
    <t>entity:HQ_3.028_HR_IMMIG_STAFF</t>
  </si>
  <si>
    <t>entity:HQ_3.029_HR_IMMIG_STAFF</t>
  </si>
  <si>
    <t>entity:HQ_3.03_HR_IMMIG_STAFF</t>
  </si>
  <si>
    <t>entity:HQ_3.031_HR_IMMIG_STAFF</t>
  </si>
  <si>
    <t>entity:HQ_3.032_HR_IMMIG_SECRETARY</t>
  </si>
  <si>
    <t>entity:HQ_3.033_MEETING_ROOM</t>
  </si>
  <si>
    <t>entity:HQ_3.105B_OFFICE_SPACE</t>
  </si>
  <si>
    <t>entity:HQ_3.601_S-TOWER_CORRIDOR</t>
  </si>
  <si>
    <t>entity:HQ_3.36_ABLUTION_ROOM</t>
  </si>
  <si>
    <t>entity:HQ_3.105A_FEMALE_PRAYER_ROOM</t>
  </si>
  <si>
    <t>entity:HQ_3.001_LOUNGE</t>
  </si>
  <si>
    <t>entity:HQ_3.102_CONSULTANT_SPACE_TRAINEES</t>
  </si>
  <si>
    <t>entity:HQ_3.104_HR_IMMIG_SECRETARY</t>
  </si>
  <si>
    <t>entity:HQ_3.012_HR_IMMIG_STAFF</t>
  </si>
  <si>
    <t>entity:HQ_3.013_HR_IMMIG_STAFF</t>
  </si>
  <si>
    <t>entity:HQ_3.014_HR_IMMIG_STAFF</t>
  </si>
  <si>
    <t>entity:HQ_3.015_HR_IMMIG_STAFF</t>
  </si>
  <si>
    <t>entity:HQ_3.016_HR_IMMIG_STAFF</t>
  </si>
  <si>
    <t>entity:HQ_3.003_HR_IMMIG_STAFF</t>
  </si>
  <si>
    <t>entity:HQ_3.004_HR_IMMIG_STAFF</t>
  </si>
  <si>
    <t>entity:HQ_3.005_HR_IMMIG_STAFF</t>
  </si>
  <si>
    <t>entity:HQ_3.006_HR_IMMIG_STAFF</t>
  </si>
  <si>
    <t>entity:HQ_3.007_HR_IMMIG_STAFF</t>
  </si>
  <si>
    <t>entity:HQ_3.008_HR_IMMIG_STAFF</t>
  </si>
  <si>
    <t>entity:HQ_3.009_HR_IMMIG_STORAGE</t>
  </si>
  <si>
    <t>entity:HQ_3.01_HR_IMMIG_STAFF</t>
  </si>
  <si>
    <t>entity:HQ_3.011_HR_IMMIG_STAFF</t>
  </si>
  <si>
    <t>entity:HQ_3.101_SHELL_SPACE</t>
  </si>
  <si>
    <t>entity:HQ_3.002_HR_IMMIG_STAFF</t>
  </si>
  <si>
    <t>entity:HQ_3.202A_OFFICE_SPACE</t>
  </si>
  <si>
    <t>entity:HQ_3.202B_OFFICE_SPACE</t>
  </si>
  <si>
    <t>entity:HQ_3.205_HR_IMMIG_IMMIGRATION</t>
  </si>
  <si>
    <t>entity:HQ_3.206_HR_IMMIG_MANAGER</t>
  </si>
  <si>
    <t>entity:HQ_3.207_HR_IMMIG_MANAGER</t>
  </si>
  <si>
    <t>entity:HQ_3.208_HR_IMMIG_MANAGER</t>
  </si>
  <si>
    <t>entity:HQ_3.209_HR_IMMIG_MANAGER</t>
  </si>
  <si>
    <t>entity:HQ_3.21_HR_IMMIG_OFFICERS</t>
  </si>
  <si>
    <t>entity:HQ_3.211_HR_IMMIG_MANAGER</t>
  </si>
  <si>
    <t>entity:HQ_3.212_HR_IMMIG_SECRETARIES</t>
  </si>
  <si>
    <t>entity:HQ_3.213_HR_IMMIG_DIRENSUIT</t>
  </si>
  <si>
    <t>entity:HQ_3.214_IT_SECRETARY</t>
  </si>
  <si>
    <t>entity:HQ_3.215_IT_DIRENSUIT</t>
  </si>
  <si>
    <t>entity:HQ_3.216_PROC&amp;CONTRSECRETARY</t>
  </si>
  <si>
    <t>entity:HQ_3.201_PROC&amp;CONTRDIRENSUIT</t>
  </si>
  <si>
    <t>entity:HQ_3.301_PROC&amp;CONTRMEETING_ROOM</t>
  </si>
  <si>
    <t>entity:HQ_3.302_HR_IMMIG_MEETING_ROOM</t>
  </si>
  <si>
    <t>entity:HQ_3.602_E-TOWER_CORRIDOR</t>
  </si>
  <si>
    <t>entity:HQ_4.005_STRPLDIRMEETING_ROOM</t>
  </si>
  <si>
    <t>entity:HQ_4.006_STRPLDIRMANAGER</t>
  </si>
  <si>
    <t>entity:HQ_4.007_STRPLDIRMANAGER</t>
  </si>
  <si>
    <t>entity:HQ_4.008_STRPLDIRMANAGER</t>
  </si>
  <si>
    <t>entity:HQ_4.009_STRPLDIRHEAD_OF_PL</t>
  </si>
  <si>
    <t>entity:HQ_4.01_STRPLDIRHEAD_OF_PL</t>
  </si>
  <si>
    <t>entity:HQ_4.011_STRPLDIRHEAD_OF_PL</t>
  </si>
  <si>
    <t>entity:HQ_4.012_STRPLDIRHEAD_OF_PL</t>
  </si>
  <si>
    <t>entity:HQ_4.013_STRPLDIRHEAD_OF_PL</t>
  </si>
  <si>
    <t>entity:HQ_4.014_STRPLDIRMANAGER</t>
  </si>
  <si>
    <t>entity:HQ_4.601_S-TOWER_CORRIDOR</t>
  </si>
  <si>
    <t>entity:HQ_4.109_VP_EDU_STORAGE</t>
  </si>
  <si>
    <t>entity:HQ_4.108_STRPLDIRARCHIVE_ROOM</t>
  </si>
  <si>
    <t>entity:HQ_4.107_STRPLDIRTECHNSTAFF</t>
  </si>
  <si>
    <t>entity:HQ_4.104_WAITING_LOUNGE</t>
  </si>
  <si>
    <t>entity:HQ_4.002_STRPLDIRMANAGER</t>
  </si>
  <si>
    <t>entity:HQ_4.102_SHELL_SPACE</t>
  </si>
  <si>
    <t>entity:HQ_4.101_SHELL_SPACE</t>
  </si>
  <si>
    <t>entity:HQ_4.201_SHELL_SPACE</t>
  </si>
  <si>
    <t>entity:HQ_4.204_SHELL_SPACE</t>
  </si>
  <si>
    <t>entity:HQ_4.205_VP_ADM_MANAGER</t>
  </si>
  <si>
    <t>entity:HQ_4.206_VP_ADM_MANAGER</t>
  </si>
  <si>
    <t>entity:HQ_4.208_VP_ADM_EXECSECRET</t>
  </si>
  <si>
    <t>entity:HQ_4.209_VP_ADM_MANAGER</t>
  </si>
  <si>
    <t>entity:HQ_4.21_VP_ADM_MANAGER</t>
  </si>
  <si>
    <t>entity:HQ_4.211_VP_ADM_MANAGER</t>
  </si>
  <si>
    <t>entity:HQ_4.212_VP_ADM_PERSASSIST</t>
  </si>
  <si>
    <t>entity:HQ_4.213_VP_ADM_ENSUIT</t>
  </si>
  <si>
    <t>entity:HQ_4.301_VP_ADM_MEETING_ROOM</t>
  </si>
  <si>
    <t>entity:HQ_4.603_E-TOWER_CORRIDOR</t>
  </si>
  <si>
    <t>entity:HQ_5.012_VP_EDU_OFFICE_DIRECTOR_ENSUIT</t>
  </si>
  <si>
    <t>entity:HQ_5.013_VP_EDU_SECRETARY</t>
  </si>
  <si>
    <t>entity:HQ_5.014_VP_EDU_ASSISTANT</t>
  </si>
  <si>
    <t>entity:HQ_5.015_VP_EDU_ASSISTANT</t>
  </si>
  <si>
    <t>entity:HQ_5.016_VP_EDU_ASSISTANT</t>
  </si>
  <si>
    <t>entity:HQ_5.017_VP_EDU_ASSISTANT</t>
  </si>
  <si>
    <t>entity:HQ_5.018_VP_EDU_OFFICERS</t>
  </si>
  <si>
    <t>entity:HQ_5.019_VP_EDU_OFFICERS</t>
  </si>
  <si>
    <t>entity:HQ_5.021_VP_EDU_OFFICERS</t>
  </si>
  <si>
    <t>entity:HQ_5.022_VP_EDU_OFFICERS</t>
  </si>
  <si>
    <t>entity:HQ_5.023_VP_EDU_OFFICERS</t>
  </si>
  <si>
    <t>entity:HQ_5.024_VP_EDU_SECRETARY</t>
  </si>
  <si>
    <t>entity:HQ_5.025_VP_EDU_OFFICE_DIRECTOR_ENSUIT</t>
  </si>
  <si>
    <t>entity:HQ_5.026_VP_EDU_ASSISTANT</t>
  </si>
  <si>
    <t>entity:HQ_5.601_S-TOWER_CORRIDOR</t>
  </si>
  <si>
    <t>entity:HQ_5.110_VP_EDU_OFFICERS</t>
  </si>
  <si>
    <t>entity:HQ_5.109_ELECTRICAL_CABINET</t>
  </si>
  <si>
    <t>entity:HQ_5.108_VP_EDU_ASSISTANT</t>
  </si>
  <si>
    <t>entity:HQ_5.107_VP_EDUCATION_SUPPSECRET</t>
  </si>
  <si>
    <t>entity:HQ_5.104_VP_EDU_LOUNGE_WAITING</t>
  </si>
  <si>
    <t>entity:HQ_5.011_VP_EDU_ASSISTANT</t>
  </si>
  <si>
    <t>entity:HQ_5.002_VP_EDU_OFFDIRENSUIT</t>
  </si>
  <si>
    <t>entity:HQ_5.003_VP_EDU_SECRETARY</t>
  </si>
  <si>
    <t>entity:HQ_5.004_VP_EDU_ASSISTANT</t>
  </si>
  <si>
    <t>entity:HQ_5.005_VP_EDU_OFFICERS</t>
  </si>
  <si>
    <t>entity:HQ_5.006_VP_EDU_OFFICERS</t>
  </si>
  <si>
    <t>entity:HQ_5.007_VP_EDU_OFFICERS</t>
  </si>
  <si>
    <t>entity:HQ_5.008_VP_EDU_ASSISTANT</t>
  </si>
  <si>
    <t>entity:HQ_5.102_MEETING_ROOM</t>
  </si>
  <si>
    <t>entity:HQ_5.101_VP_EDU_SECRET</t>
  </si>
  <si>
    <t>entity:HQ_5.001_VP_EDU_ASSISTANT</t>
  </si>
  <si>
    <t>entity:HQ_5.201_VP_EDU_MEMBERS_OF_EDU</t>
  </si>
  <si>
    <t>entity:HQ_5.203_VP_EDU_MEMBERS_OF_EDU</t>
  </si>
  <si>
    <t>entity:HQ_5.205_VP_EDU_MEETING_ROOM</t>
  </si>
  <si>
    <t>entity:HQ_5.206_VP_EDU_MEMBERS_OF_EDU</t>
  </si>
  <si>
    <t>entity:HQ_5.207_VP_EDU_MEMBERS_OF_EDU</t>
  </si>
  <si>
    <t>entity:HQ_5.208_VP_EDU_MEMBERS_OF_EDU</t>
  </si>
  <si>
    <t>entity:HQ_5.209_VP_EDU_MEMBERS_OF_EDU</t>
  </si>
  <si>
    <t>entity:HQ_5.211_VP_EDU_CHPEXECSECRET</t>
  </si>
  <si>
    <t>entity:HQ_5.212_VP_EDU_MEMBERS_OF_EDU</t>
  </si>
  <si>
    <t>entity:HQ_5.213_VP_EDU_OFFICE_DIRECTOR_ENSUIT</t>
  </si>
  <si>
    <t>entity:HQ_5.027_VP_EDU_OFFICERS</t>
  </si>
  <si>
    <t>entity:HQ_6.012_INTAUDIT_SEN_JNTAUD</t>
  </si>
  <si>
    <t>entity:HQ_6.013_INTAUDIT_SECRETARY</t>
  </si>
  <si>
    <t>entity:HQ_6.014_ACAAUDIT_SUPPAUDIT</t>
  </si>
  <si>
    <t>entity:HQ_6.015_ACAAUDIT_SUPPAUDIT</t>
  </si>
  <si>
    <t>entity:HQ_6.016_ACAAUDIT_SUPPAUDIT</t>
  </si>
  <si>
    <t>entity:HQ_6.017_ACAAUDIT_SUPPAUDIT</t>
  </si>
  <si>
    <t>entity:HQ_6.018_ACAAUDIT_SUPPAUDIT</t>
  </si>
  <si>
    <t>entity:HQ_6.019_ACAAUDIT_SUPPAUDIT</t>
  </si>
  <si>
    <t>entity:HQ_6.02_ACAAUDIT_SUPPAUDIT</t>
  </si>
  <si>
    <t>entity:HQ_6.021_ACAAUDIT_SECRETARY</t>
  </si>
  <si>
    <t>entity:HQ_6.022_ACAAUDIT_SECRETARY</t>
  </si>
  <si>
    <t>entity:HQ_6.023_ACAAUDIT_ACASENAUD</t>
  </si>
  <si>
    <t>entity:HQ_6.024_ACAAUDIT_ACASENAUD</t>
  </si>
  <si>
    <t>entity:HQ_6.025_FACILITY_MANAGSECRETARY</t>
  </si>
  <si>
    <t>entity:HQ_6.026_VACILITY_MANAGDIRENSUIT</t>
  </si>
  <si>
    <t>entity:HQ_6.027_VP_CAPITAL_CONSULTANT</t>
  </si>
  <si>
    <t>entity:HQ_6.028_VP_CAPITAL_CONSULTANT</t>
  </si>
  <si>
    <t>entity:HQ_6.601_S-TOWER_CORRIDOR</t>
  </si>
  <si>
    <t>entity:HQ_6.109_VP_CAPITAL_WORK_ASSIST</t>
  </si>
  <si>
    <t>entity:HQ_6.108_VP_CAPITAL_PROJCOORD</t>
  </si>
  <si>
    <t>entity:HQ_6.105_LOUNGE</t>
  </si>
  <si>
    <t>entity:HQ_6.009_INTAUDIT_SUPPAUDIT</t>
  </si>
  <si>
    <t>entity:HQ_6.01_INTAUDIT_SECRETARY</t>
  </si>
  <si>
    <t>entity:HQ_6.011_INTAUDIT_SEN_JNTAUD</t>
  </si>
  <si>
    <t>entity:HQ_6.002_INTAUDIT_ARCHIVE_ROOM</t>
  </si>
  <si>
    <t>entity:HQ_6.003_INTAUDIT_SUPPAUDIT</t>
  </si>
  <si>
    <t>entity:HQ_6.004_INTAUDIT_SUPPAUDIT</t>
  </si>
  <si>
    <t>entity:HQ_6.005_INTAUDIT_SUPPAUDIT</t>
  </si>
  <si>
    <t>entity:HQ_6.006_INTAUDIT_SUPPAUDIT</t>
  </si>
  <si>
    <t>entity:HQ_6.007_INTAUDIT_SUPPAUDIT</t>
  </si>
  <si>
    <t>entity:HQ_6.008_INTAUDIT_SUPPAUDIT</t>
  </si>
  <si>
    <t>entity:HQ_6.103_SHELL_SPACE</t>
  </si>
  <si>
    <t>entity:HQ_6.102_SHELL_SPACE</t>
  </si>
  <si>
    <t>entity:HQ_6.101_SHELL_SPACE</t>
  </si>
  <si>
    <t>entity:HQ_6.001_ACA_AUDIT_ARCHIVE</t>
  </si>
  <si>
    <t>entity:HQ_6.201_VP_CAPITAL_PROJMANAGER</t>
  </si>
  <si>
    <t>entity:HQ_6.202_VP_CAPITAL_PROJMANAGER</t>
  </si>
  <si>
    <t>entity:HQ_6.204_VP_CAPITAL_PROJMANAGER</t>
  </si>
  <si>
    <t>entity:HQ_6.205_VP_CAPITAL_CONSULTANT</t>
  </si>
  <si>
    <t>entity:HQ_6.206_VP_CAPITAL_STORAGE</t>
  </si>
  <si>
    <t>entity:HQ_6.207_VP_CAPITAL_SECRETARIES</t>
  </si>
  <si>
    <t>entity:HQ_6.209_VP_CAPITAL_ENSUIT</t>
  </si>
  <si>
    <t>entity:HQ_6.21_VP_CAPITAL_SECRETARIES</t>
  </si>
  <si>
    <t>entity:HQ_6.211_VP_CAPITAL_SECRETARIES</t>
  </si>
  <si>
    <t>entity:HQ_6.212_VP_CAPITAL_DIRECTOR_ENSUIT</t>
  </si>
  <si>
    <t>entity:HQ_6.603_E-TOWER_CORRIDOR</t>
  </si>
  <si>
    <t>entity:HQ_7.017_CA_ENSUIT</t>
  </si>
  <si>
    <t>entity:HQ_7.018_CA_SECRETARY</t>
  </si>
  <si>
    <t>entity:HQ_7.019_BD_UNIT_SECRETARY</t>
  </si>
  <si>
    <t>entity:HQ_7.02_BD_UNIT_EXECUTIVE</t>
  </si>
  <si>
    <t>entity:HQ_7.021_BD_UNIT_EXECUTIVE</t>
  </si>
  <si>
    <t>entity:HQ_7.022_BD_UNIT_EXECUTIVE</t>
  </si>
  <si>
    <t>entity:HQ_7.023_BD_UNIT_EXECUTIVE</t>
  </si>
  <si>
    <t>entity:HQ_7.024_BD_UNIT_EXECUTIVE</t>
  </si>
  <si>
    <t>entity:HQ_7.025_BD_UNIT_EXECUTIVE</t>
  </si>
  <si>
    <t>entity:HQ_7.026_BD_UNIT_EXECUTIVE</t>
  </si>
  <si>
    <t>entity:HQ_7.027_BD_UNIT_EXECUTIVE</t>
  </si>
  <si>
    <t>entity:HQ_7.028_BD_UNIT_EXECUTIVE</t>
  </si>
  <si>
    <t>entity:HQ_7.029_MEETING_ROOM</t>
  </si>
  <si>
    <t>entity:HQ_7.03_SHELL_SPACE</t>
  </si>
  <si>
    <t>entity:HQ_7.031A_OFFICE_SPACE</t>
  </si>
  <si>
    <t>entity:HQ_7.601_S-TOWER_CORRIDOR</t>
  </si>
  <si>
    <t>entity:HQ_7.032_SHELL_SPACE</t>
  </si>
  <si>
    <t>entity:HQ_7.106_LOUNGE</t>
  </si>
  <si>
    <t>entity:HQ_7.105_CA_SECRETARY</t>
  </si>
  <si>
    <t>entity:HQ_7.103_CA_SECRETARY</t>
  </si>
  <si>
    <t>entity:HQ_7.102_CA_SECRETARY</t>
  </si>
  <si>
    <t>entity:HQ_7.001_DOCUNIT_EMPLOYEE</t>
  </si>
  <si>
    <t>entity:HQ_7.002_DOCUNIT_MULTIMEDIA_STUDIO</t>
  </si>
  <si>
    <t>entity:HQ_7.003_DOCUNIT_EMPLOYEE</t>
  </si>
  <si>
    <t>entity:HQ_7.004_DOCUNIT_EMPLOYEE</t>
  </si>
  <si>
    <t>entity:HQ_7.005_DOCUNIT_EMPLOYEE</t>
  </si>
  <si>
    <t>entity:HQ_7.006_DOCUNIT_EMPLOYEE</t>
  </si>
  <si>
    <t>entity:HQ_7.007_CA_COORD</t>
  </si>
  <si>
    <t>entity:HQ_7.008_CA_COORD</t>
  </si>
  <si>
    <t>entity:HQ_7.009_CA_COORD</t>
  </si>
  <si>
    <t>entity:HQ_7.01_CA_COORD</t>
  </si>
  <si>
    <t>entity:HQ_7.011_CA_COORD</t>
  </si>
  <si>
    <t>entity:HQ_7.012_CA_COORD</t>
  </si>
  <si>
    <t>entity:HQ_7.013_CA_COORD</t>
  </si>
  <si>
    <t>entity:HQ_7.014_CA_COORD</t>
  </si>
  <si>
    <t>entity:HQ_7.015_CA_COORD</t>
  </si>
  <si>
    <t>entity:HQ_7.016_CA_COORD</t>
  </si>
  <si>
    <t>entity:HQ_7.201_CONSULTANTS_SPACE</t>
  </si>
  <si>
    <t>entity:HQ_7.202_PRESIDENT_EXECOFFICE</t>
  </si>
  <si>
    <t>entity:HQ_7.204_PRESIDENT_EXECOFFICE</t>
  </si>
  <si>
    <t>entity:HQ_7.205_PRESIDENT_EXECOFFICE</t>
  </si>
  <si>
    <t>entity:HQ_7.208_PRESIDENT_SUPPORT_SECRET</t>
  </si>
  <si>
    <t>entity:HQ_7.603_E-TOWER_CORRIDOR</t>
  </si>
  <si>
    <t>entity:HQ_7.209_PRESIDENT_EXECSECRET</t>
  </si>
  <si>
    <t>entity:HQ_7.21_PRESIDENT_EXECSECRET</t>
  </si>
  <si>
    <t>entity:HQ_7.211_PRESIDENT_ENSUIT</t>
  </si>
  <si>
    <t>entity:HQ_7.212_PRESIDENT_MEETING_ROOM</t>
  </si>
  <si>
    <t>entity:HQ_7.213_VICE_CHAIRPERSON_ENSUIT</t>
  </si>
  <si>
    <t>entity:HQ_7.214_VICE_CHAIRSECRETARY</t>
  </si>
  <si>
    <t>entity:HQ_7.215_VICE_CHAIRPERSON_MEETING_ROOM</t>
  </si>
  <si>
    <t>entity:HQ_7.301_MEETING_ROOM</t>
  </si>
  <si>
    <t>entity:HQ_8.001_OBSERVATION_SPACE</t>
  </si>
  <si>
    <t>entity:HQ_8.002_VISITORS_CENTER_OFFICE</t>
  </si>
  <si>
    <t>entity:HQ_8.602_VISITORS_CENTER_CORRIDOR</t>
  </si>
  <si>
    <t>entity:HQ_9.011_BMO_EXECASSIST</t>
  </si>
  <si>
    <t>entity:HQ_9.012_BMO_EXECASSIST</t>
  </si>
  <si>
    <t>entity:HQ_9.013_BMO_EXECASSIST</t>
  </si>
  <si>
    <t>entity:HQ_9.014_BMO_EXECASSIST</t>
  </si>
  <si>
    <t>entity:HQ_9.015_BMO_EXECASSIST</t>
  </si>
  <si>
    <t>entity:HQ_9.016_BMO_EXECASSIST</t>
  </si>
  <si>
    <t>entity:HQ_9.017_BMO_EXECASSIST</t>
  </si>
  <si>
    <t>entity:HQ_9.018_BMO_EXECSECRET</t>
  </si>
  <si>
    <t>entity:HQ_9.019_BMO_EXECSECRET</t>
  </si>
  <si>
    <t>entity:HQ_9.02_BMO_EXECSECRET</t>
  </si>
  <si>
    <t>entity:HQ_9.021_BMO_OPERDIRENSUIT</t>
  </si>
  <si>
    <t>entity:HQ_9.022_BMO_EXECASSIST</t>
  </si>
  <si>
    <t>entity:HQ_9.023_BMO_EXECSECRET</t>
  </si>
  <si>
    <t>entity:HQ_9.024_BMO_EXECSECRET</t>
  </si>
  <si>
    <t>entity:HQ_9.025_BMO_EXECSECRET</t>
  </si>
  <si>
    <t>entity:HQ_9.026_BMO_SUPPSECRET</t>
  </si>
  <si>
    <t>entity:HQ_9.027_BMO_SUPPSECRET</t>
  </si>
  <si>
    <t>entity:HQ_9.028_BMO_SUPPSECRET</t>
  </si>
  <si>
    <t>entity:HQ_9.029_BMO_SUPPSECRET</t>
  </si>
  <si>
    <t>entity:HQ_9.03_BMO_SUPPSECRET</t>
  </si>
  <si>
    <t>entity:HQ_9.031_BMO_PRINT_COPY</t>
  </si>
  <si>
    <t>entity:HQ_9.032_BMO_STORAGE</t>
  </si>
  <si>
    <t>entity:HQ_9.033_HR_EDUADVADVISOR_ENSUIT</t>
  </si>
  <si>
    <t>entity:HQ_9.034_HR_EDUADVADVISOR_ENSUIT</t>
  </si>
  <si>
    <t>entity:HQ_9.035_HR_EDUADVADVISOR_ENSUIT</t>
  </si>
  <si>
    <t>entity:HQ_9.036_BOD_EXECUTIVE</t>
  </si>
  <si>
    <t>entity:HQ_9.037_BOD_SECRETARY</t>
  </si>
  <si>
    <t>entity:HQ_9.038_BOD_EXECUTIVE</t>
  </si>
  <si>
    <t>entity:HQ_9.601_HH-WING_CORRIDOR</t>
  </si>
  <si>
    <t>entity:HQ_9.039_MEETING_ROOM</t>
  </si>
  <si>
    <t>entity:HQ_9.04_BMO_SAFE_ROOM</t>
  </si>
  <si>
    <t>entity:HQ_9.041_BMO_ARCHIVE_ROOM</t>
  </si>
  <si>
    <t>entity:HQ_9.001_LEGAL_ARCHIVE</t>
  </si>
  <si>
    <t>entity:HQ_9.002_LEGAL_CONSULE</t>
  </si>
  <si>
    <t>entity:HQ_9.003_LEGAL_LEGAL_CONSULE</t>
  </si>
  <si>
    <t>entity:HQ_9.004_LEGAL_LEGAL_CONSULE</t>
  </si>
  <si>
    <t>entity:HQ_9.005_LEGAL_LEGAL_CONSULE</t>
  </si>
  <si>
    <t>entity:HQ_9.006_LEGAL_LEGAL_CONSULE</t>
  </si>
  <si>
    <t>entity:HQ_9.007_LEGAL_LEGAL_CONSULE</t>
  </si>
  <si>
    <t>entity:HQ_9.008_LEGAL_LEGSUPSEC</t>
  </si>
  <si>
    <t>entity:HQ_9.009_LEGAL_LEGSUPSEC</t>
  </si>
  <si>
    <t>entity:HQ_9.01_LEGAL_LEGADVENSUIT</t>
  </si>
  <si>
    <t>entity:HQ_9.105_LOUNGE</t>
  </si>
  <si>
    <t>entity:HQ_9.104_BMO_WAITING_AREA</t>
  </si>
  <si>
    <t>entity:HQ_9.403_MALE_TOILET</t>
  </si>
  <si>
    <t>entity:HQ_9.11_SHEIKA_WING_DINING_AREA</t>
  </si>
  <si>
    <t>entity:HQ_9.108_SUPPORT_SPACE_PREPKITCHEN</t>
  </si>
  <si>
    <t>entity:HQ_10.005_SHEIKHA_WING_ARCHIVE</t>
  </si>
  <si>
    <t>entity:HQ_10.006_EXECDIRARCHCOORD</t>
  </si>
  <si>
    <t>entity:HQ_10.007_EXECDIR_PROTASSIST</t>
  </si>
  <si>
    <t>entity:HQ_10.008_PROTOCOL_DIR_SCHED_OFFICER</t>
  </si>
  <si>
    <t>entity:HQ_10.009_PROTOCOL_DIR_CEREMOFF</t>
  </si>
  <si>
    <t>entity:HQ_10.01_PROTOCOL_DIR_CEREMOFF</t>
  </si>
  <si>
    <t>entity:HQ_10.011_PROTOCOL_DIR_CEREMOFF</t>
  </si>
  <si>
    <t>entity:HQ_10.012_PROTOCOL_DIR_TR_&amp;_VIS_OFF</t>
  </si>
  <si>
    <t>entity:HQ_10.013_PROTOCOL_DIR_TR_&amp;_VIS_OFF</t>
  </si>
  <si>
    <t>entity:HQ_10.015_PROTOCOL_DIRSCHED_OFFICER</t>
  </si>
  <si>
    <t>entity:HQ_10.016_PLANNING_DIRPLANNING_ANALYST</t>
  </si>
  <si>
    <t>entity:HQ_10.017_PLANNING_DIRSTRATPLANNER</t>
  </si>
  <si>
    <t>entity:HQ_10.018_PLANNING_DIR_EXTCOORD</t>
  </si>
  <si>
    <t>entity:HQ_10.019_POLICY_DIRSENPOLANALYST</t>
  </si>
  <si>
    <t>entity:HQ_10.02_POLICY_DIR_SENRESEARCH_ANALYST</t>
  </si>
  <si>
    <t>entity:HQ_10.021_POLICY_DIRRESANALYST</t>
  </si>
  <si>
    <t>entity:HQ_10.022_POLICY_DIRRESANALYST</t>
  </si>
  <si>
    <t>entity:HQ_10.023_SHSERVDIR_HR_OFFICER</t>
  </si>
  <si>
    <t>entity:HQ_10.024_SHSERVDIRHR_ASSISTANT</t>
  </si>
  <si>
    <t>entity:HQ_10.025_SHSERVDIRPROCURREPRESENT</t>
  </si>
  <si>
    <t>entity:HQ_10.026_SHSERVDIRSERVICE_COORD</t>
  </si>
  <si>
    <t>entity:HQ_10.027_SHSERVDIRGENSERVSUPERV</t>
  </si>
  <si>
    <t>entity:HQ_10.028_SHSERVDIRFINANCCONTROL</t>
  </si>
  <si>
    <t>entity:HQ_10.029_SHSERVDIRTR&amp;_GUSERV</t>
  </si>
  <si>
    <t>entity:HQ_10.601_HH-WING_CORRIDOR</t>
  </si>
  <si>
    <t>entity:HQ_10.031_COMMUNICDIRCOMMDESIGNER</t>
  </si>
  <si>
    <t>entity:HQ_10.032_COMMUNICDIRSPEECH_EDITOR</t>
  </si>
  <si>
    <t>entity:HQ_10.033_COMMUNICDIR_TRANSLATOR</t>
  </si>
  <si>
    <t>entity:HQ_10.034_COMMUNICDIRPUBCOMMCOORD</t>
  </si>
  <si>
    <t>entity:HQ_10.035_SHSERVDIR_IT_SUPPORT_OFFICER</t>
  </si>
  <si>
    <t>entity:HQ_10.036_SHSERVDIR_ACCOUNT</t>
  </si>
  <si>
    <t>entity:HQ_10.037_SHSERVDIRSENACCOUNTANT</t>
  </si>
  <si>
    <t>entity:HQ_10.001_SHEIKHA_WING_STORAGE</t>
  </si>
  <si>
    <t>entity:HQ_10.003_BOARD_ROOM_WAITING_AREA</t>
  </si>
  <si>
    <t>entity:HQ_10.004_EXECDIRARCHCOORD</t>
  </si>
  <si>
    <t>entity:HQ_10.106_LOUNGE</t>
  </si>
  <si>
    <t>entity:HQ_10.109_BOARD_PREPROOM</t>
  </si>
  <si>
    <t>entity:HQ_10.101_CONSULTANTS_SPACE</t>
  </si>
  <si>
    <t>entity:HQ_10.112_TRANSLATOR_ROOM</t>
  </si>
  <si>
    <t>entity:HQ_10.102_SHEIKHA_WING_MULTIPURPOSE_ROOM</t>
  </si>
  <si>
    <t>entity:HQ_10.002E_OFFICE_SPACE</t>
  </si>
  <si>
    <t>entity:HQ_10.002D_OFFICE_SPACE</t>
  </si>
  <si>
    <t>entity:HQ_10.002C_OFFICE_SPACE</t>
  </si>
  <si>
    <t>entity:HQ_10.002A_OFFICE_SPACE</t>
  </si>
  <si>
    <t>entity:HQ_11.012_PLANNING_DIRDIRPLANNING</t>
  </si>
  <si>
    <t>entity:HQ_11.013_EXECDIRCORRF-UP</t>
  </si>
  <si>
    <t>entity:HQ_11.014_EXECDIRCORRMANAGER</t>
  </si>
  <si>
    <t>entity:HQ_11.015_EXECDIRCORRF-UP</t>
  </si>
  <si>
    <t>entity:HQ_11.016_EXECDIRLEGAL_ASSIST</t>
  </si>
  <si>
    <t>entity:HQ_11.017_EXECDIRLEGAL_ADVISOR</t>
  </si>
  <si>
    <t>entity:HQ_11.018_EXECDIREXECASSIST</t>
  </si>
  <si>
    <t>entity:HQ_11.019_EXECDIR_DEPEXECDIRECTOR</t>
  </si>
  <si>
    <t>entity:HQ_11.02_EXECDIREXECASSIST</t>
  </si>
  <si>
    <t>entity:HQ_11.021_EXECDIREXECDIRECTOR</t>
  </si>
  <si>
    <t>entity:HQ_11.022_SHEIKHA_WING_WAITING_ROOM</t>
  </si>
  <si>
    <t>entity:HQ_11.023_SHEIKHA_WING_SECURITY_ROOM</t>
  </si>
  <si>
    <t>entity:HQ_11.001_COMMUNICDIR_COMMUNICATION_DIRECTOR</t>
  </si>
  <si>
    <t>entity:HQ_11.002_COMMUNICDIRMEDRELOFFICER</t>
  </si>
  <si>
    <t>entity:HQ_11.003_SHSERVDIR_DIRSHARED_SERVICES</t>
  </si>
  <si>
    <t>entity:HQ_11.004_EXECDIRECTOR_ADMASSIST</t>
  </si>
  <si>
    <t>entity:HQ_11.005_PROTOCOL_DIRPROTOCOL_DIRECTOR</t>
  </si>
  <si>
    <t>entity:HQ_11.006_PROTOCOL_DIRGIFTS_DIRECTOR</t>
  </si>
  <si>
    <t>entity:HQ_11.008_EXECDIRCONSULTANT</t>
  </si>
  <si>
    <t>entity:HQ_11.009_SECRETARY</t>
  </si>
  <si>
    <t>entity:HQ_11.01_POLICY_DIRDIROF_POL&amp;_RES</t>
  </si>
  <si>
    <t>entity:HQ_11.011_SECRETARY</t>
  </si>
  <si>
    <t>entity:HQ_11.103_SHEIKHA_WING_BUSINESS_LOUNGE</t>
  </si>
  <si>
    <t>entity:HQ_11.201_SHEIKHA_WING_LOBBY</t>
  </si>
  <si>
    <t>entity:HQ_11.202_SHEIKHA_WING_SHEIKHA_ENSUIT</t>
  </si>
  <si>
    <t>entity:HQ_11.203_SHEIKHA_WING_RELAX_AREA</t>
  </si>
  <si>
    <t>entity:HQ_11.204_SHEIKHA_WING_MEETING_ROOM</t>
  </si>
  <si>
    <t>entity:HQ_B1.109_ROOM</t>
  </si>
  <si>
    <t>entity:HQ_10.002B_OFFICE_SPACE</t>
  </si>
  <si>
    <t>entity:HQ_11.007_EXECDIRCONSULTANT</t>
  </si>
  <si>
    <t>entity:HQ_11.601_SHEIKHA_WING_CORRIDOR</t>
  </si>
  <si>
    <t>entity:HQ_11.102_HH_WING_BUSINESS_LOUNGE</t>
  </si>
  <si>
    <t>entity:HQ_G.013_PR_&amp;_MARKET_STAFF</t>
  </si>
  <si>
    <t>entity:HQ_G.405_TOILET</t>
  </si>
  <si>
    <t>entity:HQ_12.201_SHEIKHA_WING_SHEIKHA_ENSUIT</t>
  </si>
  <si>
    <t>entity:HQ_12.202_SHEIKHA_WING_SHEIKHA_ENSUIT</t>
  </si>
  <si>
    <t>entity:HQ_12.203_SHEIKHA_WING_RELAX_AREA</t>
  </si>
  <si>
    <t>entity:HQ_12.204_SHEIKHA_WING_RELAX_AREA</t>
  </si>
  <si>
    <t>entity:HQ_12.001_COMMUNIC_DIR_COMMUNICATION_DIRECTOR</t>
  </si>
  <si>
    <t>entity:HQ_12.405_TOILET</t>
  </si>
  <si>
    <t>Room Entity Name</t>
  </si>
  <si>
    <t>Room Number Used</t>
  </si>
  <si>
    <t>Room Space (cleaned)</t>
  </si>
  <si>
    <t>entity:HQ_B1.606_SECURE_STORAGE</t>
  </si>
  <si>
    <t>B1.606</t>
  </si>
  <si>
    <t>SECURE_STORAGE</t>
  </si>
  <si>
    <t>AHU_4</t>
  </si>
  <si>
    <t>entity:HQ_B1.002_SECURITY_UPS_ROOM</t>
  </si>
  <si>
    <t>SECURITY_UPS_ROOM</t>
  </si>
  <si>
    <t>CONTROL_ROOM</t>
  </si>
  <si>
    <t>entity:HQ_B1.005_MDF_1_ROOM</t>
  </si>
  <si>
    <t>MDF_1_ROOM</t>
  </si>
  <si>
    <t>AHU_1</t>
  </si>
  <si>
    <t>entity:HQ_B1.007_COOLING_EQUIPMENT</t>
  </si>
  <si>
    <t>COOLING_EQUIPMENT</t>
  </si>
  <si>
    <t>entity:HQ_B1.008_FM_STORAGE</t>
  </si>
  <si>
    <t>FM_STORAGE</t>
  </si>
  <si>
    <t>entity:HQ_B1.009_MV_SWITCH_ROOM</t>
  </si>
  <si>
    <t>MV_SWITCH_ROOM</t>
  </si>
  <si>
    <t>entity:HQ_B1.010_TRANSFORMER_SUBSTATION</t>
  </si>
  <si>
    <t>TRANSFORMER_SUBSTATION</t>
  </si>
  <si>
    <t>entity:HQ_B1.011_HV_INTAKE</t>
  </si>
  <si>
    <t>HV_INTAKE</t>
  </si>
  <si>
    <t>entity:HQ_B1.012_GENERATOR</t>
  </si>
  <si>
    <t>entity:HQ_B1.013_Q-TEL_INCOMING</t>
  </si>
  <si>
    <t>Q-TEL_INCOMING</t>
  </si>
  <si>
    <t>SUPPORT_SPACE_DRY_WASTE_STORAGE</t>
  </si>
  <si>
    <t>SUPPORT_SPACE_LOADING</t>
  </si>
  <si>
    <t>AHU_2</t>
  </si>
  <si>
    <t>entity:HQ_B1.017_WATER_SERVICES</t>
  </si>
  <si>
    <t>WATER_SERVICES</t>
  </si>
  <si>
    <t>entity:HQ_B1.018_PA_ROOM</t>
  </si>
  <si>
    <t>PA_ROOM</t>
  </si>
  <si>
    <t>entity:HQ_B1.020_CHILLED_WATER</t>
  </si>
  <si>
    <t>CHILLED_WATER</t>
  </si>
  <si>
    <t>entity:HQ_B1.021_FILING_STORAGE</t>
  </si>
  <si>
    <t>FILING_STORAGE</t>
  </si>
  <si>
    <t>AHU_3</t>
  </si>
  <si>
    <t>entity:HQ_B1.023_CBS_ROOM</t>
  </si>
  <si>
    <t>CBS_ROOM</t>
  </si>
  <si>
    <t>entity:HQ_B1.024_SUPPORT_SPACE_WASTE_BIN_WASH_UP_AREA</t>
  </si>
  <si>
    <t>SUPPORT_SPACE_WASTE_BIN_WASH_UP_AREA</t>
  </si>
  <si>
    <t>entity:HQ_B1.025_COOLING_EQUIPMENT_ROOM</t>
  </si>
  <si>
    <t>COOLING_EQUIPMENT_ROOM</t>
  </si>
  <si>
    <t>entity:HQ_B1.026_UPS_ROOM</t>
  </si>
  <si>
    <t>UPS_ROOM</t>
  </si>
  <si>
    <t>entity:HQ_B1.101_AUDITORIUM_BACKSTAGE</t>
  </si>
  <si>
    <t>B1.101</t>
  </si>
  <si>
    <t>AUDITORIUM_BACKSTAGE</t>
  </si>
  <si>
    <t>entity:HQ_B1.102_SERVER_ROOM</t>
  </si>
  <si>
    <t>B1.102</t>
  </si>
  <si>
    <t>SERVER_ROOM</t>
  </si>
  <si>
    <t>B1.103</t>
  </si>
  <si>
    <t>STAFF_LOBBY</t>
  </si>
  <si>
    <t>entity:HQ_B1.106_VVIP_PARKING_6_CAR_SPOTS</t>
  </si>
  <si>
    <t>B1.106</t>
  </si>
  <si>
    <t>VVIP_PARKING_6_CAR_SPOTS</t>
  </si>
  <si>
    <t>B1.107</t>
  </si>
  <si>
    <t>DOCK_MASTER_OFFICE</t>
  </si>
  <si>
    <t>entity:HQ_B1.108_SUPPORT_SPACE_WET_WASTE_STORAGE</t>
  </si>
  <si>
    <t>B1.108</t>
  </si>
  <si>
    <t>SUPPORT_SPACE_WET_WASTE_STORAGE</t>
  </si>
  <si>
    <t>B1.110</t>
  </si>
  <si>
    <t>SUPPORT_SPACE_MAIL_ROOM</t>
  </si>
  <si>
    <t>entity:HQ_B1.111_CHANGING_ROOM</t>
  </si>
  <si>
    <t>B1.111</t>
  </si>
  <si>
    <t>CHANGING_ROOM</t>
  </si>
  <si>
    <t>entity:HQ_B1.112_CHANGING_ROOM</t>
  </si>
  <si>
    <t>B1.112</t>
  </si>
  <si>
    <t>B1.113</t>
  </si>
  <si>
    <t>SHEIKHA_LOBBY_SECURITY_ROOM</t>
  </si>
  <si>
    <t>entity:HQ_B1.114_FILING_STORAGE</t>
  </si>
  <si>
    <t>B1.114</t>
  </si>
  <si>
    <t>entity:HQ_B1.115_VVIP_PARKING_4_CAR_SPOTS</t>
  </si>
  <si>
    <t>B1.115</t>
  </si>
  <si>
    <t>VVIP_PARKING_4_CAR_SPOTS</t>
  </si>
  <si>
    <t>B1.116</t>
  </si>
  <si>
    <t>SHEIKHA_LOBBY</t>
  </si>
  <si>
    <t>B1.117</t>
  </si>
  <si>
    <t>CHAUFFEUR_ROOM</t>
  </si>
  <si>
    <t>entity:HQ_B1.118_SHEIKHA_LOBBY_PANTRYRG_LOUNGE</t>
  </si>
  <si>
    <t>B1.118</t>
  </si>
  <si>
    <t>SHEIKHA_LOBBY_PANTRYRG_LOUNGE</t>
  </si>
  <si>
    <t>entity:HQ_B1.119_ELECTRICAL_CABINET</t>
  </si>
  <si>
    <t>B1.119</t>
  </si>
  <si>
    <t>ELECTRICAL_CABINET</t>
  </si>
  <si>
    <t>entity:HQ_B1.120_MDF_2_ROOM</t>
  </si>
  <si>
    <t>B1.120</t>
  </si>
  <si>
    <t>MDF_2_ROOM</t>
  </si>
  <si>
    <t>entity:HQ_B1.121_MAINTENANCE_ROOM</t>
  </si>
  <si>
    <t>B1.121</t>
  </si>
  <si>
    <t>MAINTENANCE_ROOM</t>
  </si>
  <si>
    <t>B1.122</t>
  </si>
  <si>
    <t>SUPPORT_SPACE_FOOD_STORAGE</t>
  </si>
  <si>
    <t>B1.123</t>
  </si>
  <si>
    <t>B1.401</t>
  </si>
  <si>
    <t>MALE_TOILET</t>
  </si>
  <si>
    <t>entity:HQ_B1.402_FEMALE_TOILET</t>
  </si>
  <si>
    <t>B1.402</t>
  </si>
  <si>
    <t>FEMALE_TOILET</t>
  </si>
  <si>
    <t>entity:HQ_B1.403_TOILET</t>
  </si>
  <si>
    <t>B1.403</t>
  </si>
  <si>
    <t>entity:HQ_B1.511_VESTIBULE</t>
  </si>
  <si>
    <t>B1.511</t>
  </si>
  <si>
    <t>B1.512</t>
  </si>
  <si>
    <t>IDF_ROOM</t>
  </si>
  <si>
    <t>entity:HQ_B1.541_VESTIBULE</t>
  </si>
  <si>
    <t>B1.541</t>
  </si>
  <si>
    <t>entity:HQ_B1.542_VESTIBULE</t>
  </si>
  <si>
    <t>B1.542</t>
  </si>
  <si>
    <t>entity:HQ_B1.543_VESTIBULE</t>
  </si>
  <si>
    <t>B1.543</t>
  </si>
  <si>
    <t>entity:HQ_B1.544_SUPPORT_SPACE_STORAGE</t>
  </si>
  <si>
    <t>B1.544</t>
  </si>
  <si>
    <t>SUPPORT_SPACE_STORAGE</t>
  </si>
  <si>
    <t>entity:HQ_B1.602_CORRIDOR</t>
  </si>
  <si>
    <t>B1.602</t>
  </si>
  <si>
    <t>entity:HQ_B1.603_CORRIDOR</t>
  </si>
  <si>
    <t>B1.603</t>
  </si>
  <si>
    <t>entity:HQ_B1.604_CORRIDOR</t>
  </si>
  <si>
    <t>B1.604</t>
  </si>
  <si>
    <t>entity:HQ_B1.605_CORRIDOR</t>
  </si>
  <si>
    <t>B1.605</t>
  </si>
  <si>
    <t>entity:HQ_B1.P 1_P_1</t>
  </si>
  <si>
    <t>B1.P 1</t>
  </si>
  <si>
    <t>P_1</t>
  </si>
  <si>
    <t>entity:HQ_B1.P 2_P_2</t>
  </si>
  <si>
    <t>B1.P 2</t>
  </si>
  <si>
    <t>P_2</t>
  </si>
  <si>
    <t>entity:HQ_B1.P 3_P_3</t>
  </si>
  <si>
    <t>B1.P 3</t>
  </si>
  <si>
    <t>P_3</t>
  </si>
  <si>
    <t>entity:HQ_B1.P-4_P-4</t>
  </si>
  <si>
    <t>B1.P-4</t>
  </si>
  <si>
    <t>P-4</t>
  </si>
  <si>
    <t>entity:HQ_B1.P-5_P-5</t>
  </si>
  <si>
    <t>B1.P-5</t>
  </si>
  <si>
    <t>P-5</t>
  </si>
  <si>
    <t>entity:HQ_B1.P-6_P-6</t>
  </si>
  <si>
    <t>B1.P-6</t>
  </si>
  <si>
    <t>P-6</t>
  </si>
  <si>
    <t>entity:HQ_B1.S 1_S_1</t>
  </si>
  <si>
    <t>B1.S 1</t>
  </si>
  <si>
    <t>S_1</t>
  </si>
  <si>
    <t>entity:HQ_B1.ST-1_ST-1</t>
  </si>
  <si>
    <t>ST-1</t>
  </si>
  <si>
    <t>entity:HQ_B1.ST-2_ST-2</t>
  </si>
  <si>
    <t>ST-2</t>
  </si>
  <si>
    <t>entity:HQ_B1.ST-4_ST-4</t>
  </si>
  <si>
    <t>B1.ST-4</t>
  </si>
  <si>
    <t>ST-4</t>
  </si>
  <si>
    <t>entity:HQ_B1.ST-L6_ST-L6</t>
  </si>
  <si>
    <t>B1.ST-L6</t>
  </si>
  <si>
    <t>ST-L6</t>
  </si>
  <si>
    <t>G.002</t>
  </si>
  <si>
    <t>PR_&amp;_MARKET_MANAGER</t>
  </si>
  <si>
    <t>G.003</t>
  </si>
  <si>
    <t>G.004</t>
  </si>
  <si>
    <t>G.005</t>
  </si>
  <si>
    <t>EMERGENCY_CONTROL_CENTER</t>
  </si>
  <si>
    <t>entity:HQ_G.006_AUDITORIUM_STAIRS_LOBBY</t>
  </si>
  <si>
    <t>G.006</t>
  </si>
  <si>
    <t>AUDITORIUM_STAIRS_LOBBY</t>
  </si>
  <si>
    <t>entity:HQ_G.007_VIP_DROP_OFF_ENTRANCE</t>
  </si>
  <si>
    <t>G.007</t>
  </si>
  <si>
    <t>VIP_DROP_OFF_ENTRANCE</t>
  </si>
  <si>
    <t>G.008</t>
  </si>
  <si>
    <t>G.009</t>
  </si>
  <si>
    <t>G.010</t>
  </si>
  <si>
    <t>PR_&amp;_MARKET_STAFF</t>
  </si>
  <si>
    <t>G.011</t>
  </si>
  <si>
    <t>G.012</t>
  </si>
  <si>
    <t>G.013</t>
  </si>
  <si>
    <t>G.014</t>
  </si>
  <si>
    <t>VISITOR_CENT_OFFICE</t>
  </si>
  <si>
    <t>G.015</t>
  </si>
  <si>
    <t>entity:HQ_G.016_PANTRY</t>
  </si>
  <si>
    <t>G.016</t>
  </si>
  <si>
    <t>PANTRY</t>
  </si>
  <si>
    <t>G.017</t>
  </si>
  <si>
    <t>COPY_PRINT</t>
  </si>
  <si>
    <t>G.018</t>
  </si>
  <si>
    <t>G.019</t>
  </si>
  <si>
    <t>G.020</t>
  </si>
  <si>
    <t>G.021</t>
  </si>
  <si>
    <t>G.022</t>
  </si>
  <si>
    <t>PR_&amp;_MARKET!_SECRETARY</t>
  </si>
  <si>
    <t>G.023</t>
  </si>
  <si>
    <t>entity:HQ_G.024_PEDESTRIAN_ENTRANCE</t>
  </si>
  <si>
    <t>G.024</t>
  </si>
  <si>
    <t>PEDESTRIAN_ENTRANCE</t>
  </si>
  <si>
    <t>G.025</t>
  </si>
  <si>
    <t>VIP_LOUNGE</t>
  </si>
  <si>
    <t>G.026</t>
  </si>
  <si>
    <t>FINANCE_CASHIER</t>
  </si>
  <si>
    <t>entity:HQ_G.027_PANTRY</t>
  </si>
  <si>
    <t>G.027</t>
  </si>
  <si>
    <t>G.028</t>
  </si>
  <si>
    <t>PR_&amp;_MARKET_DIRECTOR_ENSUIT</t>
  </si>
  <si>
    <t>G.029</t>
  </si>
  <si>
    <t>entity:HQ_G.03_PR_&amp;_MARKET_STAFF</t>
  </si>
  <si>
    <t>G.03</t>
  </si>
  <si>
    <t>G.031</t>
  </si>
  <si>
    <t>G.032</t>
  </si>
  <si>
    <t>G.033</t>
  </si>
  <si>
    <t>G.034</t>
  </si>
  <si>
    <t>G.035</t>
  </si>
  <si>
    <t>G.036</t>
  </si>
  <si>
    <t>G.037</t>
  </si>
  <si>
    <t>G.038</t>
  </si>
  <si>
    <t>entity:HQ_G.039_PR_&amp;_MARKET_STAFF</t>
  </si>
  <si>
    <t>G.039</t>
  </si>
  <si>
    <t>G.101</t>
  </si>
  <si>
    <t>CONFERENCE_ROOM</t>
  </si>
  <si>
    <t>entity:HQ_G.102_AUDITORIUM</t>
  </si>
  <si>
    <t>G.102</t>
  </si>
  <si>
    <t>AUDITORIUM</t>
  </si>
  <si>
    <t>G.103</t>
  </si>
  <si>
    <t>G.104</t>
  </si>
  <si>
    <t>G.105</t>
  </si>
  <si>
    <t>SHOP</t>
  </si>
  <si>
    <t>entity:HQ_G.106_STORAGE_ROOM</t>
  </si>
  <si>
    <t>G.106</t>
  </si>
  <si>
    <t>STORAGE_ROOM</t>
  </si>
  <si>
    <t>G.107</t>
  </si>
  <si>
    <t>E-TOWER_LOBBY</t>
  </si>
  <si>
    <t>G.108</t>
  </si>
  <si>
    <t>CONSULTANT_SPACE_TRAINEES</t>
  </si>
  <si>
    <t>entity:HQ_G.11_STORAGE_ROOM</t>
  </si>
  <si>
    <t>G.11</t>
  </si>
  <si>
    <t>entity:HQ_G.401_FEMALE_TOILET</t>
  </si>
  <si>
    <t>G.401</t>
  </si>
  <si>
    <t>entity:HQ_G.402_MALE_TOILET</t>
  </si>
  <si>
    <t>G.402</t>
  </si>
  <si>
    <t>entity:HQ_G.403_FEM_FEMALE_TOILET</t>
  </si>
  <si>
    <t>G.403_FEM</t>
  </si>
  <si>
    <t>entity:HQ_G.403_MAL_MALE_TOILET</t>
  </si>
  <si>
    <t>G.403_MAL</t>
  </si>
  <si>
    <t>G.405</t>
  </si>
  <si>
    <t>G.511</t>
  </si>
  <si>
    <t>G.512</t>
  </si>
  <si>
    <t>entity:HQ_G.521_STAIR_VESTIBULE</t>
  </si>
  <si>
    <t>G.521</t>
  </si>
  <si>
    <t>STAIR_VESTIBULE</t>
  </si>
  <si>
    <t>G.531</t>
  </si>
  <si>
    <t>entity:HQ_G.532_ELECTRICAL_CLOSET_1</t>
  </si>
  <si>
    <t>G.532</t>
  </si>
  <si>
    <t>ELECTRICAL_CLOSET_1</t>
  </si>
  <si>
    <t>entity:HQ_G.533_ELECTRICAL_CLOSET_2</t>
  </si>
  <si>
    <t>G.533</t>
  </si>
  <si>
    <t>ELECTRICAL_CLOSET_2</t>
  </si>
  <si>
    <t>entity:HQ_G.541_STAIR_VESTIBULES</t>
  </si>
  <si>
    <t>G.541</t>
  </si>
  <si>
    <t>STAIR_VESTIBULES</t>
  </si>
  <si>
    <t>entity:HQ_G.542_STAIR_VESTIBULE</t>
  </si>
  <si>
    <t>G.542</t>
  </si>
  <si>
    <t>entity:HQ_G.544_VESTIBULE</t>
  </si>
  <si>
    <t>G.544</t>
  </si>
  <si>
    <t>G.601</t>
  </si>
  <si>
    <t>entity:HQ_G.FF-1_FF-1</t>
  </si>
  <si>
    <t>G.FF-1</t>
  </si>
  <si>
    <t>FF-1</t>
  </si>
  <si>
    <t>entity:HQ_G.P-1_P-1</t>
  </si>
  <si>
    <t>G.P-1</t>
  </si>
  <si>
    <t>P-1</t>
  </si>
  <si>
    <t>entity:HQ_G.P-2_P-2</t>
  </si>
  <si>
    <t>G.P-2</t>
  </si>
  <si>
    <t>P-2</t>
  </si>
  <si>
    <t>entity:HQ_G.P-3_P-3</t>
  </si>
  <si>
    <t>G.P-3</t>
  </si>
  <si>
    <t>P-3</t>
  </si>
  <si>
    <t>entity:HQ_G.P-4_P-4</t>
  </si>
  <si>
    <t>G.P-4</t>
  </si>
  <si>
    <t>entity:HQ_G.P-5_P-5</t>
  </si>
  <si>
    <t>G.P-5</t>
  </si>
  <si>
    <t>entity:HQ_G.P-6_P-6</t>
  </si>
  <si>
    <t>G.P-6</t>
  </si>
  <si>
    <t>entity:HQ_G.S-1_S-1</t>
  </si>
  <si>
    <t>G.S-1</t>
  </si>
  <si>
    <t>S-1</t>
  </si>
  <si>
    <t>entity:HQ_G.ST-1_ST-1</t>
  </si>
  <si>
    <t>G.ST-1</t>
  </si>
  <si>
    <t>entity:HQ_G.ST-2_ST-2</t>
  </si>
  <si>
    <t>G.ST-2</t>
  </si>
  <si>
    <t>entity:HQ_G.ST-3_ST-3</t>
  </si>
  <si>
    <t>G.ST-3</t>
  </si>
  <si>
    <t>ST-3</t>
  </si>
  <si>
    <t>entity:HQ_G.ST-4_ST-4</t>
  </si>
  <si>
    <t>G.ST-4</t>
  </si>
  <si>
    <t>FINANCE_CLERICAL_SECRETARIES</t>
  </si>
  <si>
    <t>FINANCE_MANAGERS</t>
  </si>
  <si>
    <t>FINANCE_MANAGER</t>
  </si>
  <si>
    <t>FINANCE_SECRETARY</t>
  </si>
  <si>
    <t>FINANCE_PROFSTAFF</t>
  </si>
  <si>
    <t>FINANCE_CLERICAL_PROFSTAFF</t>
  </si>
  <si>
    <t>entity:HQ_1.009_FINANCE_MANAGER</t>
  </si>
  <si>
    <t>FINANCE_DIRECTOR_ENSUIT</t>
  </si>
  <si>
    <t>FINANCE_AUDITOR</t>
  </si>
  <si>
    <t>STAFF_LOUNGE</t>
  </si>
  <si>
    <t>entity:HQ_1.102_PRAYER_ROOM_VESTIBULE</t>
  </si>
  <si>
    <t>PRAYER_ROOM_VESTIBULE</t>
  </si>
  <si>
    <t>entity:HQ_1.103_ABLUTION_ROOM</t>
  </si>
  <si>
    <t>ABLUTION_ROOM</t>
  </si>
  <si>
    <t>entity:HQ_1.104_ABLUTION_ROOM</t>
  </si>
  <si>
    <t>PRAYER_ROOM</t>
  </si>
  <si>
    <t>FINANCE_MEETING_ROOM</t>
  </si>
  <si>
    <t>FINANCE_RECORD_STORAGE</t>
  </si>
  <si>
    <t>PRINT_COPY</t>
  </si>
  <si>
    <t>entity:HQ_1.113_PANTRY</t>
  </si>
  <si>
    <t>STAFF_LOUNGE_STORAGE</t>
  </si>
  <si>
    <t>FINANCE_SECURE_ROOM</t>
  </si>
  <si>
    <t>entity:HQ_1.403_MALE_TOILET</t>
  </si>
  <si>
    <t>entity:HQ_1.404_FEMALE_TOILET</t>
  </si>
  <si>
    <t>entity:HQ_1.405_TOILET</t>
  </si>
  <si>
    <t>entity:HQ_1.521_VESTIBULE</t>
  </si>
  <si>
    <t>entity:HQ_1.532_ELECTRICAL_CLOSET_1</t>
  </si>
  <si>
    <t>entity:HQ_1.533_ELECTRICAL_CLOSET_2</t>
  </si>
  <si>
    <t>entity:HQ_1.541_VESTIBULE</t>
  </si>
  <si>
    <t>entity:HQ_1.603_CORRIDOR</t>
  </si>
  <si>
    <t>STAFF_CAFETERIA</t>
  </si>
  <si>
    <t>FOOD_HEAT_UP</t>
  </si>
  <si>
    <t>entity:HQ_1.703_COSHSTORE</t>
  </si>
  <si>
    <t>COSHSTORE</t>
  </si>
  <si>
    <t>entity:HQ_1.704_REFUSE_HOLDING_A</t>
  </si>
  <si>
    <t>REFUSE_HOLDING_A</t>
  </si>
  <si>
    <t>entity:HQ_1.705_PREP</t>
  </si>
  <si>
    <t>PREP</t>
  </si>
  <si>
    <t>WASHING_AREA</t>
  </si>
  <si>
    <t>DOHA_DEBATE_EXECUTIVE</t>
  </si>
  <si>
    <t>DOHA_DEBATE_SECRETARY</t>
  </si>
  <si>
    <t>SUPPSERVSECRETARY</t>
  </si>
  <si>
    <t>SUPPSERVADMINIST</t>
  </si>
  <si>
    <t>SUPPSERVDIRECTOR_ENSUIT</t>
  </si>
  <si>
    <t>CONSULTANTS_SPACE-OTHERS</t>
  </si>
  <si>
    <t>entity:HQ_2.106_PANTRY</t>
  </si>
  <si>
    <t>entity:HQ_2.107_JANITORS_CLOSET</t>
  </si>
  <si>
    <t>JANITORS_CLOSET</t>
  </si>
  <si>
    <t>SUPPSERVMEETING_ROOM</t>
  </si>
  <si>
    <t>SHELL_SPACE</t>
  </si>
  <si>
    <t>entity:HQ_2.11_SHELL_SPACE</t>
  </si>
  <si>
    <t>entity:HQ_2.111_ELECTRICAL_CABINET</t>
  </si>
  <si>
    <t>SPA_MALE_RELAXATION</t>
  </si>
  <si>
    <t>SPA_MALE_TREATMENT_3</t>
  </si>
  <si>
    <t>SPA_MALE_TREATMENT_2</t>
  </si>
  <si>
    <t>SPA_MALE_TREATMENT_1</t>
  </si>
  <si>
    <t>SPA_MALE_CHANGING_ROOM</t>
  </si>
  <si>
    <t>SPA_ENTRANCE</t>
  </si>
  <si>
    <t>SPA_LOUNGE_BAR</t>
  </si>
  <si>
    <t>SPA_FITNESS_DTUDIO</t>
  </si>
  <si>
    <t>SPA_OFFICE</t>
  </si>
  <si>
    <t>SPA_STAFF_WAITING_AREA</t>
  </si>
  <si>
    <t>SPA_FEMALE_BEAUTY_SALON</t>
  </si>
  <si>
    <t>SPA_FM_TREATMENT_1</t>
  </si>
  <si>
    <t>SPA_CHANGING_ROOM</t>
  </si>
  <si>
    <t>SPA_FM_TREATMENT_2</t>
  </si>
  <si>
    <t>SPA_FM_TREATMENT_3</t>
  </si>
  <si>
    <t>SPA_FM_RELAXATION</t>
  </si>
  <si>
    <t>entity:HQ_2.217_SPA_STORAGE</t>
  </si>
  <si>
    <t>SPA_STORAGE</t>
  </si>
  <si>
    <t>entity:HQ_2.218_SPA_STORAGE</t>
  </si>
  <si>
    <t>entity:HQ_2.219_SPA_STORAGE</t>
  </si>
  <si>
    <t>entity:HQ_2.22_SPA_STERILIZATION_ROOM</t>
  </si>
  <si>
    <t>SPA_STERILIZATION_ROOM</t>
  </si>
  <si>
    <t>entity:HQ_2.301_SPA_LAUNDRY</t>
  </si>
  <si>
    <t>SPA_LAUNDRY</t>
  </si>
  <si>
    <t>SPA_PLANTROOM</t>
  </si>
  <si>
    <t>entity:HQ_2.303_SPA_LAUNDRY</t>
  </si>
  <si>
    <t>entity:HQ_2.304_SPA_MALE_HEAT_EXP</t>
  </si>
  <si>
    <t>SPA_MALE_HEAT_EXP</t>
  </si>
  <si>
    <t>entity:HQ_2.305_SPA_JACUZZI</t>
  </si>
  <si>
    <t>SPA_JACUZZI</t>
  </si>
  <si>
    <t>entity:HQ_2.306_SPA_HAMMAM</t>
  </si>
  <si>
    <t>SPA_HAMMAM</t>
  </si>
  <si>
    <t>entity:HQ_2.307_SPA_SHOWER</t>
  </si>
  <si>
    <t>SPA_SHOWER</t>
  </si>
  <si>
    <t>entity:HQ_2.308_SPA_SCRUB</t>
  </si>
  <si>
    <t>SPA_SCRUB</t>
  </si>
  <si>
    <t>entity:HQ_2.309_SPA_SAUNA</t>
  </si>
  <si>
    <t>SPA_SAUNA</t>
  </si>
  <si>
    <t>entity:HQ_2.31_SPA_TECHNIC</t>
  </si>
  <si>
    <t>SPA_TECHNIC</t>
  </si>
  <si>
    <t>entity:HQ_2.311_SPA_FM_HEAT_EXP</t>
  </si>
  <si>
    <t>SPA_FM_HEAT_EXP</t>
  </si>
  <si>
    <t>entity:HQ_2.312_SPA_SAUNA</t>
  </si>
  <si>
    <t>entity:HQ_2.313_SPA_SCRUB</t>
  </si>
  <si>
    <t>entity:HQ_2.314_SPA_SHOWER</t>
  </si>
  <si>
    <t>entity:HQ_2.315_SPA_HAMMAM</t>
  </si>
  <si>
    <t>entity:HQ_2.316_SPA_JACUZZI</t>
  </si>
  <si>
    <t>entity:HQ_2.317_SPA_TECHNIC</t>
  </si>
  <si>
    <t>entity:HQ_2.318_SPA_TECHNIC</t>
  </si>
  <si>
    <t>entity:HQ_2.401_MALE_TOILET</t>
  </si>
  <si>
    <t>entity:HQ_2.402_FEMALE_TOILET</t>
  </si>
  <si>
    <t>entity:HQ_2.403_MALE_TOILET</t>
  </si>
  <si>
    <t>entity:HQ_2.404_FEMALE_TOILET</t>
  </si>
  <si>
    <t>entity:HQ_2.405_TOILET</t>
  </si>
  <si>
    <t>entity:HQ_2.406_SPA_STAFF_FEMALE_WC</t>
  </si>
  <si>
    <t>SPA_STAFF_FEMALE_WC</t>
  </si>
  <si>
    <t>entity:HQ_2.407_SPA_STAFF_MALE_WC</t>
  </si>
  <si>
    <t>SPA_STAFF_MALE_WC</t>
  </si>
  <si>
    <t>MECHANICAL_ROOM</t>
  </si>
  <si>
    <t>entity:HQ_2.521_VESTIBULE</t>
  </si>
  <si>
    <t>entity:HQ_2.532_ELECTRICAL_CLOSET_1</t>
  </si>
  <si>
    <t>entity:HQ_2.533_ELECTRICAL_CLOSET_2</t>
  </si>
  <si>
    <t>entity:HQ_2.541_VESTIBULE</t>
  </si>
  <si>
    <t>S-TOWER_CORRIDOR</t>
  </si>
  <si>
    <t>entity:HQ_2.602_SPA_CORRIDOR</t>
  </si>
  <si>
    <t>SPA_CORRIDOR</t>
  </si>
  <si>
    <t>SPA_LOBBY</t>
  </si>
  <si>
    <t>entity:HQ_2.604_SPA_CORRIDOR</t>
  </si>
  <si>
    <t>HR_IMMIG_STAFF</t>
  </si>
  <si>
    <t>HR_IMMIG_STORAGE</t>
  </si>
  <si>
    <t>HR_IMMIG_SECRETARY</t>
  </si>
  <si>
    <t>MEETING_ROOM</t>
  </si>
  <si>
    <t>entity:HQ_3.106_PANTRY</t>
  </si>
  <si>
    <t>entity:HQ_3.107_JANITORS_CLOSET</t>
  </si>
  <si>
    <t>entity:HQ_3.108_SHELL_SPACE</t>
  </si>
  <si>
    <t>entity:HQ_3.109_ELECTRICAL_CABINET</t>
  </si>
  <si>
    <t>PROC&amp;CONTRDIRENSUIT</t>
  </si>
  <si>
    <t>COPYPRINT</t>
  </si>
  <si>
    <t>entity:HQ_3.204_PANTRY</t>
  </si>
  <si>
    <t>HR_IMMIG_IMMIGRATION</t>
  </si>
  <si>
    <t>HR_IMMIG_MANAGER</t>
  </si>
  <si>
    <t>HR_IMMIG_OFFICERS</t>
  </si>
  <si>
    <t>HR_IMMIG_SECRETARIES</t>
  </si>
  <si>
    <t>HR_IMMIG_DIRENSUIT</t>
  </si>
  <si>
    <t>IT_SECRETARY</t>
  </si>
  <si>
    <t>IT_DIRENSUIT</t>
  </si>
  <si>
    <t>PROC&amp;CONTRSECRETARY</t>
  </si>
  <si>
    <t>PROC&amp;CONTRMEETING_ROOM</t>
  </si>
  <si>
    <t>HR_IMMIG_MEETING_ROOM</t>
  </si>
  <si>
    <t>entity:HQ_3.401_MALE_TOILET</t>
  </si>
  <si>
    <t>entity:HQ_3.402_FEMALE_TOILET</t>
  </si>
  <si>
    <t>entity:HQ_3.403_MALE_TOILET</t>
  </si>
  <si>
    <t>entity:HQ_3.404_FEMALE_TOILET</t>
  </si>
  <si>
    <t>entity:HQ_3.405_MALE_TOILET</t>
  </si>
  <si>
    <t>entity:HQ_3.406_FEMALE_TOILET</t>
  </si>
  <si>
    <t>entity:HQ_3.407_TOILET</t>
  </si>
  <si>
    <t>entity:HQ_3.408_TOILET</t>
  </si>
  <si>
    <t>entity:HQ_3.409_TOILET</t>
  </si>
  <si>
    <t>entity:HQ_3.511_VESTIBULE</t>
  </si>
  <si>
    <t>entity:HQ_3.521_VESTIBULE</t>
  </si>
  <si>
    <t>entity:HQ_3.532_ELECTRICAL_CLOSET_1</t>
  </si>
  <si>
    <t>entity:HQ_3.533_ELECTRICAL_CLOSET_12</t>
  </si>
  <si>
    <t>ELECTRICAL_CLOSET_12</t>
  </si>
  <si>
    <t>entity:HQ_3.541_VESTIBULE</t>
  </si>
  <si>
    <t>E-TOWER_CORRIDOR</t>
  </si>
  <si>
    <t>CORRIDOR_BRIDGE</t>
  </si>
  <si>
    <t>STRPLDIRMANAGER</t>
  </si>
  <si>
    <t>entity:HQ_04.004_ENS_STRPLDIRENSUIT</t>
  </si>
  <si>
    <t>04.004_ENS</t>
  </si>
  <si>
    <t>STRPLDIRENSUIT</t>
  </si>
  <si>
    <t>entity:HQ_04.004_EXE_STRPLDIREXECSECRETARY</t>
  </si>
  <si>
    <t>04.004_EXE</t>
  </si>
  <si>
    <t>STRPLDIREXECSECRETARY</t>
  </si>
  <si>
    <t>STRPLDIRMEETING_ROOM</t>
  </si>
  <si>
    <t>STRPLDIRHEAD_OF_PL</t>
  </si>
  <si>
    <t>entity:HQ_04.103_ELE_ELECTRICAL_CABINET</t>
  </si>
  <si>
    <t>04.103_ELE</t>
  </si>
  <si>
    <t>entity:HQ_04.103_STO_STORAGE_SPACE</t>
  </si>
  <si>
    <t>04.103_STO</t>
  </si>
  <si>
    <t>STORAGE_SPACE</t>
  </si>
  <si>
    <t>WAITING_LOUNGE</t>
  </si>
  <si>
    <t>entity:HQ_04.105_JAN_JANITORS_CLOSET</t>
  </si>
  <si>
    <t>04.105_JAN</t>
  </si>
  <si>
    <t>entity:HQ_04.105_PAN_PANTRY</t>
  </si>
  <si>
    <t>04.105_PAN</t>
  </si>
  <si>
    <t>STRPLDIRTECHNSTAFF</t>
  </si>
  <si>
    <t>STRPLDIRARCHIVE_ROOM</t>
  </si>
  <si>
    <t>VP_EDU_STORAGE</t>
  </si>
  <si>
    <t>entity:HQ_4.202_PRINT_COPY</t>
  </si>
  <si>
    <t>entity:HQ_4.203_PANTRY</t>
  </si>
  <si>
    <t>VP_ADM_MANAGER</t>
  </si>
  <si>
    <t>entity:HQ_4.207_VP_ADM_SUPPSECRET</t>
  </si>
  <si>
    <t>VP_ADM_SUPPSECRET</t>
  </si>
  <si>
    <t>VP_ADM_EXECSECRET</t>
  </si>
  <si>
    <t>VP_ADM_PERSASSIST</t>
  </si>
  <si>
    <t>VP_ADM_ENSUIT</t>
  </si>
  <si>
    <t>entity:HQ_4.214_GSM_ROOM</t>
  </si>
  <si>
    <t>GSM_ROOM</t>
  </si>
  <si>
    <t>VP_ADM_MEETING_ROOM</t>
  </si>
  <si>
    <t>entity:HQ_4.401_MALE_TOILET</t>
  </si>
  <si>
    <t>entity:HQ_4.402_FEMALE_TOILET</t>
  </si>
  <si>
    <t>entity:HQ_4.403_MALE_TOILET</t>
  </si>
  <si>
    <t>entity:HQ_4.404_FEMALE_TOILET</t>
  </si>
  <si>
    <t>entity:HQ_4.405_TOILET</t>
  </si>
  <si>
    <t>entity:HQ_4.406_TOILET</t>
  </si>
  <si>
    <t>entity:HQ_4.511_VESTIBULE</t>
  </si>
  <si>
    <t>entity:HQ_4.514_VESTIBULE</t>
  </si>
  <si>
    <t>entity:HQ_4.521_VESTIBULE</t>
  </si>
  <si>
    <t>entity:HQ_4.532_ELECTRICAL_CLOSET</t>
  </si>
  <si>
    <t>ELECTRICAL_CLOSET</t>
  </si>
  <si>
    <t>entity:HQ_4.533_ELECTRICAL_CLOSET_2</t>
  </si>
  <si>
    <t>entity:HQ_4.602_BRIDGE</t>
  </si>
  <si>
    <t>BRIDGE</t>
  </si>
  <si>
    <t>entity:HQ_4.604_PRINT_COPY</t>
  </si>
  <si>
    <t>VP_ADM_TERRACE</t>
  </si>
  <si>
    <t>TERRACE</t>
  </si>
  <si>
    <t>VP_EDU_ASSISTANT</t>
  </si>
  <si>
    <t>VP_EDU_OFFDIRENSUIT</t>
  </si>
  <si>
    <t>VP_EDU_SECRETARY</t>
  </si>
  <si>
    <t>VP_EDU_OFFICERS</t>
  </si>
  <si>
    <t>VP_EDU_OFFICE_DIRECTOR_ENSUIT</t>
  </si>
  <si>
    <t>VP_EDU_SECRET</t>
  </si>
  <si>
    <t>VP_EDU_LOUNGE_WAITING</t>
  </si>
  <si>
    <t>entity:HQ_5.105_PANTRY</t>
  </si>
  <si>
    <t>entity:HQ_5.106_JANITORS_CLOSET</t>
  </si>
  <si>
    <t>VP_EDUCATION_SUPPSECRET</t>
  </si>
  <si>
    <t>VP_EDU_MEMBERS_OF_EDU</t>
  </si>
  <si>
    <t>entity:HQ_5.204_PANTRY</t>
  </si>
  <si>
    <t>VP_EDU_MEETING_ROOM</t>
  </si>
  <si>
    <t>VP_EDU_ENSUIT</t>
  </si>
  <si>
    <t>VP_EDU_CHPEXECSECRET</t>
  </si>
  <si>
    <t>PLANT_ROOM</t>
  </si>
  <si>
    <t>entity:HQ_5.401_MALE_TOILET</t>
  </si>
  <si>
    <t>entity:HQ_5.402_FEMALE_TOILET</t>
  </si>
  <si>
    <t>entity:HQ_5.403_MALE_TOILET</t>
  </si>
  <si>
    <t>entity:HQ_5.404_FEMALE_TOILET</t>
  </si>
  <si>
    <t>entity:HQ_5.405_TOILET</t>
  </si>
  <si>
    <t>entity:HQ_5.406_TOILET</t>
  </si>
  <si>
    <t>entity:HQ_5.407_TOILET</t>
  </si>
  <si>
    <t>entity:HQ_5.408_TOILET</t>
  </si>
  <si>
    <t>entity:HQ_5.409_TOILET</t>
  </si>
  <si>
    <t>entity:HQ_5.511_VESTIBULE</t>
  </si>
  <si>
    <t>entity:HQ_5.521_VESTIBULE</t>
  </si>
  <si>
    <t>entity:HQ_5.532_ELECTRICAL_CLOSET_1</t>
  </si>
  <si>
    <t>entity:HQ_5.533_ELECTRICAL_CLOSET_2</t>
  </si>
  <si>
    <t>entity:HQ_5.541_VESTIBULE</t>
  </si>
  <si>
    <t>entity:HQ_5.604_BRIDGE</t>
  </si>
  <si>
    <t>entity:HQ_5.701_TERRACE</t>
  </si>
  <si>
    <t>ACA_AUDIT_ARCHIVE</t>
  </si>
  <si>
    <t>INTAUDIT_ARCHIVE_ROOM</t>
  </si>
  <si>
    <t>INTAUDIT_SUPPAUDIT</t>
  </si>
  <si>
    <t>INTAUDIT_SECRETARY</t>
  </si>
  <si>
    <t>INTAUDIT_SEN_JNTAUD</t>
  </si>
  <si>
    <t>ACAAUDIT_SUPPAUDIT</t>
  </si>
  <si>
    <t>ACAAUDIT_SECRETARY</t>
  </si>
  <si>
    <t>ACAAUDIT_ACASENAUD</t>
  </si>
  <si>
    <t>FACILITY_MANAGSECRETARY</t>
  </si>
  <si>
    <t>VACILITY_MANAGDIRENSUIT</t>
  </si>
  <si>
    <t>VP_CAPITAL_CONSULTANT</t>
  </si>
  <si>
    <t>entity:HQ_6.106_PANTRY</t>
  </si>
  <si>
    <t>entity:HQ_6.107_JANITORS_CLOSET</t>
  </si>
  <si>
    <t>VP_CAPITAL_PROJCOORD</t>
  </si>
  <si>
    <t>VP_CAPITAL_WORK_ASSIST</t>
  </si>
  <si>
    <t>entity:HQ_6.11_ELECTRICAL_CABINET</t>
  </si>
  <si>
    <t>VP_CAPITAL_PROJMANAGER</t>
  </si>
  <si>
    <t>entity:HQ_6.203_PANTRY</t>
  </si>
  <si>
    <t>VP_CAPITAL_STORAGE</t>
  </si>
  <si>
    <t>VP_CAPITAL_SECRETARIES</t>
  </si>
  <si>
    <t>VP_CAPITAL_ENSUIT</t>
  </si>
  <si>
    <t>VP_CAPITAL_DIRECTOR_ENSUIT</t>
  </si>
  <si>
    <t>entity:HQ_6.301_VP_CAPITAL_MEETING_ROOM</t>
  </si>
  <si>
    <t>VP_CAPITAL_MEETING_ROOM</t>
  </si>
  <si>
    <t>entity:HQ_6.401_MALE_TOILET</t>
  </si>
  <si>
    <t>entity:HQ_6.402_FEMALE_TOILET</t>
  </si>
  <si>
    <t>entity:HQ_6.403_MALE_TOILET</t>
  </si>
  <si>
    <t>entity:HQ_6.404_FEMALE_TOILET</t>
  </si>
  <si>
    <t>entity:HQ_6.405_TOILET</t>
  </si>
  <si>
    <t>entity:HQ_6.406_TOILET</t>
  </si>
  <si>
    <t>entity:HQ_6.407_TOILET</t>
  </si>
  <si>
    <t>entity:HQ_6.511_VESTIBULE</t>
  </si>
  <si>
    <t>entity:HQ_6.521_VESTIBULE</t>
  </si>
  <si>
    <t>entity:HQ_6.532_ELECTRICAL_CLOSET</t>
  </si>
  <si>
    <t>entity:HQ_6.533_ELECTRICAL_CLOSET_2</t>
  </si>
  <si>
    <t>entity:HQ_6.541_VESTIBULE</t>
  </si>
  <si>
    <t>entity:HQ_6.602_BRIDGE_CORRIDOR</t>
  </si>
  <si>
    <t>BRIDGE_CORRIDOR</t>
  </si>
  <si>
    <t>DOCUNIT_EMPLOYEE</t>
  </si>
  <si>
    <t>DOCUNIT_MULTIMEDIA_STUDIO</t>
  </si>
  <si>
    <t>CA_COORD</t>
  </si>
  <si>
    <t>CA_ENSUIT</t>
  </si>
  <si>
    <t>CA_SECRETARY</t>
  </si>
  <si>
    <t>BD_UNIT_SECRETARY</t>
  </si>
  <si>
    <t>BD_UNIT_EXECUTIVE</t>
  </si>
  <si>
    <t>entity:HQ_7.107_PANTRY</t>
  </si>
  <si>
    <t>entity:HQ_7.108_JANITORS_CLOSET</t>
  </si>
  <si>
    <t>entity:HQ_7.109_ELECTRICAL_CABINET</t>
  </si>
  <si>
    <t>entity:HQ_7.11_VESTIBULE</t>
  </si>
  <si>
    <t>CONSULTANTS_SPACE</t>
  </si>
  <si>
    <t>PRESIDENT_EXECOFFICE</t>
  </si>
  <si>
    <t>entity:HQ_7.203_PANTRY</t>
  </si>
  <si>
    <t>entity:HQ_7.206_PRESIDENT_EXECOFFICE</t>
  </si>
  <si>
    <t>entity:HQ_7.207_PRESIDENT_EXECOFFICE</t>
  </si>
  <si>
    <t>PRESIDENT_SUPPORT_SECRET</t>
  </si>
  <si>
    <t>PRESIDENT_EXECSECRET</t>
  </si>
  <si>
    <t>PRESIDENT_ENSUIT</t>
  </si>
  <si>
    <t>PRESIDENT_MEETING_ROOM</t>
  </si>
  <si>
    <t>VICE_CHAIRPERSON_ENSUIT</t>
  </si>
  <si>
    <t>VICE_CHAIRSECRETARY</t>
  </si>
  <si>
    <t>VICE_CHAIRPERSON_MEETING_ROOM</t>
  </si>
  <si>
    <t>entity:HQ_7.401_FEMALE_TOILET</t>
  </si>
  <si>
    <t>entity:HQ_7.402_MALE_TOILET</t>
  </si>
  <si>
    <t>entity:HQ_7.403_MALE_TOILET</t>
  </si>
  <si>
    <t>entity:HQ_7.404_FEMALE_TOILET</t>
  </si>
  <si>
    <t>entity:HQ_7.405_MALE_TOILET</t>
  </si>
  <si>
    <t>entity:HQ_7.406_FEMALE_TOILET</t>
  </si>
  <si>
    <t>entity:HQ_7.407_TOILET</t>
  </si>
  <si>
    <t>entity:HQ_7.408_TOILET</t>
  </si>
  <si>
    <t>entity:HQ_7.409_TOILET</t>
  </si>
  <si>
    <t>entity:HQ_7.511_VESTIBULE</t>
  </si>
  <si>
    <t>entity:HQ_7.532_ELECTRICAL_CLOSET</t>
  </si>
  <si>
    <t>entity:HQ_7.533_ELECTRICAL_CLOSET_2</t>
  </si>
  <si>
    <t>entity:HQ_7.541_VESTIBULE</t>
  </si>
  <si>
    <t>OBSERVATION_SPACE</t>
  </si>
  <si>
    <t>VISITORS_CENTER_OFFICE</t>
  </si>
  <si>
    <t>entity:HQ_8.101_PANTRY</t>
  </si>
  <si>
    <t>entity:HQ_8.102_MAINTENANCE_STORAGE</t>
  </si>
  <si>
    <t>MAINTENANCE_STORAGE</t>
  </si>
  <si>
    <t>entity:HQ_8.103_ELECTRICAL_CABINET</t>
  </si>
  <si>
    <t>entity:HQ_8.511_VESTIBULE</t>
  </si>
  <si>
    <t>entity:HQ_8.521_VESTIBULE</t>
  </si>
  <si>
    <t>entity:HQ_8.531_ELECTRICAL_CLOSET_1</t>
  </si>
  <si>
    <t>entity:HQ_8.532_ELECTRICAL_CLOSET_2</t>
  </si>
  <si>
    <t>entity:HQ_8.541_VESTIBULE</t>
  </si>
  <si>
    <t>entity:HQ_8.601_BRIDGE</t>
  </si>
  <si>
    <t>VISITORS_CENTER_CORRIDOR</t>
  </si>
  <si>
    <t>LEGAL_ARCHIVE</t>
  </si>
  <si>
    <t>LEGAL_CONSULE</t>
  </si>
  <si>
    <t>LEGAL_LEGAL_CONSULE</t>
  </si>
  <si>
    <t>LEGAL_LEGSUPSEC</t>
  </si>
  <si>
    <t>LEGAL_LEGADVENSUIT</t>
  </si>
  <si>
    <t>BMO_EXECASSIST</t>
  </si>
  <si>
    <t>BMO_EXECSECRET</t>
  </si>
  <si>
    <t>BMO_OPERDIRENSUIT</t>
  </si>
  <si>
    <t>BMO_SUPPSECRET</t>
  </si>
  <si>
    <t>BMO_PRINT_COPY</t>
  </si>
  <si>
    <t>BMO_STORAGE</t>
  </si>
  <si>
    <t>HR_EDUADVADVISOR_ENSUIT</t>
  </si>
  <si>
    <t>BOD_EXECUTIVE</t>
  </si>
  <si>
    <t>BOD_SECRETARY</t>
  </si>
  <si>
    <t>BMO_SAFE_ROOM</t>
  </si>
  <si>
    <t>BMO_ARCHIVE_ROOM</t>
  </si>
  <si>
    <t>VISITORS_CENTER</t>
  </si>
  <si>
    <t>entity:HQ_9.102_BMO_STORAGE_TEA_GIRLS_ROOM</t>
  </si>
  <si>
    <t>BMO_STORAGE_TEA_GIRLS_ROOM</t>
  </si>
  <si>
    <t>entity:HQ_9.103_BMO_PANTRY</t>
  </si>
  <si>
    <t>BMO_PANTRY</t>
  </si>
  <si>
    <t>BMO_WAITING_AREA</t>
  </si>
  <si>
    <t>entity:HQ_9.106_STORAGE</t>
  </si>
  <si>
    <t>entity:HQ_9.107_JANITORS_CLOSET</t>
  </si>
  <si>
    <t>SUPPORT_SPACE_PREPKITCHEN</t>
  </si>
  <si>
    <t>AHU_ROOM</t>
  </si>
  <si>
    <t>SHEIKA_WING_DINING_AREA</t>
  </si>
  <si>
    <t>entity:HQ_9.112_STORAGE</t>
  </si>
  <si>
    <t>entity:HQ_9.114_SUPPORT_SPACE_WASTE_REFUGE</t>
  </si>
  <si>
    <t>SUPPORT_SPACE_WASTE_REFUGE</t>
  </si>
  <si>
    <t>entity:HQ_9.115_ELECTRICAL_CABINET</t>
  </si>
  <si>
    <t>entity:HQ_9.401_MALE_TOILET</t>
  </si>
  <si>
    <t>entity:HQ_9.402_FEMALE_TOILET</t>
  </si>
  <si>
    <t>entity:HQ_9.404_FEMALE_TOILET</t>
  </si>
  <si>
    <t>entity:HQ_9.405_TOILET</t>
  </si>
  <si>
    <t>entity:HQ_9.406_TOILET</t>
  </si>
  <si>
    <t>entity:HQ_9.407_TOILET</t>
  </si>
  <si>
    <t>entity:HQ_9.408_TOILET</t>
  </si>
  <si>
    <t>entity:HQ_9.409_TOILET</t>
  </si>
  <si>
    <t>entity:HQ_9.521_VESTIBULE</t>
  </si>
  <si>
    <t>entity:HQ_9.532_ELECTRICAL_CLOSET</t>
  </si>
  <si>
    <t>entity:HQ_9.533_ELECTRICAL_CLOSET_2</t>
  </si>
  <si>
    <t>entity:HQ_9.541_VESTIBULE</t>
  </si>
  <si>
    <t>ST-01</t>
  </si>
  <si>
    <t>ST-04</t>
  </si>
  <si>
    <t>entity:HQ_9.542_SUPPLY_AND_RETURN_AIR</t>
  </si>
  <si>
    <t>SUPPLY_AND_RETURN_AIR</t>
  </si>
  <si>
    <t>entity:HQ_9.543_RETURN-AIR</t>
  </si>
  <si>
    <t>RETURN-AIR</t>
  </si>
  <si>
    <t>entity:HQ_9.544_SUPPLY-AIR</t>
  </si>
  <si>
    <t>SUPPLY-AIR</t>
  </si>
  <si>
    <t>SHEIKHA_WING_STORAGE</t>
  </si>
  <si>
    <t>BOARD_ROOM_WAITING_AREA</t>
  </si>
  <si>
    <t>EXECDIRARCHCOORD</t>
  </si>
  <si>
    <t>SHEIKHA_WING_ARCHIVE</t>
  </si>
  <si>
    <t>EXECDIR_PROTASSIST</t>
  </si>
  <si>
    <t>PROTOCOL_DIR_SCHED_OFFICER</t>
  </si>
  <si>
    <t>PROTOCOL_DIR_CEREMOFF</t>
  </si>
  <si>
    <t>PROTOCOL_DIR_TR_&amp;_VIS_OFF</t>
  </si>
  <si>
    <t>PROTOCOL_DIRSCHED_OFFICER</t>
  </si>
  <si>
    <t>PLANNING_DIRPLANNING_ANALYST</t>
  </si>
  <si>
    <t>PLANNING_DIRSTRATPLANNER</t>
  </si>
  <si>
    <t>PLANNING_DIR_EXTCOORD</t>
  </si>
  <si>
    <t>POLICY_DIRSENPOLANALYST</t>
  </si>
  <si>
    <t>POLICY_DIR_SENRESEARCH_ANALYST</t>
  </si>
  <si>
    <t>POLICY_DIRRESANALYST</t>
  </si>
  <si>
    <t>SHSERVDIR_HR_OFFICER</t>
  </si>
  <si>
    <t>SHSERVDIRHR_ASSISTANT</t>
  </si>
  <si>
    <t>SHSERVDIRPROCURREPRESENT</t>
  </si>
  <si>
    <t>SHSERVDIRSERVICE_COORD</t>
  </si>
  <si>
    <t>SHSERVDIRGENSERVSUPERV</t>
  </si>
  <si>
    <t>SHSERVDIRFINANCCONTROL</t>
  </si>
  <si>
    <t>SHSERVDIRTR&amp;_GUSERV</t>
  </si>
  <si>
    <t>entity:HQ_10.03_PANTRY</t>
  </si>
  <si>
    <t>COMMUNICDIRCOMMDESIGNER</t>
  </si>
  <si>
    <t>COMMUNICDIRSPEECH_EDITOR</t>
  </si>
  <si>
    <t>COMMUNICDIR_TRANSLATOR</t>
  </si>
  <si>
    <t>COMMUNICDIRPUBCOMMCOORD</t>
  </si>
  <si>
    <t>SHSERVDIR_IT_SUPPORT_OFFICER</t>
  </si>
  <si>
    <t>SHSERVDIR_ACCOUNT</t>
  </si>
  <si>
    <t>SHSERVDIRSENACCOUNTANT</t>
  </si>
  <si>
    <t>SHEIKHA_WING_MULTIPURPOSE_ROOM</t>
  </si>
  <si>
    <t>entity:HQ_10.103_HH_WING_PANTRY</t>
  </si>
  <si>
    <t>HH_WING_PANTRY</t>
  </si>
  <si>
    <t>entity:HQ_10.104_HH_WING_STORAGE</t>
  </si>
  <si>
    <t>HH_WING_STORAGE</t>
  </si>
  <si>
    <t>entity:HQ_10.105_HH_WING_STORAGE</t>
  </si>
  <si>
    <t>entity:HQ_10.107_STORAGE</t>
  </si>
  <si>
    <t>entity:HQ_10.108_JANITORS_CLOSET</t>
  </si>
  <si>
    <t>BOARD_PREPROOM</t>
  </si>
  <si>
    <t>entity:HQ_10.11_SHEIKHA_WING_BOARD_ROOM</t>
  </si>
  <si>
    <t>SHEIKHA_WING_BOARD_ROOM</t>
  </si>
  <si>
    <t>AV_ROOM</t>
  </si>
  <si>
    <t>TRANSLATOR_ROOM</t>
  </si>
  <si>
    <t>entity:HQ_10.401_FEMALE_TOILET</t>
  </si>
  <si>
    <t>entity:HQ_10.402_MALE_TOILET</t>
  </si>
  <si>
    <t>entity:HQ_10.403_MALE_TOILET</t>
  </si>
  <si>
    <t>entity:HQ_10.404_FEMALE_TOILET</t>
  </si>
  <si>
    <t>entity:HQ_10.405_MALE_TOILET</t>
  </si>
  <si>
    <t>entity:HQ_10.406_FEMALE_TOILET</t>
  </si>
  <si>
    <t>entity:HQ_10.511_VESTIBULE</t>
  </si>
  <si>
    <t>entity:HQ_10.521_VESTIBULE</t>
  </si>
  <si>
    <t>entity:HQ_10.532_ELECTRICAL_CLOSET_1</t>
  </si>
  <si>
    <t>entity:HQ_10.533_ELECTRICAL_CLOSET_2</t>
  </si>
  <si>
    <t>entity:HQ_10.541_VESTIBULE</t>
  </si>
  <si>
    <t>HH-WING_CORRIDOR</t>
  </si>
  <si>
    <t>entity:HQ_10.701_TERRACE</t>
  </si>
  <si>
    <t>entity:HQ_10.P-1_P-1</t>
  </si>
  <si>
    <t>10.P-1</t>
  </si>
  <si>
    <t>entity:HQ_10.P-2_P-2</t>
  </si>
  <si>
    <t>10.P-2</t>
  </si>
  <si>
    <t>entity:HQ_10.P-3_P-3</t>
  </si>
  <si>
    <t>10.P-3</t>
  </si>
  <si>
    <t>entity:HQ_10.P-4_P-4</t>
  </si>
  <si>
    <t>10.P-4</t>
  </si>
  <si>
    <t>entity:HQ_10.P-5_P-5</t>
  </si>
  <si>
    <t>10.P-5</t>
  </si>
  <si>
    <t>entity:HQ_10.P-6_P-6</t>
  </si>
  <si>
    <t>10.P-6</t>
  </si>
  <si>
    <t>entity:HQ_10.S-1_S-1</t>
  </si>
  <si>
    <t>10.S-1</t>
  </si>
  <si>
    <t>entity:HQ_10.ST-1_ST-1</t>
  </si>
  <si>
    <t>10.ST-1</t>
  </si>
  <si>
    <t>entity:HQ_10.ST-2_ST-2</t>
  </si>
  <si>
    <t>10.ST-2</t>
  </si>
  <si>
    <t>entity:HQ_10.ST-3_ST-3</t>
  </si>
  <si>
    <t>10.ST-3</t>
  </si>
  <si>
    <t>entity:HQ_10.ST-4_ST-4</t>
  </si>
  <si>
    <t>10.ST-4</t>
  </si>
  <si>
    <t>COMMUNICDIR_COMMUNICATION_DIRECTOR</t>
  </si>
  <si>
    <t>COMMUNICDIRMEDRELOFFICER</t>
  </si>
  <si>
    <t>SHSERVDIR_DIRSHARED_SERVICES</t>
  </si>
  <si>
    <t>EXECDIRECTOR_ADMASSIST</t>
  </si>
  <si>
    <t>PROTOCOL_DIRPROTOCOL_DIRECTOR</t>
  </si>
  <si>
    <t>PROTOCOL_DIRGIFTS_DIRECTOR</t>
  </si>
  <si>
    <t>EXECDIRCONSULTANT</t>
  </si>
  <si>
    <t>SECRETARY</t>
  </si>
  <si>
    <t>POLICY_DIRDIROF_POL&amp;_RES</t>
  </si>
  <si>
    <t>PLANNING_DIRDIRPLANNING</t>
  </si>
  <si>
    <t>EXECDIRCORRF-UP</t>
  </si>
  <si>
    <t>EXECDIRCORRMANAGER</t>
  </si>
  <si>
    <t>EXECDIRLEGAL_ASSIST</t>
  </si>
  <si>
    <t>EXECDIRLEGAL_ADVISOR</t>
  </si>
  <si>
    <t>EXECDIREXECASSIST</t>
  </si>
  <si>
    <t>EXECDIR_DEPEXECDIRECTOR</t>
  </si>
  <si>
    <t>EXECDIREXECDIRECTOR</t>
  </si>
  <si>
    <t>SHEIKHA_WING_WAITING_ROOM</t>
  </si>
  <si>
    <t>SHEIKHA_WING_SECURITY_ROOM</t>
  </si>
  <si>
    <t>entity:HQ_11.101_AV_ROOM</t>
  </si>
  <si>
    <t>HH_WING_BUSINESS_LOUNGE</t>
  </si>
  <si>
    <t>entity:HQ_11.104_PANTRY</t>
  </si>
  <si>
    <t>entity:HQ_11.105_JANITORS_CLOSET</t>
  </si>
  <si>
    <t>ELECTRICAL_ROOM</t>
  </si>
  <si>
    <t>AV_IT</t>
  </si>
  <si>
    <t>SHEIKHA_WING_LOBBY</t>
  </si>
  <si>
    <t>SHEIKHA_WING_SHEIKHA_ENSUIT</t>
  </si>
  <si>
    <t>SHEIKHA_WING_RELAX_AREA</t>
  </si>
  <si>
    <t>SHEIKHA_WING_MEETING_ROOM</t>
  </si>
  <si>
    <t>entity:HQ_11.401_MALE_TOILET</t>
  </si>
  <si>
    <t>entity:HQ_11.402_FEMALE_TOILET</t>
  </si>
  <si>
    <t>entity:HQ_11.403_SHEIKHA_WING_BATHROOM</t>
  </si>
  <si>
    <t>SHEIKHA_WING_BATHROOM</t>
  </si>
  <si>
    <t>entity:HQ_11.404_TOILET</t>
  </si>
  <si>
    <t>entity:HQ_11.405_TOILET</t>
  </si>
  <si>
    <t>entity:HQ_11.406_TOILET</t>
  </si>
  <si>
    <t>entity:HQ_11.407_TOILET</t>
  </si>
  <si>
    <t>entity:HQ_11.408_TOILET</t>
  </si>
  <si>
    <t>entity:HQ_11.409_TOILET</t>
  </si>
  <si>
    <t>entity:HQ_11.41_TOILET</t>
  </si>
  <si>
    <t>entity:HQ_11.411_TOILET</t>
  </si>
  <si>
    <t>entity:HQ_11.412_TOILET</t>
  </si>
  <si>
    <t>entity:HQ_11.511_VESTIBULE</t>
  </si>
  <si>
    <t>entity:HQ_11.521_VESTIBULE</t>
  </si>
  <si>
    <t>entity:HQ_11.532_ELECTRICAL_CLOSET</t>
  </si>
  <si>
    <t>entity:HQ_11.533_ELECTRICAL_CLOSET_2</t>
  </si>
  <si>
    <t>entity:HQ_11.541_VESTIBULE</t>
  </si>
  <si>
    <t>entity:HQ_11.701_SHEIKHA_WING_TERRACE</t>
  </si>
  <si>
    <t>SHEIKHA_WING_TERRACE</t>
  </si>
  <si>
    <t>entity:HQ_11.702_TERRACE</t>
  </si>
  <si>
    <t>entity:HQ_11.709_SHEIKHA_WING_CONFERENCE_ROOM</t>
  </si>
  <si>
    <t>SHEIKHA_WING_CONFERENCE_ROOM</t>
  </si>
  <si>
    <t>entity:HQ_11.P-1_P-1</t>
  </si>
  <si>
    <t>11.P-1</t>
  </si>
  <si>
    <t>entity:HQ_11.P-2_P-2</t>
  </si>
  <si>
    <t>11.P-2</t>
  </si>
  <si>
    <t>entity:HQ_11.P-3_P-3</t>
  </si>
  <si>
    <t>11.P-3</t>
  </si>
  <si>
    <t>entity:HQ_11.P-4_P-4</t>
  </si>
  <si>
    <t>11.P-4</t>
  </si>
  <si>
    <t>entity:HQ_11.P-5_P-5</t>
  </si>
  <si>
    <t>11.P-5</t>
  </si>
  <si>
    <t>entity:HQ_11.P-6_P-6</t>
  </si>
  <si>
    <t>11.P-6</t>
  </si>
  <si>
    <t>entity:HQ_11.ST-2_ST-2</t>
  </si>
  <si>
    <t>11.ST-2</t>
  </si>
  <si>
    <t>entity:HQ_11.ST-3_ST-3</t>
  </si>
  <si>
    <t>11.ST-3</t>
  </si>
  <si>
    <t>entity:HQ_11.ST-4_ST-4</t>
  </si>
  <si>
    <t>11.ST-4</t>
  </si>
  <si>
    <t>ROOF</t>
  </si>
  <si>
    <t>MCC_CLOSET</t>
  </si>
  <si>
    <t>STAFF_ENTRANCE</t>
  </si>
  <si>
    <t>G.001</t>
  </si>
  <si>
    <t>G.030</t>
  </si>
  <si>
    <t>STAFF</t>
  </si>
  <si>
    <t>G.602</t>
  </si>
  <si>
    <t>CORRIDOR_(SOUTH_EAST)</t>
  </si>
  <si>
    <t>G.603</t>
  </si>
  <si>
    <t>GROUND_FLOOR_VIP_ENTRANCE</t>
  </si>
  <si>
    <t>2.110A</t>
  </si>
  <si>
    <t>OFFICE_SPACE</t>
  </si>
  <si>
    <t>2.101A</t>
  </si>
  <si>
    <t>3.105B</t>
  </si>
  <si>
    <t>3.105A</t>
  </si>
  <si>
    <t>FEMALE_PRAYER_ROOM</t>
  </si>
  <si>
    <t>3.202A</t>
  </si>
  <si>
    <t>3.202B</t>
  </si>
  <si>
    <t>STR_PL_DIR_ENSUIT</t>
  </si>
  <si>
    <t>STR_PL_DIR_EXEC_SECRE</t>
  </si>
  <si>
    <t>7.031A</t>
  </si>
  <si>
    <t>10.002E</t>
  </si>
  <si>
    <t>10.002D</t>
  </si>
  <si>
    <t>10.002C</t>
  </si>
  <si>
    <t>10.002A</t>
  </si>
  <si>
    <t>SHEIKHA_WING_BUSINESS_LOUNGE</t>
  </si>
  <si>
    <t>B1.109</t>
  </si>
  <si>
    <t>ROOM</t>
  </si>
  <si>
    <t>10.002B</t>
  </si>
  <si>
    <t>SHEIKHA_WING_CORRIDOR</t>
  </si>
  <si>
    <t>COMMUNIC_DIR_COMMUNICATION_DIRECTOR</t>
  </si>
  <si>
    <t>ROOF_PLANT_WALKWAY</t>
  </si>
  <si>
    <t>Equipment Match Audit</t>
  </si>
  <si>
    <t>Rooms listed (col A)</t>
  </si>
  <si>
    <t>Equipment names returned</t>
  </si>
  <si>
    <t>Rooms with no equipment</t>
  </si>
  <si>
    <t>Equipment in source register</t>
  </si>
  <si>
    <t>Asked me to read and explain the column D formula on 'HQ Room Names with Equip.' and confirm whether 771 equipment names are returned (cells not equal to 'No Equipment in entity').</t>
  </si>
  <si>
    <t>Explained the spilling FILTER/TRANSPOSE formula, then counted equipment names across the full spill region D2:L1042 and reconciled against the source register A4:A777. Added a live audit block at N1:O6.</t>
  </si>
  <si>
    <t>Key point: the formula TRANSPOSE(FILTER('Controllable Asset Registry'!A4:A777, E4:E777=A2, "No Equipment in entity")) spills HORIZONTALLY, so a room with multiple assets fills D, E, F ... up to column L. Counting column D alone undercounts. Audit formulas used: O3 =COUNTA(D2:L1042)-COUNTIF(D2:L1042,"No Equipment in entity"); O4 =COUNTIF(...); O5 =COUNTA(source); O6 =O5-O3. Also checked for duplicate returns (0) and error cells (0).</t>
  </si>
  <si>
    <t>Count is 772, not 771. 1041 rooms, 434 with no equipment, 774 equipment rows in source, 2 unplaced: FCU0097 (row 126, col D says NOT FOUND ON THE DRAWING OR SCHEDULE) and VAV0558 (row 718) - both have a blank column E room entity so they can never match. Open item: user to decide whether to assign room entities to those 2 assets.</t>
  </si>
  <si>
    <t>Acknowledged the equipment count findings - no further work requested.</t>
  </si>
  <si>
    <t>No changes made to the workbook.</t>
  </si>
  <si>
    <t>Confirmed count stands at 772 equipment names returned (not 771), with 2 unplaced assets due to blank room entities.</t>
  </si>
  <si>
    <t>Closed. Open item carried forward from turn 47: FCU0097 (row 126) and VAV0558 (row 718) still have no room entity in Controllable Asset Registry column E and remain unmatched.</t>
  </si>
  <si>
    <t>1.001</t>
  </si>
  <si>
    <t>1.002</t>
  </si>
  <si>
    <t>1.003</t>
  </si>
  <si>
    <t>1.004</t>
  </si>
  <si>
    <t>1.005</t>
  </si>
  <si>
    <t>1.006</t>
  </si>
  <si>
    <t>1.007</t>
  </si>
  <si>
    <t>1.009</t>
  </si>
  <si>
    <t>1.011</t>
  </si>
  <si>
    <t>1.012</t>
  </si>
  <si>
    <t>1.013</t>
  </si>
  <si>
    <t>1.014</t>
  </si>
  <si>
    <t>1.015</t>
  </si>
  <si>
    <t>1.016</t>
  </si>
  <si>
    <t>1.017</t>
  </si>
  <si>
    <t>1.018</t>
  </si>
  <si>
    <t>1.019</t>
  </si>
  <si>
    <t>1.02</t>
  </si>
  <si>
    <t>1.021</t>
  </si>
  <si>
    <t>1.022</t>
  </si>
  <si>
    <t>1.023</t>
  </si>
  <si>
    <t>1.024</t>
  </si>
  <si>
    <t>1.025</t>
  </si>
  <si>
    <t>1.026</t>
  </si>
  <si>
    <t>1.027</t>
  </si>
  <si>
    <t>1.028</t>
  </si>
  <si>
    <t>1.101</t>
  </si>
  <si>
    <t>1.102</t>
  </si>
  <si>
    <t>1.103</t>
  </si>
  <si>
    <t>1.104</t>
  </si>
  <si>
    <t>1.105</t>
  </si>
  <si>
    <t>1.106</t>
  </si>
  <si>
    <t>1.108</t>
  </si>
  <si>
    <t>1.109</t>
  </si>
  <si>
    <t>1.11</t>
  </si>
  <si>
    <t>1.111</t>
  </si>
  <si>
    <t>1.112</t>
  </si>
  <si>
    <t>1.113</t>
  </si>
  <si>
    <t>1.114</t>
  </si>
  <si>
    <t>1.115</t>
  </si>
  <si>
    <t>1.116</t>
  </si>
  <si>
    <t>1.117</t>
  </si>
  <si>
    <t>1.403</t>
  </si>
  <si>
    <t>1.404</t>
  </si>
  <si>
    <t>1.405</t>
  </si>
  <si>
    <t>1.512</t>
  </si>
  <si>
    <t>1.521</t>
  </si>
  <si>
    <t>1.531</t>
  </si>
  <si>
    <t>1.532</t>
  </si>
  <si>
    <t>1.533</t>
  </si>
  <si>
    <t>1.541</t>
  </si>
  <si>
    <t>1.601</t>
  </si>
  <si>
    <t>1.602</t>
  </si>
  <si>
    <t>1.603</t>
  </si>
  <si>
    <t>1.701</t>
  </si>
  <si>
    <t>1.702</t>
  </si>
  <si>
    <t>1.703</t>
  </si>
  <si>
    <t>1.704</t>
  </si>
  <si>
    <t>1.705</t>
  </si>
  <si>
    <t>1.706</t>
  </si>
  <si>
    <t>2.001</t>
  </si>
  <si>
    <t>2.002</t>
  </si>
  <si>
    <t>2.003</t>
  </si>
  <si>
    <t>2.004</t>
  </si>
  <si>
    <t>2.005</t>
  </si>
  <si>
    <t>2.006</t>
  </si>
  <si>
    <t>2.007</t>
  </si>
  <si>
    <t>2.008</t>
  </si>
  <si>
    <t>2.009</t>
  </si>
  <si>
    <t>2.01</t>
  </si>
  <si>
    <t>2.011</t>
  </si>
  <si>
    <t>2.012</t>
  </si>
  <si>
    <t>2.013</t>
  </si>
  <si>
    <t>2.014</t>
  </si>
  <si>
    <t>2.015</t>
  </si>
  <si>
    <t>2.016</t>
  </si>
  <si>
    <t>2.017</t>
  </si>
  <si>
    <t>2.018</t>
  </si>
  <si>
    <t>2.019</t>
  </si>
  <si>
    <t>2.02</t>
  </si>
  <si>
    <t>2.021</t>
  </si>
  <si>
    <t>2.022</t>
  </si>
  <si>
    <t>2.023</t>
  </si>
  <si>
    <t>2.024</t>
  </si>
  <si>
    <t>2.025</t>
  </si>
  <si>
    <t>2.026</t>
  </si>
  <si>
    <t>2.027</t>
  </si>
  <si>
    <t>2.028</t>
  </si>
  <si>
    <t>2.029</t>
  </si>
  <si>
    <t>2.03</t>
  </si>
  <si>
    <t>2.031</t>
  </si>
  <si>
    <t>2.032</t>
  </si>
  <si>
    <t>2.033</t>
  </si>
  <si>
    <t>2.034</t>
  </si>
  <si>
    <t>2.035</t>
  </si>
  <si>
    <t>2.036</t>
  </si>
  <si>
    <t>2.102</t>
  </si>
  <si>
    <t>2.103</t>
  </si>
  <si>
    <t>2.104</t>
  </si>
  <si>
    <t>2.105</t>
  </si>
  <si>
    <t>2.106</t>
  </si>
  <si>
    <t>2.107</t>
  </si>
  <si>
    <t>2.108</t>
  </si>
  <si>
    <t>2.109</t>
  </si>
  <si>
    <t>2.11</t>
  </si>
  <si>
    <t>2.111</t>
  </si>
  <si>
    <t>2.201</t>
  </si>
  <si>
    <t>2.202</t>
  </si>
  <si>
    <t>2.203</t>
  </si>
  <si>
    <t>2.204</t>
  </si>
  <si>
    <t>2.205</t>
  </si>
  <si>
    <t>2.206</t>
  </si>
  <si>
    <t>2.207</t>
  </si>
  <si>
    <t>2.208</t>
  </si>
  <si>
    <t>2.209</t>
  </si>
  <si>
    <t>2.21</t>
  </si>
  <si>
    <t>2.211</t>
  </si>
  <si>
    <t>2.212</t>
  </si>
  <si>
    <t>2.213</t>
  </si>
  <si>
    <t>2.214</t>
  </si>
  <si>
    <t>2.215</t>
  </si>
  <si>
    <t>2.216</t>
  </si>
  <si>
    <t>2.217</t>
  </si>
  <si>
    <t>2.218</t>
  </si>
  <si>
    <t>2.219</t>
  </si>
  <si>
    <t>2.22</t>
  </si>
  <si>
    <t>2.301</t>
  </si>
  <si>
    <t>2.302</t>
  </si>
  <si>
    <t>2.303</t>
  </si>
  <si>
    <t>2.304</t>
  </si>
  <si>
    <t>2.305</t>
  </si>
  <si>
    <t>2.306</t>
  </si>
  <si>
    <t>2.307</t>
  </si>
  <si>
    <t>2.308</t>
  </si>
  <si>
    <t>2.309</t>
  </si>
  <si>
    <t>2.31</t>
  </si>
  <si>
    <t>2.311</t>
  </si>
  <si>
    <t>2.312</t>
  </si>
  <si>
    <t>2.313</t>
  </si>
  <si>
    <t>2.314</t>
  </si>
  <si>
    <t>2.315</t>
  </si>
  <si>
    <t>2.316</t>
  </si>
  <si>
    <t>2.317</t>
  </si>
  <si>
    <t>2.318</t>
  </si>
  <si>
    <t>2.401</t>
  </si>
  <si>
    <t>2.402</t>
  </si>
  <si>
    <t>2.403</t>
  </si>
  <si>
    <t>2.404</t>
  </si>
  <si>
    <t>2.405</t>
  </si>
  <si>
    <t>2.406</t>
  </si>
  <si>
    <t>2.407</t>
  </si>
  <si>
    <t>2.512</t>
  </si>
  <si>
    <t>2.521</t>
  </si>
  <si>
    <t>2.531</t>
  </si>
  <si>
    <t>2.532</t>
  </si>
  <si>
    <t>2.533</t>
  </si>
  <si>
    <t>2.541</t>
  </si>
  <si>
    <t>2.601</t>
  </si>
  <si>
    <t>2.602</t>
  </si>
  <si>
    <t>2.603</t>
  </si>
  <si>
    <t>2.604</t>
  </si>
  <si>
    <t>3.001</t>
  </si>
  <si>
    <t>3.002</t>
  </si>
  <si>
    <t>3.003</t>
  </si>
  <si>
    <t>3.004</t>
  </si>
  <si>
    <t>3.005</t>
  </si>
  <si>
    <t>3.006</t>
  </si>
  <si>
    <t>3.007</t>
  </si>
  <si>
    <t>3.008</t>
  </si>
  <si>
    <t>3.009</t>
  </si>
  <si>
    <t>3.01</t>
  </si>
  <si>
    <t>3.011</t>
  </si>
  <si>
    <t>3.012</t>
  </si>
  <si>
    <t>3.013</t>
  </si>
  <si>
    <t>3.014</t>
  </si>
  <si>
    <t>3.015</t>
  </si>
  <si>
    <t>3.016</t>
  </si>
  <si>
    <t>3.017</t>
  </si>
  <si>
    <t>3.018</t>
  </si>
  <si>
    <t>3.019</t>
  </si>
  <si>
    <t>3.02</t>
  </si>
  <si>
    <t>3.021</t>
  </si>
  <si>
    <t>3.022</t>
  </si>
  <si>
    <t>3.023</t>
  </si>
  <si>
    <t>3.024</t>
  </si>
  <si>
    <t>3.025</t>
  </si>
  <si>
    <t>3.026</t>
  </si>
  <si>
    <t>3.027</t>
  </si>
  <si>
    <t>3.028</t>
  </si>
  <si>
    <t>3.029</t>
  </si>
  <si>
    <t>3.03</t>
  </si>
  <si>
    <t>3.031</t>
  </si>
  <si>
    <t>3.032</t>
  </si>
  <si>
    <t>3.033</t>
  </si>
  <si>
    <t>3.101</t>
  </si>
  <si>
    <t>3.102</t>
  </si>
  <si>
    <t>3.103</t>
  </si>
  <si>
    <t>3.104</t>
  </si>
  <si>
    <t>3.106</t>
  </si>
  <si>
    <t>3.107</t>
  </si>
  <si>
    <t>3.108</t>
  </si>
  <si>
    <t>3.109</t>
  </si>
  <si>
    <t>3.201</t>
  </si>
  <si>
    <t>3.203</t>
  </si>
  <si>
    <t>3.204</t>
  </si>
  <si>
    <t>3.205</t>
  </si>
  <si>
    <t>3.206</t>
  </si>
  <si>
    <t>3.207</t>
  </si>
  <si>
    <t>3.208</t>
  </si>
  <si>
    <t>3.209</t>
  </si>
  <si>
    <t>3.21</t>
  </si>
  <si>
    <t>3.211</t>
  </si>
  <si>
    <t>3.212</t>
  </si>
  <si>
    <t>3.213</t>
  </si>
  <si>
    <t>3.214</t>
  </si>
  <si>
    <t>3.215</t>
  </si>
  <si>
    <t>3.216</t>
  </si>
  <si>
    <t>3.301</t>
  </si>
  <si>
    <t>3.302</t>
  </si>
  <si>
    <t>3.401</t>
  </si>
  <si>
    <t>3.402</t>
  </si>
  <si>
    <t>3.403</t>
  </si>
  <si>
    <t>3.404</t>
  </si>
  <si>
    <t>3.405</t>
  </si>
  <si>
    <t>3.406</t>
  </si>
  <si>
    <t>3.407</t>
  </si>
  <si>
    <t>3.408</t>
  </si>
  <si>
    <t>3.409</t>
  </si>
  <si>
    <t>3.511</t>
  </si>
  <si>
    <t>3.512</t>
  </si>
  <si>
    <t>3.521</t>
  </si>
  <si>
    <t>3.531</t>
  </si>
  <si>
    <t>3.532</t>
  </si>
  <si>
    <t>3.533</t>
  </si>
  <si>
    <t>3.541</t>
  </si>
  <si>
    <t>3.601</t>
  </si>
  <si>
    <t>3.602</t>
  </si>
  <si>
    <t>3.603</t>
  </si>
  <si>
    <t>4.002</t>
  </si>
  <si>
    <t>4.005</t>
  </si>
  <si>
    <t>4.006</t>
  </si>
  <si>
    <t>4.007</t>
  </si>
  <si>
    <t>4.008</t>
  </si>
  <si>
    <t>4.009</t>
  </si>
  <si>
    <t>4.01</t>
  </si>
  <si>
    <t>4.011</t>
  </si>
  <si>
    <t>4.012</t>
  </si>
  <si>
    <t>4.013</t>
  </si>
  <si>
    <t>4.014</t>
  </si>
  <si>
    <t>4.101</t>
  </si>
  <si>
    <t>4.102</t>
  </si>
  <si>
    <t>4.104</t>
  </si>
  <si>
    <t>4.107</t>
  </si>
  <si>
    <t>4.108</t>
  </si>
  <si>
    <t>4.109</t>
  </si>
  <si>
    <t>4.201</t>
  </si>
  <si>
    <t>4.202</t>
  </si>
  <si>
    <t>4.203</t>
  </si>
  <si>
    <t>4.204</t>
  </si>
  <si>
    <t>4.205</t>
  </si>
  <si>
    <t>4.206</t>
  </si>
  <si>
    <t>4.207</t>
  </si>
  <si>
    <t>4.208</t>
  </si>
  <si>
    <t>4.209</t>
  </si>
  <si>
    <t>4.21</t>
  </si>
  <si>
    <t>4.211</t>
  </si>
  <si>
    <t>4.212</t>
  </si>
  <si>
    <t>4.213</t>
  </si>
  <si>
    <t>4.214</t>
  </si>
  <si>
    <t>4.301</t>
  </si>
  <si>
    <t>4.401</t>
  </si>
  <si>
    <t>4.402</t>
  </si>
  <si>
    <t>4.403</t>
  </si>
  <si>
    <t>4.404</t>
  </si>
  <si>
    <t>4.405</t>
  </si>
  <si>
    <t>4.406</t>
  </si>
  <si>
    <t>4.511</t>
  </si>
  <si>
    <t>4.512</t>
  </si>
  <si>
    <t>4.514</t>
  </si>
  <si>
    <t>4.521</t>
  </si>
  <si>
    <t>4.531</t>
  </si>
  <si>
    <t>4.532</t>
  </si>
  <si>
    <t>4.533</t>
  </si>
  <si>
    <t>4.601</t>
  </si>
  <si>
    <t>4.602</t>
  </si>
  <si>
    <t>4.603</t>
  </si>
  <si>
    <t>4.604</t>
  </si>
  <si>
    <t>4.701</t>
  </si>
  <si>
    <t>4.702</t>
  </si>
  <si>
    <t>4.703</t>
  </si>
  <si>
    <t>5.001</t>
  </si>
  <si>
    <t>5.002</t>
  </si>
  <si>
    <t>5.003</t>
  </si>
  <si>
    <t>5.004</t>
  </si>
  <si>
    <t>5.005</t>
  </si>
  <si>
    <t>5.006</t>
  </si>
  <si>
    <t>5.007</t>
  </si>
  <si>
    <t>5.008</t>
  </si>
  <si>
    <t>5.011</t>
  </si>
  <si>
    <t>5.012</t>
  </si>
  <si>
    <t>5.013</t>
  </si>
  <si>
    <t>5.014</t>
  </si>
  <si>
    <t>5.015</t>
  </si>
  <si>
    <t>5.016</t>
  </si>
  <si>
    <t>5.017</t>
  </si>
  <si>
    <t>5.018</t>
  </si>
  <si>
    <t>5.019</t>
  </si>
  <si>
    <t>5.021</t>
  </si>
  <si>
    <t>5.022</t>
  </si>
  <si>
    <t>5.023</t>
  </si>
  <si>
    <t>5.024</t>
  </si>
  <si>
    <t>5.025</t>
  </si>
  <si>
    <t>5.026</t>
  </si>
  <si>
    <t>5.027</t>
  </si>
  <si>
    <t>5.101</t>
  </si>
  <si>
    <t>5.102</t>
  </si>
  <si>
    <t>5.103</t>
  </si>
  <si>
    <t>5.104</t>
  </si>
  <si>
    <t>5.105</t>
  </si>
  <si>
    <t>5.106</t>
  </si>
  <si>
    <t>5.107</t>
  </si>
  <si>
    <t>5.108</t>
  </si>
  <si>
    <t>5.109</t>
  </si>
  <si>
    <t>5.201</t>
  </si>
  <si>
    <t>5.202</t>
  </si>
  <si>
    <t>5.203</t>
  </si>
  <si>
    <t>5.204</t>
  </si>
  <si>
    <t>5.205</t>
  </si>
  <si>
    <t>5.206</t>
  </si>
  <si>
    <t>5.207</t>
  </si>
  <si>
    <t>5.208</t>
  </si>
  <si>
    <t>5.209</t>
  </si>
  <si>
    <t>5.211</t>
  </si>
  <si>
    <t>5.212</t>
  </si>
  <si>
    <t>5.213</t>
  </si>
  <si>
    <t>5.301</t>
  </si>
  <si>
    <t>5.401</t>
  </si>
  <si>
    <t>5.402</t>
  </si>
  <si>
    <t>5.403</t>
  </si>
  <si>
    <t>5.404</t>
  </si>
  <si>
    <t>5.405</t>
  </si>
  <si>
    <t>5.406</t>
  </si>
  <si>
    <t>5.407</t>
  </si>
  <si>
    <t>5.408</t>
  </si>
  <si>
    <t>5.409</t>
  </si>
  <si>
    <t>5.511</t>
  </si>
  <si>
    <t>5.512</t>
  </si>
  <si>
    <t>5.521</t>
  </si>
  <si>
    <t>5.531</t>
  </si>
  <si>
    <t>5.532</t>
  </si>
  <si>
    <t>5.533</t>
  </si>
  <si>
    <t>5.541</t>
  </si>
  <si>
    <t>5.601</t>
  </si>
  <si>
    <t>5.602</t>
  </si>
  <si>
    <t>5.604</t>
  </si>
  <si>
    <t>5.701</t>
  </si>
  <si>
    <t>6.001</t>
  </si>
  <si>
    <t>6.002</t>
  </si>
  <si>
    <t>6.003</t>
  </si>
  <si>
    <t>6.004</t>
  </si>
  <si>
    <t>6.005</t>
  </si>
  <si>
    <t>6.006</t>
  </si>
  <si>
    <t>6.007</t>
  </si>
  <si>
    <t>6.008</t>
  </si>
  <si>
    <t>6.009</t>
  </si>
  <si>
    <t>6.01</t>
  </si>
  <si>
    <t>6.011</t>
  </si>
  <si>
    <t>6.012</t>
  </si>
  <si>
    <t>6.013</t>
  </si>
  <si>
    <t>6.014</t>
  </si>
  <si>
    <t>6.015</t>
  </si>
  <si>
    <t>6.016</t>
  </si>
  <si>
    <t>6.017</t>
  </si>
  <si>
    <t>6.018</t>
  </si>
  <si>
    <t>6.019</t>
  </si>
  <si>
    <t>6.02</t>
  </si>
  <si>
    <t>6.021</t>
  </si>
  <si>
    <t>6.022</t>
  </si>
  <si>
    <t>6.023</t>
  </si>
  <si>
    <t>6.024</t>
  </si>
  <si>
    <t>6.025</t>
  </si>
  <si>
    <t>6.026</t>
  </si>
  <si>
    <t>6.027</t>
  </si>
  <si>
    <t>6.028</t>
  </si>
  <si>
    <t>6.101</t>
  </si>
  <si>
    <t>6.102</t>
  </si>
  <si>
    <t>6.103</t>
  </si>
  <si>
    <t>6.104</t>
  </si>
  <si>
    <t>6.105</t>
  </si>
  <si>
    <t>6.106</t>
  </si>
  <si>
    <t>6.107</t>
  </si>
  <si>
    <t>6.108</t>
  </si>
  <si>
    <t>6.109</t>
  </si>
  <si>
    <t>6.11</t>
  </si>
  <si>
    <t>6.201</t>
  </si>
  <si>
    <t>6.202</t>
  </si>
  <si>
    <t>6.203</t>
  </si>
  <si>
    <t>6.204</t>
  </si>
  <si>
    <t>6.205</t>
  </si>
  <si>
    <t>6.206</t>
  </si>
  <si>
    <t>6.207</t>
  </si>
  <si>
    <t>6.208</t>
  </si>
  <si>
    <t>6.209</t>
  </si>
  <si>
    <t>6.21</t>
  </si>
  <si>
    <t>6.211</t>
  </si>
  <si>
    <t>6.212</t>
  </si>
  <si>
    <t>6.301</t>
  </si>
  <si>
    <t>6.401</t>
  </si>
  <si>
    <t>6.402</t>
  </si>
  <si>
    <t>6.403</t>
  </si>
  <si>
    <t>6.404</t>
  </si>
  <si>
    <t>6.405</t>
  </si>
  <si>
    <t>6.406</t>
  </si>
  <si>
    <t>6.407</t>
  </si>
  <si>
    <t>6.511</t>
  </si>
  <si>
    <t>6.512</t>
  </si>
  <si>
    <t>6.521</t>
  </si>
  <si>
    <t>6.531</t>
  </si>
  <si>
    <t>6.532</t>
  </si>
  <si>
    <t>6.533</t>
  </si>
  <si>
    <t>6.541</t>
  </si>
  <si>
    <t>6.601</t>
  </si>
  <si>
    <t>6.602</t>
  </si>
  <si>
    <t>6.603</t>
  </si>
  <si>
    <t>6.604</t>
  </si>
  <si>
    <t>7.001</t>
  </si>
  <si>
    <t>7.002</t>
  </si>
  <si>
    <t>7.003</t>
  </si>
  <si>
    <t>7.004</t>
  </si>
  <si>
    <t>7.005</t>
  </si>
  <si>
    <t>7.006</t>
  </si>
  <si>
    <t>7.007</t>
  </si>
  <si>
    <t>7.008</t>
  </si>
  <si>
    <t>7.009</t>
  </si>
  <si>
    <t>7.01</t>
  </si>
  <si>
    <t>7.011</t>
  </si>
  <si>
    <t>7.012</t>
  </si>
  <si>
    <t>7.013</t>
  </si>
  <si>
    <t>7.014</t>
  </si>
  <si>
    <t>7.015</t>
  </si>
  <si>
    <t>7.016</t>
  </si>
  <si>
    <t>7.017</t>
  </si>
  <si>
    <t>7.018</t>
  </si>
  <si>
    <t>7.019</t>
  </si>
  <si>
    <t>7.02</t>
  </si>
  <si>
    <t>7.021</t>
  </si>
  <si>
    <t>7.022</t>
  </si>
  <si>
    <t>7.023</t>
  </si>
  <si>
    <t>7.024</t>
  </si>
  <si>
    <t>7.025</t>
  </si>
  <si>
    <t>7.026</t>
  </si>
  <si>
    <t>7.027</t>
  </si>
  <si>
    <t>7.028</t>
  </si>
  <si>
    <t>7.029</t>
  </si>
  <si>
    <t>7.03</t>
  </si>
  <si>
    <t>7.032</t>
  </si>
  <si>
    <t>7.101</t>
  </si>
  <si>
    <t>7.102</t>
  </si>
  <si>
    <t>7.103</t>
  </si>
  <si>
    <t>7.104</t>
  </si>
  <si>
    <t>7.105</t>
  </si>
  <si>
    <t>7.106</t>
  </si>
  <si>
    <t>7.107</t>
  </si>
  <si>
    <t>7.108</t>
  </si>
  <si>
    <t>7.109</t>
  </si>
  <si>
    <t>7.11</t>
  </si>
  <si>
    <t>7.201</t>
  </si>
  <si>
    <t>7.202</t>
  </si>
  <si>
    <t>7.203</t>
  </si>
  <si>
    <t>7.204</t>
  </si>
  <si>
    <t>7.205</t>
  </si>
  <si>
    <t>7.206</t>
  </si>
  <si>
    <t>7.207</t>
  </si>
  <si>
    <t>7.208</t>
  </si>
  <si>
    <t>7.209</t>
  </si>
  <si>
    <t>7.21</t>
  </si>
  <si>
    <t>7.211</t>
  </si>
  <si>
    <t>7.212</t>
  </si>
  <si>
    <t>7.213</t>
  </si>
  <si>
    <t>7.214</t>
  </si>
  <si>
    <t>7.215</t>
  </si>
  <si>
    <t>7.401</t>
  </si>
  <si>
    <t>7.402</t>
  </si>
  <si>
    <t>7.403</t>
  </si>
  <si>
    <t>7.404</t>
  </si>
  <si>
    <t>7.405</t>
  </si>
  <si>
    <t>7.406</t>
  </si>
  <si>
    <t>7.407</t>
  </si>
  <si>
    <t>7.408</t>
  </si>
  <si>
    <t>7.409</t>
  </si>
  <si>
    <t>7.511</t>
  </si>
  <si>
    <t>7.512</t>
  </si>
  <si>
    <t>7.531</t>
  </si>
  <si>
    <t>7.532</t>
  </si>
  <si>
    <t>7.533</t>
  </si>
  <si>
    <t>7.541</t>
  </si>
  <si>
    <t>7.601</t>
  </si>
  <si>
    <t>7.602</t>
  </si>
  <si>
    <t>7.603</t>
  </si>
  <si>
    <t>8.001</t>
  </si>
  <si>
    <t>8.002</t>
  </si>
  <si>
    <t>8.101</t>
  </si>
  <si>
    <t>8.102</t>
  </si>
  <si>
    <t>8.103</t>
  </si>
  <si>
    <t>8.511</t>
  </si>
  <si>
    <t>8.512</t>
  </si>
  <si>
    <t>8.521</t>
  </si>
  <si>
    <t>8.531</t>
  </si>
  <si>
    <t>8.532</t>
  </si>
  <si>
    <t>8.541</t>
  </si>
  <si>
    <t>8.601</t>
  </si>
  <si>
    <t>8.602</t>
  </si>
  <si>
    <t>9.001</t>
  </si>
  <si>
    <t>9.002</t>
  </si>
  <si>
    <t>9.003</t>
  </si>
  <si>
    <t>9.004</t>
  </si>
  <si>
    <t>9.005</t>
  </si>
  <si>
    <t>9.006</t>
  </si>
  <si>
    <t>9.007</t>
  </si>
  <si>
    <t>9.008</t>
  </si>
  <si>
    <t>9.009</t>
  </si>
  <si>
    <t>9.01</t>
  </si>
  <si>
    <t>9.011</t>
  </si>
  <si>
    <t>9.012</t>
  </si>
  <si>
    <t>9.013</t>
  </si>
  <si>
    <t>9.014</t>
  </si>
  <si>
    <t>9.015</t>
  </si>
  <si>
    <t>9.016</t>
  </si>
  <si>
    <t>9.017</t>
  </si>
  <si>
    <t>9.018</t>
  </si>
  <si>
    <t>9.019</t>
  </si>
  <si>
    <t>9.02</t>
  </si>
  <si>
    <t>9.021</t>
  </si>
  <si>
    <t>9.022</t>
  </si>
  <si>
    <t>9.023</t>
  </si>
  <si>
    <t>9.024</t>
  </si>
  <si>
    <t>9.025</t>
  </si>
  <si>
    <t>9.026</t>
  </si>
  <si>
    <t>9.027</t>
  </si>
  <si>
    <t>9.028</t>
  </si>
  <si>
    <t>9.029</t>
  </si>
  <si>
    <t>9.03</t>
  </si>
  <si>
    <t>9.031</t>
  </si>
  <si>
    <t>9.032</t>
  </si>
  <si>
    <t>9.033</t>
  </si>
  <si>
    <t>9.034</t>
  </si>
  <si>
    <t>9.035</t>
  </si>
  <si>
    <t>9.036</t>
  </si>
  <si>
    <t>9.037</t>
  </si>
  <si>
    <t>9.038</t>
  </si>
  <si>
    <t>9.039</t>
  </si>
  <si>
    <t>9.04</t>
  </si>
  <si>
    <t>9.041</t>
  </si>
  <si>
    <t>9.101</t>
  </si>
  <si>
    <t>9.102</t>
  </si>
  <si>
    <t>9.103</t>
  </si>
  <si>
    <t>9.104</t>
  </si>
  <si>
    <t>9.105</t>
  </si>
  <si>
    <t>9.106</t>
  </si>
  <si>
    <t>9.107</t>
  </si>
  <si>
    <t>9.108</t>
  </si>
  <si>
    <t>9.109</t>
  </si>
  <si>
    <t>9.11</t>
  </si>
  <si>
    <t>9.111</t>
  </si>
  <si>
    <t>9.112</t>
  </si>
  <si>
    <t>9.114</t>
  </si>
  <si>
    <t>9.115</t>
  </si>
  <si>
    <t>9.401</t>
  </si>
  <si>
    <t>9.402</t>
  </si>
  <si>
    <t>9.403</t>
  </si>
  <si>
    <t>9.404</t>
  </si>
  <si>
    <t>9.405</t>
  </si>
  <si>
    <t>9.406</t>
  </si>
  <si>
    <t>9.407</t>
  </si>
  <si>
    <t>9.408</t>
  </si>
  <si>
    <t>9.409</t>
  </si>
  <si>
    <t>9.512</t>
  </si>
  <si>
    <t>9.521</t>
  </si>
  <si>
    <t>9.531</t>
  </si>
  <si>
    <t>9.532</t>
  </si>
  <si>
    <t>9.533</t>
  </si>
  <si>
    <t>9.541</t>
  </si>
  <si>
    <t>9.542</t>
  </si>
  <si>
    <t>9.543</t>
  </si>
  <si>
    <t>9.544</t>
  </si>
  <si>
    <t>10.001</t>
  </si>
  <si>
    <t>10.003</t>
  </si>
  <si>
    <t>10.004</t>
  </si>
  <si>
    <t>10.005</t>
  </si>
  <si>
    <t>10.006</t>
  </si>
  <si>
    <t>10.007</t>
  </si>
  <si>
    <t>10.008</t>
  </si>
  <si>
    <t>10.009</t>
  </si>
  <si>
    <t>10.01</t>
  </si>
  <si>
    <t>10.011</t>
  </si>
  <si>
    <t>10.012</t>
  </si>
  <si>
    <t>10.013</t>
  </si>
  <si>
    <t>10.014</t>
  </si>
  <si>
    <t>10.015</t>
  </si>
  <si>
    <t>10.016</t>
  </si>
  <si>
    <t>10.017</t>
  </si>
  <si>
    <t>10.018</t>
  </si>
  <si>
    <t>10.019</t>
  </si>
  <si>
    <t>10.02</t>
  </si>
  <si>
    <t>10.021</t>
  </si>
  <si>
    <t>10.022</t>
  </si>
  <si>
    <t>10.023</t>
  </si>
  <si>
    <t>10.024</t>
  </si>
  <si>
    <t>10.025</t>
  </si>
  <si>
    <t>10.026</t>
  </si>
  <si>
    <t>10.027</t>
  </si>
  <si>
    <t>10.028</t>
  </si>
  <si>
    <t>10.029</t>
  </si>
  <si>
    <t>10.03</t>
  </si>
  <si>
    <t>10.031</t>
  </si>
  <si>
    <t>10.032</t>
  </si>
  <si>
    <t>10.033</t>
  </si>
  <si>
    <t>10.034</t>
  </si>
  <si>
    <t>10.035</t>
  </si>
  <si>
    <t>10.036</t>
  </si>
  <si>
    <t>10.037</t>
  </si>
  <si>
    <t>10.038</t>
  </si>
  <si>
    <t>10.101</t>
  </si>
  <si>
    <t>10.102</t>
  </si>
  <si>
    <t>10.103</t>
  </si>
  <si>
    <t>10.104</t>
  </si>
  <si>
    <t>10.105</t>
  </si>
  <si>
    <t>10.106</t>
  </si>
  <si>
    <t>10.107</t>
  </si>
  <si>
    <t>10.108</t>
  </si>
  <si>
    <t>10.109</t>
  </si>
  <si>
    <t>10.11</t>
  </si>
  <si>
    <t>10.111</t>
  </si>
  <si>
    <t>10.112</t>
  </si>
  <si>
    <t>10.401</t>
  </si>
  <si>
    <t>10.402</t>
  </si>
  <si>
    <t>10.403</t>
  </si>
  <si>
    <t>10.404</t>
  </si>
  <si>
    <t>10.405</t>
  </si>
  <si>
    <t>10.406</t>
  </si>
  <si>
    <t>10.511</t>
  </si>
  <si>
    <t>10.512</t>
  </si>
  <si>
    <t>10.521</t>
  </si>
  <si>
    <t>10.531</t>
  </si>
  <si>
    <t>10.532</t>
  </si>
  <si>
    <t>10.533</t>
  </si>
  <si>
    <t>10.541</t>
  </si>
  <si>
    <t>10.601</t>
  </si>
  <si>
    <t>10.701</t>
  </si>
  <si>
    <t>11.001</t>
  </si>
  <si>
    <t>11.002</t>
  </si>
  <si>
    <t>11.003</t>
  </si>
  <si>
    <t>11.004</t>
  </si>
  <si>
    <t>11.005</t>
  </si>
  <si>
    <t>11.006</t>
  </si>
  <si>
    <t>11.007</t>
  </si>
  <si>
    <t>11.008</t>
  </si>
  <si>
    <t>11.009</t>
  </si>
  <si>
    <t>11.01</t>
  </si>
  <si>
    <t>11.011</t>
  </si>
  <si>
    <t>11.012</t>
  </si>
  <si>
    <t>11.013</t>
  </si>
  <si>
    <t>11.014</t>
  </si>
  <si>
    <t>11.015</t>
  </si>
  <si>
    <t>11.016</t>
  </si>
  <si>
    <t>11.017</t>
  </si>
  <si>
    <t>11.018</t>
  </si>
  <si>
    <t>11.019</t>
  </si>
  <si>
    <t>11.02</t>
  </si>
  <si>
    <t>11.021</t>
  </si>
  <si>
    <t>11.022</t>
  </si>
  <si>
    <t>11.023</t>
  </si>
  <si>
    <t>11.101</t>
  </si>
  <si>
    <t>11.102</t>
  </si>
  <si>
    <t>11.104</t>
  </si>
  <si>
    <t>11.105</t>
  </si>
  <si>
    <t>11.106</t>
  </si>
  <si>
    <t>11.107</t>
  </si>
  <si>
    <t>11.108</t>
  </si>
  <si>
    <t>11.11</t>
  </si>
  <si>
    <t>11.201</t>
  </si>
  <si>
    <t>11.202</t>
  </si>
  <si>
    <t>11.203</t>
  </si>
  <si>
    <t>11.204</t>
  </si>
  <si>
    <t>11.401</t>
  </si>
  <si>
    <t>11.402</t>
  </si>
  <si>
    <t>11.403</t>
  </si>
  <si>
    <t>11.404</t>
  </si>
  <si>
    <t>11.405</t>
  </si>
  <si>
    <t>11.406</t>
  </si>
  <si>
    <t>11.407</t>
  </si>
  <si>
    <t>11.408</t>
  </si>
  <si>
    <t>11.409</t>
  </si>
  <si>
    <t>11.41</t>
  </si>
  <si>
    <t>11.411</t>
  </si>
  <si>
    <t>11.412</t>
  </si>
  <si>
    <t>11.511</t>
  </si>
  <si>
    <t>11.512</t>
  </si>
  <si>
    <t>11.521</t>
  </si>
  <si>
    <t>11.531</t>
  </si>
  <si>
    <t>11.532</t>
  </si>
  <si>
    <t>11.533</t>
  </si>
  <si>
    <t>11.541</t>
  </si>
  <si>
    <t>11.701</t>
  </si>
  <si>
    <t>11.702</t>
  </si>
  <si>
    <t>11.709</t>
  </si>
  <si>
    <t>2.701</t>
  </si>
  <si>
    <t>12.002</t>
  </si>
  <si>
    <t>12.003</t>
  </si>
  <si>
    <t>12.004</t>
  </si>
  <si>
    <t>1.029</t>
  </si>
  <si>
    <t>1.401</t>
  </si>
  <si>
    <t>3.36</t>
  </si>
  <si>
    <t>5.110</t>
  </si>
  <si>
    <t>7.301</t>
  </si>
  <si>
    <t>9.601</t>
  </si>
  <si>
    <t>11.103</t>
  </si>
  <si>
    <t>11.601</t>
  </si>
  <si>
    <t>12.201</t>
  </si>
  <si>
    <t>12.202</t>
  </si>
  <si>
    <t>12.203</t>
  </si>
  <si>
    <t>12.204</t>
  </si>
  <si>
    <t>12.001</t>
  </si>
  <si>
    <t>12.405</t>
  </si>
  <si>
    <t>entity:HQ_RF.001_ROOF</t>
  </si>
  <si>
    <t>entity:HQ_5.214_GSM_ROOM</t>
  </si>
  <si>
    <t>entity:HQ_4.11_PRINT_COPY</t>
  </si>
  <si>
    <t>entity:HQ_RF.002_ROOF_PLANT_WALKWAY</t>
  </si>
  <si>
    <t>entity:HQ_G.400_CORRIDOR</t>
  </si>
  <si>
    <t>entity:HQ_4.004_STR_PL_DIR_ENSUIT</t>
  </si>
  <si>
    <t>entity:HQ_4.015C_OFFICE_SPACE</t>
  </si>
  <si>
    <t>entity:HQ_4.015A_OFFICE_SPACE</t>
  </si>
  <si>
    <t>entity:HQ_4.003_STR_PL_DIR_EXEC_SECRE</t>
  </si>
  <si>
    <t>entity:HQ_4.001B_OFFICE_SPACE</t>
  </si>
  <si>
    <t>entity:HQ_4.001D_OFFICE_SPACE</t>
  </si>
  <si>
    <t>entity:HQ_4.001F_OFFICE_SPACE</t>
  </si>
  <si>
    <t>entity:HQ_4.001G_OFFICE_SPACE</t>
  </si>
  <si>
    <t>entity:HQ_4.103_STORAGE_SPACE</t>
  </si>
  <si>
    <t>entity:HQ_5.020_VP_EDU_OFFICERS</t>
  </si>
  <si>
    <t>entity:HQ_5.009_VP1_VP_EDU_OFFICERS</t>
  </si>
  <si>
    <t>entity:HQ_5.010_VP_EDU_OFFICERS</t>
  </si>
  <si>
    <t>entity:HQ_5.210_VP_EDU_ENSUIT</t>
  </si>
  <si>
    <t>entity:HQ_5.350_CORRIDOR</t>
  </si>
  <si>
    <t>entity:HQ_8.400_VISITORS_CENTER</t>
  </si>
  <si>
    <t>entity:HQ_4.015B_OFFICE_SPACE</t>
  </si>
  <si>
    <t>entity:HQ_4.001A_OFFICE_SPACE</t>
  </si>
  <si>
    <t>entity:HQ_4.001E_OFFICE_SPACE</t>
  </si>
  <si>
    <t>entity:HQ_4.001C_OFFICE_SPACE</t>
  </si>
  <si>
    <t>entity:HQ_4.001H_OFFICE_SPACE</t>
  </si>
  <si>
    <t>entity:HQ_1.FF-1_FF-1</t>
  </si>
  <si>
    <t>1.FF-1</t>
  </si>
  <si>
    <t>entity:HQ_1.P-1_P-1</t>
  </si>
  <si>
    <t>1.P-1</t>
  </si>
  <si>
    <t>entity:HQ_1.P-2_P-2</t>
  </si>
  <si>
    <t>1.P-2</t>
  </si>
  <si>
    <t>entity:HQ_1.P-3_P-3</t>
  </si>
  <si>
    <t>1.P-3</t>
  </si>
  <si>
    <t>entity:HQ_1.P-4_P-4</t>
  </si>
  <si>
    <t>1.P-4</t>
  </si>
  <si>
    <t>entity:HQ_1.P-5_P-5</t>
  </si>
  <si>
    <t>1.P-5</t>
  </si>
  <si>
    <t>entity:HQ_1.P-6_P-6</t>
  </si>
  <si>
    <t>1.P-6</t>
  </si>
  <si>
    <t>entity:HQ_1.S-1_S-1</t>
  </si>
  <si>
    <t>1.S-1</t>
  </si>
  <si>
    <t>entity:HQ_1.ST-1_ST-1</t>
  </si>
  <si>
    <t>1.ST-1</t>
  </si>
  <si>
    <t>entity:HQ_1.ST-2_ST-2</t>
  </si>
  <si>
    <t>1.ST-2</t>
  </si>
  <si>
    <t>entity:HQ_1.ST-3_ST-3</t>
  </si>
  <si>
    <t>1.ST-3</t>
  </si>
  <si>
    <t>entity:HQ_1.ST-4_ST-4</t>
  </si>
  <si>
    <t>1.ST-4</t>
  </si>
  <si>
    <t>entity:HQ_2.FF-1_FF-1</t>
  </si>
  <si>
    <t>2.FF-1</t>
  </si>
  <si>
    <t>entity:HQ_2.P-1_P-1</t>
  </si>
  <si>
    <t>2.P-1</t>
  </si>
  <si>
    <t>entity:HQ_2.P-2_P-2</t>
  </si>
  <si>
    <t>2.P-2</t>
  </si>
  <si>
    <t>entity:HQ_2.P-3_P-3</t>
  </si>
  <si>
    <t>2.P-3</t>
  </si>
  <si>
    <t>entity:HQ_2.P-4_P-4</t>
  </si>
  <si>
    <t>2.P-4</t>
  </si>
  <si>
    <t>entity:HQ_2.P-5_P-5</t>
  </si>
  <si>
    <t>2.P-5</t>
  </si>
  <si>
    <t>entity:HQ_2.P-6_P-6</t>
  </si>
  <si>
    <t>2.P-6</t>
  </si>
  <si>
    <t>entity:HQ_2.S-1_S-1</t>
  </si>
  <si>
    <t>2.S-1</t>
  </si>
  <si>
    <t>entity:HQ_2.ST-1_ST-1</t>
  </si>
  <si>
    <t>2.ST-1</t>
  </si>
  <si>
    <t>entity:HQ_2.ST-2_ST-2</t>
  </si>
  <si>
    <t>2.ST-2</t>
  </si>
  <si>
    <t>entity:HQ_2.ST-3_ST-3</t>
  </si>
  <si>
    <t>2.ST-3</t>
  </si>
  <si>
    <t>entity:HQ_2.ST-4_ST-4</t>
  </si>
  <si>
    <t>2.ST-4</t>
  </si>
  <si>
    <t>entity:HQ_3.FF-1_FF-1</t>
  </si>
  <si>
    <t>3.FF-1</t>
  </si>
  <si>
    <t>entity:HQ_3.P-1_P-1</t>
  </si>
  <si>
    <t>3.P-1</t>
  </si>
  <si>
    <t>entity:HQ_3.P-2_P-2</t>
  </si>
  <si>
    <t>3.P-2</t>
  </si>
  <si>
    <t>entity:HQ_3.P-3_P-3</t>
  </si>
  <si>
    <t>3.P-3</t>
  </si>
  <si>
    <t>entity:HQ_3.P-4_P-4</t>
  </si>
  <si>
    <t>3.P-4</t>
  </si>
  <si>
    <t>entity:HQ_3.P-5_P-5</t>
  </si>
  <si>
    <t>3.P-5</t>
  </si>
  <si>
    <t>entity:HQ_3.P-6_P-6</t>
  </si>
  <si>
    <t>3.P-6</t>
  </si>
  <si>
    <t>entity:HQ_3.S-1_S-1</t>
  </si>
  <si>
    <t>3.S-1</t>
  </si>
  <si>
    <t>entity:HQ_3.ST-1_ST-1</t>
  </si>
  <si>
    <t>3.ST-1</t>
  </si>
  <si>
    <t>entity:HQ_3.ST-2_ST-2</t>
  </si>
  <si>
    <t>3.ST-2</t>
  </si>
  <si>
    <t>entity:HQ_3.ST-3_ST-3</t>
  </si>
  <si>
    <t>3.ST-3</t>
  </si>
  <si>
    <t>entity:HQ_3.ST-4_ST-4</t>
  </si>
  <si>
    <t>3.ST-4</t>
  </si>
  <si>
    <t>entity:HQ_4.P-1_P-1</t>
  </si>
  <si>
    <t>4.P-1</t>
  </si>
  <si>
    <t>entity:HQ_4.P-2_P-2</t>
  </si>
  <si>
    <t>4.P-2</t>
  </si>
  <si>
    <t>entity:HQ_4.P-3_P-3</t>
  </si>
  <si>
    <t>4.P-3</t>
  </si>
  <si>
    <t>entity:HQ_4.P-4_P-4</t>
  </si>
  <si>
    <t>4.P-4</t>
  </si>
  <si>
    <t>entity:HQ_4.P-5_P-5</t>
  </si>
  <si>
    <t>4.P-5</t>
  </si>
  <si>
    <t>entity:HQ_4.P-6_P-6</t>
  </si>
  <si>
    <t>4.P-6</t>
  </si>
  <si>
    <t>entity:HQ_4.S-1_S-1</t>
  </si>
  <si>
    <t>4.S-1</t>
  </si>
  <si>
    <t>entity:HQ_4.ST-1_ST-1</t>
  </si>
  <si>
    <t>4.ST-1</t>
  </si>
  <si>
    <t>entity:HQ_4.ST-2_ST-2</t>
  </si>
  <si>
    <t>4.ST-2</t>
  </si>
  <si>
    <t>entity:HQ_4.ST-3_ST-3</t>
  </si>
  <si>
    <t>4.ST-3</t>
  </si>
  <si>
    <t>entity:HQ_4.ST-4_ST-4</t>
  </si>
  <si>
    <t>4.ST-4</t>
  </si>
  <si>
    <t>5.009_VP1</t>
  </si>
  <si>
    <t>entity:HQ_5.009_VP1_VP_EDU_ASSISTANT</t>
  </si>
  <si>
    <t>5.010</t>
  </si>
  <si>
    <t>5.020</t>
  </si>
  <si>
    <t>5.210</t>
  </si>
  <si>
    <t>entity:HQ_5.P-1_P-1</t>
  </si>
  <si>
    <t>5.P-1</t>
  </si>
  <si>
    <t>entity:HQ_5.P-2_P-2</t>
  </si>
  <si>
    <t>5.P-2</t>
  </si>
  <si>
    <t>entity:HQ_5.P-3_P-3</t>
  </si>
  <si>
    <t>5.P-3</t>
  </si>
  <si>
    <t>entity:HQ_5.P-4_P-4</t>
  </si>
  <si>
    <t>5.P-4</t>
  </si>
  <si>
    <t>entity:HQ_5.P-5_P-5</t>
  </si>
  <si>
    <t>5.P-5</t>
  </si>
  <si>
    <t>entity:HQ_5.P-6_P-6</t>
  </si>
  <si>
    <t>5.P-6</t>
  </si>
  <si>
    <t>entity:HQ_5.S-1_S-1</t>
  </si>
  <si>
    <t>5.S-1</t>
  </si>
  <si>
    <t>entity:HQ_5.ST-1_ST-1</t>
  </si>
  <si>
    <t>5.ST-1</t>
  </si>
  <si>
    <t>entity:HQ_5.ST-2_ST-2</t>
  </si>
  <si>
    <t>5.ST-2</t>
  </si>
  <si>
    <t>entity:HQ_5.ST-3_ST-3</t>
  </si>
  <si>
    <t>5.ST-3</t>
  </si>
  <si>
    <t>entity:HQ_5.ST-4_ST-4</t>
  </si>
  <si>
    <t>5.ST-4</t>
  </si>
  <si>
    <t>entity:HQ_6.P-1_P-1</t>
  </si>
  <si>
    <t>6.P-1</t>
  </si>
  <si>
    <t>entity:HQ_6.P-2_P-2</t>
  </si>
  <si>
    <t>6.P-2</t>
  </si>
  <si>
    <t>entity:HQ_6.P-3_P-3</t>
  </si>
  <si>
    <t>6.P-3</t>
  </si>
  <si>
    <t>entity:HQ_6.P-4_P-4</t>
  </si>
  <si>
    <t>6.P-4</t>
  </si>
  <si>
    <t>entity:HQ_6.P-5_P-5</t>
  </si>
  <si>
    <t>6.P-5</t>
  </si>
  <si>
    <t>entity:HQ_6.P-6_P-6</t>
  </si>
  <si>
    <t>6.P-6</t>
  </si>
  <si>
    <t>entity:HQ_6.S-1_S-1</t>
  </si>
  <si>
    <t>6.S-1</t>
  </si>
  <si>
    <t>entity:HQ_6.ST-1_ST-1</t>
  </si>
  <si>
    <t>6.ST-1</t>
  </si>
  <si>
    <t>entity:HQ_6.ST-2_ST-2</t>
  </si>
  <si>
    <t>6.ST-2</t>
  </si>
  <si>
    <t>entity:HQ_6.ST-3_ST-3</t>
  </si>
  <si>
    <t>6.ST-3</t>
  </si>
  <si>
    <t>entity:HQ_6.ST-4_ST-4</t>
  </si>
  <si>
    <t>6.ST-4</t>
  </si>
  <si>
    <t>entity:HQ_7.P-1_P-1</t>
  </si>
  <si>
    <t>7.P-1</t>
  </si>
  <si>
    <t>entity:HQ_7.P-2_P-2</t>
  </si>
  <si>
    <t>7.P-2</t>
  </si>
  <si>
    <t>entity:HQ_7.P-3_P-3</t>
  </si>
  <si>
    <t>7.P-3</t>
  </si>
  <si>
    <t>entity:HQ_7.P-4_P-4</t>
  </si>
  <si>
    <t>7.P-4</t>
  </si>
  <si>
    <t>entity:HQ_7.P-5_P-5</t>
  </si>
  <si>
    <t>7.P-5</t>
  </si>
  <si>
    <t>entity:HQ_7.P-6_P-6</t>
  </si>
  <si>
    <t>7.P-6</t>
  </si>
  <si>
    <t>entity:HQ_7.S-1_S-1</t>
  </si>
  <si>
    <t>7.S-1</t>
  </si>
  <si>
    <t>entity:HQ_7.ST-1_ST-1</t>
  </si>
  <si>
    <t>7.ST-1</t>
  </si>
  <si>
    <t>entity:HQ_7.ST-2_ST-2</t>
  </si>
  <si>
    <t>7.ST-2</t>
  </si>
  <si>
    <t>entity:HQ_7.ST-3_ST-3</t>
  </si>
  <si>
    <t>7.ST-3</t>
  </si>
  <si>
    <t>entity:HQ_7.ST-4_ST-4</t>
  </si>
  <si>
    <t>7.ST-4</t>
  </si>
  <si>
    <t>entity:HQ_8.P-1_P-1</t>
  </si>
  <si>
    <t>8.P-1</t>
  </si>
  <si>
    <t>entity:HQ_8.P-2_P-2</t>
  </si>
  <si>
    <t>8.P-2</t>
  </si>
  <si>
    <t>entity:HQ_8.P-3_P-3</t>
  </si>
  <si>
    <t>8.P-3</t>
  </si>
  <si>
    <t>entity:HQ_8.P-4_P-4</t>
  </si>
  <si>
    <t>8.P-4</t>
  </si>
  <si>
    <t>entity:HQ_8.P-5_P-5</t>
  </si>
  <si>
    <t>8.P-5</t>
  </si>
  <si>
    <t>entity:HQ_8.P-6_P-6</t>
  </si>
  <si>
    <t>8.P-6</t>
  </si>
  <si>
    <t>entity:HQ_8.S-1_S-1</t>
  </si>
  <si>
    <t>8.S-1</t>
  </si>
  <si>
    <t>entity:HQ_8.ST-1_ST-1</t>
  </si>
  <si>
    <t>8.ST-1</t>
  </si>
  <si>
    <t>entity:HQ_8.ST-2_ST-2</t>
  </si>
  <si>
    <t>8.ST-2</t>
  </si>
  <si>
    <t>entity:HQ_8.ST-3_ST-3</t>
  </si>
  <si>
    <t>8.ST-3</t>
  </si>
  <si>
    <t>entity:HQ_8.ST-4_ST-4</t>
  </si>
  <si>
    <t>8.ST-4</t>
  </si>
  <si>
    <t>entity:HQ_9.P-1_P-1</t>
  </si>
  <si>
    <t>9.P-1</t>
  </si>
  <si>
    <t>entity:HQ_9.P-2_P-2</t>
  </si>
  <si>
    <t>9.P-2</t>
  </si>
  <si>
    <t>entity:HQ_9.P-3_P-3</t>
  </si>
  <si>
    <t>9.P-3</t>
  </si>
  <si>
    <t>entity:HQ_9.P-4_P-4</t>
  </si>
  <si>
    <t>9.P-4</t>
  </si>
  <si>
    <t>entity:HQ_9.P-5_P-5</t>
  </si>
  <si>
    <t>9.P-5</t>
  </si>
  <si>
    <t>entity:HQ_9.P-6_P-6</t>
  </si>
  <si>
    <t>9.P-6</t>
  </si>
  <si>
    <t>entity:HQ_9.S-1_S-1</t>
  </si>
  <si>
    <t>9.S-1</t>
  </si>
  <si>
    <t>entity:HQ_9.ST-01_ST-01</t>
  </si>
  <si>
    <t>9.ST-01</t>
  </si>
  <si>
    <t>entity:HQ_9.ST-04_ST-04</t>
  </si>
  <si>
    <t>9.ST-04</t>
  </si>
  <si>
    <t>entity:HQ_9.ST-2_ST-2</t>
  </si>
  <si>
    <t>9.ST-2</t>
  </si>
  <si>
    <t>entity:HQ_9.ST-3_ST-3</t>
  </si>
  <si>
    <t>9.ST-3</t>
  </si>
  <si>
    <t>RF.001</t>
  </si>
  <si>
    <t>G.400</t>
  </si>
  <si>
    <t>4.015C</t>
  </si>
  <si>
    <t>4.015A</t>
  </si>
  <si>
    <t>4.001B</t>
  </si>
  <si>
    <t>4.001D</t>
  </si>
  <si>
    <t>4.001F</t>
  </si>
  <si>
    <t>4.001G</t>
  </si>
  <si>
    <t>5.350</t>
  </si>
  <si>
    <t>8.400</t>
  </si>
  <si>
    <t>4.015B</t>
  </si>
  <si>
    <t>4.001A</t>
  </si>
  <si>
    <t>4.001E</t>
  </si>
  <si>
    <t>4.001C</t>
  </si>
  <si>
    <t>4.001H</t>
  </si>
  <si>
    <t>RF.002</t>
  </si>
  <si>
    <t>Duplicate room entries (col A)</t>
  </si>
  <si>
    <t>Duplicated equipment returns (D:L)</t>
  </si>
  <si>
    <t>Distinct equipment returned</t>
  </si>
  <si>
    <t>Unplaced (in register, not on a room)</t>
  </si>
  <si>
    <t>After editing some room numbers, the equipment count in column D jumped from 772 to 773 while the 2 blank-entity assets were still blank. Asked whether there is a duplicate somewhere.</t>
  </si>
  <si>
    <t>Scanned column A for duplicate room entities and the whole D2:L1042 spill region for repeated asset tags. Found the duplicate, then hardened the audit block at N1:O9 with duplicate detection and a duplicate-proof unplaced count.</t>
  </si>
  <si>
    <t>Root cause: room entity 'entity:HQ_5.110_VP_EDU_OFFICERS' now appears TWICE in column A - row 526 and row 1017. VAV0283 exists only once in the register (row 443) but each duplicate room row runs its own FILTER, so the tag is returned twice, inflating the raw count to 773. Rooms with no equipment also fell 434 to 433 because row 1017 previously matched nothing. New audit formulas: O6 distinct returned =SUM(--(UNIQUE(TOCOL(D2:L1042,3))&lt;&gt;"No Equipment in entity")); O7 duplicate room rows; O8 duplicated equipment returns; O9 unplaced =O5-O6. Replaced the old O6 (=O5-O3) because subtracting the raw count made unplaced read 1 instead of 2 whenever a duplicate existed.</t>
  </si>
  <si>
    <t>Diagnosed, not yet fixed. Distinct equipment is still 772 and unplaced still 2 (FCU0097, VAV0558), so no data was lost - only row 1017 is a spurious duplicate of row 526. Awaiting user decision on whether to delete row 1017 or correct its room number to the intended one; I did not guess the intended value.</t>
  </si>
  <si>
    <t>B_228</t>
  </si>
  <si>
    <t>M1_HVAC_SHAFT</t>
  </si>
  <si>
    <t>B_229</t>
  </si>
  <si>
    <t>E1_ELEC_SHAFT</t>
  </si>
  <si>
    <t>B_230</t>
  </si>
  <si>
    <t>REFR_STORE</t>
  </si>
  <si>
    <t>B_231</t>
  </si>
  <si>
    <t>DISH_WASING</t>
  </si>
  <si>
    <t>B_232</t>
  </si>
  <si>
    <t>DRY_STORE</t>
  </si>
  <si>
    <t>B_233</t>
  </si>
  <si>
    <t>WC5_RISER</t>
  </si>
  <si>
    <t>B_234</t>
  </si>
  <si>
    <t>E3_ELEC_SHAFT</t>
  </si>
  <si>
    <t>B_235</t>
  </si>
  <si>
    <t>M2_HVAC_SHAFT_ABOVE</t>
  </si>
  <si>
    <t>B_236</t>
  </si>
  <si>
    <t>WC1_RISER</t>
  </si>
  <si>
    <t>B_237</t>
  </si>
  <si>
    <t>B_238</t>
  </si>
  <si>
    <t>M3_HVAC_SHAFT</t>
  </si>
  <si>
    <t>entity:QNL_B_002_KITCHEN</t>
  </si>
  <si>
    <t>B_002</t>
  </si>
  <si>
    <t>entity:QNL_B_003_FINANCE_COORDINATOR_&amp;_BUSINESS_SUPPORT_OFCR</t>
  </si>
  <si>
    <t>B_003</t>
  </si>
  <si>
    <t>FINANCE_COORDINATOR_&amp;_BUSINESS_SUPPORT_OFCR</t>
  </si>
  <si>
    <t>entity:QNL_B_004_ANALOG_RESOURCES</t>
  </si>
  <si>
    <t>B_004</t>
  </si>
  <si>
    <t>ANALOG_RESOURCES</t>
  </si>
  <si>
    <t>entity:QNL_B_005_DIGITAL_RESOURCES</t>
  </si>
  <si>
    <t>B_005</t>
  </si>
  <si>
    <t>DIGITAL_RESOURCES</t>
  </si>
  <si>
    <t>entity:QNL_B_006_BUDGET_&amp;_PAYMENT_1</t>
  </si>
  <si>
    <t>B_006</t>
  </si>
  <si>
    <t>BUDGET_&amp;_PAYMENT_1</t>
  </si>
  <si>
    <t>entity:QNL_B_007_BUDGET_&amp;_PAYMENT_2</t>
  </si>
  <si>
    <t>B_007</t>
  </si>
  <si>
    <t>BUDGET_&amp;_PAYMENT_2</t>
  </si>
  <si>
    <t>entity:QNL_B_008_RECEIVING_AREA</t>
  </si>
  <si>
    <t>B_008</t>
  </si>
  <si>
    <t>RECEIVING_AREA</t>
  </si>
  <si>
    <t>entity:QNL_B_009_RECEPTION_&amp;_LOUNGE</t>
  </si>
  <si>
    <t>B_009</t>
  </si>
  <si>
    <t>RECEPTION_&amp;_LOUNGE</t>
  </si>
  <si>
    <t>B_010</t>
  </si>
  <si>
    <t>PATIO_GARDEN</t>
  </si>
  <si>
    <t>entity:QNL_B_020_ENGINEERING</t>
  </si>
  <si>
    <t>B_020</t>
  </si>
  <si>
    <t>ENGINEERING</t>
  </si>
  <si>
    <t>entity:QNL_B_021_ARABIC_STUDIES</t>
  </si>
  <si>
    <t>B_021</t>
  </si>
  <si>
    <t>ARABIC_STUDIES</t>
  </si>
  <si>
    <t>entity:QNL_B_022_LICENSING_EXPERT</t>
  </si>
  <si>
    <t>B_022</t>
  </si>
  <si>
    <t>LICENSING_EXPERT</t>
  </si>
  <si>
    <t>entity:QNL_B_023_ARTS_&amp;_HUMANITIES</t>
  </si>
  <si>
    <t>B_023</t>
  </si>
  <si>
    <t>ARTS_&amp;_HUMANITIES</t>
  </si>
  <si>
    <t>entity:QNL_B_024_AD_COLLECTIONS</t>
  </si>
  <si>
    <t>B_024</t>
  </si>
  <si>
    <t>AD_COLLECTIONS</t>
  </si>
  <si>
    <t>entity:QNL_B_025_SOCIAL_SCIENCES</t>
  </si>
  <si>
    <t>B_025</t>
  </si>
  <si>
    <t>SOCIAL_SCIENCES</t>
  </si>
  <si>
    <t>entity:QNL_B_026_BUSINESS_&amp;_COMPUTING</t>
  </si>
  <si>
    <t>B_026</t>
  </si>
  <si>
    <t>BUSINESS_&amp;_COMPUTING</t>
  </si>
  <si>
    <t>entity:QNL_B_027_PROCUREMENT_SPC_PROCUREMENT_OFCR</t>
  </si>
  <si>
    <t>B_027</t>
  </si>
  <si>
    <t>PROCUREMENT_SPC_PROCUREMENT_OFCR</t>
  </si>
  <si>
    <t>entity:QNL_B_028_STORAGE</t>
  </si>
  <si>
    <t>B_028</t>
  </si>
  <si>
    <t>entity:QNL_B_029_LITERATURE_&amp;_ANGUAGE</t>
  </si>
  <si>
    <t>B_029</t>
  </si>
  <si>
    <t>LITERATURE_&amp;_ANGUAGE</t>
  </si>
  <si>
    <t>entity:QNL_B_030_SNR_P_COORDINATOR_&amp;_P_COORDINATOR</t>
  </si>
  <si>
    <t>B_030</t>
  </si>
  <si>
    <t>SNR_P_COORDINATOR_&amp;_P_COORDINATOR</t>
  </si>
  <si>
    <t>B_031</t>
  </si>
  <si>
    <t>JANITORS_ROOM</t>
  </si>
  <si>
    <t>B_032</t>
  </si>
  <si>
    <t>REST_ROOM_MEN</t>
  </si>
  <si>
    <t>entity:QNL_B_034_MEETING_ROOM</t>
  </si>
  <si>
    <t>B_034</t>
  </si>
  <si>
    <t>B036_REST</t>
  </si>
  <si>
    <t>REST_ROOM_WOMEN</t>
  </si>
  <si>
    <t>B036_COR</t>
  </si>
  <si>
    <t>CORRIDOR_4A</t>
  </si>
  <si>
    <t>entity:QNL_B_040_OFFICE</t>
  </si>
  <si>
    <t>B_040</t>
  </si>
  <si>
    <t>OFFICE</t>
  </si>
  <si>
    <t>entity:QNL_B_041_DIGITIZATION_ROOM</t>
  </si>
  <si>
    <t>B_041</t>
  </si>
  <si>
    <t>DIGITIZATION_ROOM</t>
  </si>
  <si>
    <t>B_042</t>
  </si>
  <si>
    <t>entity:QNL_B_043_BINDING_&amp;_PRESERVATION_SPACE</t>
  </si>
  <si>
    <t>B_043</t>
  </si>
  <si>
    <t>BINDING_&amp;_PRESERVATION_SPACE</t>
  </si>
  <si>
    <t>B044_BOH</t>
  </si>
  <si>
    <t>B_O_H_KITCHEN</t>
  </si>
  <si>
    <t>B044_FIN</t>
  </si>
  <si>
    <t>FINE_BINDING</t>
  </si>
  <si>
    <t>B046_RES</t>
  </si>
  <si>
    <t>entity:QNL_B046_ITT_ITTIGATION_CONTROL_ROOM</t>
  </si>
  <si>
    <t>B046_ITT</t>
  </si>
  <si>
    <t>ITTIGATION_CONTROL_ROOM</t>
  </si>
  <si>
    <t>B_047</t>
  </si>
  <si>
    <t>entity:QNL_B_048_QTEL_ROOM</t>
  </si>
  <si>
    <t>B_048</t>
  </si>
  <si>
    <t>QTEL_ROOM</t>
  </si>
  <si>
    <t>entity:QNL_B_049_MEP_KITCHEN</t>
  </si>
  <si>
    <t>B_049</t>
  </si>
  <si>
    <t>MEP_KITCHEN</t>
  </si>
  <si>
    <t>B-04B</t>
  </si>
  <si>
    <t>ST-04B</t>
  </si>
  <si>
    <t>entity:QNL_B_050_TELECOM_ROOM</t>
  </si>
  <si>
    <t>B_050</t>
  </si>
  <si>
    <t>TELECOM_ROOM</t>
  </si>
  <si>
    <t>B_051</t>
  </si>
  <si>
    <t>B_053</t>
  </si>
  <si>
    <t>CORRIDORS</t>
  </si>
  <si>
    <t>B_054</t>
  </si>
  <si>
    <t>B057_DIG</t>
  </si>
  <si>
    <t>OFFICE_DIG_INIT</t>
  </si>
  <si>
    <t>B057_AD</t>
  </si>
  <si>
    <t>OFFICE_AD_FOR_LIT</t>
  </si>
  <si>
    <t>entity:QNL_B_058_SHELL_SPACE</t>
  </si>
  <si>
    <t>B_058</t>
  </si>
  <si>
    <t>B_060</t>
  </si>
  <si>
    <t>MAINTENANCE</t>
  </si>
  <si>
    <t>entity:QNL_B_062_IDF_CORRIDOR</t>
  </si>
  <si>
    <t>B_062</t>
  </si>
  <si>
    <t>IDF_CORRIDOR</t>
  </si>
  <si>
    <t>entity:QNL_B_063_PLANT_ROOM_01</t>
  </si>
  <si>
    <t>B_063</t>
  </si>
  <si>
    <t>PLANT_ROOM_01</t>
  </si>
  <si>
    <t>B_065</t>
  </si>
  <si>
    <t>VENTLATON</t>
  </si>
  <si>
    <t>B_066</t>
  </si>
  <si>
    <t>B_067</t>
  </si>
  <si>
    <t>B_068</t>
  </si>
  <si>
    <t>entity:QNL_B_070_PLANT_ROOM_02</t>
  </si>
  <si>
    <t>B_070</t>
  </si>
  <si>
    <t>PLANT_ROOM_02</t>
  </si>
  <si>
    <t>entity:QNL_B_071_FIRE_COMMAND_ROOM</t>
  </si>
  <si>
    <t>B_071</t>
  </si>
  <si>
    <t>FIRE_COMMAND_ROOM</t>
  </si>
  <si>
    <t>entity:QNL_B_072_SPRIMKLERS_PUMPS_&amp;_ZONES_VALVES</t>
  </si>
  <si>
    <t>B_072</t>
  </si>
  <si>
    <t>SPRIMKLERS_PUMPS_&amp;_ZONES_VALVES</t>
  </si>
  <si>
    <t>entity:QNL_B_080_GENERATOR</t>
  </si>
  <si>
    <t>B_080</t>
  </si>
  <si>
    <t>entity:QNL_B_081_MV_ROOM</t>
  </si>
  <si>
    <t>B_081</t>
  </si>
  <si>
    <t>MV_ROOM</t>
  </si>
  <si>
    <t>entity:QNL_B_082_TRANSFORMER_ROOM</t>
  </si>
  <si>
    <t>B_082</t>
  </si>
  <si>
    <t>TRANSFORMER_ROOM</t>
  </si>
  <si>
    <t>entity:QNL_B_084_UPS_BATTERY_ROOM</t>
  </si>
  <si>
    <t>B_084</t>
  </si>
  <si>
    <t>UPS_BATTERY_ROOM</t>
  </si>
  <si>
    <t>entity:QNL_B_085_FUMIGATION_ROOM</t>
  </si>
  <si>
    <t>B_085</t>
  </si>
  <si>
    <t>FUMIGATION_ROOM</t>
  </si>
  <si>
    <t>B_086</t>
  </si>
  <si>
    <t>FREEZE_AREA</t>
  </si>
  <si>
    <t>entity:QNL_B_087_GAS_SUPPRESSION_ROOM</t>
  </si>
  <si>
    <t>B_087</t>
  </si>
  <si>
    <t>GAS_SUPPRESSION_ROOM</t>
  </si>
  <si>
    <t>entity:QNL_B_088_PEOPLE_MOVER_PLANT</t>
  </si>
  <si>
    <t>B_088</t>
  </si>
  <si>
    <t>PEOPLE_MOVER_PLANT</t>
  </si>
  <si>
    <t>entity:QNL_B_089_SERVER_ROOM</t>
  </si>
  <si>
    <t>B_089</t>
  </si>
  <si>
    <t>entity:QNL_B_091_FUEL_ROOM</t>
  </si>
  <si>
    <t>B_091</t>
  </si>
  <si>
    <t>FUEL_ROOM</t>
  </si>
  <si>
    <t>entity:QNL_B_092_STORAGE</t>
  </si>
  <si>
    <t>B_092</t>
  </si>
  <si>
    <t>B_0924</t>
  </si>
  <si>
    <t>FUEL_TANK_CHERRY_PICKER_PANKING</t>
  </si>
  <si>
    <t>entity:QNL_B_093_TRANSH_CHAMBER</t>
  </si>
  <si>
    <t>B_093</t>
  </si>
  <si>
    <t>TRANSH_CHAMBER</t>
  </si>
  <si>
    <t>entity:QNL_B_095_EMERGENCY_LIGHTING_BATTERY_ROOM</t>
  </si>
  <si>
    <t>B_095</t>
  </si>
  <si>
    <t>EMERGENCY_LIGHTING_BATTERY_ROOM</t>
  </si>
  <si>
    <t>B_100</t>
  </si>
  <si>
    <t>LOADING_DOCK</t>
  </si>
  <si>
    <t>entity:QNL_B_101_SHIPPING_CLERK</t>
  </si>
  <si>
    <t>B_101</t>
  </si>
  <si>
    <t>SHIPPING_CLERK</t>
  </si>
  <si>
    <t>entity:QNL_B_102_SECURITY_&amp;_BMS</t>
  </si>
  <si>
    <t>B_102</t>
  </si>
  <si>
    <t>SECURITY_&amp;_BMS</t>
  </si>
  <si>
    <t>entity:QNL_B_103_PROCESSING_ROOM</t>
  </si>
  <si>
    <t>B_103</t>
  </si>
  <si>
    <t>PROCESSING_ROOM</t>
  </si>
  <si>
    <t>entity:QNL_B_104_STORAGE</t>
  </si>
  <si>
    <t>B_104</t>
  </si>
  <si>
    <t>entity:QNL_B106_RES_REST_ROOM_SECURITY</t>
  </si>
  <si>
    <t>B106_RES</t>
  </si>
  <si>
    <t>REST_ROOM_SECURITY</t>
  </si>
  <si>
    <t>B106_SEC</t>
  </si>
  <si>
    <t>SECURITY_STORES_SECURITY_UPS</t>
  </si>
  <si>
    <t>entity:QNL_B_107_SECURITY_EQUIPMENT_ROOM</t>
  </si>
  <si>
    <t>B_107</t>
  </si>
  <si>
    <t>SECURITY_EQUIPMENT_ROOM</t>
  </si>
  <si>
    <t>B_108</t>
  </si>
  <si>
    <t>entity:QNL_B_109_LOADING_AREA</t>
  </si>
  <si>
    <t>B_109</t>
  </si>
  <si>
    <t>LOADING_AREA</t>
  </si>
  <si>
    <t>entity:QNL_B_110_PLANT_ROOM_03</t>
  </si>
  <si>
    <t>B_110</t>
  </si>
  <si>
    <t>PLANT_ROOM_03</t>
  </si>
  <si>
    <t>B_111</t>
  </si>
  <si>
    <t>B_112</t>
  </si>
  <si>
    <t>B_113</t>
  </si>
  <si>
    <t>B_114</t>
  </si>
  <si>
    <t>B_115</t>
  </si>
  <si>
    <t>B_116</t>
  </si>
  <si>
    <t>entity:QNL_B_120_COMPACT_SHELVING_-MAIN_COLLECTION</t>
  </si>
  <si>
    <t>B_120</t>
  </si>
  <si>
    <t>COMPACT_SHELVING_-MAIN_COLLECTION</t>
  </si>
  <si>
    <t>entity:QNL_B_121_SORTING_SHELVING_ROOM</t>
  </si>
  <si>
    <t>B_121</t>
  </si>
  <si>
    <t>SORTING_SHELVING_ROOM</t>
  </si>
  <si>
    <t>entity:QNL_B_122_IT_OFFICE</t>
  </si>
  <si>
    <t>B_122</t>
  </si>
  <si>
    <t>IT_OFFICE</t>
  </si>
  <si>
    <t>entity:QNL_B_132_SHELL_SPACE-SPECIAL_COLLECTION</t>
  </si>
  <si>
    <t>B_132</t>
  </si>
  <si>
    <t>SHELL_SPACE-SPECIAL_COLLECTION</t>
  </si>
  <si>
    <t>B141_HLP</t>
  </si>
  <si>
    <t>HL_PLANT_ROOM</t>
  </si>
  <si>
    <t>entity:QNL_B141_VAU_VAULT</t>
  </si>
  <si>
    <t>B141_VAU</t>
  </si>
  <si>
    <t>VAULT</t>
  </si>
  <si>
    <t>B_142</t>
  </si>
  <si>
    <t>B_143</t>
  </si>
  <si>
    <t>HERITAGE_COLLECTION</t>
  </si>
  <si>
    <t>B_144</t>
  </si>
  <si>
    <t>entity:QNL_B_145_LOBY_&amp;_CSECURITY</t>
  </si>
  <si>
    <t>B_145</t>
  </si>
  <si>
    <t>LOBY_&amp;_CSECURITY</t>
  </si>
  <si>
    <t>B_146</t>
  </si>
  <si>
    <t>VIP_REST_ROOM</t>
  </si>
  <si>
    <t>B_147</t>
  </si>
  <si>
    <t>B_148</t>
  </si>
  <si>
    <t>VIP_MAJLIS</t>
  </si>
  <si>
    <t>entity:QNL_B_149_DIRECTOR_HEAD</t>
  </si>
  <si>
    <t>B_149</t>
  </si>
  <si>
    <t>DIRECTOR_HEAD</t>
  </si>
  <si>
    <t>B_150</t>
  </si>
  <si>
    <t>ASSISTANT_HEAD</t>
  </si>
  <si>
    <t>entity:QNL_B_151_RESEARCH_&amp;_DOC-RCRDS_MGMT</t>
  </si>
  <si>
    <t>B_151</t>
  </si>
  <si>
    <t>RESEARCH_&amp;_DOC-RCRDS_MGMT</t>
  </si>
  <si>
    <t>entity:QNL_B_152_SECURITY_ROOM</t>
  </si>
  <si>
    <t>B_152</t>
  </si>
  <si>
    <t>SECURITY_ROOM</t>
  </si>
  <si>
    <t>entity:QNL_B_153_PROF_LIBRARIAN</t>
  </si>
  <si>
    <t>B_153</t>
  </si>
  <si>
    <t>PROF_LIBRARIAN</t>
  </si>
  <si>
    <t>entity:QNL_B_155_FACULTY_CARRELS</t>
  </si>
  <si>
    <t>B_155</t>
  </si>
  <si>
    <t>FACULTY_CARRELS</t>
  </si>
  <si>
    <t>B_156</t>
  </si>
  <si>
    <t>B_157</t>
  </si>
  <si>
    <t>B_158</t>
  </si>
  <si>
    <t>B_159</t>
  </si>
  <si>
    <t>B_160</t>
  </si>
  <si>
    <t>B_161</t>
  </si>
  <si>
    <t>B_162</t>
  </si>
  <si>
    <t>B_163</t>
  </si>
  <si>
    <t>B_164</t>
  </si>
  <si>
    <t>B_165</t>
  </si>
  <si>
    <t>B_166</t>
  </si>
  <si>
    <t>B_167</t>
  </si>
  <si>
    <t>B_168</t>
  </si>
  <si>
    <t>B_169</t>
  </si>
  <si>
    <t>entity:QNL_B_200_DIGITIZATION</t>
  </si>
  <si>
    <t>B_200</t>
  </si>
  <si>
    <t>DIGITIZATION</t>
  </si>
  <si>
    <t>B_201</t>
  </si>
  <si>
    <t>B_202</t>
  </si>
  <si>
    <t>B_203</t>
  </si>
  <si>
    <t>entity:QNL_B_204_TECHNICAL_SERVICES</t>
  </si>
  <si>
    <t>B_204</t>
  </si>
  <si>
    <t>TECHNICAL_SERVICES</t>
  </si>
  <si>
    <t>entity:QNL_B_205_INSTRUCTION_PRESENTATION</t>
  </si>
  <si>
    <t>B_205</t>
  </si>
  <si>
    <t>INSTRUCTION_PRESENTATION</t>
  </si>
  <si>
    <t>entity:QNL_B_206_INSTRUCTION_OUTREACH</t>
  </si>
  <si>
    <t>B_206</t>
  </si>
  <si>
    <t>INSTRUCTION_OUTREACH</t>
  </si>
  <si>
    <t>entity:QNL_B_207_PRESEARCHERS_READING_AREA</t>
  </si>
  <si>
    <t>B_207</t>
  </si>
  <si>
    <t>PRESEARCHERS_READING_AREA</t>
  </si>
  <si>
    <t>entity:QNL_B_208_PROF_LIBRARIAN</t>
  </si>
  <si>
    <t>B_208</t>
  </si>
  <si>
    <t>entity:QNL_B_209_CONSERVATION_WORK_AREA</t>
  </si>
  <si>
    <t>B_209</t>
  </si>
  <si>
    <t>CONSERVATION_WORK_AREA</t>
  </si>
  <si>
    <t>entity:QNL_B_210_FM_STORAGE</t>
  </si>
  <si>
    <t>B_210</t>
  </si>
  <si>
    <t>entity:QNL_B_211_PH_PLANT_ROOM</t>
  </si>
  <si>
    <t>B_211</t>
  </si>
  <si>
    <t>PH_PLANT_ROOM</t>
  </si>
  <si>
    <t>B_213</t>
  </si>
  <si>
    <t>MISTING_SYSTEM</t>
  </si>
  <si>
    <t>B214_COR</t>
  </si>
  <si>
    <t>CORRIDOR6</t>
  </si>
  <si>
    <t>B214_IDF</t>
  </si>
  <si>
    <t>entity:QNL_B_215_IDF_FM_STORAGE</t>
  </si>
  <si>
    <t>B_215</t>
  </si>
  <si>
    <t>IDF_FM_STORAGE</t>
  </si>
  <si>
    <t>entity:QNL_B_215A_IDF</t>
  </si>
  <si>
    <t>B_215A</t>
  </si>
  <si>
    <t>IDF</t>
  </si>
  <si>
    <t>entity:QNL_B_220_PLANT_ROOM_04</t>
  </si>
  <si>
    <t>B_220</t>
  </si>
  <si>
    <t>PLANT_ROOM_04</t>
  </si>
  <si>
    <t>B_221</t>
  </si>
  <si>
    <t>entity:QNL_B_222_IDF</t>
  </si>
  <si>
    <t>B_222</t>
  </si>
  <si>
    <t>B_223</t>
  </si>
  <si>
    <t>VENTILATON</t>
  </si>
  <si>
    <t>B_224</t>
  </si>
  <si>
    <t>B_225</t>
  </si>
  <si>
    <t>entity:QNL_B_226_PUMP_ROOM</t>
  </si>
  <si>
    <t>B_226</t>
  </si>
  <si>
    <t>PUMP_ROOM</t>
  </si>
  <si>
    <t>B_227</t>
  </si>
  <si>
    <t>B-AT-04A</t>
  </si>
  <si>
    <t>ST-04A</t>
  </si>
  <si>
    <t>B-L-1</t>
  </si>
  <si>
    <t>L-1</t>
  </si>
  <si>
    <t>B-L-15</t>
  </si>
  <si>
    <t>L-15</t>
  </si>
  <si>
    <t>B-L-2</t>
  </si>
  <si>
    <t>L-2</t>
  </si>
  <si>
    <t>B-L-3</t>
  </si>
  <si>
    <t>L-3</t>
  </si>
  <si>
    <t>B-L-4</t>
  </si>
  <si>
    <t>L-4</t>
  </si>
  <si>
    <t>B-ST-01</t>
  </si>
  <si>
    <t>B-ST-02</t>
  </si>
  <si>
    <t>ST-02</t>
  </si>
  <si>
    <t>B-ST-03</t>
  </si>
  <si>
    <t>ST-03</t>
  </si>
  <si>
    <t>B-ST-05</t>
  </si>
  <si>
    <t>ST-05</t>
  </si>
  <si>
    <t>B-ST-11</t>
  </si>
  <si>
    <t>ST-11</t>
  </si>
  <si>
    <t>B-ST-12</t>
  </si>
  <si>
    <t>ST-12</t>
  </si>
  <si>
    <t>L1_154</t>
  </si>
  <si>
    <t>L1_155</t>
  </si>
  <si>
    <t>L1_156</t>
  </si>
  <si>
    <t>M2_HVAC_SHAFT</t>
  </si>
  <si>
    <t>L1_157</t>
  </si>
  <si>
    <t>E2_ELEC_SHAFT</t>
  </si>
  <si>
    <t>L1_158</t>
  </si>
  <si>
    <t>L1_159</t>
  </si>
  <si>
    <t>L1_160</t>
  </si>
  <si>
    <t>L1_161</t>
  </si>
  <si>
    <t>N2_PIPE_SHAFT</t>
  </si>
  <si>
    <t>L1_162</t>
  </si>
  <si>
    <t>STORE</t>
  </si>
  <si>
    <t>entity:QNL_L1_001_OPEN_READING_AREA</t>
  </si>
  <si>
    <t>L1_001</t>
  </si>
  <si>
    <t>OPEN_READING_AREA</t>
  </si>
  <si>
    <t>entity:QNL_L1_002_BRAILLE_READER</t>
  </si>
  <si>
    <t>L1_002</t>
  </si>
  <si>
    <t>BRAILLE_READER</t>
  </si>
  <si>
    <t>entity:QNL_L1_002A_GREEM_ROOM</t>
  </si>
  <si>
    <t>L1_002A</t>
  </si>
  <si>
    <t>GREEM_ROOM</t>
  </si>
  <si>
    <t>entity:QNL_L1_003_TUTORING_HEAD</t>
  </si>
  <si>
    <t>L1_003</t>
  </si>
  <si>
    <t>TUTORING_HEAD</t>
  </si>
  <si>
    <t>entity:QNL_L1_004_WRITING_ROOM1</t>
  </si>
  <si>
    <t>L1_004</t>
  </si>
  <si>
    <t>WRITING_ROOM1</t>
  </si>
  <si>
    <t>entity:QNL_L1_005_WRITING_ROOM2</t>
  </si>
  <si>
    <t>L1_005</t>
  </si>
  <si>
    <t>WRITING_ROOM2</t>
  </si>
  <si>
    <t>L1_006</t>
  </si>
  <si>
    <t>WRITING_HEAD</t>
  </si>
  <si>
    <t>entity:QNL_L1_007_STUDENT_CARRLES</t>
  </si>
  <si>
    <t>L1_007</t>
  </si>
  <si>
    <t>STUDENT_CARRLES</t>
  </si>
  <si>
    <t>entity:QNL_L1_020_INFO_LITERACY_INSTR1</t>
  </si>
  <si>
    <t>L1_020</t>
  </si>
  <si>
    <t>INFO_LITERACY_INSTR1</t>
  </si>
  <si>
    <t>entity:QNL_L1_021_INFO_LITERACY_INSTR2</t>
  </si>
  <si>
    <t>L1_021</t>
  </si>
  <si>
    <t>INFO_LITERACY_INSTR2</t>
  </si>
  <si>
    <t>entity:QNL_L1_022_COMPUTER_CLASSROOM</t>
  </si>
  <si>
    <t>L1_022</t>
  </si>
  <si>
    <t>COMPUTER_CLASSROOM</t>
  </si>
  <si>
    <t>L1023_1</t>
  </si>
  <si>
    <t>entity:QNL_L1023_2_CORRIDOR</t>
  </si>
  <si>
    <t>L1023_2</t>
  </si>
  <si>
    <t>L1023_3</t>
  </si>
  <si>
    <t>L1_024</t>
  </si>
  <si>
    <t>L1_025</t>
  </si>
  <si>
    <t>entity:QNL_L1_026_GROUP_STUDY_ROOM1</t>
  </si>
  <si>
    <t>L1_026</t>
  </si>
  <si>
    <t>GROUP_STUDY_ROOM1</t>
  </si>
  <si>
    <t>entity:QNL_L1_027_GROUP_STUDY_ROOM2</t>
  </si>
  <si>
    <t>L1_027</t>
  </si>
  <si>
    <t>GROUP_STUDY_ROOM2</t>
  </si>
  <si>
    <t>entity:QNL_L1_028_GROUP_STUDY_ROOM3</t>
  </si>
  <si>
    <t>L1_028</t>
  </si>
  <si>
    <t>GROUP_STUDY_ROOM3</t>
  </si>
  <si>
    <t>entity:QNL_L1_029_GROUP_STUDY_ROOM4</t>
  </si>
  <si>
    <t>L1_029</t>
  </si>
  <si>
    <t>GROUP_STUDY_ROOM4</t>
  </si>
  <si>
    <t>entity:QNL_L1_030_ICT_ROOM_02</t>
  </si>
  <si>
    <t>L1_030</t>
  </si>
  <si>
    <t>ICT_ROOM_02</t>
  </si>
  <si>
    <t>entity:QNL_L1_040_HEAD_LIBRARIAN_OFFICE</t>
  </si>
  <si>
    <t>L1_040</t>
  </si>
  <si>
    <t>HEAD_LIBRARIAN_OFFICE</t>
  </si>
  <si>
    <t>entity:QNL_L1_041_MULTPURPOSE_ROOM</t>
  </si>
  <si>
    <t>L1_041</t>
  </si>
  <si>
    <t>MULTPURPOSE_ROOM</t>
  </si>
  <si>
    <t>L1_042</t>
  </si>
  <si>
    <t>L1_043</t>
  </si>
  <si>
    <t>BABY_CHAN</t>
  </si>
  <si>
    <t>L1_044</t>
  </si>
  <si>
    <t>BREAST_FEEDING</t>
  </si>
  <si>
    <t>L1_045</t>
  </si>
  <si>
    <t>L1_046</t>
  </si>
  <si>
    <t>entity:QNL_L1_047_CHILDREN_LIBRARY_-_PRE_SCHOOL_READING_&amp;_PLAYING</t>
  </si>
  <si>
    <t>L1_047</t>
  </si>
  <si>
    <t>CHILDREN_LIBRARY_-_PRE_SCHOOL_READING_&amp;_PLAYING</t>
  </si>
  <si>
    <t>entity:QNL_L1_048_STAFF_OFFICE</t>
  </si>
  <si>
    <t>L1_048</t>
  </si>
  <si>
    <t>STAFF_OFFICE</t>
  </si>
  <si>
    <t>L1_049</t>
  </si>
  <si>
    <t>L1_050</t>
  </si>
  <si>
    <t>STROLLER_PARKING</t>
  </si>
  <si>
    <t>L1_061</t>
  </si>
  <si>
    <t>L1_062</t>
  </si>
  <si>
    <t>entity:QNL_L1_063_MEDIA_STUDIO_1</t>
  </si>
  <si>
    <t>L1_063</t>
  </si>
  <si>
    <t>MEDIA_STUDIO_1</t>
  </si>
  <si>
    <t>L1_064</t>
  </si>
  <si>
    <t>entity:QNL_L1_065_MEDIA_STUDIO_1</t>
  </si>
  <si>
    <t>L1_065</t>
  </si>
  <si>
    <t>L1067_FRO</t>
  </si>
  <si>
    <t>FRONT_KITCHEN</t>
  </si>
  <si>
    <t>L1067_RES</t>
  </si>
  <si>
    <t>RESTAURANT</t>
  </si>
  <si>
    <t>entity:QNL_L1_080_PUBLIC_SERVICE</t>
  </si>
  <si>
    <t>L1_080</t>
  </si>
  <si>
    <t>PUBLIC_SERVICE</t>
  </si>
  <si>
    <t>entity:QNL_L1_081_BIBLIOGRANHER1</t>
  </si>
  <si>
    <t>L1_081</t>
  </si>
  <si>
    <t>BIBLIOGRANHER1</t>
  </si>
  <si>
    <t>entity:QNL_L1_082_BIBLIOGRAPHER2</t>
  </si>
  <si>
    <t>L1_082</t>
  </si>
  <si>
    <t>BIBLIOGRAPHER2</t>
  </si>
  <si>
    <t>entity:QNL_L1_083_SPEC_COLL&amp;ARCH</t>
  </si>
  <si>
    <t>L1_083</t>
  </si>
  <si>
    <t>SPEC_COLL&amp;ARCH</t>
  </si>
  <si>
    <t>entity:QNL_L1_084_R&amp;L_SERVICES</t>
  </si>
  <si>
    <t>L1_084</t>
  </si>
  <si>
    <t>R&amp;L_SERVICES</t>
  </si>
  <si>
    <t>entity:QNL_L1_085_ADPUBLIC_SERVICE</t>
  </si>
  <si>
    <t>L1_085</t>
  </si>
  <si>
    <t>ADPUBLIC_SERVICE</t>
  </si>
  <si>
    <t>entity:QNL_L1_086_REF_LIBRARIAN_1</t>
  </si>
  <si>
    <t>L1_086</t>
  </si>
  <si>
    <t>REF_LIBRARIAN_1</t>
  </si>
  <si>
    <t>entity:QNL_L1_087_REF_LIBRARIAN_2</t>
  </si>
  <si>
    <t>L1_087</t>
  </si>
  <si>
    <t>REF_LIBRARIAN_2</t>
  </si>
  <si>
    <t>entity:QNL_L1_088_REF_LIBRARIAN_3</t>
  </si>
  <si>
    <t>L1_088</t>
  </si>
  <si>
    <t>REF_LIBRARIAN_3</t>
  </si>
  <si>
    <t>entity:QNL_L1_089_REF_LIBRARIAN_4</t>
  </si>
  <si>
    <t>L1_089</t>
  </si>
  <si>
    <t>REF_LIBRARIAN_4</t>
  </si>
  <si>
    <t>entity:QNL_L1_090_REF_LIBRARIAN_5</t>
  </si>
  <si>
    <t>L1_090</t>
  </si>
  <si>
    <t>REF_LIBRARIAN_5</t>
  </si>
  <si>
    <t>entity:QNL_L1_091_REF_LIBRARIAN_6</t>
  </si>
  <si>
    <t>L1_091</t>
  </si>
  <si>
    <t>REF_LIBRARIAN_6</t>
  </si>
  <si>
    <t>entity:QNL_L1_092_REF_LIBRARIAN_7</t>
  </si>
  <si>
    <t>L1_092</t>
  </si>
  <si>
    <t>REF_LIBRARIAN_7</t>
  </si>
  <si>
    <t>entity:QNL_L1_093_REF_LIBRARIAN_8</t>
  </si>
  <si>
    <t>L1_093</t>
  </si>
  <si>
    <t>REF_LIBRARIAN_8</t>
  </si>
  <si>
    <t>entity:QNL_L1_094_REF_LIBRARIAN_9</t>
  </si>
  <si>
    <t>L1_094</t>
  </si>
  <si>
    <t>REF_LIBRARIAN_9</t>
  </si>
  <si>
    <t>entity:QNL_L1_095_REF_LIBRARIAN_10</t>
  </si>
  <si>
    <t>L1_095</t>
  </si>
  <si>
    <t>REF_LIBRARIAN_10</t>
  </si>
  <si>
    <t>entity:QNL_L1_096_REF_LIBRARIAN_11</t>
  </si>
  <si>
    <t>L1_096</t>
  </si>
  <si>
    <t>REF_LIBRARIAN_11</t>
  </si>
  <si>
    <t>entity:QNL_L1_097_REF_LIBRARIAN_12</t>
  </si>
  <si>
    <t>L1_097</t>
  </si>
  <si>
    <t>REF_LIBRARIAN_12</t>
  </si>
  <si>
    <t>L1_098</t>
  </si>
  <si>
    <t>entity:QNL_L1_099_IDF_ROOM_02</t>
  </si>
  <si>
    <t>L1_099</t>
  </si>
  <si>
    <t>IDF_ROOM_02</t>
  </si>
  <si>
    <t>entity:QNL_L1_100_AERIAL_PLATFORM_PARKING</t>
  </si>
  <si>
    <t>L1_100</t>
  </si>
  <si>
    <t>AERIAL_PLATFORM_PARKING</t>
  </si>
  <si>
    <t>L1_101</t>
  </si>
  <si>
    <t>REST_ROOMMEN</t>
  </si>
  <si>
    <t>L1_102</t>
  </si>
  <si>
    <t>L1104_FEM</t>
  </si>
  <si>
    <t>PRAYER_ROOM_FEMALE</t>
  </si>
  <si>
    <t>L1104_MEL</t>
  </si>
  <si>
    <t>PRAYER_ROOM_MALE</t>
  </si>
  <si>
    <t>entity:QNL_L1_105_ABLUTIONMEN</t>
  </si>
  <si>
    <t>L1_105</t>
  </si>
  <si>
    <t>ABLUTIONMEN</t>
  </si>
  <si>
    <t>entity:QNL_L1_106_ABLUTIONWOMEN</t>
  </si>
  <si>
    <t>L1_106</t>
  </si>
  <si>
    <t>ABLUTIONWOMEN</t>
  </si>
  <si>
    <t>L1_130</t>
  </si>
  <si>
    <t>PUBLIS_SPACE</t>
  </si>
  <si>
    <t>L1_142</t>
  </si>
  <si>
    <t>LEARNING_COMMONS</t>
  </si>
  <si>
    <t>entity:QNL_L1_153_FURNITURE_STORAGE</t>
  </si>
  <si>
    <t>L1_153</t>
  </si>
  <si>
    <t>FURNITURE_STORAGE</t>
  </si>
  <si>
    <t>L1-L-1</t>
  </si>
  <si>
    <t>L1-L-2</t>
  </si>
  <si>
    <t>entity:QNL_L1-L-3_L-3</t>
  </si>
  <si>
    <t>L1-L-3</t>
  </si>
  <si>
    <t>L1-L-4</t>
  </si>
  <si>
    <t>L1-L-5</t>
  </si>
  <si>
    <t>L-5</t>
  </si>
  <si>
    <t>L1-RP-10</t>
  </si>
  <si>
    <t>RP-10</t>
  </si>
  <si>
    <t>L1-ST-01</t>
  </si>
  <si>
    <t>L1-ST-02</t>
  </si>
  <si>
    <t>L1-ST-03</t>
  </si>
  <si>
    <t>L1-ST-10</t>
  </si>
  <si>
    <t>L1_140</t>
  </si>
  <si>
    <t>SPECIAL_EVENTS</t>
  </si>
  <si>
    <t>L2_006</t>
  </si>
  <si>
    <t>L2_007</t>
  </si>
  <si>
    <t>L2_008</t>
  </si>
  <si>
    <t>entity:QNL_L2_009_KDF_ROOM</t>
  </si>
  <si>
    <t>L2_009</t>
  </si>
  <si>
    <t>KDF_ROOM</t>
  </si>
  <si>
    <t>entity:QNL_L2_010_BREAKOUT_SPACE</t>
  </si>
  <si>
    <t>L2_010</t>
  </si>
  <si>
    <t>BREAKOUT_SPACE</t>
  </si>
  <si>
    <t>entity:QNL_L2_011_CTRCULATION_OFFICE</t>
  </si>
  <si>
    <t>L2_011</t>
  </si>
  <si>
    <t>CTRCULATION_OFFICE</t>
  </si>
  <si>
    <t>entity:QNL_L2_012_OFFICE_SPEC_COL</t>
  </si>
  <si>
    <t>L2_012</t>
  </si>
  <si>
    <t>OFFICE_SPEC_COL</t>
  </si>
  <si>
    <t>entity:QNL_L2_013_OFFICE_SPEC_COL</t>
  </si>
  <si>
    <t>L2_013</t>
  </si>
  <si>
    <t>L2_014</t>
  </si>
  <si>
    <t>TRANSL_SPC_&amp;_EDI_PUBLICATIONS_SPC</t>
  </si>
  <si>
    <t>L2_015</t>
  </si>
  <si>
    <t>40_GROUP_STUDY_ROOM_5</t>
  </si>
  <si>
    <t>L2_016</t>
  </si>
  <si>
    <t>40_GROUP_STUDY_ROOM_6</t>
  </si>
  <si>
    <t>entity:QNL_L2_017_40_GROUP_STUDY_ROOM_7</t>
  </si>
  <si>
    <t>L2_017</t>
  </si>
  <si>
    <t>40_GROUP_STUDY_ROOM_7</t>
  </si>
  <si>
    <t>L2_018</t>
  </si>
  <si>
    <t>L2_021</t>
  </si>
  <si>
    <t>LIBR_COM_REO_&amp;_EVENTS_SPC</t>
  </si>
  <si>
    <t>entity:QNL_L2_022_ACADEMIC_PERS_LIBRARIA</t>
  </si>
  <si>
    <t>L2_022</t>
  </si>
  <si>
    <t>ACADEMIC_PERS_LIBRARIA</t>
  </si>
  <si>
    <t>entity:QNL_L2_023_AD_ADMIN_&amp;_PLANNING</t>
  </si>
  <si>
    <t>L2_023</t>
  </si>
  <si>
    <t>AD_ADMIN_&amp;_PLANNING</t>
  </si>
  <si>
    <t>entity:QNL_L2_024_OFFICE_COORD</t>
  </si>
  <si>
    <t>L2_024</t>
  </si>
  <si>
    <t>OFFICE_COORD</t>
  </si>
  <si>
    <t>entity:QNL_L2_025_OPEN_OFFICE</t>
  </si>
  <si>
    <t>L2_025</t>
  </si>
  <si>
    <t>OPEN_OFFICE</t>
  </si>
  <si>
    <t>L2_041</t>
  </si>
  <si>
    <t>L2_042</t>
  </si>
  <si>
    <t>REST_ROOM</t>
  </si>
  <si>
    <t>entity:QNL_L2_043_SERVICE_&amp;_LOUNGE</t>
  </si>
  <si>
    <t>L2_043</t>
  </si>
  <si>
    <t>SERVICE_&amp;_LOUNGE</t>
  </si>
  <si>
    <t>entity:QNL_L2_044_LIBDIRECTORS_ROOM</t>
  </si>
  <si>
    <t>L2_044</t>
  </si>
  <si>
    <t>LIBDIRECTORS_ROOM</t>
  </si>
  <si>
    <t>entity:QNL_L2_046_VIP_MEETING</t>
  </si>
  <si>
    <t>L2_046</t>
  </si>
  <si>
    <t>VIP_MEETING</t>
  </si>
  <si>
    <t>L2_047</t>
  </si>
  <si>
    <t>entity:QNL_L2_048_VIP_WATING</t>
  </si>
  <si>
    <t>L2_048</t>
  </si>
  <si>
    <t>VIP_WATING</t>
  </si>
  <si>
    <t>L2_049</t>
  </si>
  <si>
    <t>L2_050</t>
  </si>
  <si>
    <t>entity:QNL_L2_051_VIP_ROOM</t>
  </si>
  <si>
    <t>L2_051</t>
  </si>
  <si>
    <t>VIP_ROOM</t>
  </si>
  <si>
    <t>entity:QNL_L2_070_INDIVISTUDY_ROOM</t>
  </si>
  <si>
    <t>L2_070</t>
  </si>
  <si>
    <t>INDIVISTUDY_ROOM</t>
  </si>
  <si>
    <t>L2_071</t>
  </si>
  <si>
    <t>L2_072</t>
  </si>
  <si>
    <t>entity:QNL_L2_073_INDIVISTUDY_ROOM</t>
  </si>
  <si>
    <t>L2_073</t>
  </si>
  <si>
    <t>L2_074</t>
  </si>
  <si>
    <t>L2_075</t>
  </si>
  <si>
    <t>entity:QNL_L2_076_GROUP_STUDY_ROOM</t>
  </si>
  <si>
    <t>L2_076</t>
  </si>
  <si>
    <t>GROUP_STUDY_ROOM</t>
  </si>
  <si>
    <t>L2_077</t>
  </si>
  <si>
    <t>L2_079</t>
  </si>
  <si>
    <t>entity:QNL_L2_081_GROUP_STUDY_ROOM</t>
  </si>
  <si>
    <t>L2_081</t>
  </si>
  <si>
    <t>L2_085</t>
  </si>
  <si>
    <t>entity:QNL_L2_087_AUDITORIUM_HIGH_LEVLEL_IN_CEILING_VOID</t>
  </si>
  <si>
    <t>L2_087</t>
  </si>
  <si>
    <t>AUDITORIUM_HIGH_LEVLEL_IN_CEILING_VOID</t>
  </si>
  <si>
    <t>L2-L-1_1</t>
  </si>
  <si>
    <t>L2-L-1_2</t>
  </si>
  <si>
    <t>L2-L-3</t>
  </si>
  <si>
    <t>L2-L-4</t>
  </si>
  <si>
    <t>L2-ST-01</t>
  </si>
  <si>
    <t>L2-ST-02</t>
  </si>
  <si>
    <t>entity:QNL_T1_020_OPEN_LOUNGE_TERRACE</t>
  </si>
  <si>
    <t>T1_020</t>
  </si>
  <si>
    <t>OPEN_LOUNGE_TERRACE</t>
  </si>
  <si>
    <t>entity:QNL_T1_021_OPEN_STUDY_TERRACE</t>
  </si>
  <si>
    <t>T1_021</t>
  </si>
  <si>
    <t>OPEN_STUDY_TERRACE</t>
  </si>
  <si>
    <t>entity:QNL_T1_323_IDF_ROOM</t>
  </si>
  <si>
    <t>T1_323</t>
  </si>
  <si>
    <t>entity:QNL_L1_144_ILL_DIRECTOR</t>
  </si>
  <si>
    <t>L1_144</t>
  </si>
  <si>
    <t>ILL_DIRECTOR</t>
  </si>
  <si>
    <t>entity:QNL_L1_150_RESTAURANT</t>
  </si>
  <si>
    <t>L1_150</t>
  </si>
  <si>
    <t>entity:QNL_T1_275_IDF_ROOM</t>
  </si>
  <si>
    <t>T1_275</t>
  </si>
  <si>
    <t>entity:QNL_T1_276_IDF_ROOM</t>
  </si>
  <si>
    <t>T1_276</t>
  </si>
  <si>
    <t>entity:QNL_T1_171_IDF_ROOM</t>
  </si>
  <si>
    <t>T1_171</t>
  </si>
  <si>
    <t>entity:QNL_T1_1714_IDF_ROOM</t>
  </si>
  <si>
    <t>T1_1714</t>
  </si>
  <si>
    <t>entity:QNL_L2_088_BRIDGE_RAISED_FLOOR</t>
  </si>
  <si>
    <t>L2_088</t>
  </si>
  <si>
    <t>BRIDGE_RAISED_FLOOR</t>
  </si>
  <si>
    <t>entity:QNL_B_140_HL_PLANT_ROOM</t>
  </si>
  <si>
    <t>B_140</t>
  </si>
  <si>
    <t>entity:QNL_B_105_SECURITY_CONTOL_ROOM</t>
  </si>
  <si>
    <t>B_105</t>
  </si>
  <si>
    <t>SECURITY_CONTOL_ROOM</t>
  </si>
  <si>
    <t>entity:QNL_B_212_MISTING_PUMP_ROOM</t>
  </si>
  <si>
    <t>B_212</t>
  </si>
  <si>
    <t>MISTING_PUMP_ROOM</t>
  </si>
  <si>
    <t>entity:QNL_L1_104_PRAYER_ROOM_FEMALE</t>
  </si>
  <si>
    <t>L1_104</t>
  </si>
  <si>
    <t>entity:QNL_B_001A_BREAK_OUT_AREA</t>
  </si>
  <si>
    <t>B_001A</t>
  </si>
  <si>
    <t>BREAK_OUT_AREA</t>
  </si>
  <si>
    <t>B_001</t>
  </si>
  <si>
    <t>entity:QNL_B_056_OFFICE_DIG_INIT</t>
  </si>
  <si>
    <t>B_056</t>
  </si>
  <si>
    <t>entity:QNL_B_057_OFFICE_AD_FOR_LIT</t>
  </si>
  <si>
    <t>B_057</t>
  </si>
  <si>
    <t>entity:QNL_B_59_SHELL_SPACE</t>
  </si>
  <si>
    <t>B_59</t>
  </si>
  <si>
    <t>entity:QNL_B_044_BOH_KITCHEN</t>
  </si>
  <si>
    <t>B_044</t>
  </si>
  <si>
    <t>BOH_KITCHEN</t>
  </si>
  <si>
    <t>entity:QNL_L1_023_CORRIDOR</t>
  </si>
  <si>
    <t>L1_023</t>
  </si>
  <si>
    <t>B_061</t>
  </si>
  <si>
    <t>entity:QNL_B_064_CORRIDOR_2</t>
  </si>
  <si>
    <t>B_064</t>
  </si>
  <si>
    <t>CORRIDOR_2</t>
  </si>
  <si>
    <t>entity:QNL_B_035_CORRIDOR_4</t>
  </si>
  <si>
    <t>B_035</t>
  </si>
  <si>
    <t>CORRIDOR_4</t>
  </si>
  <si>
    <t>entity:QNL_B_104A_PLANT_ROOM</t>
  </si>
  <si>
    <t>B_104A</t>
  </si>
  <si>
    <t>entity:QNL_B_052_CORRIDOR_3</t>
  </si>
  <si>
    <t>B_052</t>
  </si>
  <si>
    <t>CORRIDOR_3</t>
  </si>
  <si>
    <t>entity:QNL_L1_990_VESTIBULE</t>
  </si>
  <si>
    <t>L1_990</t>
  </si>
  <si>
    <t>entity:QNL_L1_991_EXTERNAL_BOOK_DROP</t>
  </si>
  <si>
    <t>L1_991</t>
  </si>
  <si>
    <t>EXTERNAL_BOOK_DROP</t>
  </si>
  <si>
    <t>entity:QNL_L2_992_GULF_MATERIAL</t>
  </si>
  <si>
    <t>L2_992</t>
  </si>
  <si>
    <t>GULF_MATERIAL</t>
  </si>
  <si>
    <t>entity:QNL_L2_993_CORRIDOR</t>
  </si>
  <si>
    <t>L2_993</t>
  </si>
  <si>
    <t>entity:QNL_B_001_TECH_SERVICES_AND_COLLECTIONS_OFFICE</t>
  </si>
  <si>
    <t>IDF ROOM T1.323</t>
  </si>
  <si>
    <t>ILL DIRECTOR L1.144</t>
  </si>
  <si>
    <t>ILL DIRECTOR L1.145</t>
  </si>
  <si>
    <t>IDF ROOM T1.275</t>
  </si>
  <si>
    <t>IDF ROOM T1.276</t>
  </si>
  <si>
    <t>IDF ROOM T1.171</t>
  </si>
  <si>
    <t>IDF ROOM T1.1714</t>
  </si>
  <si>
    <t>GULF MATERIAL L2</t>
  </si>
  <si>
    <t>BIBLIOGRAPHER 1 L1.081</t>
  </si>
  <si>
    <t>BIBLIOGRAPHER 2 L1.082</t>
  </si>
  <si>
    <t>TECHNICAL SERVICES B.203</t>
  </si>
  <si>
    <t>Asked me to confirm that all equipment in Controllable Asset Registry column A rows 779-1229 (QNL block) has been filtered and transposed into column D of 'QNL Room Names with Equip.', matching CAR column E to QNL column A, excluding assets with no value in column E.</t>
  </si>
  <si>
    <t>Read-only audit. Built the set of 451 QNL tags (CAR A779:A1229) with their column E entity, read every spilled value in QNL D2:AK1041, and reconciled the two sets both ways.</t>
  </si>
  <si>
    <t>451 tags, no duplicates. 2 have blank column E (VAV0001 row 931, VAV_B_S13_005 row 1134) - correctly excluded by rule, but they spill into QNL rows 338-1041 where column A is blank, because the FILTER test compares blank E to blank A and returns TRUE. 16 tags (VAV_B_S11_003 to _020, CAR rows 1086-1103) are missing entirely: CAR E reads entity:QNL_B_001_TECH_SERVICES_AND_COLLECTIONS_OFFICE while QNL A323 reads entity:QNL_B_001_TECH_SERVICES_&amp;_COLLECTIONS_OFFICE (AND vs &amp;). Remaining 433 tags all placed. All 1040 rows of column D carry the formula.</t>
  </si>
  <si>
    <t>Not fully confirmed: 433 of 449 eligible tags transposed. Awaiting user decision on (a) which spelling to standardise for the B.001 Tech Services room and (b) whether to stop the formula spilling into blank-column-A rows.</t>
  </si>
  <si>
    <t>TECH_SERVICES_AND_COLLECTIONS_OFFICE</t>
  </si>
  <si>
    <t>After editing QNL room names in A2:C337 and clearing rows 338 down, asked me to re-run the confirmation check.</t>
  </si>
  <si>
    <t>Re-ran the full two-way reconciliation of CAR A779:A1229 against the column D spills in 'QNL Room Names with Equip.', then spot-checked row 323 and the cleared tail rows.</t>
  </si>
  <si>
    <t>451 tags total, 449 eligible (2 blank-entity: VAV0001 row 931, VAV_B_S13_005 row 1134). All 449 eligible tags now found in column D - 0 missing. The AND vs &amp; mismatch is resolved: A323 now reads entity:QNL_B_001_TECH_SERVICES_AND_COLLECTIONS_OFFICE and returns its 16 VAVs (VAV_B_S11_003 to _020). The blank-entity leak is gone - column D formulas now stop at row 337 (336 rooms), and A338:E345 verified empty of both values and formulas. 172 of 336 rooms legitimately show 'No Equipment in entity'.</t>
  </si>
  <si>
    <t>Confirmed. QNL block fully reconciled: 449 of 449 eligible assets transposed, 2 correctly excluded for having no column E value, no spurious spill.</t>
  </si>
  <si>
    <t>ahu-8601</t>
  </si>
  <si>
    <t>BRIDGE CEILING VOID L1.BR6</t>
  </si>
  <si>
    <t>BRIDGE CEILING VOID L1.BR5</t>
  </si>
  <si>
    <t>BRIDGE CEILING VOID L1.BR4</t>
  </si>
  <si>
    <t>BRIDGE CEILING</t>
  </si>
  <si>
    <t>VOID L1.BR4</t>
  </si>
  <si>
    <t>BRIDGE CEILING VOID L1.BR3</t>
  </si>
  <si>
    <t>BRIDGE CEILING VOID L1.BR2</t>
  </si>
  <si>
    <t>BRIDGE CEILING VOID L1.BR1</t>
  </si>
  <si>
    <t>VOID L1.BR5</t>
  </si>
  <si>
    <t>BRIDGE IDF L1.BI</t>
  </si>
  <si>
    <t>entity:QNL_L1_BR6_BRIDGE_CEILING_VOID</t>
  </si>
  <si>
    <t>entity:QNL_L1_BR5_BRIDGE_CEILING_VOID</t>
  </si>
  <si>
    <t>entity:QNL_L1_BR4_BRIDGE_CEILING_VOID</t>
  </si>
  <si>
    <t>entity:QNL_L1_BC1_BRIDGE_CEILING</t>
  </si>
  <si>
    <t>entity:QNL_L1_BR3_BRIDGE_CEILING_VOID</t>
  </si>
  <si>
    <t>entity:QNL_L1_BR2_BRIDGE_CEILING_VOID</t>
  </si>
  <si>
    <t>entity:QNL_L1_BR1_BRIDGE_CEILING_VOID</t>
  </si>
  <si>
    <t>entity:QNL_L1_BC2_BRIDGE_CEILING</t>
  </si>
  <si>
    <t>entity:QNL_L1_BI_BRIDGE_IDF</t>
  </si>
  <si>
    <t>entity:QNL_L2_018_GROUP_STUDY_ROOM_8</t>
  </si>
  <si>
    <t>Room Number</t>
  </si>
  <si>
    <t>Room Name</t>
  </si>
  <si>
    <t>GROUP_STUDY_ROOM_8</t>
  </si>
  <si>
    <t>L1_BR6</t>
  </si>
  <si>
    <t>BRIDGE_CEILING_VOID</t>
  </si>
  <si>
    <t>L1_BR5</t>
  </si>
  <si>
    <t>L1_BR4</t>
  </si>
  <si>
    <t>L1_BR3</t>
  </si>
  <si>
    <t>L1_BR2</t>
  </si>
  <si>
    <t>L1_BR1</t>
  </si>
  <si>
    <t>L1_BC1</t>
  </si>
  <si>
    <t>BRIDGE_CEILING</t>
  </si>
  <si>
    <t>L1_BC2</t>
  </si>
  <si>
    <t>L1_BI</t>
  </si>
  <si>
    <t>BRIDGE_IDF</t>
  </si>
  <si>
    <t>Asked me to redo the validation exercise on the QNL equipment mapping.</t>
  </si>
  <si>
    <t>Re-ran the two-way reconciliation, found 5 newly added rooms had no formula in column D, and filled D337 down to D338:D342.</t>
  </si>
  <si>
    <t>Initial re-run showed 16 eligible tags unplaced across 5 entities (L2_992_GULF_MATERIAL, L2_993_CORRIDOR, L1_BC1_BRIDGE_CEILING, L1_BC2_BRIDGE_CEILING, L1_BI_BRIDGE_IDF). Cause was structural, not a name mismatch: rooms were added at rows 338-342 in column A but the TRANSPOSE(FILTER(...)) formula still stopped at row 337. Copied D337 into D338:D342 (destination was empty, no overwrite). Also checked for duplicate CAR tags, duplicate placements, tags landing in the wrong room row, and spill errors - none found.</t>
  </si>
  <si>
    <t>Resolved. 449 of 449 eligible tags now placed, 0 missing, 0 misplaced, 0 errors. Formula rows in D now 341, matching the 341 rooms in column A. New rows returned 6, 7, 1, 1 and 1 asset respectively.</t>
  </si>
  <si>
    <t>Uploaded a photo of the QNL Honeywell DX Unit Summary HMI page and asked to copy the room numbers in for the equipment in column A, rows 1230-1253.</t>
  </si>
  <si>
    <t>Mapped the 24 DX units on the HMI screen to rows 1230-1253 and wrote room numbers into column D (not C - see details). Wrote D1234:D1252 (16 cells); left 3 cells blank with explanatory notes.</t>
  </si>
  <si>
    <t>User said column C, but C is the 'Included/Not Included' flag column and D is 'ROOM NAME AS PER DRAWINGS' - D1230:D1233 and D1243 already held B.081/B.082 matching the HMI, confirming D is the right target. Mapping: B01/B02=B.081; B03/B04/B14=B.082; B05/B06=B.083; B07/B16=B.095; B08/B09=B.084; B10=B.102; B12/B23=B.107; B13/B15=B.093; B17/B18/B19=B.045A; B20=B.092; B22=B.106. DX_B11 (Basement Zone 5) has no room number on the HMI; DX_B21 and DX_B24 are DX/RP roof units (Zone C) with no room number - notes added instead of values.</t>
  </si>
  <si>
    <t>Verified by re-reading A1230:D1253 - all 24 rows populated except D1240, D1250, D1253 which are intentionally blank with notes. Column C left untouched.</t>
  </si>
  <si>
    <t>MV ROOM B.081</t>
  </si>
  <si>
    <t>TRANSFORMER ROOM B.082</t>
  </si>
  <si>
    <t>EMERGENCY LIGHTING BATTERY ROOM B.095</t>
  </si>
  <si>
    <t>SECURITY &amp; BMS B.102</t>
  </si>
  <si>
    <t>SECURITY EQUIPMENT ROOM B.107</t>
  </si>
  <si>
    <t>TRASH CHAMBER B.093</t>
  </si>
  <si>
    <t>STORAGE B.092</t>
  </si>
  <si>
    <t>QTEL ROOM B.048</t>
  </si>
  <si>
    <t>TELECOM ROOM B.050</t>
  </si>
  <si>
    <t>SERVER ROOM B.089</t>
  </si>
  <si>
    <t>IDF B.222</t>
  </si>
  <si>
    <t>Supplied a full QNL basement room name/number list and asked to prefix the room names before every room number already in column D, from row 1230 to the end of the QNL section.</t>
  </si>
  <si>
    <t>Determined QNL section spans rows 1230-1329 (row 1330 = SSC header). Populated names on 24 cells: D1230:D1252 (DX units) and D1301:D1311 (CCU units). Left 8 cells with bare room numbers and added explanatory notes.</t>
  </si>
  <si>
    <t>Format used: NAME + existing room number, e.g. 'MV ROOM B.081'. Only rows 1230-1253 and 1301-1311 held room numbers within the QNL block; all other QNL rows (HEX, EF, KEF, SEF, TEF, CHW pumps, generator) have empty column D so nothing to prefix. Unresolved: B.083 (rows 1234-1235) and B.045A (rows 1246-1248) do not appear in the supplied list; B.106 (row 1251) and B.141 (rows 1308-1309) each have two candidate names in the list. 'TRANSH CHAMBER B093' interpreted as TRASH CHAMBER. Rows 1240/1250/1253 hold Basement Zone 5 and ROOF ZONE C - no room number, left as-is.</t>
  </si>
  <si>
    <t>Verified by re-reading A1230:D1253 and A1301:D1311 - 24 cells now carry name + number; 8 flagged with notes pending user confirmation.</t>
  </si>
  <si>
    <t>HV ROOM B.083</t>
  </si>
  <si>
    <t>REST ROOM SECURITY B.106_RES</t>
  </si>
  <si>
    <t>VAULT_B.141_VAU</t>
  </si>
  <si>
    <t>ITTIGATION CONTROL ROOM B.046_ITT</t>
  </si>
  <si>
    <t>REFRIGERATE STORE B.045A</t>
  </si>
  <si>
    <t>Generator B.080</t>
  </si>
  <si>
    <t>Loading Room B.109</t>
  </si>
  <si>
    <t>Sprinklers Pumps B.072</t>
  </si>
  <si>
    <t>Plant Zone P.002</t>
  </si>
  <si>
    <t>Plant Zone P.004</t>
  </si>
  <si>
    <t>Plant Zone P.006</t>
  </si>
  <si>
    <t>Plant Zone P.007</t>
  </si>
  <si>
    <t>ELEC SHAFT L1.E2</t>
  </si>
  <si>
    <t>ELEC SHAFT L1.E1</t>
  </si>
  <si>
    <t>PLANT ROOM 2 B.070</t>
  </si>
  <si>
    <t>COMPACT SHELVING-MAIN COLLECTION B.120</t>
  </si>
  <si>
    <t>BREAKOUT AREA B.001A</t>
  </si>
  <si>
    <t>DIGITIZATION CENTER B.055</t>
  </si>
  <si>
    <t>Trash room B.093</t>
  </si>
  <si>
    <t>Fuel pump room B.091</t>
  </si>
  <si>
    <t>IDF ROOM B.214</t>
  </si>
  <si>
    <t>L-3 L1.L-3</t>
  </si>
  <si>
    <t>RESTAURANT L1.067</t>
  </si>
  <si>
    <t>MEP KITCHEN B.049</t>
  </si>
  <si>
    <t>PH PLANT B.211</t>
  </si>
  <si>
    <t>IDF Roof RP.001</t>
  </si>
  <si>
    <t>entity:QNL_B_083_HV_ROOM</t>
  </si>
  <si>
    <t>entity:QNL_B_045A_REFRIGERATE_STORE</t>
  </si>
  <si>
    <t>entity:QNL_P_004_PLANT_ZONE</t>
  </si>
  <si>
    <t>entity:QNL_B_055_DIGITIZATION_CENTER</t>
  </si>
  <si>
    <t>entity:QNL_B_214_IDF_ROOM</t>
  </si>
  <si>
    <t>entity:QNL_P_002_PLANT_ZONE</t>
  </si>
  <si>
    <t>entity:QNL_P_007_PLANT_ZONE</t>
  </si>
  <si>
    <t>entity:QNL_L1_067_RESTAURANT</t>
  </si>
  <si>
    <t>entity:QNL_P_006_PLANT_ZONE</t>
  </si>
  <si>
    <t>entity:QNL_L1-E2_ELEC_SHAFT</t>
  </si>
  <si>
    <t>entity:QNL_L1-E1_ELEC_SHAFT</t>
  </si>
  <si>
    <t>B_083</t>
  </si>
  <si>
    <t>HV_ROOM</t>
  </si>
  <si>
    <t>B_045A</t>
  </si>
  <si>
    <t>REFRIGERATE_STORE</t>
  </si>
  <si>
    <t>P_004</t>
  </si>
  <si>
    <t>PLANT_ZONE</t>
  </si>
  <si>
    <t>B_055</t>
  </si>
  <si>
    <t>DIGITIZATION_CENTER</t>
  </si>
  <si>
    <t>B_214</t>
  </si>
  <si>
    <t>P_002</t>
  </si>
  <si>
    <t>P_007</t>
  </si>
  <si>
    <t>L1_067</t>
  </si>
  <si>
    <t>P_006</t>
  </si>
  <si>
    <t>L1-E2</t>
  </si>
  <si>
    <t>ELEC_SHAFT</t>
  </si>
  <si>
    <t>L1-E1</t>
  </si>
  <si>
    <t>User asked to re-run the validation of the QNL room/equipment mapping.</t>
  </si>
  <si>
    <t>Re-audited 'Controllable Asset Registry' A779:A1329 against column D of 'QNL Room Names with Equip.'. Read-only; no changes made.</t>
  </si>
  <si>
    <t>Source range in the column D TRANSPOSE(FILTER(...)) formulas has widened since the earlier audit, from A779:A1229 to A779:A1329, and now carries an if_empty argument returning "No Equipment in entity". Rooms in column A run to row 353 (352 entities) with matching formulas in D2:D353. Audited against the widened range: 551 asset tags, 537 with a non-blank column E entity. Also checked CAR rows below 1329 - 271 further assets exist but all carry SSC_ prefixed entities (different building), so ending the range at 1329 is correct and no QNL assets are excluded.</t>
  </si>
  <si>
    <t>Clean. 537 of 537 eligible assets placed in the correct room row; 0 unplaced, 0 misplaced, 0 orphans, 0 spill errors, no duplicate tags or duplicate room entities. 14 blank-entity assets correctly excluded with no leakage. 154 rooms legitimately show "No Equipment in entity".</t>
  </si>
  <si>
    <t>ROOM NAME PER VAV / FCU LIST (WHERE DIFFERENT)</t>
  </si>
  <si>
    <t>ROOM PER BMS SCREEN</t>
  </si>
  <si>
    <t>BMS SCREEN (IMAGE FILE)</t>
  </si>
  <si>
    <t>IDF Rm</t>
  </si>
  <si>
    <t>QNL/FF-2.jpg</t>
  </si>
  <si>
    <t>Auditorium</t>
  </si>
  <si>
    <t>QNL/SF-6.jpg</t>
  </si>
  <si>
    <t>Group Study Rm</t>
  </si>
  <si>
    <t>Indv. Study Rm</t>
  </si>
  <si>
    <t>Lounge area</t>
  </si>
  <si>
    <t>QNL/BF-8.jpg</t>
  </si>
  <si>
    <t>QNL/BF-2.jpg</t>
  </si>
  <si>
    <t>FM Storage</t>
  </si>
  <si>
    <t>QNL/BF-10.jpg</t>
  </si>
  <si>
    <t>QNL/BF-3.jpg</t>
  </si>
  <si>
    <t>Plant Rm 1</t>
  </si>
  <si>
    <t>Plant Rm 2</t>
  </si>
  <si>
    <t>QNL/BF-6.jpg</t>
  </si>
  <si>
    <t>Plant Rm 4</t>
  </si>
  <si>
    <t>PH Plant</t>
  </si>
  <si>
    <t>Misting System</t>
  </si>
  <si>
    <t>Sorting Shelving Rm</t>
  </si>
  <si>
    <t>Pump Rm 4</t>
  </si>
  <si>
    <t>Shell Space-Special Collection</t>
  </si>
  <si>
    <t>Study Rm2</t>
  </si>
  <si>
    <t>QNL/FF.jpg</t>
  </si>
  <si>
    <t>Cell between Study Rm2 and Study Rm 4</t>
  </si>
  <si>
    <t>Info. Literacy Instr.1</t>
  </si>
  <si>
    <t>Computer Class Rm</t>
  </si>
  <si>
    <t>Study Rm 4</t>
  </si>
  <si>
    <t>QNL/FF-3.jpg</t>
  </si>
  <si>
    <t>Children Library</t>
  </si>
  <si>
    <t>Yellow cell south of Staff Office</t>
  </si>
  <si>
    <t>Prayer Rm (Female)</t>
  </si>
  <si>
    <t>Multipurpose Rm</t>
  </si>
  <si>
    <t>QNL/SF-1.jpg</t>
  </si>
  <si>
    <t>Group Study Rm 7</t>
  </si>
  <si>
    <t>Lib. Director's Rm</t>
  </si>
  <si>
    <t>QNL/SF-3.jpg</t>
  </si>
  <si>
    <t>Service &amp; Lounge</t>
  </si>
  <si>
    <t>Office Coord</t>
  </si>
  <si>
    <t>VIP Rm</t>
  </si>
  <si>
    <t>Technical Services</t>
  </si>
  <si>
    <t>QNL/BF-5.jpg</t>
  </si>
  <si>
    <t>Instruction Presentation</t>
  </si>
  <si>
    <t>Researchers Reading Area</t>
  </si>
  <si>
    <t>QNL/BF-7.jpg</t>
  </si>
  <si>
    <t>QNL/BF.jpg</t>
  </si>
  <si>
    <t>QNL/BF-1.jpg</t>
  </si>
  <si>
    <t>Corridor east of Receving Area</t>
  </si>
  <si>
    <t>Kitchen</t>
  </si>
  <si>
    <t>Storage</t>
  </si>
  <si>
    <t>Finance Cooridinator &amp; Business Support officer</t>
  </si>
  <si>
    <t>Analog Resource</t>
  </si>
  <si>
    <t>Budget &amp; Payment</t>
  </si>
  <si>
    <t>Ad Collection</t>
  </si>
  <si>
    <t>Corridor 4</t>
  </si>
  <si>
    <t>Procurement SPC</t>
  </si>
  <si>
    <t>Receving Area</t>
  </si>
  <si>
    <t>Meeting Rm</t>
  </si>
  <si>
    <t>Processing Rm</t>
  </si>
  <si>
    <t>Shipping Clerk</t>
  </si>
  <si>
    <t>Security Store</t>
  </si>
  <si>
    <t>Office</t>
  </si>
  <si>
    <t>QNL/BF-4.jpg</t>
  </si>
  <si>
    <t>Corridor 2</t>
  </si>
  <si>
    <t>Gas Suppression</t>
  </si>
  <si>
    <t>Server Rm</t>
  </si>
  <si>
    <t>Sprinkler Pump</t>
  </si>
  <si>
    <t>Finance Cooridinator &amp; Business Support officer B.003</t>
  </si>
  <si>
    <t>Procurement SPC B.027</t>
  </si>
  <si>
    <t>OFFICE B.040</t>
  </si>
  <si>
    <t xml:space="preserve">Restaurant </t>
  </si>
  <si>
    <t>Info. Literacy Instr.2</t>
  </si>
  <si>
    <t xml:space="preserve">Media Studio1 </t>
  </si>
  <si>
    <t>Plant Rm 3</t>
  </si>
  <si>
    <t>Digitization</t>
  </si>
  <si>
    <t xml:space="preserve">Break Out Area </t>
  </si>
  <si>
    <t>Tech.Services &amp; Collections Office</t>
  </si>
  <si>
    <t>Digitization Rm</t>
  </si>
  <si>
    <t>Breakout space</t>
  </si>
  <si>
    <t>Circulation Office</t>
  </si>
  <si>
    <t>Transl.Spc&amp; Space ED L2.014</t>
  </si>
  <si>
    <t>entity:QNL_L2_014_TRANS_SPC_AND_SPACE_ED</t>
  </si>
  <si>
    <t>LIBR COM REL SPC &amp; EVENTS SPC L2.021</t>
  </si>
  <si>
    <t>entity:QNL_L2_021_LIBR_COM_REL_SPC_AND_EVENTS_SPC</t>
  </si>
  <si>
    <t>Lounge Area L2.088</t>
  </si>
  <si>
    <t>entity:QNL_L2_088_LOUNGE_AREA</t>
  </si>
  <si>
    <t>Plant Zone</t>
  </si>
  <si>
    <t>QNL/RF-3.jpg</t>
  </si>
  <si>
    <t>Emergency Lighting Battery Rm</t>
  </si>
  <si>
    <t>Loading Area (pink, south-west)</t>
  </si>
  <si>
    <t>Loading Area (north-west grey band)</t>
  </si>
  <si>
    <t>PUMP ROOM B.226</t>
  </si>
  <si>
    <t>Security Equip. B.107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</si>
</sst>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17" x14ac:knownFonts="1">
    <font>
      <sz val="11"/>
      <color theme="1"/>
      <name val="Calibri"/>
      <family val="2"/>
      <charset val="1"/>
    </font>
    <font>
      <b/>
      <sz val="15"/>
      <color rgb="FFFFFFFF"/>
      <name val="Arial"/>
      <family val="2"/>
    </font>
    <font>
      <b/>
      <sz val="9"/>
      <color rgb="FFFFFFFF"/>
      <name val="Arial"/>
      <family val="2"/>
    </font>
    <font>
      <sz val="9"/>
      <name val="Arial"/>
      <family val="2"/>
    </font>
    <font>
      <b/>
      <sz val="10"/>
      <color rgb="FFFFFFFF"/>
      <name val="Arial"/>
      <family val="2"/>
    </font>
    <font>
      <b/>
      <sz val="9"/>
      <name val="Arial"/>
      <family val="2"/>
    </font>
    <font>
      <sz val="9"/>
      <name val="Arial"/>
      <family val="2"/>
    </font>
    <font>
      <b/>
      <sz val="9"/>
      <name val="Arial"/>
      <family val="2"/>
    </font>
    <font>
      <b/>
      <sz val="11"/>
      <color theme="1"/>
      <name val="Calibri"/>
      <family val="2"/>
    </font>
    <font>
      <b/>
      <sz val="11"/>
      <color rgb="FFFFFFFF"/>
      <name val="Calibri"/>
      <family val="2"/>
      <charset val="1"/>
    </font>
    <font>
      <sz val="11"/>
      <color rgb="FF000000"/>
      <name val="Calibri"/>
      <family val="2"/>
      <charset val="1"/>
    </font>
    <font>
      <b/>
      <sz val="9"/>
      <color rgb="FF000000"/>
      <name val="Segoe UI"/>
      <family val="2"/>
    </font>
    <font>
      <sz val="9"/>
      <name val="Segoe UI"/>
      <family val="2"/>
    </font>
    <font>
      <sz val="8"/>
      <name val="Calibri"/>
      <family val="2"/>
      <charset val="1"/>
    </font>
    <font>
      <b/>
      <sz val="12"/>
      <color theme="1"/>
      <name val="Calibri"/>
      <family val="2"/>
      <charset val="1"/>
    </font>
    <font>
      <sz val="9"/>
      <color indexed="81"/>
      <name val="Tahoma"/>
      <family val="2"/>
    </font>
    <font>
      <b/>
      <sz val="9"/>
      <color indexed="81"/>
      <name val="Tahoma"/>
      <family val="2"/>
    </font>
  </fonts>
  <fills count="11">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FFFFFF"/>
        <bgColor rgb="FFF5F5F5"/>
      </patternFill>
    </fill>
    <fill>
      <patternFill patternType="solid">
        <fgColor rgb="FFF5F5F5"/>
        <bgColor rgb="FFFFFFFF"/>
      </patternFill>
    </fill>
    <fill>
      <patternFill patternType="solid">
        <fgColor theme="0" tint="-0.499984740745262"/>
        <bgColor indexed="64"/>
      </patternFill>
    </fill>
    <fill>
      <patternFill patternType="solid">
        <fgColor rgb="FF1F4E79"/>
        <bgColor indexed="64"/>
      </patternFill>
    </fill>
    <fill>
      <patternFill patternType="solid">
        <fgColor rgb="FFC8C8C8"/>
        <bgColor rgb="FF000000"/>
      </patternFill>
    </fill>
    <fill>
      <patternFill patternType="solid">
        <fgColor rgb="FFFFFF00"/>
        <bgColor rgb="FFFFFF00"/>
      </patternFill>
    </fill>
    <fill>
      <patternFill patternType="solid">
        <fgColor rgb="FF00B050"/>
        <bgColor indexed="64"/>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35">
    <xf numFmtId="0" fontId="0" fillId="0" borderId="0" xfId="0"/>
    <xf numFmtId="0" fontId="2" fillId="2"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5" fillId="5" borderId="1" xfId="0" applyFont="1" applyFill="1" applyBorder="1" applyAlignment="1">
      <alignment horizontal="center"/>
    </xf>
    <xf numFmtId="0" fontId="3" fillId="0" borderId="1" xfId="0" applyFont="1" applyBorder="1" applyAlignment="1">
      <alignment horizontal="center"/>
    </xf>
    <xf numFmtId="0" fontId="2" fillId="2" borderId="1" xfId="0" applyFont="1" applyFill="1" applyBorder="1" applyAlignment="1">
      <alignment horizontal="center"/>
    </xf>
    <xf numFmtId="0" fontId="4" fillId="3" borderId="2" xfId="0" applyFont="1" applyFill="1" applyBorder="1"/>
    <xf numFmtId="0" fontId="6" fillId="4" borderId="1" xfId="0" applyFont="1" applyFill="1" applyBorder="1" applyAlignment="1">
      <alignment horizontal="center" vertical="center"/>
    </xf>
    <xf numFmtId="0" fontId="7" fillId="5" borderId="1" xfId="0" applyFont="1" applyFill="1" applyBorder="1" applyAlignment="1">
      <alignment horizontal="center"/>
    </xf>
    <xf numFmtId="0" fontId="9" fillId="7" borderId="0" xfId="0" applyFont="1" applyFill="1"/>
    <xf numFmtId="14" fontId="0" fillId="0" borderId="0" xfId="0" applyNumberFormat="1"/>
    <xf numFmtId="0" fontId="2" fillId="2" borderId="5" xfId="0" applyFont="1" applyFill="1" applyBorder="1" applyAlignment="1">
      <alignment horizontal="center" vertical="center" wrapText="1"/>
    </xf>
    <xf numFmtId="0" fontId="2" fillId="0" borderId="1" xfId="0" applyFont="1" applyBorder="1" applyAlignment="1">
      <alignment horizontal="center" vertical="center" wrapText="1"/>
    </xf>
    <xf numFmtId="0" fontId="10" fillId="0" borderId="0" xfId="0" applyFont="1"/>
    <xf numFmtId="0" fontId="11" fillId="8" borderId="6" xfId="0" applyFont="1" applyFill="1" applyBorder="1"/>
    <xf numFmtId="0" fontId="11" fillId="8" borderId="7" xfId="0" applyFont="1" applyFill="1" applyBorder="1"/>
    <xf numFmtId="0" fontId="12" fillId="0" borderId="8" xfId="0" applyFont="1" applyBorder="1" applyAlignment="1">
      <alignment wrapText="1"/>
    </xf>
    <xf numFmtId="0" fontId="12" fillId="0" borderId="9" xfId="0" applyFont="1" applyBorder="1" applyAlignment="1">
      <alignment wrapText="1"/>
    </xf>
    <xf numFmtId="0" fontId="11" fillId="8" borderId="10" xfId="0" applyFont="1" applyFill="1" applyBorder="1"/>
    <xf numFmtId="164" fontId="0" fillId="0" borderId="0" xfId="0" applyNumberFormat="1"/>
    <xf numFmtId="165" fontId="0" fillId="0" borderId="0" xfId="0" applyNumberFormat="1"/>
    <xf numFmtId="0" fontId="0" fillId="9" borderId="0" xfId="0" applyFill="1"/>
    <xf numFmtId="0" fontId="10" fillId="9" borderId="0" xfId="0" applyFont="1" applyFill="1"/>
    <xf numFmtId="0" fontId="14" fillId="0" borderId="0" xfId="0" applyFont="1"/>
    <xf numFmtId="49" fontId="0" fillId="0" borderId="0" xfId="0" applyNumberFormat="1"/>
    <xf numFmtId="0" fontId="0" fillId="10" borderId="0" xfId="0" applyFill="1"/>
    <xf numFmtId="0" fontId="10" fillId="10" borderId="0" xfId="0" applyFont="1" applyFill="1"/>
    <xf numFmtId="0" fontId="1" fillId="2" borderId="0" xfId="0" applyFont="1" applyFill="1" applyAlignment="1">
      <alignment horizontal="center" vertical="center"/>
    </xf>
    <xf numFmtId="0" fontId="0" fillId="0" borderId="0" xfId="0"/>
    <xf numFmtId="0" fontId="8" fillId="6" borderId="0" xfId="0" applyFont="1" applyFill="1" applyAlignment="1">
      <alignment horizontal="left"/>
    </xf>
    <xf numFmtId="0" fontId="3" fillId="4" borderId="1" xfId="0" applyFont="1" applyFill="1" applyBorder="1" applyAlignment="1">
      <alignment horizontal="center" vertical="center"/>
    </xf>
    <xf numFmtId="0" fontId="0" fillId="0" borderId="4" xfId="0" applyBorder="1"/>
    <xf numFmtId="0" fontId="4" fillId="3" borderId="1" xfId="0" applyFont="1" applyFill="1" applyBorder="1" applyAlignment="1">
      <alignment horizontal="center"/>
    </xf>
    <xf numFmtId="0" fontId="0" fillId="0" borderId="3" xfId="0" applyBorder="1"/>
    <xf numFmtId="0" fontId="0" fillId="0"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5F5F5"/>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3</v>
  </rv>
  <rv s="1">
    <v>13</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14"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C81A8AF-2451-46A0-84EF-8CA32219AB0E}">
  <we:reference id="WA200009404" version="1.0.0.8" store="Omex" storeType="OMEX"/>
  <we:alternateReferences>
    <we:reference id="WA200009404" version="1.0.0.8" store="WA200009404" storeType="OMEX"/>
  </we:alternateReferences>
  <we:properties>
    <we:property name="claude.fileId" value="&quot;735b78b4-f50d-44a7-bcd6-8483aa9808f9&quot;"/>
  </we:properties>
  <we:bindings/>
  <we:snapshot xmlns:r="http://schemas.openxmlformats.org/officeDocument/2006/relationships"/>
</we:webextension>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9"/>
  <sheetViews>
    <sheetView workbookViewId="0">
      <selection sqref="A1:D1"/>
    </sheetView>
  </sheetViews>
  <sheetFormatPr defaultRowHeight="14.4" x14ac:dyDescent="0.3"/>
  <cols>
    <col min="1" max="1" width="8.33203125" customWidth="1"/>
    <col min="2" max="2" width="13" customWidth="1"/>
    <col min="3" max="6" width="40.77734375" customWidth="1"/>
  </cols>
  <sheetData>
    <row r="1" spans="1:6" x14ac:dyDescent="0.3">
      <c r="A1" s="9" t="s">
        <v>2343</v>
      </c>
      <c r="B1" s="9" t="s">
        <v>2344</v>
      </c>
      <c r="C1" s="9" t="s">
        <v>2345</v>
      </c>
      <c r="D1" s="9" t="s">
        <v>2346</v>
      </c>
      <c r="E1" s="9" t="s">
        <v>2347</v>
      </c>
      <c r="F1" s="9" t="s">
        <v>2348</v>
      </c>
    </row>
    <row r="2" spans="1:6" x14ac:dyDescent="0.3">
      <c r="A2">
        <v>1</v>
      </c>
      <c r="B2" s="10">
        <v>46244</v>
      </c>
      <c r="C2" t="s">
        <v>2349</v>
      </c>
      <c r="D2" t="s">
        <v>2350</v>
      </c>
      <c r="E2" t="s">
        <v>2351</v>
      </c>
      <c r="F2" t="s">
        <v>2352</v>
      </c>
    </row>
    <row r="3" spans="1:6" x14ac:dyDescent="0.3">
      <c r="A3">
        <v>3</v>
      </c>
      <c r="B3" s="10">
        <v>46244</v>
      </c>
      <c r="C3" t="s">
        <v>2353</v>
      </c>
      <c r="D3" t="s">
        <v>2354</v>
      </c>
      <c r="E3" t="s">
        <v>2355</v>
      </c>
      <c r="F3" t="s">
        <v>2356</v>
      </c>
    </row>
    <row r="4" spans="1:6" x14ac:dyDescent="0.3">
      <c r="A4">
        <v>4</v>
      </c>
      <c r="B4" s="10">
        <v>46244</v>
      </c>
      <c r="C4" t="s">
        <v>2357</v>
      </c>
      <c r="D4" t="s">
        <v>2358</v>
      </c>
      <c r="E4" t="s">
        <v>2359</v>
      </c>
      <c r="F4" t="s">
        <v>2360</v>
      </c>
    </row>
    <row r="5" spans="1:6" x14ac:dyDescent="0.3">
      <c r="A5">
        <v>5</v>
      </c>
      <c r="B5" s="10">
        <v>46244</v>
      </c>
      <c r="C5" t="s">
        <v>2361</v>
      </c>
      <c r="D5" t="s">
        <v>2362</v>
      </c>
      <c r="E5" t="s">
        <v>2363</v>
      </c>
      <c r="F5" t="s">
        <v>2364</v>
      </c>
    </row>
    <row r="6" spans="1:6" x14ac:dyDescent="0.3">
      <c r="A6">
        <v>6</v>
      </c>
      <c r="B6" s="10">
        <v>46245</v>
      </c>
      <c r="C6" t="s">
        <v>2365</v>
      </c>
      <c r="D6" t="s">
        <v>2366</v>
      </c>
      <c r="E6" t="s">
        <v>2367</v>
      </c>
      <c r="F6" t="s">
        <v>2368</v>
      </c>
    </row>
    <row r="7" spans="1:6" x14ac:dyDescent="0.3">
      <c r="A7">
        <v>7</v>
      </c>
      <c r="B7" s="10">
        <v>46245</v>
      </c>
      <c r="C7" t="s">
        <v>2369</v>
      </c>
      <c r="D7" t="s">
        <v>2370</v>
      </c>
      <c r="E7" t="s">
        <v>2371</v>
      </c>
      <c r="F7" t="s">
        <v>2372</v>
      </c>
    </row>
    <row r="8" spans="1:6" x14ac:dyDescent="0.3">
      <c r="A8">
        <v>8</v>
      </c>
      <c r="B8" s="10">
        <v>46245</v>
      </c>
      <c r="C8" t="s">
        <v>2373</v>
      </c>
      <c r="D8" t="s">
        <v>2374</v>
      </c>
      <c r="E8" t="s">
        <v>2375</v>
      </c>
      <c r="F8" t="s">
        <v>2376</v>
      </c>
    </row>
    <row r="9" spans="1:6" x14ac:dyDescent="0.3">
      <c r="A9">
        <v>9</v>
      </c>
      <c r="B9" s="10">
        <v>46245</v>
      </c>
      <c r="C9" t="s">
        <v>2377</v>
      </c>
      <c r="D9" t="s">
        <v>2378</v>
      </c>
      <c r="E9" t="s">
        <v>2379</v>
      </c>
      <c r="F9" t="s">
        <v>2380</v>
      </c>
    </row>
    <row r="10" spans="1:6" x14ac:dyDescent="0.3">
      <c r="A10">
        <v>10</v>
      </c>
      <c r="B10" s="10">
        <v>46245</v>
      </c>
      <c r="C10" t="s">
        <v>2381</v>
      </c>
      <c r="D10" t="s">
        <v>2382</v>
      </c>
      <c r="E10" t="s">
        <v>2383</v>
      </c>
      <c r="F10" t="s">
        <v>2384</v>
      </c>
    </row>
    <row r="11" spans="1:6" x14ac:dyDescent="0.3">
      <c r="A11">
        <v>11</v>
      </c>
      <c r="B11" s="10">
        <v>46245</v>
      </c>
      <c r="C11" t="s">
        <v>2385</v>
      </c>
      <c r="D11" t="s">
        <v>2386</v>
      </c>
      <c r="E11" t="s">
        <v>2387</v>
      </c>
      <c r="F11" t="s">
        <v>2388</v>
      </c>
    </row>
    <row r="12" spans="1:6" x14ac:dyDescent="0.3">
      <c r="A12">
        <v>12</v>
      </c>
      <c r="B12" s="10">
        <v>46245</v>
      </c>
      <c r="C12" t="s">
        <v>2389</v>
      </c>
      <c r="D12" t="s">
        <v>2390</v>
      </c>
      <c r="E12" t="s">
        <v>2391</v>
      </c>
      <c r="F12" t="s">
        <v>2392</v>
      </c>
    </row>
    <row r="13" spans="1:6" x14ac:dyDescent="0.3">
      <c r="A13">
        <v>13</v>
      </c>
      <c r="B13" s="10">
        <v>46245</v>
      </c>
      <c r="C13" t="s">
        <v>2393</v>
      </c>
      <c r="D13" t="s">
        <v>2394</v>
      </c>
      <c r="E13" t="s">
        <v>2395</v>
      </c>
      <c r="F13" t="s">
        <v>2396</v>
      </c>
    </row>
    <row r="14" spans="1:6" x14ac:dyDescent="0.3">
      <c r="A14">
        <v>14</v>
      </c>
      <c r="B14" s="10">
        <v>46245</v>
      </c>
      <c r="C14" t="s">
        <v>2397</v>
      </c>
      <c r="D14" t="s">
        <v>2398</v>
      </c>
      <c r="E14" t="s">
        <v>2399</v>
      </c>
      <c r="F14" t="s">
        <v>2400</v>
      </c>
    </row>
    <row r="15" spans="1:6" x14ac:dyDescent="0.3">
      <c r="A15">
        <v>15</v>
      </c>
      <c r="B15" s="10">
        <v>46245</v>
      </c>
      <c r="C15" t="s">
        <v>2401</v>
      </c>
      <c r="D15" t="s">
        <v>2402</v>
      </c>
      <c r="E15" t="s">
        <v>2403</v>
      </c>
      <c r="F15" t="s">
        <v>2404</v>
      </c>
    </row>
    <row r="16" spans="1:6" x14ac:dyDescent="0.3">
      <c r="A16">
        <v>16</v>
      </c>
      <c r="B16" s="10">
        <v>46246</v>
      </c>
      <c r="C16" t="s">
        <v>2405</v>
      </c>
      <c r="D16" t="s">
        <v>2406</v>
      </c>
      <c r="E16" t="s">
        <v>2407</v>
      </c>
      <c r="F16" t="s">
        <v>2408</v>
      </c>
    </row>
    <row r="17" spans="1:6" x14ac:dyDescent="0.3">
      <c r="A17">
        <v>17</v>
      </c>
      <c r="B17" s="10">
        <v>46246</v>
      </c>
      <c r="C17" t="s">
        <v>2409</v>
      </c>
      <c r="D17" t="s">
        <v>2410</v>
      </c>
      <c r="E17" t="s">
        <v>2411</v>
      </c>
      <c r="F17" t="s">
        <v>2412</v>
      </c>
    </row>
    <row r="18" spans="1:6" x14ac:dyDescent="0.3">
      <c r="A18">
        <v>18</v>
      </c>
      <c r="B18" s="10">
        <v>46246</v>
      </c>
      <c r="C18" t="s">
        <v>2413</v>
      </c>
      <c r="D18" t="s">
        <v>2414</v>
      </c>
      <c r="E18" t="s">
        <v>2415</v>
      </c>
      <c r="F18" t="s">
        <v>2416</v>
      </c>
    </row>
    <row r="19" spans="1:6" x14ac:dyDescent="0.3">
      <c r="A19">
        <v>19</v>
      </c>
      <c r="B19" s="10">
        <v>46246</v>
      </c>
      <c r="C19" t="s">
        <v>2417</v>
      </c>
      <c r="D19" t="s">
        <v>2418</v>
      </c>
      <c r="E19" t="s">
        <v>2419</v>
      </c>
      <c r="F19" t="s">
        <v>2420</v>
      </c>
    </row>
    <row r="20" spans="1:6" x14ac:dyDescent="0.3">
      <c r="A20">
        <v>20</v>
      </c>
      <c r="B20" s="10">
        <v>46246</v>
      </c>
      <c r="C20" t="s">
        <v>2421</v>
      </c>
      <c r="D20" t="s">
        <v>2422</v>
      </c>
      <c r="E20" t="s">
        <v>2423</v>
      </c>
      <c r="F20" t="s">
        <v>2424</v>
      </c>
    </row>
    <row r="21" spans="1:6" x14ac:dyDescent="0.3">
      <c r="A21">
        <v>21</v>
      </c>
      <c r="B21" s="10">
        <v>46246</v>
      </c>
      <c r="C21" t="s">
        <v>2425</v>
      </c>
      <c r="D21" t="s">
        <v>2426</v>
      </c>
      <c r="E21" t="s">
        <v>2427</v>
      </c>
      <c r="F21" t="s">
        <v>2428</v>
      </c>
    </row>
    <row r="22" spans="1:6" x14ac:dyDescent="0.3">
      <c r="A22">
        <v>22</v>
      </c>
      <c r="B22" s="10">
        <v>46246</v>
      </c>
      <c r="C22" t="s">
        <v>2429</v>
      </c>
      <c r="D22" t="s">
        <v>2430</v>
      </c>
      <c r="E22" t="s">
        <v>2431</v>
      </c>
      <c r="F22" t="s">
        <v>2432</v>
      </c>
    </row>
    <row r="23" spans="1:6" x14ac:dyDescent="0.3">
      <c r="A23">
        <v>23</v>
      </c>
      <c r="B23" s="10">
        <v>46246</v>
      </c>
      <c r="C23" t="s">
        <v>2433</v>
      </c>
      <c r="D23" t="s">
        <v>2434</v>
      </c>
      <c r="E23" t="s">
        <v>2435</v>
      </c>
      <c r="F23" t="s">
        <v>2436</v>
      </c>
    </row>
    <row r="24" spans="1:6" x14ac:dyDescent="0.3">
      <c r="A24">
        <v>24</v>
      </c>
      <c r="B24" s="10">
        <v>46246</v>
      </c>
      <c r="C24" t="s">
        <v>2437</v>
      </c>
      <c r="D24" t="s">
        <v>2438</v>
      </c>
      <c r="E24" t="s">
        <v>2439</v>
      </c>
      <c r="F24" t="s">
        <v>2440</v>
      </c>
    </row>
    <row r="25" spans="1:6" x14ac:dyDescent="0.3">
      <c r="A25">
        <v>25</v>
      </c>
      <c r="B25" s="10">
        <v>46246</v>
      </c>
      <c r="C25" t="s">
        <v>2441</v>
      </c>
      <c r="D25" t="s">
        <v>2442</v>
      </c>
      <c r="E25" t="s">
        <v>2443</v>
      </c>
      <c r="F25" t="s">
        <v>2444</v>
      </c>
    </row>
    <row r="26" spans="1:6" x14ac:dyDescent="0.3">
      <c r="A26">
        <v>26</v>
      </c>
      <c r="B26" s="10">
        <v>46246</v>
      </c>
      <c r="C26" t="s">
        <v>2445</v>
      </c>
      <c r="D26" t="s">
        <v>2446</v>
      </c>
      <c r="E26" t="s">
        <v>2447</v>
      </c>
      <c r="F26" t="s">
        <v>2448</v>
      </c>
    </row>
    <row r="27" spans="1:6" x14ac:dyDescent="0.3">
      <c r="A27">
        <v>27</v>
      </c>
      <c r="B27" s="10">
        <v>46246</v>
      </c>
      <c r="C27" t="s">
        <v>2449</v>
      </c>
      <c r="D27" t="s">
        <v>2450</v>
      </c>
      <c r="E27" t="s">
        <v>2451</v>
      </c>
      <c r="F27" t="s">
        <v>2452</v>
      </c>
    </row>
    <row r="28" spans="1:6" x14ac:dyDescent="0.3">
      <c r="A28">
        <v>28</v>
      </c>
      <c r="B28" s="10">
        <v>46246</v>
      </c>
      <c r="C28" t="s">
        <v>2453</v>
      </c>
      <c r="D28" t="s">
        <v>2454</v>
      </c>
      <c r="E28" t="s">
        <v>2455</v>
      </c>
      <c r="F28" t="s">
        <v>2456</v>
      </c>
    </row>
    <row r="29" spans="1:6" x14ac:dyDescent="0.3">
      <c r="A29">
        <v>29</v>
      </c>
      <c r="B29" s="10">
        <v>46246</v>
      </c>
      <c r="C29" t="s">
        <v>2457</v>
      </c>
      <c r="D29" t="s">
        <v>2458</v>
      </c>
      <c r="E29" t="s">
        <v>2459</v>
      </c>
      <c r="F29" t="s">
        <v>2460</v>
      </c>
    </row>
    <row r="30" spans="1:6" x14ac:dyDescent="0.3">
      <c r="A30">
        <v>30</v>
      </c>
      <c r="B30" s="10">
        <v>46246</v>
      </c>
      <c r="C30" t="s">
        <v>2461</v>
      </c>
      <c r="D30" t="s">
        <v>2462</v>
      </c>
      <c r="E30" t="s">
        <v>2463</v>
      </c>
      <c r="F30" t="s">
        <v>2464</v>
      </c>
    </row>
    <row r="31" spans="1:6" x14ac:dyDescent="0.3">
      <c r="A31">
        <v>31</v>
      </c>
      <c r="B31" s="10">
        <v>46246</v>
      </c>
      <c r="C31" t="s">
        <v>2465</v>
      </c>
      <c r="D31" t="s">
        <v>2466</v>
      </c>
      <c r="E31" t="s">
        <v>2467</v>
      </c>
      <c r="F31" t="s">
        <v>2468</v>
      </c>
    </row>
    <row r="32" spans="1:6" x14ac:dyDescent="0.3">
      <c r="A32">
        <v>32</v>
      </c>
      <c r="B32" s="10">
        <v>46246</v>
      </c>
      <c r="C32" t="s">
        <v>2469</v>
      </c>
      <c r="D32" t="s">
        <v>2470</v>
      </c>
      <c r="E32" t="s">
        <v>2471</v>
      </c>
      <c r="F32" t="s">
        <v>2472</v>
      </c>
    </row>
    <row r="33" spans="1:6" x14ac:dyDescent="0.3">
      <c r="A33">
        <v>33</v>
      </c>
      <c r="B33" s="10">
        <v>46246</v>
      </c>
      <c r="C33" t="s">
        <v>2473</v>
      </c>
      <c r="D33" t="s">
        <v>2474</v>
      </c>
      <c r="E33" t="s">
        <v>2475</v>
      </c>
      <c r="F33" t="s">
        <v>2476</v>
      </c>
    </row>
    <row r="34" spans="1:6" x14ac:dyDescent="0.3">
      <c r="A34">
        <v>34</v>
      </c>
      <c r="B34" s="10">
        <v>46246</v>
      </c>
      <c r="C34" t="s">
        <v>2477</v>
      </c>
      <c r="D34" t="s">
        <v>2478</v>
      </c>
      <c r="E34" t="s">
        <v>2479</v>
      </c>
      <c r="F34" t="s">
        <v>2480</v>
      </c>
    </row>
    <row r="35" spans="1:6" x14ac:dyDescent="0.3">
      <c r="A35">
        <v>35</v>
      </c>
      <c r="B35" s="10">
        <v>46246</v>
      </c>
      <c r="C35" t="s">
        <v>2481</v>
      </c>
      <c r="D35" t="s">
        <v>2482</v>
      </c>
      <c r="E35" t="s">
        <v>2483</v>
      </c>
      <c r="F35" t="s">
        <v>2484</v>
      </c>
    </row>
    <row r="36" spans="1:6" x14ac:dyDescent="0.3">
      <c r="A36">
        <v>36</v>
      </c>
      <c r="B36" s="10">
        <v>46246</v>
      </c>
      <c r="C36" t="s">
        <v>2485</v>
      </c>
      <c r="D36" t="s">
        <v>2486</v>
      </c>
      <c r="E36" t="s">
        <v>2487</v>
      </c>
      <c r="F36" t="s">
        <v>2488</v>
      </c>
    </row>
    <row r="37" spans="1:6" x14ac:dyDescent="0.3">
      <c r="A37">
        <v>37</v>
      </c>
      <c r="B37" s="10">
        <v>46246</v>
      </c>
      <c r="C37" t="s">
        <v>2489</v>
      </c>
      <c r="D37" t="s">
        <v>2490</v>
      </c>
      <c r="E37" t="s">
        <v>2491</v>
      </c>
      <c r="F37" t="s">
        <v>2492</v>
      </c>
    </row>
    <row r="38" spans="1:6" x14ac:dyDescent="0.3">
      <c r="A38">
        <v>38</v>
      </c>
      <c r="B38" s="10">
        <v>46246</v>
      </c>
      <c r="C38" t="s">
        <v>2493</v>
      </c>
      <c r="D38" t="s">
        <v>2494</v>
      </c>
      <c r="E38" t="s">
        <v>2495</v>
      </c>
      <c r="F38" t="s">
        <v>2496</v>
      </c>
    </row>
    <row r="39" spans="1:6" x14ac:dyDescent="0.3">
      <c r="A39">
        <v>39</v>
      </c>
      <c r="B39" s="19">
        <v>46248</v>
      </c>
      <c r="C39" t="s">
        <v>2497</v>
      </c>
      <c r="D39" t="s">
        <v>2498</v>
      </c>
      <c r="E39" t="s">
        <v>2499</v>
      </c>
      <c r="F39" t="s">
        <v>2500</v>
      </c>
    </row>
    <row r="40" spans="1:6" x14ac:dyDescent="0.3">
      <c r="A40">
        <v>40</v>
      </c>
      <c r="B40" s="19">
        <v>46248</v>
      </c>
      <c r="C40" t="s">
        <v>2501</v>
      </c>
      <c r="D40" t="s">
        <v>2502</v>
      </c>
      <c r="E40" t="s">
        <v>2503</v>
      </c>
      <c r="F40" t="s">
        <v>2504</v>
      </c>
    </row>
    <row r="41" spans="1:6" x14ac:dyDescent="0.3">
      <c r="A41">
        <v>41</v>
      </c>
      <c r="B41" s="19">
        <v>46248</v>
      </c>
      <c r="C41" t="s">
        <v>2505</v>
      </c>
      <c r="D41" t="s">
        <v>2506</v>
      </c>
      <c r="E41" t="s">
        <v>2507</v>
      </c>
      <c r="F41" t="s">
        <v>2508</v>
      </c>
    </row>
    <row r="42" spans="1:6" x14ac:dyDescent="0.3">
      <c r="A42">
        <v>42</v>
      </c>
      <c r="B42" s="10">
        <v>46251</v>
      </c>
      <c r="C42" t="s">
        <v>2509</v>
      </c>
      <c r="D42" t="s">
        <v>2510</v>
      </c>
      <c r="E42" t="s">
        <v>2511</v>
      </c>
      <c r="F42" t="s">
        <v>2512</v>
      </c>
    </row>
    <row r="43" spans="1:6" x14ac:dyDescent="0.3">
      <c r="A43">
        <v>43</v>
      </c>
      <c r="B43" s="10">
        <v>46251</v>
      </c>
      <c r="C43" t="s">
        <v>2513</v>
      </c>
      <c r="D43" t="s">
        <v>2514</v>
      </c>
      <c r="E43" t="s">
        <v>2515</v>
      </c>
      <c r="F43" t="s">
        <v>2516</v>
      </c>
    </row>
    <row r="44" spans="1:6" x14ac:dyDescent="0.3">
      <c r="A44">
        <v>40</v>
      </c>
      <c r="B44" s="20">
        <v>46251</v>
      </c>
      <c r="C44" t="s">
        <v>2517</v>
      </c>
      <c r="D44" t="s">
        <v>2518</v>
      </c>
      <c r="E44" t="s">
        <v>2519</v>
      </c>
      <c r="F44" t="s">
        <v>2520</v>
      </c>
    </row>
    <row r="45" spans="1:6" x14ac:dyDescent="0.3">
      <c r="A45">
        <v>41</v>
      </c>
      <c r="B45" s="20">
        <v>46251</v>
      </c>
      <c r="C45" t="s">
        <v>2521</v>
      </c>
      <c r="D45" t="s">
        <v>2522</v>
      </c>
      <c r="E45" t="s">
        <v>2523</v>
      </c>
      <c r="F45" t="s">
        <v>2524</v>
      </c>
    </row>
    <row r="46" spans="1:6" x14ac:dyDescent="0.3">
      <c r="A46">
        <v>42</v>
      </c>
      <c r="B46" s="20">
        <v>46251</v>
      </c>
      <c r="C46" t="s">
        <v>2525</v>
      </c>
      <c r="D46" t="s">
        <v>2526</v>
      </c>
      <c r="E46" t="s">
        <v>2527</v>
      </c>
      <c r="F46" t="s">
        <v>2528</v>
      </c>
    </row>
    <row r="47" spans="1:6" x14ac:dyDescent="0.3">
      <c r="A47">
        <v>43</v>
      </c>
      <c r="B47" s="20">
        <v>46251</v>
      </c>
      <c r="C47" t="s">
        <v>2529</v>
      </c>
      <c r="D47" t="s">
        <v>2530</v>
      </c>
      <c r="E47" t="s">
        <v>2531</v>
      </c>
      <c r="F47" t="s">
        <v>2532</v>
      </c>
    </row>
    <row r="48" spans="1:6" x14ac:dyDescent="0.3">
      <c r="A48">
        <v>44</v>
      </c>
      <c r="B48" s="20">
        <v>46251</v>
      </c>
      <c r="C48" t="s">
        <v>2533</v>
      </c>
      <c r="D48" t="s">
        <v>2534</v>
      </c>
      <c r="E48" t="s">
        <v>2535</v>
      </c>
      <c r="F48" t="s">
        <v>2536</v>
      </c>
    </row>
    <row r="49" spans="1:6" x14ac:dyDescent="0.3">
      <c r="A49">
        <v>45</v>
      </c>
      <c r="B49" s="20">
        <v>46251</v>
      </c>
      <c r="C49" t="s">
        <v>2537</v>
      </c>
      <c r="D49" t="s">
        <v>2538</v>
      </c>
      <c r="E49" t="s">
        <v>2539</v>
      </c>
      <c r="F49" t="s">
        <v>2540</v>
      </c>
    </row>
    <row r="50" spans="1:6" x14ac:dyDescent="0.3">
      <c r="A50">
        <v>46</v>
      </c>
      <c r="B50" s="20">
        <v>46251</v>
      </c>
      <c r="C50" t="s">
        <v>3515</v>
      </c>
      <c r="D50" t="s">
        <v>3516</v>
      </c>
      <c r="E50" t="s">
        <v>3517</v>
      </c>
      <c r="F50" t="s">
        <v>3518</v>
      </c>
    </row>
    <row r="51" spans="1:6" x14ac:dyDescent="0.3">
      <c r="A51">
        <v>47</v>
      </c>
      <c r="B51" s="20">
        <v>46251</v>
      </c>
      <c r="C51" t="s">
        <v>4953</v>
      </c>
      <c r="D51" t="s">
        <v>4954</v>
      </c>
      <c r="E51" t="s">
        <v>4955</v>
      </c>
      <c r="F51" t="s">
        <v>4956</v>
      </c>
    </row>
    <row r="52" spans="1:6" x14ac:dyDescent="0.3">
      <c r="A52">
        <v>48</v>
      </c>
      <c r="B52" s="20">
        <v>46251</v>
      </c>
      <c r="C52" t="s">
        <v>4957</v>
      </c>
      <c r="D52" t="s">
        <v>4958</v>
      </c>
      <c r="E52" t="s">
        <v>4959</v>
      </c>
      <c r="F52" t="s">
        <v>4960</v>
      </c>
    </row>
    <row r="53" spans="1:6" x14ac:dyDescent="0.3">
      <c r="A53">
        <v>49</v>
      </c>
      <c r="B53" s="20">
        <v>46251</v>
      </c>
      <c r="C53" t="s">
        <v>5939</v>
      </c>
      <c r="D53" t="s">
        <v>5940</v>
      </c>
      <c r="E53" t="s">
        <v>5941</v>
      </c>
      <c r="F53" t="s">
        <v>5942</v>
      </c>
    </row>
    <row r="54" spans="1:6" x14ac:dyDescent="0.3">
      <c r="A54">
        <v>50</v>
      </c>
      <c r="B54" s="10">
        <v>46252</v>
      </c>
      <c r="C54" t="s">
        <v>6667</v>
      </c>
      <c r="D54" t="s">
        <v>6668</v>
      </c>
      <c r="E54" t="s">
        <v>6669</v>
      </c>
      <c r="F54" t="s">
        <v>6670</v>
      </c>
    </row>
    <row r="55" spans="1:6" x14ac:dyDescent="0.3">
      <c r="A55">
        <v>51</v>
      </c>
      <c r="B55" s="10">
        <v>46252</v>
      </c>
      <c r="C55" t="s">
        <v>6672</v>
      </c>
      <c r="D55" t="s">
        <v>6673</v>
      </c>
      <c r="E55" t="s">
        <v>6674</v>
      </c>
      <c r="F55" t="s">
        <v>6675</v>
      </c>
    </row>
    <row r="56" spans="1:6" x14ac:dyDescent="0.3">
      <c r="A56">
        <v>52</v>
      </c>
      <c r="B56" s="10">
        <v>46252</v>
      </c>
      <c r="C56" t="s">
        <v>6712</v>
      </c>
      <c r="D56" t="s">
        <v>6713</v>
      </c>
      <c r="E56" t="s">
        <v>6714</v>
      </c>
      <c r="F56" t="s">
        <v>6715</v>
      </c>
    </row>
    <row r="57" spans="1:6" x14ac:dyDescent="0.3">
      <c r="A57">
        <v>53</v>
      </c>
      <c r="B57" s="10">
        <v>46260</v>
      </c>
      <c r="C57" t="s">
        <v>6716</v>
      </c>
      <c r="D57" t="s">
        <v>6717</v>
      </c>
      <c r="E57" t="s">
        <v>6718</v>
      </c>
      <c r="F57" t="s">
        <v>6719</v>
      </c>
    </row>
    <row r="58" spans="1:6" x14ac:dyDescent="0.3">
      <c r="A58">
        <v>54</v>
      </c>
      <c r="B58" s="10">
        <v>46260</v>
      </c>
      <c r="C58" t="s">
        <v>6731</v>
      </c>
      <c r="D58" t="s">
        <v>6732</v>
      </c>
      <c r="E58" t="s">
        <v>6733</v>
      </c>
      <c r="F58" t="s">
        <v>6734</v>
      </c>
    </row>
    <row r="59" spans="1:6" x14ac:dyDescent="0.3">
      <c r="A59">
        <v>55</v>
      </c>
      <c r="B59" s="10">
        <v>46261</v>
      </c>
      <c r="C59" t="s">
        <v>6788</v>
      </c>
      <c r="D59" t="s">
        <v>6789</v>
      </c>
      <c r="E59" t="s">
        <v>6790</v>
      </c>
      <c r="F59" t="s">
        <v>6791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14"/>
  <sheetViews>
    <sheetView topLeftCell="C1" workbookViewId="0">
      <selection activeCell="H7" sqref="H7:H8"/>
    </sheetView>
  </sheetViews>
  <sheetFormatPr defaultColWidth="8.6640625" defaultRowHeight="14.4" x14ac:dyDescent="0.3"/>
  <cols>
    <col min="1" max="1" width="23.5546875" customWidth="1"/>
    <col min="2" max="2" width="54.5546875" customWidth="1"/>
    <col min="3" max="3" width="60" customWidth="1"/>
    <col min="4" max="4" width="18.33203125" customWidth="1"/>
    <col min="6" max="6" width="20" bestFit="1" customWidth="1"/>
    <col min="7" max="7" width="22" customWidth="1"/>
    <col min="8" max="8" width="21.6640625" customWidth="1"/>
    <col min="9" max="9" width="62" bestFit="1" customWidth="1"/>
  </cols>
  <sheetData>
    <row r="1" spans="1:8" ht="19.2" customHeight="1" x14ac:dyDescent="0.3">
      <c r="A1" s="27" t="s">
        <v>2541</v>
      </c>
      <c r="B1" s="28"/>
      <c r="C1" s="28"/>
      <c r="D1" s="28"/>
    </row>
    <row r="2" spans="1:8" ht="30" customHeight="1" x14ac:dyDescent="0.3">
      <c r="A2" s="1" t="s">
        <v>1</v>
      </c>
      <c r="B2" s="1" t="s">
        <v>2</v>
      </c>
      <c r="C2" s="1" t="s">
        <v>2542</v>
      </c>
      <c r="D2" s="1" t="s">
        <v>2543</v>
      </c>
    </row>
    <row r="3" spans="1:8" ht="18" customHeight="1" x14ac:dyDescent="0.3">
      <c r="A3" s="2" t="s">
        <v>5</v>
      </c>
      <c r="B3" s="2" t="s">
        <v>6</v>
      </c>
      <c r="C3" s="2" t="s">
        <v>2544</v>
      </c>
      <c r="D3" s="2"/>
    </row>
    <row r="4" spans="1:8" ht="18" customHeight="1" x14ac:dyDescent="0.3">
      <c r="A4" s="2" t="s">
        <v>8</v>
      </c>
      <c r="B4" s="2" t="s">
        <v>6</v>
      </c>
      <c r="C4" s="2" t="s">
        <v>2544</v>
      </c>
      <c r="D4" s="2"/>
    </row>
    <row r="5" spans="1:8" ht="18" customHeight="1" x14ac:dyDescent="0.3">
      <c r="A5" s="2" t="s">
        <v>10</v>
      </c>
      <c r="B5" s="2" t="s">
        <v>6</v>
      </c>
      <c r="C5" s="2" t="s">
        <v>2544</v>
      </c>
      <c r="D5" s="2"/>
    </row>
    <row r="6" spans="1:8" ht="18" customHeight="1" x14ac:dyDescent="0.3">
      <c r="A6" s="2" t="s">
        <v>11</v>
      </c>
      <c r="B6" s="2" t="s">
        <v>6</v>
      </c>
      <c r="C6" s="2" t="s">
        <v>2544</v>
      </c>
      <c r="D6" s="2"/>
      <c r="F6" s="32" t="s">
        <v>2545</v>
      </c>
      <c r="G6" s="33"/>
    </row>
    <row r="7" spans="1:8" ht="18" customHeight="1" x14ac:dyDescent="0.3">
      <c r="A7" s="2" t="s">
        <v>12</v>
      </c>
      <c r="B7" s="2" t="s">
        <v>6</v>
      </c>
      <c r="C7" s="2" t="s">
        <v>2544</v>
      </c>
      <c r="D7" s="2"/>
      <c r="F7" s="3" t="s">
        <v>6</v>
      </c>
      <c r="G7" s="4">
        <f>COUNTIF(B:B,"AHU")</f>
        <v>26</v>
      </c>
      <c r="H7" s="2"/>
    </row>
    <row r="8" spans="1:8" ht="18" customHeight="1" x14ac:dyDescent="0.3">
      <c r="A8" s="2" t="s">
        <v>13</v>
      </c>
      <c r="B8" s="2" t="s">
        <v>6</v>
      </c>
      <c r="C8" s="2" t="s">
        <v>2544</v>
      </c>
      <c r="D8" s="2"/>
      <c r="F8" s="3" t="s">
        <v>35</v>
      </c>
      <c r="G8" s="4">
        <f>COUNTIF(B:B,"FCU")</f>
        <v>133</v>
      </c>
      <c r="H8" s="2"/>
    </row>
    <row r="9" spans="1:8" ht="18" customHeight="1" x14ac:dyDescent="0.3">
      <c r="A9" s="2" t="s">
        <v>14</v>
      </c>
      <c r="B9" s="2" t="s">
        <v>6</v>
      </c>
      <c r="C9" s="2" t="s">
        <v>2544</v>
      </c>
      <c r="D9" s="2"/>
      <c r="F9" s="3" t="s">
        <v>2546</v>
      </c>
      <c r="G9" s="4">
        <f>COUNTIF(B:B,"CHW Pump")</f>
        <v>4</v>
      </c>
    </row>
    <row r="10" spans="1:8" ht="18" customHeight="1" x14ac:dyDescent="0.3">
      <c r="A10" s="2" t="s">
        <v>15</v>
      </c>
      <c r="B10" s="2" t="s">
        <v>6</v>
      </c>
      <c r="C10" s="2" t="s">
        <v>2544</v>
      </c>
      <c r="D10" s="2"/>
      <c r="F10" s="3" t="s">
        <v>2547</v>
      </c>
      <c r="G10" s="4">
        <f>COUNTIF(B:B,"VAV")</f>
        <v>602</v>
      </c>
    </row>
    <row r="11" spans="1:8" ht="18" customHeight="1" x14ac:dyDescent="0.3">
      <c r="A11" s="2" t="s">
        <v>16</v>
      </c>
      <c r="B11" s="2" t="s">
        <v>6</v>
      </c>
      <c r="C11" s="2" t="s">
        <v>2544</v>
      </c>
      <c r="D11" s="2"/>
      <c r="F11" s="3" t="s">
        <v>2548</v>
      </c>
      <c r="G11" s="4">
        <f>COUNTIF(B:B,"DX Unit")</f>
        <v>24</v>
      </c>
    </row>
    <row r="12" spans="1:8" ht="18" customHeight="1" x14ac:dyDescent="0.3">
      <c r="A12" s="2" t="s">
        <v>17</v>
      </c>
      <c r="B12" s="2" t="s">
        <v>6</v>
      </c>
      <c r="C12" s="2" t="s">
        <v>2544</v>
      </c>
      <c r="D12" s="2"/>
      <c r="F12" s="3" t="s">
        <v>2549</v>
      </c>
      <c r="G12" s="4">
        <f>COUNTIF(B:B,"HEX")</f>
        <v>5</v>
      </c>
    </row>
    <row r="13" spans="1:8" ht="18" customHeight="1" x14ac:dyDescent="0.3">
      <c r="A13" s="2" t="s">
        <v>18</v>
      </c>
      <c r="B13" s="2" t="s">
        <v>6</v>
      </c>
      <c r="C13" s="2" t="s">
        <v>2544</v>
      </c>
      <c r="D13" s="2"/>
      <c r="F13" s="3" t="s">
        <v>2550</v>
      </c>
      <c r="G13" s="4">
        <f>COUNTIF(B:B,"CCU")</f>
        <v>11</v>
      </c>
    </row>
    <row r="14" spans="1:8" ht="18" customHeight="1" x14ac:dyDescent="0.3">
      <c r="A14" s="2" t="s">
        <v>19</v>
      </c>
      <c r="B14" s="2" t="s">
        <v>6</v>
      </c>
      <c r="C14" s="2" t="s">
        <v>2544</v>
      </c>
      <c r="D14" s="2"/>
      <c r="F14" s="3" t="s">
        <v>2551</v>
      </c>
      <c r="G14" s="4">
        <f>COUNTIF(B:B,"EF")</f>
        <v>12</v>
      </c>
    </row>
    <row r="15" spans="1:8" ht="18" customHeight="1" x14ac:dyDescent="0.3">
      <c r="A15" s="2" t="s">
        <v>20</v>
      </c>
      <c r="B15" s="2" t="s">
        <v>6</v>
      </c>
      <c r="C15" s="2" t="s">
        <v>2544</v>
      </c>
      <c r="D15" s="2"/>
      <c r="F15" s="3" t="s">
        <v>2552</v>
      </c>
      <c r="G15" s="4">
        <f>COUNTIF(B:B,"GEF")</f>
        <v>13</v>
      </c>
    </row>
    <row r="16" spans="1:8" ht="18" customHeight="1" x14ac:dyDescent="0.3">
      <c r="A16" s="2" t="s">
        <v>21</v>
      </c>
      <c r="B16" s="2" t="s">
        <v>6</v>
      </c>
      <c r="C16" s="2" t="s">
        <v>2544</v>
      </c>
      <c r="D16" s="2"/>
      <c r="F16" s="3" t="s">
        <v>2553</v>
      </c>
      <c r="G16" s="4">
        <f>COUNTIF(B:B,"TEF")</f>
        <v>4</v>
      </c>
    </row>
    <row r="17" spans="1:9" ht="18" customHeight="1" x14ac:dyDescent="0.3">
      <c r="A17" s="2" t="s">
        <v>22</v>
      </c>
      <c r="B17" s="2" t="s">
        <v>6</v>
      </c>
      <c r="C17" s="2" t="s">
        <v>2544</v>
      </c>
      <c r="D17" s="2"/>
      <c r="F17" s="3" t="s">
        <v>2554</v>
      </c>
      <c r="G17" s="4">
        <f>COUNTIF(B:B,"CEF")</f>
        <v>60</v>
      </c>
    </row>
    <row r="18" spans="1:9" ht="18" customHeight="1" x14ac:dyDescent="0.3">
      <c r="A18" s="2" t="s">
        <v>23</v>
      </c>
      <c r="B18" s="2" t="s">
        <v>6</v>
      </c>
      <c r="C18" s="2" t="s">
        <v>2544</v>
      </c>
      <c r="D18" s="2"/>
      <c r="F18" s="3" t="s">
        <v>2555</v>
      </c>
      <c r="G18" s="4">
        <f>COUNTIF(B:B,"SF")</f>
        <v>16</v>
      </c>
    </row>
    <row r="19" spans="1:9" ht="18" customHeight="1" x14ac:dyDescent="0.3">
      <c r="A19" s="2" t="s">
        <v>24</v>
      </c>
      <c r="B19" s="2" t="s">
        <v>6</v>
      </c>
      <c r="C19" s="2" t="s">
        <v>2544</v>
      </c>
      <c r="D19" s="2"/>
      <c r="F19" s="3" t="s">
        <v>2556</v>
      </c>
      <c r="G19" s="4">
        <f>COUNTIF(B:B,"Generator")</f>
        <v>2</v>
      </c>
    </row>
    <row r="20" spans="1:9" ht="18" customHeight="1" x14ac:dyDescent="0.3">
      <c r="A20" s="2" t="s">
        <v>25</v>
      </c>
      <c r="B20" s="2" t="s">
        <v>6</v>
      </c>
      <c r="C20" s="2" t="s">
        <v>2544</v>
      </c>
      <c r="D20" s="2"/>
      <c r="F20" s="5" t="s">
        <v>2557</v>
      </c>
      <c r="G20" s="5">
        <f>SUM(G7:G19)</f>
        <v>912</v>
      </c>
    </row>
    <row r="21" spans="1:9" ht="18" customHeight="1" x14ac:dyDescent="0.3">
      <c r="A21" s="2" t="s">
        <v>26</v>
      </c>
      <c r="B21" s="2" t="s">
        <v>6</v>
      </c>
      <c r="C21" s="2" t="s">
        <v>2544</v>
      </c>
      <c r="D21" s="2"/>
    </row>
    <row r="22" spans="1:9" ht="18" customHeight="1" x14ac:dyDescent="0.3">
      <c r="A22" s="2" t="s">
        <v>27</v>
      </c>
      <c r="B22" s="2" t="s">
        <v>6</v>
      </c>
      <c r="C22" s="2" t="s">
        <v>2544</v>
      </c>
      <c r="D22" s="2"/>
    </row>
    <row r="23" spans="1:9" ht="18" customHeight="1" x14ac:dyDescent="0.3">
      <c r="A23" s="2" t="s">
        <v>28</v>
      </c>
      <c r="B23" s="2" t="s">
        <v>6</v>
      </c>
      <c r="C23" s="2" t="s">
        <v>2544</v>
      </c>
      <c r="D23" s="2"/>
    </row>
    <row r="24" spans="1:9" ht="18" customHeight="1" x14ac:dyDescent="0.3">
      <c r="A24" s="2" t="s">
        <v>29</v>
      </c>
      <c r="B24" s="2" t="s">
        <v>6</v>
      </c>
      <c r="C24" s="2" t="s">
        <v>2544</v>
      </c>
      <c r="D24" s="2"/>
    </row>
    <row r="25" spans="1:9" x14ac:dyDescent="0.3">
      <c r="A25" s="2" t="s">
        <v>30</v>
      </c>
      <c r="B25" s="2" t="s">
        <v>6</v>
      </c>
      <c r="C25" s="2" t="s">
        <v>2544</v>
      </c>
      <c r="D25" s="2"/>
    </row>
    <row r="26" spans="1:9" x14ac:dyDescent="0.3">
      <c r="A26" s="2" t="s">
        <v>31</v>
      </c>
      <c r="B26" s="2" t="s">
        <v>6</v>
      </c>
      <c r="C26" s="2" t="s">
        <v>2544</v>
      </c>
      <c r="D26" s="2"/>
    </row>
    <row r="27" spans="1:9" ht="18" customHeight="1" x14ac:dyDescent="0.3">
      <c r="A27" s="2" t="s">
        <v>32</v>
      </c>
      <c r="B27" s="2" t="s">
        <v>6</v>
      </c>
      <c r="C27" s="2" t="s">
        <v>2544</v>
      </c>
      <c r="D27" s="2"/>
      <c r="F27" s="6" t="s">
        <v>2558</v>
      </c>
      <c r="G27" s="6" t="s">
        <v>2559</v>
      </c>
      <c r="H27" s="6" t="s">
        <v>2560</v>
      </c>
      <c r="I27" s="6" t="s">
        <v>2561</v>
      </c>
    </row>
    <row r="28" spans="1:9" ht="18" customHeight="1" x14ac:dyDescent="0.3">
      <c r="A28" s="2" t="s">
        <v>33</v>
      </c>
      <c r="B28" s="2" t="s">
        <v>6</v>
      </c>
      <c r="C28" s="2" t="s">
        <v>2544</v>
      </c>
      <c r="D28" s="2"/>
      <c r="F28" s="30">
        <v>1</v>
      </c>
      <c r="G28" s="30" t="s">
        <v>6</v>
      </c>
      <c r="H28" s="2" t="s">
        <v>16</v>
      </c>
      <c r="I28" s="30" t="s">
        <v>2562</v>
      </c>
    </row>
    <row r="29" spans="1:9" ht="18" customHeight="1" x14ac:dyDescent="0.3">
      <c r="A29" s="2" t="s">
        <v>2563</v>
      </c>
      <c r="B29" s="2" t="s">
        <v>2548</v>
      </c>
      <c r="C29" s="2" t="s">
        <v>2564</v>
      </c>
      <c r="D29" s="2"/>
      <c r="F29" s="31"/>
      <c r="G29" s="31"/>
      <c r="H29" s="2" t="s">
        <v>2565</v>
      </c>
      <c r="I29" s="31"/>
    </row>
    <row r="30" spans="1:9" ht="18" customHeight="1" x14ac:dyDescent="0.3">
      <c r="A30" s="2" t="s">
        <v>2566</v>
      </c>
      <c r="B30" s="2" t="s">
        <v>2548</v>
      </c>
      <c r="C30" s="2" t="s">
        <v>2564</v>
      </c>
      <c r="D30" s="2"/>
      <c r="F30" s="30">
        <v>2</v>
      </c>
      <c r="G30" s="30" t="s">
        <v>6</v>
      </c>
      <c r="H30" s="2" t="s">
        <v>2567</v>
      </c>
      <c r="I30" s="30" t="s">
        <v>2562</v>
      </c>
    </row>
    <row r="31" spans="1:9" ht="18" customHeight="1" x14ac:dyDescent="0.3">
      <c r="A31" s="2" t="s">
        <v>2568</v>
      </c>
      <c r="B31" s="2" t="s">
        <v>2548</v>
      </c>
      <c r="C31" s="2" t="s">
        <v>2564</v>
      </c>
      <c r="D31" s="2"/>
      <c r="F31" s="31"/>
      <c r="G31" s="31"/>
      <c r="H31" s="2" t="s">
        <v>24</v>
      </c>
      <c r="I31" s="31"/>
    </row>
    <row r="32" spans="1:9" ht="18" customHeight="1" x14ac:dyDescent="0.3">
      <c r="A32" s="2" t="s">
        <v>2569</v>
      </c>
      <c r="B32" s="2" t="s">
        <v>2548</v>
      </c>
      <c r="C32" s="2" t="s">
        <v>2564</v>
      </c>
      <c r="D32" s="2"/>
      <c r="F32" s="30">
        <v>3</v>
      </c>
      <c r="G32" s="30" t="s">
        <v>6</v>
      </c>
      <c r="H32" s="2" t="s">
        <v>2570</v>
      </c>
      <c r="I32" s="30" t="s">
        <v>2562</v>
      </c>
    </row>
    <row r="33" spans="1:9" ht="18" customHeight="1" x14ac:dyDescent="0.3">
      <c r="A33" s="2" t="s">
        <v>2571</v>
      </c>
      <c r="B33" s="2" t="s">
        <v>2548</v>
      </c>
      <c r="C33" s="2" t="s">
        <v>2564</v>
      </c>
      <c r="D33" s="2"/>
      <c r="F33" s="31"/>
      <c r="G33" s="31"/>
      <c r="H33" s="2" t="s">
        <v>26</v>
      </c>
      <c r="I33" s="31"/>
    </row>
    <row r="34" spans="1:9" ht="18" customHeight="1" x14ac:dyDescent="0.3">
      <c r="A34" s="2" t="s">
        <v>2572</v>
      </c>
      <c r="B34" s="2" t="s">
        <v>2548</v>
      </c>
      <c r="C34" s="2" t="s">
        <v>2564</v>
      </c>
      <c r="D34" s="2"/>
      <c r="F34" s="30">
        <v>4</v>
      </c>
      <c r="G34" s="30" t="s">
        <v>6</v>
      </c>
      <c r="H34" s="2" t="s">
        <v>2573</v>
      </c>
      <c r="I34" s="30" t="s">
        <v>2562</v>
      </c>
    </row>
    <row r="35" spans="1:9" ht="18" customHeight="1" x14ac:dyDescent="0.3">
      <c r="A35" s="2" t="s">
        <v>2574</v>
      </c>
      <c r="B35" s="2" t="s">
        <v>2548</v>
      </c>
      <c r="C35" s="2" t="s">
        <v>2564</v>
      </c>
      <c r="D35" s="2"/>
      <c r="F35" s="31"/>
      <c r="G35" s="31"/>
      <c r="H35" s="2" t="s">
        <v>28</v>
      </c>
      <c r="I35" s="31"/>
    </row>
    <row r="36" spans="1:9" ht="18" customHeight="1" x14ac:dyDescent="0.3">
      <c r="A36" s="2" t="s">
        <v>2575</v>
      </c>
      <c r="B36" s="2" t="s">
        <v>2548</v>
      </c>
      <c r="C36" s="2" t="s">
        <v>2564</v>
      </c>
      <c r="D36" s="2"/>
      <c r="F36" s="30">
        <v>5</v>
      </c>
      <c r="G36" s="30" t="s">
        <v>6</v>
      </c>
      <c r="H36" s="2" t="s">
        <v>2576</v>
      </c>
      <c r="I36" s="30" t="s">
        <v>2562</v>
      </c>
    </row>
    <row r="37" spans="1:9" ht="18" customHeight="1" x14ac:dyDescent="0.3">
      <c r="A37" s="2" t="s">
        <v>2577</v>
      </c>
      <c r="B37" s="2" t="s">
        <v>2548</v>
      </c>
      <c r="C37" s="2" t="s">
        <v>2564</v>
      </c>
      <c r="D37" s="2"/>
      <c r="F37" s="31"/>
      <c r="G37" s="31"/>
      <c r="H37" s="2" t="s">
        <v>29</v>
      </c>
      <c r="I37" s="31"/>
    </row>
    <row r="38" spans="1:9" ht="18" customHeight="1" x14ac:dyDescent="0.3">
      <c r="A38" s="2" t="s">
        <v>2578</v>
      </c>
      <c r="B38" s="2" t="s">
        <v>2548</v>
      </c>
      <c r="C38" s="2" t="s">
        <v>2564</v>
      </c>
      <c r="D38" s="2"/>
      <c r="F38" s="30">
        <v>6</v>
      </c>
      <c r="G38" s="30" t="s">
        <v>6</v>
      </c>
      <c r="H38" s="2" t="s">
        <v>2579</v>
      </c>
      <c r="I38" s="30" t="s">
        <v>2562</v>
      </c>
    </row>
    <row r="39" spans="1:9" ht="18" customHeight="1" x14ac:dyDescent="0.3">
      <c r="A39" s="2" t="s">
        <v>2580</v>
      </c>
      <c r="B39" s="2" t="s">
        <v>2548</v>
      </c>
      <c r="C39" s="2" t="s">
        <v>2564</v>
      </c>
      <c r="D39" s="2"/>
      <c r="F39" s="31"/>
      <c r="G39" s="31"/>
      <c r="H39" s="2" t="s">
        <v>30</v>
      </c>
      <c r="I39" s="31"/>
    </row>
    <row r="40" spans="1:9" ht="18" customHeight="1" x14ac:dyDescent="0.3">
      <c r="A40" s="2" t="s">
        <v>2581</v>
      </c>
      <c r="B40" s="2" t="s">
        <v>2548</v>
      </c>
      <c r="C40" s="2" t="s">
        <v>2564</v>
      </c>
      <c r="D40" s="2"/>
      <c r="F40" s="30">
        <v>7</v>
      </c>
      <c r="G40" s="30" t="s">
        <v>6</v>
      </c>
      <c r="H40" s="2" t="s">
        <v>2582</v>
      </c>
      <c r="I40" s="30" t="s">
        <v>2562</v>
      </c>
    </row>
    <row r="41" spans="1:9" ht="18" customHeight="1" x14ac:dyDescent="0.3">
      <c r="A41" s="2" t="s">
        <v>2583</v>
      </c>
      <c r="B41" s="2" t="s">
        <v>2548</v>
      </c>
      <c r="C41" s="2" t="s">
        <v>2564</v>
      </c>
      <c r="D41" s="2"/>
      <c r="F41" s="31"/>
      <c r="G41" s="31"/>
      <c r="H41" s="2" t="s">
        <v>32</v>
      </c>
      <c r="I41" s="31"/>
    </row>
    <row r="42" spans="1:9" ht="18" customHeight="1" x14ac:dyDescent="0.3">
      <c r="A42" s="2" t="s">
        <v>2584</v>
      </c>
      <c r="B42" s="2" t="s">
        <v>2548</v>
      </c>
      <c r="C42" s="2" t="s">
        <v>2564</v>
      </c>
      <c r="D42" s="2"/>
      <c r="F42" s="30">
        <v>8</v>
      </c>
      <c r="G42" s="30" t="s">
        <v>6</v>
      </c>
      <c r="H42" s="2" t="s">
        <v>2585</v>
      </c>
      <c r="I42" s="30" t="s">
        <v>2562</v>
      </c>
    </row>
    <row r="43" spans="1:9" ht="18" customHeight="1" x14ac:dyDescent="0.3">
      <c r="A43" s="2" t="s">
        <v>2586</v>
      </c>
      <c r="B43" s="2" t="s">
        <v>2548</v>
      </c>
      <c r="C43" s="2" t="s">
        <v>2564</v>
      </c>
      <c r="D43" s="2"/>
      <c r="F43" s="31"/>
      <c r="G43" s="31"/>
      <c r="H43" s="2" t="s">
        <v>33</v>
      </c>
      <c r="I43" s="31"/>
    </row>
    <row r="44" spans="1:9" ht="18" customHeight="1" x14ac:dyDescent="0.3">
      <c r="A44" s="2" t="s">
        <v>2587</v>
      </c>
      <c r="B44" s="2" t="s">
        <v>2548</v>
      </c>
      <c r="C44" s="2" t="s">
        <v>2564</v>
      </c>
      <c r="D44" s="2"/>
      <c r="F44" s="2">
        <v>9</v>
      </c>
      <c r="G44" s="2" t="s">
        <v>2548</v>
      </c>
      <c r="H44" s="2" t="s">
        <v>2588</v>
      </c>
      <c r="I44" s="2" t="s">
        <v>2589</v>
      </c>
    </row>
    <row r="45" spans="1:9" ht="18" customHeight="1" x14ac:dyDescent="0.3">
      <c r="A45" s="2" t="s">
        <v>2590</v>
      </c>
      <c r="B45" s="2" t="s">
        <v>2548</v>
      </c>
      <c r="C45" s="2" t="s">
        <v>2564</v>
      </c>
      <c r="D45" s="2"/>
      <c r="F45" s="2">
        <v>10</v>
      </c>
      <c r="G45" s="2" t="s">
        <v>2548</v>
      </c>
      <c r="H45" s="2" t="s">
        <v>2591</v>
      </c>
      <c r="I45" s="2" t="s">
        <v>2589</v>
      </c>
    </row>
    <row r="46" spans="1:9" ht="18" customHeight="1" x14ac:dyDescent="0.3">
      <c r="A46" s="2" t="s">
        <v>2592</v>
      </c>
      <c r="B46" s="2" t="s">
        <v>2548</v>
      </c>
      <c r="C46" s="2" t="s">
        <v>2564</v>
      </c>
      <c r="D46" s="2"/>
      <c r="F46" s="2">
        <v>11</v>
      </c>
      <c r="G46" s="2" t="s">
        <v>2548</v>
      </c>
      <c r="H46" s="2" t="s">
        <v>2593</v>
      </c>
      <c r="I46" s="2" t="s">
        <v>2589</v>
      </c>
    </row>
    <row r="47" spans="1:9" ht="18" customHeight="1" x14ac:dyDescent="0.3">
      <c r="A47" s="2" t="s">
        <v>2594</v>
      </c>
      <c r="B47" s="2" t="s">
        <v>2548</v>
      </c>
      <c r="C47" s="2" t="s">
        <v>2564</v>
      </c>
      <c r="D47" s="2"/>
      <c r="F47" s="2">
        <v>12</v>
      </c>
      <c r="G47" s="2" t="s">
        <v>2548</v>
      </c>
      <c r="H47" s="2" t="s">
        <v>2595</v>
      </c>
      <c r="I47" s="2" t="s">
        <v>2589</v>
      </c>
    </row>
    <row r="48" spans="1:9" ht="18" customHeight="1" x14ac:dyDescent="0.3">
      <c r="A48" s="2" t="s">
        <v>2596</v>
      </c>
      <c r="B48" s="2" t="s">
        <v>2548</v>
      </c>
      <c r="C48" s="2" t="s">
        <v>2564</v>
      </c>
      <c r="D48" s="2"/>
      <c r="F48" s="2">
        <v>13</v>
      </c>
      <c r="G48" s="2" t="s">
        <v>2548</v>
      </c>
      <c r="H48" s="2" t="s">
        <v>2590</v>
      </c>
      <c r="I48" s="2" t="s">
        <v>2589</v>
      </c>
    </row>
    <row r="49" spans="1:4" ht="18" customHeight="1" x14ac:dyDescent="0.3">
      <c r="A49" s="2" t="s">
        <v>2588</v>
      </c>
      <c r="B49" s="2" t="s">
        <v>2548</v>
      </c>
      <c r="C49" s="2" t="s">
        <v>2597</v>
      </c>
      <c r="D49" s="2"/>
    </row>
    <row r="50" spans="1:4" ht="18" customHeight="1" x14ac:dyDescent="0.3">
      <c r="A50" s="2" t="s">
        <v>2591</v>
      </c>
      <c r="B50" s="2" t="s">
        <v>2548</v>
      </c>
      <c r="C50" s="2" t="s">
        <v>2597</v>
      </c>
      <c r="D50" s="2"/>
    </row>
    <row r="51" spans="1:4" ht="18" customHeight="1" x14ac:dyDescent="0.3">
      <c r="A51" s="2" t="s">
        <v>2593</v>
      </c>
      <c r="B51" s="2" t="s">
        <v>2548</v>
      </c>
      <c r="C51" s="2" t="s">
        <v>2597</v>
      </c>
      <c r="D51" s="2"/>
    </row>
    <row r="52" spans="1:4" ht="18" customHeight="1" x14ac:dyDescent="0.3">
      <c r="A52" s="2" t="s">
        <v>2595</v>
      </c>
      <c r="B52" s="2" t="s">
        <v>2548</v>
      </c>
      <c r="C52" s="2" t="s">
        <v>2597</v>
      </c>
      <c r="D52" s="2"/>
    </row>
    <row r="53" spans="1:4" ht="18" customHeight="1" x14ac:dyDescent="0.3">
      <c r="A53" s="2" t="s">
        <v>34</v>
      </c>
      <c r="B53" s="2" t="s">
        <v>35</v>
      </c>
      <c r="C53" s="2" t="s">
        <v>2598</v>
      </c>
      <c r="D53" s="2"/>
    </row>
    <row r="54" spans="1:4" ht="18" customHeight="1" x14ac:dyDescent="0.3">
      <c r="A54" s="2" t="s">
        <v>36</v>
      </c>
      <c r="B54" s="2" t="s">
        <v>35</v>
      </c>
      <c r="C54" s="2" t="s">
        <v>2598</v>
      </c>
      <c r="D54" s="2"/>
    </row>
    <row r="55" spans="1:4" ht="18" customHeight="1" x14ac:dyDescent="0.3">
      <c r="A55" s="2" t="s">
        <v>37</v>
      </c>
      <c r="B55" s="2" t="s">
        <v>35</v>
      </c>
      <c r="C55" s="2" t="s">
        <v>2598</v>
      </c>
      <c r="D55" s="2"/>
    </row>
    <row r="56" spans="1:4" ht="18" customHeight="1" x14ac:dyDescent="0.3">
      <c r="A56" s="2" t="s">
        <v>38</v>
      </c>
      <c r="B56" s="2" t="s">
        <v>35</v>
      </c>
      <c r="C56" s="2" t="s">
        <v>2598</v>
      </c>
      <c r="D56" s="2"/>
    </row>
    <row r="57" spans="1:4" ht="18" customHeight="1" x14ac:dyDescent="0.3">
      <c r="A57" s="2" t="s">
        <v>39</v>
      </c>
      <c r="B57" s="2" t="s">
        <v>35</v>
      </c>
      <c r="C57" s="2" t="s">
        <v>2598</v>
      </c>
      <c r="D57" s="2"/>
    </row>
    <row r="58" spans="1:4" ht="18" customHeight="1" x14ac:dyDescent="0.3">
      <c r="A58" s="2" t="s">
        <v>40</v>
      </c>
      <c r="B58" s="2" t="s">
        <v>35</v>
      </c>
      <c r="C58" s="2" t="s">
        <v>2598</v>
      </c>
      <c r="D58" s="2"/>
    </row>
    <row r="59" spans="1:4" ht="18" customHeight="1" x14ac:dyDescent="0.3">
      <c r="A59" s="2" t="s">
        <v>41</v>
      </c>
      <c r="B59" s="2" t="s">
        <v>35</v>
      </c>
      <c r="C59" s="2" t="s">
        <v>2598</v>
      </c>
      <c r="D59" s="2"/>
    </row>
    <row r="60" spans="1:4" ht="18" customHeight="1" x14ac:dyDescent="0.3">
      <c r="A60" s="2" t="s">
        <v>42</v>
      </c>
      <c r="B60" s="2" t="s">
        <v>35</v>
      </c>
      <c r="C60" s="2" t="s">
        <v>2598</v>
      </c>
      <c r="D60" s="2"/>
    </row>
    <row r="61" spans="1:4" ht="18" customHeight="1" x14ac:dyDescent="0.3">
      <c r="A61" s="2" t="s">
        <v>43</v>
      </c>
      <c r="B61" s="2" t="s">
        <v>35</v>
      </c>
      <c r="C61" s="2" t="s">
        <v>2598</v>
      </c>
      <c r="D61" s="2"/>
    </row>
    <row r="62" spans="1:4" ht="18" customHeight="1" x14ac:dyDescent="0.3">
      <c r="A62" s="2" t="s">
        <v>44</v>
      </c>
      <c r="B62" s="2" t="s">
        <v>35</v>
      </c>
      <c r="C62" s="2" t="s">
        <v>2598</v>
      </c>
      <c r="D62" s="2"/>
    </row>
    <row r="63" spans="1:4" ht="18" customHeight="1" x14ac:dyDescent="0.3">
      <c r="A63" s="2" t="s">
        <v>45</v>
      </c>
      <c r="B63" s="2" t="s">
        <v>35</v>
      </c>
      <c r="C63" s="2" t="s">
        <v>2598</v>
      </c>
      <c r="D63" s="2"/>
    </row>
    <row r="64" spans="1:4" ht="18" customHeight="1" x14ac:dyDescent="0.3">
      <c r="A64" s="2" t="s">
        <v>46</v>
      </c>
      <c r="B64" s="2" t="s">
        <v>35</v>
      </c>
      <c r="C64" s="2" t="s">
        <v>2598</v>
      </c>
      <c r="D64" s="2"/>
    </row>
    <row r="65" spans="1:4" ht="18" customHeight="1" x14ac:dyDescent="0.3">
      <c r="A65" s="2" t="s">
        <v>47</v>
      </c>
      <c r="B65" s="2" t="s">
        <v>35</v>
      </c>
      <c r="C65" s="2" t="s">
        <v>2598</v>
      </c>
      <c r="D65" s="2"/>
    </row>
    <row r="66" spans="1:4" ht="18" customHeight="1" x14ac:dyDescent="0.3">
      <c r="A66" s="2" t="s">
        <v>2599</v>
      </c>
      <c r="B66" s="2" t="s">
        <v>35</v>
      </c>
      <c r="C66" s="2" t="s">
        <v>2598</v>
      </c>
      <c r="D66" s="2"/>
    </row>
    <row r="67" spans="1:4" ht="18" customHeight="1" x14ac:dyDescent="0.3">
      <c r="A67" s="2" t="s">
        <v>48</v>
      </c>
      <c r="B67" s="2" t="s">
        <v>35</v>
      </c>
      <c r="C67" s="2" t="s">
        <v>2598</v>
      </c>
      <c r="D67" s="2"/>
    </row>
    <row r="68" spans="1:4" ht="18" customHeight="1" x14ac:dyDescent="0.3">
      <c r="A68" s="2" t="s">
        <v>49</v>
      </c>
      <c r="B68" s="2" t="s">
        <v>35</v>
      </c>
      <c r="C68" s="2" t="s">
        <v>2598</v>
      </c>
      <c r="D68" s="2"/>
    </row>
    <row r="69" spans="1:4" ht="18" customHeight="1" x14ac:dyDescent="0.3">
      <c r="A69" s="2" t="s">
        <v>50</v>
      </c>
      <c r="B69" s="2" t="s">
        <v>35</v>
      </c>
      <c r="C69" s="2" t="s">
        <v>2598</v>
      </c>
      <c r="D69" s="2"/>
    </row>
    <row r="70" spans="1:4" ht="18" customHeight="1" x14ac:dyDescent="0.3">
      <c r="A70" s="2" t="s">
        <v>51</v>
      </c>
      <c r="B70" s="2" t="s">
        <v>35</v>
      </c>
      <c r="C70" s="2" t="s">
        <v>2598</v>
      </c>
      <c r="D70" s="2"/>
    </row>
    <row r="71" spans="1:4" ht="18" customHeight="1" x14ac:dyDescent="0.3">
      <c r="A71" s="2" t="s">
        <v>52</v>
      </c>
      <c r="B71" s="2" t="s">
        <v>35</v>
      </c>
      <c r="C71" s="2" t="s">
        <v>2598</v>
      </c>
      <c r="D71" s="2"/>
    </row>
    <row r="72" spans="1:4" ht="18" customHeight="1" x14ac:dyDescent="0.3">
      <c r="A72" s="2" t="s">
        <v>53</v>
      </c>
      <c r="B72" s="2" t="s">
        <v>35</v>
      </c>
      <c r="C72" s="2" t="s">
        <v>2598</v>
      </c>
      <c r="D72" s="2"/>
    </row>
    <row r="73" spans="1:4" ht="18" customHeight="1" x14ac:dyDescent="0.3">
      <c r="A73" s="2" t="s">
        <v>54</v>
      </c>
      <c r="B73" s="2" t="s">
        <v>35</v>
      </c>
      <c r="C73" s="2" t="s">
        <v>2598</v>
      </c>
      <c r="D73" s="2"/>
    </row>
    <row r="74" spans="1:4" ht="18" customHeight="1" x14ac:dyDescent="0.3">
      <c r="A74" s="2" t="s">
        <v>55</v>
      </c>
      <c r="B74" s="2" t="s">
        <v>35</v>
      </c>
      <c r="C74" s="2" t="s">
        <v>2598</v>
      </c>
      <c r="D74" s="2"/>
    </row>
    <row r="75" spans="1:4" ht="18" customHeight="1" x14ac:dyDescent="0.3">
      <c r="A75" s="2" t="s">
        <v>56</v>
      </c>
      <c r="B75" s="2" t="s">
        <v>35</v>
      </c>
      <c r="C75" s="2" t="s">
        <v>2598</v>
      </c>
      <c r="D75" s="2"/>
    </row>
    <row r="76" spans="1:4" ht="18" customHeight="1" x14ac:dyDescent="0.3">
      <c r="A76" s="2" t="s">
        <v>57</v>
      </c>
      <c r="B76" s="2" t="s">
        <v>35</v>
      </c>
      <c r="C76" s="2" t="s">
        <v>2598</v>
      </c>
      <c r="D76" s="2"/>
    </row>
    <row r="77" spans="1:4" ht="18" customHeight="1" x14ac:dyDescent="0.3">
      <c r="A77" s="2" t="s">
        <v>58</v>
      </c>
      <c r="B77" s="2" t="s">
        <v>35</v>
      </c>
      <c r="C77" s="2" t="s">
        <v>2598</v>
      </c>
      <c r="D77" s="2"/>
    </row>
    <row r="78" spans="1:4" ht="18" customHeight="1" x14ac:dyDescent="0.3">
      <c r="A78" s="2" t="s">
        <v>59</v>
      </c>
      <c r="B78" s="2" t="s">
        <v>35</v>
      </c>
      <c r="C78" s="2" t="s">
        <v>2598</v>
      </c>
      <c r="D78" s="2"/>
    </row>
    <row r="79" spans="1:4" ht="18" customHeight="1" x14ac:dyDescent="0.3">
      <c r="A79" s="2" t="s">
        <v>60</v>
      </c>
      <c r="B79" s="2" t="s">
        <v>35</v>
      </c>
      <c r="C79" s="2" t="s">
        <v>2598</v>
      </c>
      <c r="D79" s="2"/>
    </row>
    <row r="80" spans="1:4" ht="18" customHeight="1" x14ac:dyDescent="0.3">
      <c r="A80" s="2" t="s">
        <v>61</v>
      </c>
      <c r="B80" s="2" t="s">
        <v>35</v>
      </c>
      <c r="C80" s="2" t="s">
        <v>2598</v>
      </c>
      <c r="D80" s="2"/>
    </row>
    <row r="81" spans="1:4" ht="18" customHeight="1" x14ac:dyDescent="0.3">
      <c r="A81" s="2" t="s">
        <v>62</v>
      </c>
      <c r="B81" s="2" t="s">
        <v>35</v>
      </c>
      <c r="C81" s="2" t="s">
        <v>2598</v>
      </c>
      <c r="D81" s="2"/>
    </row>
    <row r="82" spans="1:4" ht="18" customHeight="1" x14ac:dyDescent="0.3">
      <c r="A82" s="2" t="s">
        <v>63</v>
      </c>
      <c r="B82" s="2" t="s">
        <v>35</v>
      </c>
      <c r="C82" s="2" t="s">
        <v>2598</v>
      </c>
      <c r="D82" s="2"/>
    </row>
    <row r="83" spans="1:4" ht="18" customHeight="1" x14ac:dyDescent="0.3">
      <c r="A83" s="2" t="s">
        <v>64</v>
      </c>
      <c r="B83" s="2" t="s">
        <v>35</v>
      </c>
      <c r="C83" s="2" t="s">
        <v>2598</v>
      </c>
      <c r="D83" s="2"/>
    </row>
    <row r="84" spans="1:4" ht="18" customHeight="1" x14ac:dyDescent="0.3">
      <c r="A84" s="2" t="s">
        <v>65</v>
      </c>
      <c r="B84" s="2" t="s">
        <v>35</v>
      </c>
      <c r="C84" s="2" t="s">
        <v>2598</v>
      </c>
      <c r="D84" s="2"/>
    </row>
    <row r="85" spans="1:4" ht="18" customHeight="1" x14ac:dyDescent="0.3">
      <c r="A85" s="2" t="s">
        <v>66</v>
      </c>
      <c r="B85" s="2" t="s">
        <v>35</v>
      </c>
      <c r="C85" s="2" t="s">
        <v>2598</v>
      </c>
      <c r="D85" s="2"/>
    </row>
    <row r="86" spans="1:4" ht="18" customHeight="1" x14ac:dyDescent="0.3">
      <c r="A86" s="2" t="s">
        <v>67</v>
      </c>
      <c r="B86" s="2" t="s">
        <v>35</v>
      </c>
      <c r="C86" s="2" t="s">
        <v>2598</v>
      </c>
      <c r="D86" s="2"/>
    </row>
    <row r="87" spans="1:4" ht="18" customHeight="1" x14ac:dyDescent="0.3">
      <c r="A87" s="2" t="s">
        <v>68</v>
      </c>
      <c r="B87" s="2" t="s">
        <v>35</v>
      </c>
      <c r="C87" s="2" t="s">
        <v>2598</v>
      </c>
      <c r="D87" s="2"/>
    </row>
    <row r="88" spans="1:4" ht="18" customHeight="1" x14ac:dyDescent="0.3">
      <c r="A88" s="2" t="s">
        <v>69</v>
      </c>
      <c r="B88" s="2" t="s">
        <v>35</v>
      </c>
      <c r="C88" s="2" t="s">
        <v>2598</v>
      </c>
      <c r="D88" s="2"/>
    </row>
    <row r="89" spans="1:4" ht="18" customHeight="1" x14ac:dyDescent="0.3">
      <c r="A89" s="2" t="s">
        <v>70</v>
      </c>
      <c r="B89" s="2" t="s">
        <v>35</v>
      </c>
      <c r="C89" s="2" t="s">
        <v>2598</v>
      </c>
      <c r="D89" s="2"/>
    </row>
    <row r="90" spans="1:4" ht="18" customHeight="1" x14ac:dyDescent="0.3">
      <c r="A90" s="2" t="s">
        <v>71</v>
      </c>
      <c r="B90" s="2" t="s">
        <v>35</v>
      </c>
      <c r="C90" s="2" t="s">
        <v>2598</v>
      </c>
      <c r="D90" s="2"/>
    </row>
    <row r="91" spans="1:4" ht="18" customHeight="1" x14ac:dyDescent="0.3">
      <c r="A91" s="2" t="s">
        <v>72</v>
      </c>
      <c r="B91" s="2" t="s">
        <v>35</v>
      </c>
      <c r="C91" s="2" t="s">
        <v>2598</v>
      </c>
      <c r="D91" s="2"/>
    </row>
    <row r="92" spans="1:4" ht="18" customHeight="1" x14ac:dyDescent="0.3">
      <c r="A92" s="2" t="s">
        <v>73</v>
      </c>
      <c r="B92" s="2" t="s">
        <v>35</v>
      </c>
      <c r="C92" s="2" t="s">
        <v>2598</v>
      </c>
      <c r="D92" s="2"/>
    </row>
    <row r="93" spans="1:4" ht="18" customHeight="1" x14ac:dyDescent="0.3">
      <c r="A93" s="2" t="s">
        <v>74</v>
      </c>
      <c r="B93" s="2" t="s">
        <v>35</v>
      </c>
      <c r="C93" s="2" t="s">
        <v>2598</v>
      </c>
      <c r="D93" s="2"/>
    </row>
    <row r="94" spans="1:4" ht="18" customHeight="1" x14ac:dyDescent="0.3">
      <c r="A94" s="2" t="s">
        <v>75</v>
      </c>
      <c r="B94" s="2" t="s">
        <v>35</v>
      </c>
      <c r="C94" s="2" t="s">
        <v>2598</v>
      </c>
      <c r="D94" s="2"/>
    </row>
    <row r="95" spans="1:4" ht="18" customHeight="1" x14ac:dyDescent="0.3">
      <c r="A95" s="2" t="s">
        <v>76</v>
      </c>
      <c r="B95" s="2" t="s">
        <v>35</v>
      </c>
      <c r="C95" s="2" t="s">
        <v>2598</v>
      </c>
      <c r="D95" s="2"/>
    </row>
    <row r="96" spans="1:4" ht="18" customHeight="1" x14ac:dyDescent="0.3">
      <c r="A96" s="2" t="s">
        <v>77</v>
      </c>
      <c r="B96" s="2" t="s">
        <v>35</v>
      </c>
      <c r="C96" s="2" t="s">
        <v>2598</v>
      </c>
      <c r="D96" s="2"/>
    </row>
    <row r="97" spans="1:4" ht="18" customHeight="1" x14ac:dyDescent="0.3">
      <c r="A97" s="2" t="s">
        <v>78</v>
      </c>
      <c r="B97" s="2" t="s">
        <v>35</v>
      </c>
      <c r="C97" s="2" t="s">
        <v>2598</v>
      </c>
      <c r="D97" s="2"/>
    </row>
    <row r="98" spans="1:4" ht="18" customHeight="1" x14ac:dyDescent="0.3">
      <c r="A98" s="2" t="s">
        <v>79</v>
      </c>
      <c r="B98" s="2" t="s">
        <v>35</v>
      </c>
      <c r="C98" s="2" t="s">
        <v>2598</v>
      </c>
      <c r="D98" s="2"/>
    </row>
    <row r="99" spans="1:4" ht="18" customHeight="1" x14ac:dyDescent="0.3">
      <c r="A99" s="2" t="s">
        <v>80</v>
      </c>
      <c r="B99" s="2" t="s">
        <v>35</v>
      </c>
      <c r="C99" s="2" t="s">
        <v>2598</v>
      </c>
      <c r="D99" s="2"/>
    </row>
    <row r="100" spans="1:4" ht="18" customHeight="1" x14ac:dyDescent="0.3">
      <c r="A100" s="2" t="s">
        <v>81</v>
      </c>
      <c r="B100" s="2" t="s">
        <v>35</v>
      </c>
      <c r="C100" s="2" t="s">
        <v>2598</v>
      </c>
      <c r="D100" s="2"/>
    </row>
    <row r="101" spans="1:4" ht="18" customHeight="1" x14ac:dyDescent="0.3">
      <c r="A101" s="2" t="s">
        <v>82</v>
      </c>
      <c r="B101" s="2" t="s">
        <v>35</v>
      </c>
      <c r="C101" s="2" t="s">
        <v>2598</v>
      </c>
      <c r="D101" s="2"/>
    </row>
    <row r="102" spans="1:4" ht="18" customHeight="1" x14ac:dyDescent="0.3">
      <c r="A102" s="2" t="s">
        <v>83</v>
      </c>
      <c r="B102" s="2" t="s">
        <v>35</v>
      </c>
      <c r="C102" s="2" t="s">
        <v>2598</v>
      </c>
      <c r="D102" s="2"/>
    </row>
    <row r="103" spans="1:4" ht="18" customHeight="1" x14ac:dyDescent="0.3">
      <c r="A103" s="2" t="s">
        <v>84</v>
      </c>
      <c r="B103" s="2" t="s">
        <v>35</v>
      </c>
      <c r="C103" s="2" t="s">
        <v>2598</v>
      </c>
      <c r="D103" s="2"/>
    </row>
    <row r="104" spans="1:4" ht="18" customHeight="1" x14ac:dyDescent="0.3">
      <c r="A104" s="2" t="s">
        <v>85</v>
      </c>
      <c r="B104" s="2" t="s">
        <v>35</v>
      </c>
      <c r="C104" s="2" t="s">
        <v>2598</v>
      </c>
      <c r="D104" s="2"/>
    </row>
    <row r="105" spans="1:4" ht="18" customHeight="1" x14ac:dyDescent="0.3">
      <c r="A105" s="2" t="s">
        <v>86</v>
      </c>
      <c r="B105" s="2" t="s">
        <v>35</v>
      </c>
      <c r="C105" s="2" t="s">
        <v>2598</v>
      </c>
      <c r="D105" s="2"/>
    </row>
    <row r="106" spans="1:4" ht="18" customHeight="1" x14ac:dyDescent="0.3">
      <c r="A106" s="2" t="s">
        <v>87</v>
      </c>
      <c r="B106" s="2" t="s">
        <v>35</v>
      </c>
      <c r="C106" s="2" t="s">
        <v>2598</v>
      </c>
      <c r="D106" s="2"/>
    </row>
    <row r="107" spans="1:4" ht="18" customHeight="1" x14ac:dyDescent="0.3">
      <c r="A107" s="2" t="s">
        <v>88</v>
      </c>
      <c r="B107" s="2" t="s">
        <v>35</v>
      </c>
      <c r="C107" s="2" t="s">
        <v>2598</v>
      </c>
      <c r="D107" s="2"/>
    </row>
    <row r="108" spans="1:4" ht="18" customHeight="1" x14ac:dyDescent="0.3">
      <c r="A108" s="2" t="s">
        <v>89</v>
      </c>
      <c r="B108" s="2" t="s">
        <v>35</v>
      </c>
      <c r="C108" s="2" t="s">
        <v>2598</v>
      </c>
      <c r="D108" s="2"/>
    </row>
    <row r="109" spans="1:4" ht="18" customHeight="1" x14ac:dyDescent="0.3">
      <c r="A109" s="2" t="s">
        <v>90</v>
      </c>
      <c r="B109" s="2" t="s">
        <v>35</v>
      </c>
      <c r="C109" s="2" t="s">
        <v>2598</v>
      </c>
      <c r="D109" s="2"/>
    </row>
    <row r="110" spans="1:4" ht="18" customHeight="1" x14ac:dyDescent="0.3">
      <c r="A110" s="2" t="s">
        <v>91</v>
      </c>
      <c r="B110" s="2" t="s">
        <v>35</v>
      </c>
      <c r="C110" s="2" t="s">
        <v>2598</v>
      </c>
      <c r="D110" s="2"/>
    </row>
    <row r="111" spans="1:4" ht="18" customHeight="1" x14ac:dyDescent="0.3">
      <c r="A111" s="2" t="s">
        <v>92</v>
      </c>
      <c r="B111" s="2" t="s">
        <v>35</v>
      </c>
      <c r="C111" s="2" t="s">
        <v>2598</v>
      </c>
      <c r="D111" s="2"/>
    </row>
    <row r="112" spans="1:4" ht="18" customHeight="1" x14ac:dyDescent="0.3">
      <c r="A112" s="2" t="s">
        <v>93</v>
      </c>
      <c r="B112" s="2" t="s">
        <v>35</v>
      </c>
      <c r="C112" s="2" t="s">
        <v>2598</v>
      </c>
      <c r="D112" s="2"/>
    </row>
    <row r="113" spans="1:4" ht="18" customHeight="1" x14ac:dyDescent="0.3">
      <c r="A113" s="2" t="s">
        <v>94</v>
      </c>
      <c r="B113" s="2" t="s">
        <v>35</v>
      </c>
      <c r="C113" s="2" t="s">
        <v>2598</v>
      </c>
      <c r="D113" s="2"/>
    </row>
    <row r="114" spans="1:4" ht="18" customHeight="1" x14ac:dyDescent="0.3">
      <c r="A114" s="2" t="s">
        <v>95</v>
      </c>
      <c r="B114" s="2" t="s">
        <v>35</v>
      </c>
      <c r="C114" s="2" t="s">
        <v>2598</v>
      </c>
      <c r="D114" s="2"/>
    </row>
    <row r="115" spans="1:4" ht="18" customHeight="1" x14ac:dyDescent="0.3">
      <c r="A115" s="2" t="s">
        <v>96</v>
      </c>
      <c r="B115" s="2" t="s">
        <v>35</v>
      </c>
      <c r="C115" s="2" t="s">
        <v>2598</v>
      </c>
      <c r="D115" s="2"/>
    </row>
    <row r="116" spans="1:4" ht="18" customHeight="1" x14ac:dyDescent="0.3">
      <c r="A116" s="2" t="s">
        <v>97</v>
      </c>
      <c r="B116" s="2" t="s">
        <v>35</v>
      </c>
      <c r="C116" s="2" t="s">
        <v>2598</v>
      </c>
      <c r="D116" s="2"/>
    </row>
    <row r="117" spans="1:4" ht="18" customHeight="1" x14ac:dyDescent="0.3">
      <c r="A117" s="2" t="s">
        <v>98</v>
      </c>
      <c r="B117" s="2" t="s">
        <v>35</v>
      </c>
      <c r="C117" s="2" t="s">
        <v>2598</v>
      </c>
      <c r="D117" s="2"/>
    </row>
    <row r="118" spans="1:4" ht="18" customHeight="1" x14ac:dyDescent="0.3">
      <c r="A118" s="2" t="s">
        <v>99</v>
      </c>
      <c r="B118" s="2" t="s">
        <v>35</v>
      </c>
      <c r="C118" s="2" t="s">
        <v>2598</v>
      </c>
      <c r="D118" s="2"/>
    </row>
    <row r="119" spans="1:4" ht="18" customHeight="1" x14ac:dyDescent="0.3">
      <c r="A119" s="2" t="s">
        <v>100</v>
      </c>
      <c r="B119" s="2" t="s">
        <v>35</v>
      </c>
      <c r="C119" s="2" t="s">
        <v>2598</v>
      </c>
      <c r="D119" s="2"/>
    </row>
    <row r="120" spans="1:4" ht="18" customHeight="1" x14ac:dyDescent="0.3">
      <c r="A120" s="2" t="s">
        <v>101</v>
      </c>
      <c r="B120" s="2" t="s">
        <v>35</v>
      </c>
      <c r="C120" s="2" t="s">
        <v>2598</v>
      </c>
      <c r="D120" s="2"/>
    </row>
    <row r="121" spans="1:4" ht="18" customHeight="1" x14ac:dyDescent="0.3">
      <c r="A121" s="2" t="s">
        <v>102</v>
      </c>
      <c r="B121" s="2" t="s">
        <v>35</v>
      </c>
      <c r="C121" s="2" t="s">
        <v>2598</v>
      </c>
      <c r="D121" s="2"/>
    </row>
    <row r="122" spans="1:4" ht="18" customHeight="1" x14ac:dyDescent="0.3">
      <c r="A122" s="2" t="s">
        <v>103</v>
      </c>
      <c r="B122" s="2" t="s">
        <v>35</v>
      </c>
      <c r="C122" s="2" t="s">
        <v>2598</v>
      </c>
      <c r="D122" s="2"/>
    </row>
    <row r="123" spans="1:4" ht="18" customHeight="1" x14ac:dyDescent="0.3">
      <c r="A123" s="2" t="s">
        <v>104</v>
      </c>
      <c r="B123" s="2" t="s">
        <v>35</v>
      </c>
      <c r="C123" s="2" t="s">
        <v>2598</v>
      </c>
      <c r="D123" s="2"/>
    </row>
    <row r="124" spans="1:4" ht="18" customHeight="1" x14ac:dyDescent="0.3">
      <c r="A124" s="2" t="s">
        <v>105</v>
      </c>
      <c r="B124" s="2" t="s">
        <v>35</v>
      </c>
      <c r="C124" s="2" t="s">
        <v>2598</v>
      </c>
      <c r="D124" s="2"/>
    </row>
    <row r="125" spans="1:4" ht="18" customHeight="1" x14ac:dyDescent="0.3">
      <c r="A125" s="2" t="s">
        <v>106</v>
      </c>
      <c r="B125" s="2" t="s">
        <v>35</v>
      </c>
      <c r="C125" s="2" t="s">
        <v>2598</v>
      </c>
      <c r="D125" s="2"/>
    </row>
    <row r="126" spans="1:4" ht="18" customHeight="1" x14ac:dyDescent="0.3">
      <c r="A126" s="2" t="s">
        <v>107</v>
      </c>
      <c r="B126" s="2" t="s">
        <v>35</v>
      </c>
      <c r="C126" s="2" t="s">
        <v>2598</v>
      </c>
      <c r="D126" s="2"/>
    </row>
    <row r="127" spans="1:4" ht="18" customHeight="1" x14ac:dyDescent="0.3">
      <c r="A127" s="2" t="s">
        <v>108</v>
      </c>
      <c r="B127" s="2" t="s">
        <v>35</v>
      </c>
      <c r="C127" s="2" t="s">
        <v>2598</v>
      </c>
      <c r="D127" s="2"/>
    </row>
    <row r="128" spans="1:4" ht="18" customHeight="1" x14ac:dyDescent="0.3">
      <c r="A128" s="2" t="s">
        <v>109</v>
      </c>
      <c r="B128" s="2" t="s">
        <v>35</v>
      </c>
      <c r="C128" s="2" t="s">
        <v>2598</v>
      </c>
      <c r="D128" s="2"/>
    </row>
    <row r="129" spans="1:4" ht="18" customHeight="1" x14ac:dyDescent="0.3">
      <c r="A129" s="2" t="s">
        <v>110</v>
      </c>
      <c r="B129" s="2" t="s">
        <v>35</v>
      </c>
      <c r="C129" s="2" t="s">
        <v>2598</v>
      </c>
      <c r="D129" s="2"/>
    </row>
    <row r="130" spans="1:4" ht="18" customHeight="1" x14ac:dyDescent="0.3">
      <c r="A130" s="2" t="s">
        <v>111</v>
      </c>
      <c r="B130" s="2" t="s">
        <v>35</v>
      </c>
      <c r="C130" s="2" t="s">
        <v>2598</v>
      </c>
      <c r="D130" s="2"/>
    </row>
    <row r="131" spans="1:4" ht="18" customHeight="1" x14ac:dyDescent="0.3">
      <c r="A131" s="2" t="s">
        <v>112</v>
      </c>
      <c r="B131" s="2" t="s">
        <v>35</v>
      </c>
      <c r="C131" s="2" t="s">
        <v>2598</v>
      </c>
      <c r="D131" s="2"/>
    </row>
    <row r="132" spans="1:4" ht="18" customHeight="1" x14ac:dyDescent="0.3">
      <c r="A132" s="2" t="s">
        <v>113</v>
      </c>
      <c r="B132" s="2" t="s">
        <v>35</v>
      </c>
      <c r="C132" s="2" t="s">
        <v>2598</v>
      </c>
      <c r="D132" s="2"/>
    </row>
    <row r="133" spans="1:4" ht="18" customHeight="1" x14ac:dyDescent="0.3">
      <c r="A133" s="2" t="s">
        <v>114</v>
      </c>
      <c r="B133" s="2" t="s">
        <v>35</v>
      </c>
      <c r="C133" s="2" t="s">
        <v>2598</v>
      </c>
      <c r="D133" s="2"/>
    </row>
    <row r="134" spans="1:4" ht="18" customHeight="1" x14ac:dyDescent="0.3">
      <c r="A134" s="2" t="s">
        <v>115</v>
      </c>
      <c r="B134" s="2" t="s">
        <v>35</v>
      </c>
      <c r="C134" s="2" t="s">
        <v>2598</v>
      </c>
      <c r="D134" s="2"/>
    </row>
    <row r="135" spans="1:4" ht="18" customHeight="1" x14ac:dyDescent="0.3">
      <c r="A135" s="2" t="s">
        <v>116</v>
      </c>
      <c r="B135" s="2" t="s">
        <v>35</v>
      </c>
      <c r="C135" s="2" t="s">
        <v>2598</v>
      </c>
      <c r="D135" s="2"/>
    </row>
    <row r="136" spans="1:4" ht="18" customHeight="1" x14ac:dyDescent="0.3">
      <c r="A136" s="2" t="s">
        <v>117</v>
      </c>
      <c r="B136" s="2" t="s">
        <v>35</v>
      </c>
      <c r="C136" s="2" t="s">
        <v>2598</v>
      </c>
      <c r="D136" s="2"/>
    </row>
    <row r="137" spans="1:4" ht="18" customHeight="1" x14ac:dyDescent="0.3">
      <c r="A137" s="2" t="s">
        <v>118</v>
      </c>
      <c r="B137" s="2" t="s">
        <v>35</v>
      </c>
      <c r="C137" s="2" t="s">
        <v>2598</v>
      </c>
      <c r="D137" s="2"/>
    </row>
    <row r="138" spans="1:4" ht="18" customHeight="1" x14ac:dyDescent="0.3">
      <c r="A138" s="2" t="s">
        <v>119</v>
      </c>
      <c r="B138" s="2" t="s">
        <v>35</v>
      </c>
      <c r="C138" s="2" t="s">
        <v>2598</v>
      </c>
      <c r="D138" s="2"/>
    </row>
    <row r="139" spans="1:4" ht="18" customHeight="1" x14ac:dyDescent="0.3">
      <c r="A139" s="2" t="s">
        <v>120</v>
      </c>
      <c r="B139" s="2" t="s">
        <v>35</v>
      </c>
      <c r="C139" s="2" t="s">
        <v>2598</v>
      </c>
      <c r="D139" s="2"/>
    </row>
    <row r="140" spans="1:4" ht="18" customHeight="1" x14ac:dyDescent="0.3">
      <c r="A140" s="2" t="s">
        <v>121</v>
      </c>
      <c r="B140" s="2" t="s">
        <v>35</v>
      </c>
      <c r="C140" s="2" t="s">
        <v>2598</v>
      </c>
      <c r="D140" s="2"/>
    </row>
    <row r="141" spans="1:4" ht="18" customHeight="1" x14ac:dyDescent="0.3">
      <c r="A141" s="2" t="s">
        <v>122</v>
      </c>
      <c r="B141" s="2" t="s">
        <v>35</v>
      </c>
      <c r="C141" s="2" t="s">
        <v>2598</v>
      </c>
      <c r="D141" s="2"/>
    </row>
    <row r="142" spans="1:4" ht="18" customHeight="1" x14ac:dyDescent="0.3">
      <c r="A142" s="2" t="s">
        <v>123</v>
      </c>
      <c r="B142" s="2" t="s">
        <v>35</v>
      </c>
      <c r="C142" s="2" t="s">
        <v>2598</v>
      </c>
      <c r="D142" s="2"/>
    </row>
    <row r="143" spans="1:4" ht="18" customHeight="1" x14ac:dyDescent="0.3">
      <c r="A143" s="2" t="s">
        <v>124</v>
      </c>
      <c r="B143" s="2" t="s">
        <v>35</v>
      </c>
      <c r="C143" s="2" t="s">
        <v>2598</v>
      </c>
      <c r="D143" s="2"/>
    </row>
    <row r="144" spans="1:4" ht="18" customHeight="1" x14ac:dyDescent="0.3">
      <c r="A144" s="2" t="s">
        <v>125</v>
      </c>
      <c r="B144" s="2" t="s">
        <v>35</v>
      </c>
      <c r="C144" s="2" t="s">
        <v>2598</v>
      </c>
      <c r="D144" s="2"/>
    </row>
    <row r="145" spans="1:4" ht="18" customHeight="1" x14ac:dyDescent="0.3">
      <c r="A145" s="2" t="s">
        <v>126</v>
      </c>
      <c r="B145" s="2" t="s">
        <v>35</v>
      </c>
      <c r="C145" s="2" t="s">
        <v>2598</v>
      </c>
      <c r="D145" s="2"/>
    </row>
    <row r="146" spans="1:4" ht="18" customHeight="1" x14ac:dyDescent="0.3">
      <c r="A146" s="2" t="s">
        <v>127</v>
      </c>
      <c r="B146" s="2" t="s">
        <v>35</v>
      </c>
      <c r="C146" s="2" t="s">
        <v>2598</v>
      </c>
      <c r="D146" s="2"/>
    </row>
    <row r="147" spans="1:4" ht="18" customHeight="1" x14ac:dyDescent="0.3">
      <c r="A147" s="2" t="s">
        <v>128</v>
      </c>
      <c r="B147" s="2" t="s">
        <v>35</v>
      </c>
      <c r="C147" s="2" t="s">
        <v>2598</v>
      </c>
      <c r="D147" s="2"/>
    </row>
    <row r="148" spans="1:4" ht="18" customHeight="1" x14ac:dyDescent="0.3">
      <c r="A148" s="2" t="s">
        <v>129</v>
      </c>
      <c r="B148" s="2" t="s">
        <v>35</v>
      </c>
      <c r="C148" s="2" t="s">
        <v>2598</v>
      </c>
      <c r="D148" s="2"/>
    </row>
    <row r="149" spans="1:4" ht="18" customHeight="1" x14ac:dyDescent="0.3">
      <c r="A149" s="2" t="s">
        <v>130</v>
      </c>
      <c r="B149" s="2" t="s">
        <v>35</v>
      </c>
      <c r="C149" s="2" t="s">
        <v>2598</v>
      </c>
      <c r="D149" s="2"/>
    </row>
    <row r="150" spans="1:4" ht="18" customHeight="1" x14ac:dyDescent="0.3">
      <c r="A150" s="2" t="s">
        <v>131</v>
      </c>
      <c r="B150" s="2" t="s">
        <v>35</v>
      </c>
      <c r="C150" s="2" t="s">
        <v>2598</v>
      </c>
      <c r="D150" s="2"/>
    </row>
    <row r="151" spans="1:4" ht="18" customHeight="1" x14ac:dyDescent="0.3">
      <c r="A151" s="2" t="s">
        <v>132</v>
      </c>
      <c r="B151" s="2" t="s">
        <v>35</v>
      </c>
      <c r="C151" s="2" t="s">
        <v>2598</v>
      </c>
      <c r="D151" s="2"/>
    </row>
    <row r="152" spans="1:4" ht="18" customHeight="1" x14ac:dyDescent="0.3">
      <c r="A152" s="2" t="s">
        <v>133</v>
      </c>
      <c r="B152" s="2" t="s">
        <v>35</v>
      </c>
      <c r="C152" s="2" t="s">
        <v>2598</v>
      </c>
      <c r="D152" s="2"/>
    </row>
    <row r="153" spans="1:4" ht="18" customHeight="1" x14ac:dyDescent="0.3">
      <c r="A153" s="2" t="s">
        <v>134</v>
      </c>
      <c r="B153" s="2" t="s">
        <v>35</v>
      </c>
      <c r="C153" s="2" t="s">
        <v>2598</v>
      </c>
      <c r="D153" s="2"/>
    </row>
    <row r="154" spans="1:4" ht="18" customHeight="1" x14ac:dyDescent="0.3">
      <c r="A154" s="2" t="s">
        <v>135</v>
      </c>
      <c r="B154" s="2" t="s">
        <v>35</v>
      </c>
      <c r="C154" s="2" t="s">
        <v>2598</v>
      </c>
      <c r="D154" s="2"/>
    </row>
    <row r="155" spans="1:4" ht="18" customHeight="1" x14ac:dyDescent="0.3">
      <c r="A155" s="2" t="s">
        <v>136</v>
      </c>
      <c r="B155" s="2" t="s">
        <v>35</v>
      </c>
      <c r="C155" s="2" t="s">
        <v>2598</v>
      </c>
      <c r="D155" s="2"/>
    </row>
    <row r="156" spans="1:4" ht="18" customHeight="1" x14ac:dyDescent="0.3">
      <c r="A156" s="2" t="s">
        <v>137</v>
      </c>
      <c r="B156" s="2" t="s">
        <v>35</v>
      </c>
      <c r="C156" s="2" t="s">
        <v>2598</v>
      </c>
      <c r="D156" s="2"/>
    </row>
    <row r="157" spans="1:4" ht="18" customHeight="1" x14ac:dyDescent="0.3">
      <c r="A157" s="2" t="s">
        <v>138</v>
      </c>
      <c r="B157" s="2" t="s">
        <v>35</v>
      </c>
      <c r="C157" s="2" t="s">
        <v>2598</v>
      </c>
      <c r="D157" s="2"/>
    </row>
    <row r="158" spans="1:4" ht="18" customHeight="1" x14ac:dyDescent="0.3">
      <c r="A158" s="2" t="s">
        <v>139</v>
      </c>
      <c r="B158" s="2" t="s">
        <v>35</v>
      </c>
      <c r="C158" s="2" t="s">
        <v>2598</v>
      </c>
      <c r="D158" s="2"/>
    </row>
    <row r="159" spans="1:4" ht="18" customHeight="1" x14ac:dyDescent="0.3">
      <c r="A159" s="2" t="s">
        <v>140</v>
      </c>
      <c r="B159" s="2" t="s">
        <v>35</v>
      </c>
      <c r="C159" s="2" t="s">
        <v>2598</v>
      </c>
      <c r="D159" s="2"/>
    </row>
    <row r="160" spans="1:4" ht="18" customHeight="1" x14ac:dyDescent="0.3">
      <c r="A160" s="2" t="s">
        <v>141</v>
      </c>
      <c r="B160" s="2" t="s">
        <v>35</v>
      </c>
      <c r="C160" s="2" t="s">
        <v>2598</v>
      </c>
      <c r="D160" s="2"/>
    </row>
    <row r="161" spans="1:4" ht="18" customHeight="1" x14ac:dyDescent="0.3">
      <c r="A161" s="2" t="s">
        <v>142</v>
      </c>
      <c r="B161" s="2" t="s">
        <v>35</v>
      </c>
      <c r="C161" s="2" t="s">
        <v>2598</v>
      </c>
      <c r="D161" s="2"/>
    </row>
    <row r="162" spans="1:4" ht="18" customHeight="1" x14ac:dyDescent="0.3">
      <c r="A162" s="2" t="s">
        <v>143</v>
      </c>
      <c r="B162" s="2" t="s">
        <v>35</v>
      </c>
      <c r="C162" s="2" t="s">
        <v>2598</v>
      </c>
      <c r="D162" s="2"/>
    </row>
    <row r="163" spans="1:4" ht="18" customHeight="1" x14ac:dyDescent="0.3">
      <c r="A163" s="2" t="s">
        <v>144</v>
      </c>
      <c r="B163" s="2" t="s">
        <v>35</v>
      </c>
      <c r="C163" s="2" t="s">
        <v>2598</v>
      </c>
      <c r="D163" s="2"/>
    </row>
    <row r="164" spans="1:4" ht="18" customHeight="1" x14ac:dyDescent="0.3">
      <c r="A164" s="2" t="s">
        <v>145</v>
      </c>
      <c r="B164" s="2" t="s">
        <v>35</v>
      </c>
      <c r="C164" s="2" t="s">
        <v>2598</v>
      </c>
      <c r="D164" s="2"/>
    </row>
    <row r="165" spans="1:4" ht="18" customHeight="1" x14ac:dyDescent="0.3">
      <c r="A165" s="2" t="s">
        <v>146</v>
      </c>
      <c r="B165" s="2" t="s">
        <v>35</v>
      </c>
      <c r="C165" s="2" t="s">
        <v>2598</v>
      </c>
      <c r="D165" s="2"/>
    </row>
    <row r="166" spans="1:4" ht="18" customHeight="1" x14ac:dyDescent="0.3">
      <c r="A166" s="2" t="s">
        <v>147</v>
      </c>
      <c r="B166" s="2" t="s">
        <v>35</v>
      </c>
      <c r="C166" s="2" t="s">
        <v>2598</v>
      </c>
      <c r="D166" s="2"/>
    </row>
    <row r="167" spans="1:4" ht="18" customHeight="1" x14ac:dyDescent="0.3">
      <c r="A167" s="2" t="s">
        <v>148</v>
      </c>
      <c r="B167" s="2" t="s">
        <v>35</v>
      </c>
      <c r="C167" s="2" t="s">
        <v>2598</v>
      </c>
      <c r="D167" s="2"/>
    </row>
    <row r="168" spans="1:4" ht="18" customHeight="1" x14ac:dyDescent="0.3">
      <c r="A168" s="2" t="s">
        <v>149</v>
      </c>
      <c r="B168" s="2" t="s">
        <v>35</v>
      </c>
      <c r="C168" s="2" t="s">
        <v>2598</v>
      </c>
      <c r="D168" s="2"/>
    </row>
    <row r="169" spans="1:4" ht="18" customHeight="1" x14ac:dyDescent="0.3">
      <c r="A169" s="2" t="s">
        <v>150</v>
      </c>
      <c r="B169" s="2" t="s">
        <v>35</v>
      </c>
      <c r="C169" s="2" t="s">
        <v>2598</v>
      </c>
      <c r="D169" s="2"/>
    </row>
    <row r="170" spans="1:4" ht="18" customHeight="1" x14ac:dyDescent="0.3">
      <c r="A170" s="2" t="s">
        <v>151</v>
      </c>
      <c r="B170" s="2" t="s">
        <v>35</v>
      </c>
      <c r="C170" s="2" t="s">
        <v>2598</v>
      </c>
      <c r="D170" s="2"/>
    </row>
    <row r="171" spans="1:4" ht="18" customHeight="1" x14ac:dyDescent="0.3">
      <c r="A171" s="2" t="s">
        <v>152</v>
      </c>
      <c r="B171" s="2" t="s">
        <v>35</v>
      </c>
      <c r="C171" s="2" t="s">
        <v>2598</v>
      </c>
      <c r="D171" s="2"/>
    </row>
    <row r="172" spans="1:4" ht="18" customHeight="1" x14ac:dyDescent="0.3">
      <c r="A172" s="2" t="s">
        <v>153</v>
      </c>
      <c r="B172" s="2" t="s">
        <v>35</v>
      </c>
      <c r="C172" s="2" t="s">
        <v>2598</v>
      </c>
      <c r="D172" s="2"/>
    </row>
    <row r="173" spans="1:4" ht="18" customHeight="1" x14ac:dyDescent="0.3">
      <c r="A173" s="2" t="s">
        <v>154</v>
      </c>
      <c r="B173" s="2" t="s">
        <v>35</v>
      </c>
      <c r="C173" s="2" t="s">
        <v>2598</v>
      </c>
      <c r="D173" s="2"/>
    </row>
    <row r="174" spans="1:4" ht="18" customHeight="1" x14ac:dyDescent="0.3">
      <c r="A174" s="2" t="s">
        <v>155</v>
      </c>
      <c r="B174" s="2" t="s">
        <v>35</v>
      </c>
      <c r="C174" s="2" t="s">
        <v>2598</v>
      </c>
      <c r="D174" s="2"/>
    </row>
    <row r="175" spans="1:4" ht="18" customHeight="1" x14ac:dyDescent="0.3">
      <c r="A175" s="2" t="s">
        <v>156</v>
      </c>
      <c r="B175" s="2" t="s">
        <v>35</v>
      </c>
      <c r="C175" s="2" t="s">
        <v>2598</v>
      </c>
      <c r="D175" s="2"/>
    </row>
    <row r="176" spans="1:4" ht="18" customHeight="1" x14ac:dyDescent="0.3">
      <c r="A176" s="2" t="s">
        <v>157</v>
      </c>
      <c r="B176" s="2" t="s">
        <v>35</v>
      </c>
      <c r="C176" s="2" t="s">
        <v>2598</v>
      </c>
      <c r="D176" s="2"/>
    </row>
    <row r="177" spans="1:4" ht="18" customHeight="1" x14ac:dyDescent="0.3">
      <c r="A177" s="2" t="s">
        <v>158</v>
      </c>
      <c r="B177" s="2" t="s">
        <v>35</v>
      </c>
      <c r="C177" s="2" t="s">
        <v>2598</v>
      </c>
      <c r="D177" s="2"/>
    </row>
    <row r="178" spans="1:4" ht="18" customHeight="1" x14ac:dyDescent="0.3">
      <c r="A178" s="2" t="s">
        <v>159</v>
      </c>
      <c r="B178" s="2" t="s">
        <v>35</v>
      </c>
      <c r="C178" s="2" t="s">
        <v>2598</v>
      </c>
      <c r="D178" s="2"/>
    </row>
    <row r="179" spans="1:4" ht="18" customHeight="1" x14ac:dyDescent="0.3">
      <c r="A179" s="2" t="s">
        <v>160</v>
      </c>
      <c r="B179" s="2" t="s">
        <v>35</v>
      </c>
      <c r="C179" s="2" t="s">
        <v>2598</v>
      </c>
      <c r="D179" s="2"/>
    </row>
    <row r="180" spans="1:4" ht="18" customHeight="1" x14ac:dyDescent="0.3">
      <c r="A180" s="2" t="s">
        <v>161</v>
      </c>
      <c r="B180" s="2" t="s">
        <v>35</v>
      </c>
      <c r="C180" s="2" t="s">
        <v>2598</v>
      </c>
      <c r="D180" s="2"/>
    </row>
    <row r="181" spans="1:4" ht="18" customHeight="1" x14ac:dyDescent="0.3">
      <c r="A181" s="2" t="s">
        <v>162</v>
      </c>
      <c r="B181" s="2" t="s">
        <v>35</v>
      </c>
      <c r="C181" s="2" t="s">
        <v>2598</v>
      </c>
      <c r="D181" s="2"/>
    </row>
    <row r="182" spans="1:4" ht="18" customHeight="1" x14ac:dyDescent="0.3">
      <c r="A182" s="2" t="s">
        <v>163</v>
      </c>
      <c r="B182" s="2" t="s">
        <v>35</v>
      </c>
      <c r="C182" s="2" t="s">
        <v>2598</v>
      </c>
      <c r="D182" s="2"/>
    </row>
    <row r="183" spans="1:4" ht="18" customHeight="1" x14ac:dyDescent="0.3">
      <c r="A183" s="2" t="s">
        <v>164</v>
      </c>
      <c r="B183" s="2" t="s">
        <v>35</v>
      </c>
      <c r="C183" s="2" t="s">
        <v>2598</v>
      </c>
      <c r="D183" s="2"/>
    </row>
    <row r="184" spans="1:4" ht="18" customHeight="1" x14ac:dyDescent="0.3">
      <c r="A184" s="2" t="s">
        <v>165</v>
      </c>
      <c r="B184" s="2" t="s">
        <v>35</v>
      </c>
      <c r="C184" s="2" t="s">
        <v>2598</v>
      </c>
      <c r="D184" s="2"/>
    </row>
    <row r="185" spans="1:4" ht="18" customHeight="1" x14ac:dyDescent="0.3">
      <c r="A185" s="2" t="s">
        <v>166</v>
      </c>
      <c r="B185" s="2" t="s">
        <v>35</v>
      </c>
      <c r="C185" s="2" t="s">
        <v>2598</v>
      </c>
      <c r="D185" s="2"/>
    </row>
    <row r="186" spans="1:4" ht="18" customHeight="1" x14ac:dyDescent="0.3">
      <c r="A186" s="2" t="s">
        <v>2600</v>
      </c>
      <c r="B186" s="2" t="s">
        <v>2601</v>
      </c>
      <c r="C186" s="2" t="s">
        <v>2549</v>
      </c>
      <c r="D186" s="2"/>
    </row>
    <row r="187" spans="1:4" ht="18" customHeight="1" x14ac:dyDescent="0.3">
      <c r="A187" s="2" t="s">
        <v>2602</v>
      </c>
      <c r="B187" s="2" t="s">
        <v>2601</v>
      </c>
      <c r="C187" s="2" t="s">
        <v>2549</v>
      </c>
      <c r="D187" s="2"/>
    </row>
    <row r="188" spans="1:4" ht="18" customHeight="1" x14ac:dyDescent="0.3">
      <c r="A188" s="2" t="s">
        <v>2603</v>
      </c>
      <c r="B188" s="2" t="s">
        <v>2601</v>
      </c>
      <c r="C188" s="2" t="s">
        <v>2549</v>
      </c>
      <c r="D188" s="2"/>
    </row>
    <row r="189" spans="1:4" ht="18" customHeight="1" x14ac:dyDescent="0.3">
      <c r="A189" s="2" t="s">
        <v>2604</v>
      </c>
      <c r="B189" s="2" t="s">
        <v>2601</v>
      </c>
      <c r="C189" s="2" t="s">
        <v>2549</v>
      </c>
      <c r="D189" s="2"/>
    </row>
    <row r="190" spans="1:4" ht="18" customHeight="1" x14ac:dyDescent="0.3">
      <c r="A190" s="2" t="s">
        <v>2605</v>
      </c>
      <c r="B190" s="2" t="s">
        <v>2601</v>
      </c>
      <c r="C190" s="2" t="s">
        <v>2549</v>
      </c>
      <c r="D190" s="2"/>
    </row>
    <row r="191" spans="1:4" ht="18" customHeight="1" x14ac:dyDescent="0.3">
      <c r="A191" s="2" t="s">
        <v>167</v>
      </c>
      <c r="B191" s="2" t="s">
        <v>168</v>
      </c>
      <c r="C191" s="2" t="s">
        <v>2547</v>
      </c>
      <c r="D191" s="2"/>
    </row>
    <row r="192" spans="1:4" ht="18" customHeight="1" x14ac:dyDescent="0.3">
      <c r="A192" s="2" t="s">
        <v>169</v>
      </c>
      <c r="B192" s="2" t="s">
        <v>168</v>
      </c>
      <c r="C192" s="2" t="s">
        <v>2547</v>
      </c>
      <c r="D192" s="2"/>
    </row>
    <row r="193" spans="1:4" ht="18" customHeight="1" x14ac:dyDescent="0.3">
      <c r="A193" s="2" t="s">
        <v>170</v>
      </c>
      <c r="B193" s="2" t="s">
        <v>168</v>
      </c>
      <c r="C193" s="2" t="s">
        <v>2547</v>
      </c>
      <c r="D193" s="2"/>
    </row>
    <row r="194" spans="1:4" ht="18" customHeight="1" x14ac:dyDescent="0.3">
      <c r="A194" s="2" t="s">
        <v>171</v>
      </c>
      <c r="B194" s="2" t="s">
        <v>168</v>
      </c>
      <c r="C194" s="2" t="s">
        <v>2547</v>
      </c>
      <c r="D194" s="2"/>
    </row>
    <row r="195" spans="1:4" ht="18" customHeight="1" x14ac:dyDescent="0.3">
      <c r="A195" s="2" t="s">
        <v>172</v>
      </c>
      <c r="B195" s="2" t="s">
        <v>168</v>
      </c>
      <c r="C195" s="2" t="s">
        <v>2547</v>
      </c>
      <c r="D195" s="2"/>
    </row>
    <row r="196" spans="1:4" ht="18" customHeight="1" x14ac:dyDescent="0.3">
      <c r="A196" s="2" t="s">
        <v>173</v>
      </c>
      <c r="B196" s="2" t="s">
        <v>168</v>
      </c>
      <c r="C196" s="2" t="s">
        <v>2547</v>
      </c>
      <c r="D196" s="2"/>
    </row>
    <row r="197" spans="1:4" ht="18" customHeight="1" x14ac:dyDescent="0.3">
      <c r="A197" s="2" t="s">
        <v>174</v>
      </c>
      <c r="B197" s="2" t="s">
        <v>168</v>
      </c>
      <c r="C197" s="2" t="s">
        <v>2547</v>
      </c>
      <c r="D197" s="2"/>
    </row>
    <row r="198" spans="1:4" ht="18" customHeight="1" x14ac:dyDescent="0.3">
      <c r="A198" s="2" t="s">
        <v>175</v>
      </c>
      <c r="B198" s="2" t="s">
        <v>168</v>
      </c>
      <c r="C198" s="2" t="s">
        <v>2547</v>
      </c>
      <c r="D198" s="2"/>
    </row>
    <row r="199" spans="1:4" ht="18" customHeight="1" x14ac:dyDescent="0.3">
      <c r="A199" s="2" t="s">
        <v>176</v>
      </c>
      <c r="B199" s="2" t="s">
        <v>168</v>
      </c>
      <c r="C199" s="2" t="s">
        <v>2547</v>
      </c>
      <c r="D199" s="2"/>
    </row>
    <row r="200" spans="1:4" ht="18" customHeight="1" x14ac:dyDescent="0.3">
      <c r="A200" s="2" t="s">
        <v>177</v>
      </c>
      <c r="B200" s="2" t="s">
        <v>168</v>
      </c>
      <c r="C200" s="2" t="s">
        <v>2547</v>
      </c>
      <c r="D200" s="2"/>
    </row>
    <row r="201" spans="1:4" ht="18" customHeight="1" x14ac:dyDescent="0.3">
      <c r="A201" s="2" t="s">
        <v>178</v>
      </c>
      <c r="B201" s="2" t="s">
        <v>168</v>
      </c>
      <c r="C201" s="2" t="s">
        <v>2547</v>
      </c>
      <c r="D201" s="2"/>
    </row>
    <row r="202" spans="1:4" ht="18" customHeight="1" x14ac:dyDescent="0.3">
      <c r="A202" s="2" t="s">
        <v>179</v>
      </c>
      <c r="B202" s="2" t="s">
        <v>168</v>
      </c>
      <c r="C202" s="2" t="s">
        <v>2547</v>
      </c>
      <c r="D202" s="2"/>
    </row>
    <row r="203" spans="1:4" ht="18" customHeight="1" x14ac:dyDescent="0.3">
      <c r="A203" s="2" t="s">
        <v>180</v>
      </c>
      <c r="B203" s="2" t="s">
        <v>168</v>
      </c>
      <c r="C203" s="2" t="s">
        <v>2547</v>
      </c>
      <c r="D203" s="2"/>
    </row>
    <row r="204" spans="1:4" ht="18" customHeight="1" x14ac:dyDescent="0.3">
      <c r="A204" s="2" t="s">
        <v>181</v>
      </c>
      <c r="B204" s="2" t="s">
        <v>168</v>
      </c>
      <c r="C204" s="2" t="s">
        <v>2547</v>
      </c>
      <c r="D204" s="2"/>
    </row>
    <row r="205" spans="1:4" ht="18" customHeight="1" x14ac:dyDescent="0.3">
      <c r="A205" s="2" t="s">
        <v>182</v>
      </c>
      <c r="B205" s="2" t="s">
        <v>168</v>
      </c>
      <c r="C205" s="2" t="s">
        <v>2547</v>
      </c>
      <c r="D205" s="2"/>
    </row>
    <row r="206" spans="1:4" ht="18" customHeight="1" x14ac:dyDescent="0.3">
      <c r="A206" s="2" t="s">
        <v>183</v>
      </c>
      <c r="B206" s="2" t="s">
        <v>168</v>
      </c>
      <c r="C206" s="2" t="s">
        <v>2547</v>
      </c>
      <c r="D206" s="2"/>
    </row>
    <row r="207" spans="1:4" ht="18" customHeight="1" x14ac:dyDescent="0.3">
      <c r="A207" s="2" t="s">
        <v>184</v>
      </c>
      <c r="B207" s="2" t="s">
        <v>168</v>
      </c>
      <c r="C207" s="2" t="s">
        <v>2547</v>
      </c>
      <c r="D207" s="2"/>
    </row>
    <row r="208" spans="1:4" ht="18" customHeight="1" x14ac:dyDescent="0.3">
      <c r="A208" s="2" t="s">
        <v>185</v>
      </c>
      <c r="B208" s="2" t="s">
        <v>168</v>
      </c>
      <c r="C208" s="2" t="s">
        <v>2547</v>
      </c>
      <c r="D208" s="2"/>
    </row>
    <row r="209" spans="1:4" ht="18" customHeight="1" x14ac:dyDescent="0.3">
      <c r="A209" s="2" t="s">
        <v>186</v>
      </c>
      <c r="B209" s="2" t="s">
        <v>168</v>
      </c>
      <c r="C209" s="2" t="s">
        <v>2547</v>
      </c>
      <c r="D209" s="2"/>
    </row>
    <row r="210" spans="1:4" ht="18" customHeight="1" x14ac:dyDescent="0.3">
      <c r="A210" s="2" t="s">
        <v>187</v>
      </c>
      <c r="B210" s="2" t="s">
        <v>168</v>
      </c>
      <c r="C210" s="2" t="s">
        <v>2547</v>
      </c>
      <c r="D210" s="2"/>
    </row>
    <row r="211" spans="1:4" ht="18" customHeight="1" x14ac:dyDescent="0.3">
      <c r="A211" s="2" t="s">
        <v>188</v>
      </c>
      <c r="B211" s="2" t="s">
        <v>168</v>
      </c>
      <c r="C211" s="2" t="s">
        <v>2547</v>
      </c>
      <c r="D211" s="2"/>
    </row>
    <row r="212" spans="1:4" ht="18" customHeight="1" x14ac:dyDescent="0.3">
      <c r="A212" s="2" t="s">
        <v>189</v>
      </c>
      <c r="B212" s="2" t="s">
        <v>168</v>
      </c>
      <c r="C212" s="2" t="s">
        <v>2547</v>
      </c>
      <c r="D212" s="2"/>
    </row>
    <row r="213" spans="1:4" ht="18" customHeight="1" x14ac:dyDescent="0.3">
      <c r="A213" s="2" t="s">
        <v>190</v>
      </c>
      <c r="B213" s="2" t="s">
        <v>168</v>
      </c>
      <c r="C213" s="2" t="s">
        <v>2547</v>
      </c>
      <c r="D213" s="2"/>
    </row>
    <row r="214" spans="1:4" ht="18" customHeight="1" x14ac:dyDescent="0.3">
      <c r="A214" s="2" t="s">
        <v>191</v>
      </c>
      <c r="B214" s="2" t="s">
        <v>168</v>
      </c>
      <c r="C214" s="2" t="s">
        <v>2547</v>
      </c>
      <c r="D214" s="2"/>
    </row>
    <row r="215" spans="1:4" ht="18" customHeight="1" x14ac:dyDescent="0.3">
      <c r="A215" s="2" t="s">
        <v>192</v>
      </c>
      <c r="B215" s="2" t="s">
        <v>168</v>
      </c>
      <c r="C215" s="2" t="s">
        <v>2547</v>
      </c>
      <c r="D215" s="2"/>
    </row>
    <row r="216" spans="1:4" ht="18" customHeight="1" x14ac:dyDescent="0.3">
      <c r="A216" s="2" t="s">
        <v>193</v>
      </c>
      <c r="B216" s="2" t="s">
        <v>168</v>
      </c>
      <c r="C216" s="2" t="s">
        <v>2547</v>
      </c>
      <c r="D216" s="2"/>
    </row>
    <row r="217" spans="1:4" ht="18" customHeight="1" x14ac:dyDescent="0.3">
      <c r="A217" s="2" t="s">
        <v>194</v>
      </c>
      <c r="B217" s="2" t="s">
        <v>168</v>
      </c>
      <c r="C217" s="2" t="s">
        <v>2547</v>
      </c>
      <c r="D217" s="2"/>
    </row>
    <row r="218" spans="1:4" ht="18" customHeight="1" x14ac:dyDescent="0.3">
      <c r="A218" s="2" t="s">
        <v>195</v>
      </c>
      <c r="B218" s="2" t="s">
        <v>168</v>
      </c>
      <c r="C218" s="2" t="s">
        <v>2547</v>
      </c>
      <c r="D218" s="2"/>
    </row>
    <row r="219" spans="1:4" ht="18" customHeight="1" x14ac:dyDescent="0.3">
      <c r="A219" s="2" t="s">
        <v>196</v>
      </c>
      <c r="B219" s="2" t="s">
        <v>168</v>
      </c>
      <c r="C219" s="2" t="s">
        <v>2547</v>
      </c>
      <c r="D219" s="2"/>
    </row>
    <row r="220" spans="1:4" ht="18" customHeight="1" x14ac:dyDescent="0.3">
      <c r="A220" s="2" t="s">
        <v>197</v>
      </c>
      <c r="B220" s="2" t="s">
        <v>168</v>
      </c>
      <c r="C220" s="2" t="s">
        <v>2547</v>
      </c>
      <c r="D220" s="2"/>
    </row>
    <row r="221" spans="1:4" ht="18" customHeight="1" x14ac:dyDescent="0.3">
      <c r="A221" s="2" t="s">
        <v>198</v>
      </c>
      <c r="B221" s="2" t="s">
        <v>168</v>
      </c>
      <c r="C221" s="2" t="s">
        <v>2547</v>
      </c>
      <c r="D221" s="2"/>
    </row>
    <row r="222" spans="1:4" ht="18" customHeight="1" x14ac:dyDescent="0.3">
      <c r="A222" s="2" t="s">
        <v>199</v>
      </c>
      <c r="B222" s="2" t="s">
        <v>168</v>
      </c>
      <c r="C222" s="2" t="s">
        <v>2547</v>
      </c>
      <c r="D222" s="2"/>
    </row>
    <row r="223" spans="1:4" ht="18" customHeight="1" x14ac:dyDescent="0.3">
      <c r="A223" s="2" t="s">
        <v>200</v>
      </c>
      <c r="B223" s="2" t="s">
        <v>168</v>
      </c>
      <c r="C223" s="2" t="s">
        <v>2547</v>
      </c>
      <c r="D223" s="2"/>
    </row>
    <row r="224" spans="1:4" ht="18" customHeight="1" x14ac:dyDescent="0.3">
      <c r="A224" s="2" t="s">
        <v>201</v>
      </c>
      <c r="B224" s="2" t="s">
        <v>168</v>
      </c>
      <c r="C224" s="2" t="s">
        <v>2547</v>
      </c>
      <c r="D224" s="2"/>
    </row>
    <row r="225" spans="1:4" ht="18" customHeight="1" x14ac:dyDescent="0.3">
      <c r="A225" s="2" t="s">
        <v>202</v>
      </c>
      <c r="B225" s="2" t="s">
        <v>168</v>
      </c>
      <c r="C225" s="2" t="s">
        <v>2547</v>
      </c>
      <c r="D225" s="2"/>
    </row>
    <row r="226" spans="1:4" ht="18" customHeight="1" x14ac:dyDescent="0.3">
      <c r="A226" s="2" t="s">
        <v>203</v>
      </c>
      <c r="B226" s="2" t="s">
        <v>168</v>
      </c>
      <c r="C226" s="2" t="s">
        <v>2547</v>
      </c>
      <c r="D226" s="2"/>
    </row>
    <row r="227" spans="1:4" ht="18" customHeight="1" x14ac:dyDescent="0.3">
      <c r="A227" s="2" t="s">
        <v>204</v>
      </c>
      <c r="B227" s="2" t="s">
        <v>168</v>
      </c>
      <c r="C227" s="2" t="s">
        <v>2547</v>
      </c>
      <c r="D227" s="2"/>
    </row>
    <row r="228" spans="1:4" ht="18" customHeight="1" x14ac:dyDescent="0.3">
      <c r="A228" s="2" t="s">
        <v>205</v>
      </c>
      <c r="B228" s="2" t="s">
        <v>168</v>
      </c>
      <c r="C228" s="2" t="s">
        <v>2547</v>
      </c>
      <c r="D228" s="2"/>
    </row>
    <row r="229" spans="1:4" ht="18" customHeight="1" x14ac:dyDescent="0.3">
      <c r="A229" s="2" t="s">
        <v>206</v>
      </c>
      <c r="B229" s="2" t="s">
        <v>168</v>
      </c>
      <c r="C229" s="2" t="s">
        <v>2547</v>
      </c>
      <c r="D229" s="2"/>
    </row>
    <row r="230" spans="1:4" ht="18" customHeight="1" x14ac:dyDescent="0.3">
      <c r="A230" s="2" t="s">
        <v>207</v>
      </c>
      <c r="B230" s="2" t="s">
        <v>168</v>
      </c>
      <c r="C230" s="2" t="s">
        <v>2547</v>
      </c>
      <c r="D230" s="2"/>
    </row>
    <row r="231" spans="1:4" ht="18" customHeight="1" x14ac:dyDescent="0.3">
      <c r="A231" s="2" t="s">
        <v>208</v>
      </c>
      <c r="B231" s="2" t="s">
        <v>168</v>
      </c>
      <c r="C231" s="2" t="s">
        <v>2547</v>
      </c>
      <c r="D231" s="2"/>
    </row>
    <row r="232" spans="1:4" ht="18" customHeight="1" x14ac:dyDescent="0.3">
      <c r="A232" s="2" t="s">
        <v>209</v>
      </c>
      <c r="B232" s="2" t="s">
        <v>168</v>
      </c>
      <c r="C232" s="2" t="s">
        <v>2547</v>
      </c>
      <c r="D232" s="2"/>
    </row>
    <row r="233" spans="1:4" ht="18" customHeight="1" x14ac:dyDescent="0.3">
      <c r="A233" s="2" t="s">
        <v>210</v>
      </c>
      <c r="B233" s="2" t="s">
        <v>168</v>
      </c>
      <c r="C233" s="2" t="s">
        <v>2547</v>
      </c>
      <c r="D233" s="2"/>
    </row>
    <row r="234" spans="1:4" ht="18" customHeight="1" x14ac:dyDescent="0.3">
      <c r="A234" s="2" t="s">
        <v>211</v>
      </c>
      <c r="B234" s="2" t="s">
        <v>168</v>
      </c>
      <c r="C234" s="2" t="s">
        <v>2547</v>
      </c>
      <c r="D234" s="2"/>
    </row>
    <row r="235" spans="1:4" ht="18" customHeight="1" x14ac:dyDescent="0.3">
      <c r="A235" s="2" t="s">
        <v>212</v>
      </c>
      <c r="B235" s="2" t="s">
        <v>168</v>
      </c>
      <c r="C235" s="2" t="s">
        <v>2547</v>
      </c>
      <c r="D235" s="2"/>
    </row>
    <row r="236" spans="1:4" ht="18" customHeight="1" x14ac:dyDescent="0.3">
      <c r="A236" s="2" t="s">
        <v>213</v>
      </c>
      <c r="B236" s="2" t="s">
        <v>168</v>
      </c>
      <c r="C236" s="2" t="s">
        <v>2547</v>
      </c>
      <c r="D236" s="2"/>
    </row>
    <row r="237" spans="1:4" ht="18" customHeight="1" x14ac:dyDescent="0.3">
      <c r="A237" s="2" t="s">
        <v>214</v>
      </c>
      <c r="B237" s="2" t="s">
        <v>168</v>
      </c>
      <c r="C237" s="2" t="s">
        <v>2547</v>
      </c>
      <c r="D237" s="2"/>
    </row>
    <row r="238" spans="1:4" ht="18" customHeight="1" x14ac:dyDescent="0.3">
      <c r="A238" s="2" t="s">
        <v>215</v>
      </c>
      <c r="B238" s="2" t="s">
        <v>168</v>
      </c>
      <c r="C238" s="2" t="s">
        <v>2547</v>
      </c>
      <c r="D238" s="2"/>
    </row>
    <row r="239" spans="1:4" ht="18" customHeight="1" x14ac:dyDescent="0.3">
      <c r="A239" s="2" t="s">
        <v>216</v>
      </c>
      <c r="B239" s="2" t="s">
        <v>168</v>
      </c>
      <c r="C239" s="2" t="s">
        <v>2547</v>
      </c>
      <c r="D239" s="2"/>
    </row>
    <row r="240" spans="1:4" ht="18" customHeight="1" x14ac:dyDescent="0.3">
      <c r="A240" s="2" t="s">
        <v>217</v>
      </c>
      <c r="B240" s="2" t="s">
        <v>168</v>
      </c>
      <c r="C240" s="2" t="s">
        <v>2547</v>
      </c>
      <c r="D240" s="2"/>
    </row>
    <row r="241" spans="1:4" ht="18" customHeight="1" x14ac:dyDescent="0.3">
      <c r="A241" s="2" t="s">
        <v>218</v>
      </c>
      <c r="B241" s="2" t="s">
        <v>168</v>
      </c>
      <c r="C241" s="2" t="s">
        <v>2547</v>
      </c>
      <c r="D241" s="2"/>
    </row>
    <row r="242" spans="1:4" ht="18" customHeight="1" x14ac:dyDescent="0.3">
      <c r="A242" s="2" t="s">
        <v>219</v>
      </c>
      <c r="B242" s="2" t="s">
        <v>168</v>
      </c>
      <c r="C242" s="2" t="s">
        <v>2547</v>
      </c>
      <c r="D242" s="2"/>
    </row>
    <row r="243" spans="1:4" ht="18" customHeight="1" x14ac:dyDescent="0.3">
      <c r="A243" s="2" t="s">
        <v>220</v>
      </c>
      <c r="B243" s="2" t="s">
        <v>168</v>
      </c>
      <c r="C243" s="2" t="s">
        <v>2547</v>
      </c>
      <c r="D243" s="2"/>
    </row>
    <row r="244" spans="1:4" ht="18" customHeight="1" x14ac:dyDescent="0.3">
      <c r="A244" s="2" t="s">
        <v>221</v>
      </c>
      <c r="B244" s="2" t="s">
        <v>168</v>
      </c>
      <c r="C244" s="2" t="s">
        <v>2547</v>
      </c>
      <c r="D244" s="2"/>
    </row>
    <row r="245" spans="1:4" ht="18" customHeight="1" x14ac:dyDescent="0.3">
      <c r="A245" s="2" t="s">
        <v>222</v>
      </c>
      <c r="B245" s="2" t="s">
        <v>168</v>
      </c>
      <c r="C245" s="2" t="s">
        <v>2547</v>
      </c>
      <c r="D245" s="2"/>
    </row>
    <row r="246" spans="1:4" ht="18" customHeight="1" x14ac:dyDescent="0.3">
      <c r="A246" s="2" t="s">
        <v>223</v>
      </c>
      <c r="B246" s="2" t="s">
        <v>168</v>
      </c>
      <c r="C246" s="2" t="s">
        <v>2547</v>
      </c>
      <c r="D246" s="2"/>
    </row>
    <row r="247" spans="1:4" ht="18" customHeight="1" x14ac:dyDescent="0.3">
      <c r="A247" s="2" t="s">
        <v>224</v>
      </c>
      <c r="B247" s="2" t="s">
        <v>168</v>
      </c>
      <c r="C247" s="2" t="s">
        <v>2547</v>
      </c>
      <c r="D247" s="2"/>
    </row>
    <row r="248" spans="1:4" ht="18" customHeight="1" x14ac:dyDescent="0.3">
      <c r="A248" s="2" t="s">
        <v>225</v>
      </c>
      <c r="B248" s="2" t="s">
        <v>168</v>
      </c>
      <c r="C248" s="2" t="s">
        <v>2547</v>
      </c>
      <c r="D248" s="2"/>
    </row>
    <row r="249" spans="1:4" ht="18" customHeight="1" x14ac:dyDescent="0.3">
      <c r="A249" s="2" t="s">
        <v>226</v>
      </c>
      <c r="B249" s="2" t="s">
        <v>168</v>
      </c>
      <c r="C249" s="2" t="s">
        <v>2547</v>
      </c>
      <c r="D249" s="2"/>
    </row>
    <row r="250" spans="1:4" ht="18" customHeight="1" x14ac:dyDescent="0.3">
      <c r="A250" s="2" t="s">
        <v>227</v>
      </c>
      <c r="B250" s="2" t="s">
        <v>168</v>
      </c>
      <c r="C250" s="2" t="s">
        <v>2547</v>
      </c>
      <c r="D250" s="2"/>
    </row>
    <row r="251" spans="1:4" ht="18" customHeight="1" x14ac:dyDescent="0.3">
      <c r="A251" s="2" t="s">
        <v>228</v>
      </c>
      <c r="B251" s="2" t="s">
        <v>168</v>
      </c>
      <c r="C251" s="2" t="s">
        <v>2547</v>
      </c>
      <c r="D251" s="2"/>
    </row>
    <row r="252" spans="1:4" ht="18" customHeight="1" x14ac:dyDescent="0.3">
      <c r="A252" s="2" t="s">
        <v>229</v>
      </c>
      <c r="B252" s="2" t="s">
        <v>168</v>
      </c>
      <c r="C252" s="2" t="s">
        <v>2547</v>
      </c>
      <c r="D252" s="2"/>
    </row>
    <row r="253" spans="1:4" ht="18" customHeight="1" x14ac:dyDescent="0.3">
      <c r="A253" s="2" t="s">
        <v>230</v>
      </c>
      <c r="B253" s="2" t="s">
        <v>168</v>
      </c>
      <c r="C253" s="2" t="s">
        <v>2547</v>
      </c>
      <c r="D253" s="2"/>
    </row>
    <row r="254" spans="1:4" ht="18" customHeight="1" x14ac:dyDescent="0.3">
      <c r="A254" s="2" t="s">
        <v>231</v>
      </c>
      <c r="B254" s="2" t="s">
        <v>168</v>
      </c>
      <c r="C254" s="2" t="s">
        <v>2547</v>
      </c>
      <c r="D254" s="2"/>
    </row>
    <row r="255" spans="1:4" ht="18" customHeight="1" x14ac:dyDescent="0.3">
      <c r="A255" s="2" t="s">
        <v>232</v>
      </c>
      <c r="B255" s="2" t="s">
        <v>168</v>
      </c>
      <c r="C255" s="2" t="s">
        <v>2547</v>
      </c>
      <c r="D255" s="2"/>
    </row>
    <row r="256" spans="1:4" ht="18" customHeight="1" x14ac:dyDescent="0.3">
      <c r="A256" s="2" t="s">
        <v>233</v>
      </c>
      <c r="B256" s="2" t="s">
        <v>168</v>
      </c>
      <c r="C256" s="2" t="s">
        <v>2547</v>
      </c>
      <c r="D256" s="2"/>
    </row>
    <row r="257" spans="1:4" ht="18" customHeight="1" x14ac:dyDescent="0.3">
      <c r="A257" s="2" t="s">
        <v>234</v>
      </c>
      <c r="B257" s="2" t="s">
        <v>168</v>
      </c>
      <c r="C257" s="2" t="s">
        <v>2547</v>
      </c>
      <c r="D257" s="2"/>
    </row>
    <row r="258" spans="1:4" ht="18" customHeight="1" x14ac:dyDescent="0.3">
      <c r="A258" s="2" t="s">
        <v>235</v>
      </c>
      <c r="B258" s="2" t="s">
        <v>168</v>
      </c>
      <c r="C258" s="2" t="s">
        <v>2547</v>
      </c>
      <c r="D258" s="2"/>
    </row>
    <row r="259" spans="1:4" ht="18" customHeight="1" x14ac:dyDescent="0.3">
      <c r="A259" s="2" t="s">
        <v>236</v>
      </c>
      <c r="B259" s="2" t="s">
        <v>168</v>
      </c>
      <c r="C259" s="2" t="s">
        <v>2547</v>
      </c>
      <c r="D259" s="2"/>
    </row>
    <row r="260" spans="1:4" ht="18" customHeight="1" x14ac:dyDescent="0.3">
      <c r="A260" s="2" t="s">
        <v>237</v>
      </c>
      <c r="B260" s="2" t="s">
        <v>168</v>
      </c>
      <c r="C260" s="2" t="s">
        <v>2547</v>
      </c>
      <c r="D260" s="2"/>
    </row>
    <row r="261" spans="1:4" ht="18" customHeight="1" x14ac:dyDescent="0.3">
      <c r="A261" s="2" t="s">
        <v>238</v>
      </c>
      <c r="B261" s="2" t="s">
        <v>168</v>
      </c>
      <c r="C261" s="2" t="s">
        <v>2547</v>
      </c>
      <c r="D261" s="2"/>
    </row>
    <row r="262" spans="1:4" ht="18" customHeight="1" x14ac:dyDescent="0.3">
      <c r="A262" s="2" t="s">
        <v>239</v>
      </c>
      <c r="B262" s="2" t="s">
        <v>168</v>
      </c>
      <c r="C262" s="2" t="s">
        <v>2547</v>
      </c>
      <c r="D262" s="2"/>
    </row>
    <row r="263" spans="1:4" ht="18" customHeight="1" x14ac:dyDescent="0.3">
      <c r="A263" s="2" t="s">
        <v>240</v>
      </c>
      <c r="B263" s="2" t="s">
        <v>168</v>
      </c>
      <c r="C263" s="2" t="s">
        <v>2547</v>
      </c>
      <c r="D263" s="2"/>
    </row>
    <row r="264" spans="1:4" ht="18" customHeight="1" x14ac:dyDescent="0.3">
      <c r="A264" s="2" t="s">
        <v>241</v>
      </c>
      <c r="B264" s="2" t="s">
        <v>168</v>
      </c>
      <c r="C264" s="2" t="s">
        <v>2547</v>
      </c>
      <c r="D264" s="2"/>
    </row>
    <row r="265" spans="1:4" ht="18" customHeight="1" x14ac:dyDescent="0.3">
      <c r="A265" s="2" t="s">
        <v>242</v>
      </c>
      <c r="B265" s="2" t="s">
        <v>168</v>
      </c>
      <c r="C265" s="2" t="s">
        <v>2547</v>
      </c>
      <c r="D265" s="2"/>
    </row>
    <row r="266" spans="1:4" ht="18" customHeight="1" x14ac:dyDescent="0.3">
      <c r="A266" s="2" t="s">
        <v>243</v>
      </c>
      <c r="B266" s="2" t="s">
        <v>168</v>
      </c>
      <c r="C266" s="2" t="s">
        <v>2547</v>
      </c>
      <c r="D266" s="2"/>
    </row>
    <row r="267" spans="1:4" ht="18" customHeight="1" x14ac:dyDescent="0.3">
      <c r="A267" s="2" t="s">
        <v>244</v>
      </c>
      <c r="B267" s="2" t="s">
        <v>168</v>
      </c>
      <c r="C267" s="2" t="s">
        <v>2547</v>
      </c>
      <c r="D267" s="2"/>
    </row>
    <row r="268" spans="1:4" ht="18" customHeight="1" x14ac:dyDescent="0.3">
      <c r="A268" s="2" t="s">
        <v>245</v>
      </c>
      <c r="B268" s="2" t="s">
        <v>168</v>
      </c>
      <c r="C268" s="2" t="s">
        <v>2547</v>
      </c>
      <c r="D268" s="2"/>
    </row>
    <row r="269" spans="1:4" ht="18" customHeight="1" x14ac:dyDescent="0.3">
      <c r="A269" s="2" t="s">
        <v>246</v>
      </c>
      <c r="B269" s="2" t="s">
        <v>168</v>
      </c>
      <c r="C269" s="2" t="s">
        <v>2547</v>
      </c>
      <c r="D269" s="2"/>
    </row>
    <row r="270" spans="1:4" ht="18" customHeight="1" x14ac:dyDescent="0.3">
      <c r="A270" s="2" t="s">
        <v>247</v>
      </c>
      <c r="B270" s="2" t="s">
        <v>168</v>
      </c>
      <c r="C270" s="2" t="s">
        <v>2547</v>
      </c>
      <c r="D270" s="2"/>
    </row>
    <row r="271" spans="1:4" ht="18" customHeight="1" x14ac:dyDescent="0.3">
      <c r="A271" s="2" t="s">
        <v>248</v>
      </c>
      <c r="B271" s="2" t="s">
        <v>168</v>
      </c>
      <c r="C271" s="2" t="s">
        <v>2547</v>
      </c>
      <c r="D271" s="2"/>
    </row>
    <row r="272" spans="1:4" ht="18" customHeight="1" x14ac:dyDescent="0.3">
      <c r="A272" s="2" t="s">
        <v>249</v>
      </c>
      <c r="B272" s="2" t="s">
        <v>168</v>
      </c>
      <c r="C272" s="2" t="s">
        <v>2547</v>
      </c>
      <c r="D272" s="2"/>
    </row>
    <row r="273" spans="1:4" ht="18" customHeight="1" x14ac:dyDescent="0.3">
      <c r="A273" s="2" t="s">
        <v>250</v>
      </c>
      <c r="B273" s="2" t="s">
        <v>168</v>
      </c>
      <c r="C273" s="2" t="s">
        <v>2547</v>
      </c>
      <c r="D273" s="2"/>
    </row>
    <row r="274" spans="1:4" ht="18" customHeight="1" x14ac:dyDescent="0.3">
      <c r="A274" s="2" t="s">
        <v>251</v>
      </c>
      <c r="B274" s="2" t="s">
        <v>168</v>
      </c>
      <c r="C274" s="2" t="s">
        <v>2547</v>
      </c>
      <c r="D274" s="2"/>
    </row>
    <row r="275" spans="1:4" ht="18" customHeight="1" x14ac:dyDescent="0.3">
      <c r="A275" s="2" t="s">
        <v>252</v>
      </c>
      <c r="B275" s="2" t="s">
        <v>168</v>
      </c>
      <c r="C275" s="2" t="s">
        <v>2547</v>
      </c>
      <c r="D275" s="2"/>
    </row>
    <row r="276" spans="1:4" ht="18" customHeight="1" x14ac:dyDescent="0.3">
      <c r="A276" s="2" t="s">
        <v>253</v>
      </c>
      <c r="B276" s="2" t="s">
        <v>168</v>
      </c>
      <c r="C276" s="2" t="s">
        <v>2547</v>
      </c>
      <c r="D276" s="2"/>
    </row>
    <row r="277" spans="1:4" ht="18" customHeight="1" x14ac:dyDescent="0.3">
      <c r="A277" s="2" t="s">
        <v>254</v>
      </c>
      <c r="B277" s="2" t="s">
        <v>168</v>
      </c>
      <c r="C277" s="2" t="s">
        <v>2547</v>
      </c>
      <c r="D277" s="2"/>
    </row>
    <row r="278" spans="1:4" ht="18" customHeight="1" x14ac:dyDescent="0.3">
      <c r="A278" s="2" t="s">
        <v>255</v>
      </c>
      <c r="B278" s="2" t="s">
        <v>168</v>
      </c>
      <c r="C278" s="2" t="s">
        <v>2547</v>
      </c>
      <c r="D278" s="2"/>
    </row>
    <row r="279" spans="1:4" ht="18" customHeight="1" x14ac:dyDescent="0.3">
      <c r="A279" s="2" t="s">
        <v>256</v>
      </c>
      <c r="B279" s="2" t="s">
        <v>168</v>
      </c>
      <c r="C279" s="2" t="s">
        <v>2547</v>
      </c>
      <c r="D279" s="2"/>
    </row>
    <row r="280" spans="1:4" ht="18" customHeight="1" x14ac:dyDescent="0.3">
      <c r="A280" s="2" t="s">
        <v>257</v>
      </c>
      <c r="B280" s="2" t="s">
        <v>168</v>
      </c>
      <c r="C280" s="2" t="s">
        <v>2547</v>
      </c>
      <c r="D280" s="2"/>
    </row>
    <row r="281" spans="1:4" ht="18" customHeight="1" x14ac:dyDescent="0.3">
      <c r="A281" s="2" t="s">
        <v>258</v>
      </c>
      <c r="B281" s="2" t="s">
        <v>168</v>
      </c>
      <c r="C281" s="2" t="s">
        <v>2547</v>
      </c>
      <c r="D281" s="2"/>
    </row>
    <row r="282" spans="1:4" ht="18" customHeight="1" x14ac:dyDescent="0.3">
      <c r="A282" s="2" t="s">
        <v>259</v>
      </c>
      <c r="B282" s="2" t="s">
        <v>168</v>
      </c>
      <c r="C282" s="2" t="s">
        <v>2547</v>
      </c>
      <c r="D282" s="2"/>
    </row>
    <row r="283" spans="1:4" ht="18" customHeight="1" x14ac:dyDescent="0.3">
      <c r="A283" s="2" t="s">
        <v>260</v>
      </c>
      <c r="B283" s="2" t="s">
        <v>168</v>
      </c>
      <c r="C283" s="2" t="s">
        <v>2547</v>
      </c>
      <c r="D283" s="2"/>
    </row>
    <row r="284" spans="1:4" ht="18" customHeight="1" x14ac:dyDescent="0.3">
      <c r="A284" s="2" t="s">
        <v>261</v>
      </c>
      <c r="B284" s="2" t="s">
        <v>168</v>
      </c>
      <c r="C284" s="2" t="s">
        <v>2547</v>
      </c>
      <c r="D284" s="2"/>
    </row>
    <row r="285" spans="1:4" ht="18" customHeight="1" x14ac:dyDescent="0.3">
      <c r="A285" s="2" t="s">
        <v>262</v>
      </c>
      <c r="B285" s="2" t="s">
        <v>168</v>
      </c>
      <c r="C285" s="2" t="s">
        <v>2547</v>
      </c>
      <c r="D285" s="2"/>
    </row>
    <row r="286" spans="1:4" ht="18" customHeight="1" x14ac:dyDescent="0.3">
      <c r="A286" s="2" t="s">
        <v>263</v>
      </c>
      <c r="B286" s="2" t="s">
        <v>168</v>
      </c>
      <c r="C286" s="2" t="s">
        <v>2547</v>
      </c>
      <c r="D286" s="2"/>
    </row>
    <row r="287" spans="1:4" ht="18" customHeight="1" x14ac:dyDescent="0.3">
      <c r="A287" s="2" t="s">
        <v>264</v>
      </c>
      <c r="B287" s="2" t="s">
        <v>168</v>
      </c>
      <c r="C287" s="2" t="s">
        <v>2547</v>
      </c>
      <c r="D287" s="2"/>
    </row>
    <row r="288" spans="1:4" ht="18" customHeight="1" x14ac:dyDescent="0.3">
      <c r="A288" s="2" t="s">
        <v>265</v>
      </c>
      <c r="B288" s="2" t="s">
        <v>168</v>
      </c>
      <c r="C288" s="2" t="s">
        <v>2547</v>
      </c>
      <c r="D288" s="2"/>
    </row>
    <row r="289" spans="1:4" ht="18" customHeight="1" x14ac:dyDescent="0.3">
      <c r="A289" s="2" t="s">
        <v>266</v>
      </c>
      <c r="B289" s="2" t="s">
        <v>168</v>
      </c>
      <c r="C289" s="2" t="s">
        <v>2547</v>
      </c>
      <c r="D289" s="2"/>
    </row>
    <row r="290" spans="1:4" ht="18" customHeight="1" x14ac:dyDescent="0.3">
      <c r="A290" s="2" t="s">
        <v>267</v>
      </c>
      <c r="B290" s="2" t="s">
        <v>168</v>
      </c>
      <c r="C290" s="2" t="s">
        <v>2547</v>
      </c>
      <c r="D290" s="2"/>
    </row>
    <row r="291" spans="1:4" ht="18" customHeight="1" x14ac:dyDescent="0.3">
      <c r="A291" s="2" t="s">
        <v>268</v>
      </c>
      <c r="B291" s="2" t="s">
        <v>168</v>
      </c>
      <c r="C291" s="2" t="s">
        <v>2547</v>
      </c>
      <c r="D291" s="2"/>
    </row>
    <row r="292" spans="1:4" ht="18" customHeight="1" x14ac:dyDescent="0.3">
      <c r="A292" s="2" t="s">
        <v>269</v>
      </c>
      <c r="B292" s="2" t="s">
        <v>168</v>
      </c>
      <c r="C292" s="2" t="s">
        <v>2547</v>
      </c>
      <c r="D292" s="2"/>
    </row>
    <row r="293" spans="1:4" ht="18" customHeight="1" x14ac:dyDescent="0.3">
      <c r="A293" s="2" t="s">
        <v>270</v>
      </c>
      <c r="B293" s="2" t="s">
        <v>168</v>
      </c>
      <c r="C293" s="2" t="s">
        <v>2547</v>
      </c>
      <c r="D293" s="2"/>
    </row>
    <row r="294" spans="1:4" ht="18" customHeight="1" x14ac:dyDescent="0.3">
      <c r="A294" s="2" t="s">
        <v>271</v>
      </c>
      <c r="B294" s="2" t="s">
        <v>168</v>
      </c>
      <c r="C294" s="2" t="s">
        <v>2547</v>
      </c>
      <c r="D294" s="2"/>
    </row>
    <row r="295" spans="1:4" ht="18" customHeight="1" x14ac:dyDescent="0.3">
      <c r="A295" s="2" t="s">
        <v>272</v>
      </c>
      <c r="B295" s="2" t="s">
        <v>168</v>
      </c>
      <c r="C295" s="2" t="s">
        <v>2547</v>
      </c>
      <c r="D295" s="2"/>
    </row>
    <row r="296" spans="1:4" ht="18" customHeight="1" x14ac:dyDescent="0.3">
      <c r="A296" s="2" t="s">
        <v>273</v>
      </c>
      <c r="B296" s="2" t="s">
        <v>168</v>
      </c>
      <c r="C296" s="2" t="s">
        <v>2547</v>
      </c>
      <c r="D296" s="2"/>
    </row>
    <row r="297" spans="1:4" ht="18" customHeight="1" x14ac:dyDescent="0.3">
      <c r="A297" s="2" t="s">
        <v>274</v>
      </c>
      <c r="B297" s="2" t="s">
        <v>168</v>
      </c>
      <c r="C297" s="2" t="s">
        <v>2547</v>
      </c>
      <c r="D297" s="2"/>
    </row>
    <row r="298" spans="1:4" ht="18" customHeight="1" x14ac:dyDescent="0.3">
      <c r="A298" s="2" t="s">
        <v>275</v>
      </c>
      <c r="B298" s="2" t="s">
        <v>168</v>
      </c>
      <c r="C298" s="2" t="s">
        <v>2547</v>
      </c>
      <c r="D298" s="2"/>
    </row>
    <row r="299" spans="1:4" ht="18" customHeight="1" x14ac:dyDescent="0.3">
      <c r="A299" s="2" t="s">
        <v>276</v>
      </c>
      <c r="B299" s="2" t="s">
        <v>168</v>
      </c>
      <c r="C299" s="2" t="s">
        <v>2547</v>
      </c>
      <c r="D299" s="2"/>
    </row>
    <row r="300" spans="1:4" ht="18" customHeight="1" x14ac:dyDescent="0.3">
      <c r="A300" s="2" t="s">
        <v>277</v>
      </c>
      <c r="B300" s="2" t="s">
        <v>168</v>
      </c>
      <c r="C300" s="2" t="s">
        <v>2547</v>
      </c>
      <c r="D300" s="2"/>
    </row>
    <row r="301" spans="1:4" ht="18" customHeight="1" x14ac:dyDescent="0.3">
      <c r="A301" s="2" t="s">
        <v>278</v>
      </c>
      <c r="B301" s="2" t="s">
        <v>168</v>
      </c>
      <c r="C301" s="2" t="s">
        <v>2547</v>
      </c>
      <c r="D301" s="2"/>
    </row>
    <row r="302" spans="1:4" ht="18" customHeight="1" x14ac:dyDescent="0.3">
      <c r="A302" s="2" t="s">
        <v>279</v>
      </c>
      <c r="B302" s="2" t="s">
        <v>168</v>
      </c>
      <c r="C302" s="2" t="s">
        <v>2547</v>
      </c>
      <c r="D302" s="2"/>
    </row>
    <row r="303" spans="1:4" ht="18" customHeight="1" x14ac:dyDescent="0.3">
      <c r="A303" s="2" t="s">
        <v>280</v>
      </c>
      <c r="B303" s="2" t="s">
        <v>168</v>
      </c>
      <c r="C303" s="2" t="s">
        <v>2547</v>
      </c>
      <c r="D303" s="2"/>
    </row>
    <row r="304" spans="1:4" ht="18" customHeight="1" x14ac:dyDescent="0.3">
      <c r="A304" s="2" t="s">
        <v>281</v>
      </c>
      <c r="B304" s="2" t="s">
        <v>168</v>
      </c>
      <c r="C304" s="2" t="s">
        <v>2547</v>
      </c>
      <c r="D304" s="2"/>
    </row>
    <row r="305" spans="1:4" ht="18" customHeight="1" x14ac:dyDescent="0.3">
      <c r="A305" s="2" t="s">
        <v>282</v>
      </c>
      <c r="B305" s="2" t="s">
        <v>168</v>
      </c>
      <c r="C305" s="2" t="s">
        <v>2547</v>
      </c>
      <c r="D305" s="2"/>
    </row>
    <row r="306" spans="1:4" ht="18" customHeight="1" x14ac:dyDescent="0.3">
      <c r="A306" s="2" t="s">
        <v>283</v>
      </c>
      <c r="B306" s="2" t="s">
        <v>168</v>
      </c>
      <c r="C306" s="2" t="s">
        <v>2547</v>
      </c>
      <c r="D306" s="2"/>
    </row>
    <row r="307" spans="1:4" ht="18" customHeight="1" x14ac:dyDescent="0.3">
      <c r="A307" s="2" t="s">
        <v>284</v>
      </c>
      <c r="B307" s="2" t="s">
        <v>168</v>
      </c>
      <c r="C307" s="2" t="s">
        <v>2547</v>
      </c>
      <c r="D307" s="2"/>
    </row>
    <row r="308" spans="1:4" ht="18" customHeight="1" x14ac:dyDescent="0.3">
      <c r="A308" s="2" t="s">
        <v>285</v>
      </c>
      <c r="B308" s="2" t="s">
        <v>168</v>
      </c>
      <c r="C308" s="2" t="s">
        <v>2547</v>
      </c>
      <c r="D308" s="2"/>
    </row>
    <row r="309" spans="1:4" ht="18" customHeight="1" x14ac:dyDescent="0.3">
      <c r="A309" s="2" t="s">
        <v>286</v>
      </c>
      <c r="B309" s="2" t="s">
        <v>168</v>
      </c>
      <c r="C309" s="2" t="s">
        <v>2547</v>
      </c>
      <c r="D309" s="2"/>
    </row>
    <row r="310" spans="1:4" ht="18" customHeight="1" x14ac:dyDescent="0.3">
      <c r="A310" s="2" t="s">
        <v>287</v>
      </c>
      <c r="B310" s="2" t="s">
        <v>168</v>
      </c>
      <c r="C310" s="2" t="s">
        <v>2547</v>
      </c>
      <c r="D310" s="2"/>
    </row>
    <row r="311" spans="1:4" ht="18" customHeight="1" x14ac:dyDescent="0.3">
      <c r="A311" s="2" t="s">
        <v>288</v>
      </c>
      <c r="B311" s="2" t="s">
        <v>168</v>
      </c>
      <c r="C311" s="2" t="s">
        <v>2547</v>
      </c>
      <c r="D311" s="2"/>
    </row>
    <row r="312" spans="1:4" ht="18" customHeight="1" x14ac:dyDescent="0.3">
      <c r="A312" s="2" t="s">
        <v>289</v>
      </c>
      <c r="B312" s="2" t="s">
        <v>168</v>
      </c>
      <c r="C312" s="2" t="s">
        <v>2547</v>
      </c>
      <c r="D312" s="2"/>
    </row>
    <row r="313" spans="1:4" ht="18" customHeight="1" x14ac:dyDescent="0.3">
      <c r="A313" s="2" t="s">
        <v>290</v>
      </c>
      <c r="B313" s="2" t="s">
        <v>168</v>
      </c>
      <c r="C313" s="2" t="s">
        <v>2547</v>
      </c>
      <c r="D313" s="2"/>
    </row>
    <row r="314" spans="1:4" ht="18" customHeight="1" x14ac:dyDescent="0.3">
      <c r="A314" s="2" t="s">
        <v>291</v>
      </c>
      <c r="B314" s="2" t="s">
        <v>168</v>
      </c>
      <c r="C314" s="2" t="s">
        <v>2547</v>
      </c>
      <c r="D314" s="2"/>
    </row>
    <row r="315" spans="1:4" ht="18" customHeight="1" x14ac:dyDescent="0.3">
      <c r="A315" s="2" t="s">
        <v>292</v>
      </c>
      <c r="B315" s="2" t="s">
        <v>168</v>
      </c>
      <c r="C315" s="2" t="s">
        <v>2547</v>
      </c>
      <c r="D315" s="2"/>
    </row>
    <row r="316" spans="1:4" ht="18" customHeight="1" x14ac:dyDescent="0.3">
      <c r="A316" s="2" t="s">
        <v>293</v>
      </c>
      <c r="B316" s="2" t="s">
        <v>168</v>
      </c>
      <c r="C316" s="2" t="s">
        <v>2547</v>
      </c>
      <c r="D316" s="2"/>
    </row>
    <row r="317" spans="1:4" ht="18" customHeight="1" x14ac:dyDescent="0.3">
      <c r="A317" s="2" t="s">
        <v>294</v>
      </c>
      <c r="B317" s="2" t="s">
        <v>168</v>
      </c>
      <c r="C317" s="2" t="s">
        <v>2547</v>
      </c>
      <c r="D317" s="2"/>
    </row>
    <row r="318" spans="1:4" ht="18" customHeight="1" x14ac:dyDescent="0.3">
      <c r="A318" s="2" t="s">
        <v>295</v>
      </c>
      <c r="B318" s="2" t="s">
        <v>168</v>
      </c>
      <c r="C318" s="2" t="s">
        <v>2547</v>
      </c>
      <c r="D318" s="2"/>
    </row>
    <row r="319" spans="1:4" ht="18" customHeight="1" x14ac:dyDescent="0.3">
      <c r="A319" s="2" t="s">
        <v>296</v>
      </c>
      <c r="B319" s="2" t="s">
        <v>168</v>
      </c>
      <c r="C319" s="2" t="s">
        <v>2547</v>
      </c>
      <c r="D319" s="2"/>
    </row>
    <row r="320" spans="1:4" x14ac:dyDescent="0.3">
      <c r="A320" s="2" t="s">
        <v>297</v>
      </c>
      <c r="B320" s="2" t="s">
        <v>168</v>
      </c>
      <c r="C320" s="2" t="s">
        <v>2547</v>
      </c>
      <c r="D320" s="2"/>
    </row>
    <row r="321" spans="1:4" x14ac:dyDescent="0.3">
      <c r="A321" s="2" t="s">
        <v>298</v>
      </c>
      <c r="B321" s="2" t="s">
        <v>168</v>
      </c>
      <c r="C321" s="2" t="s">
        <v>2547</v>
      </c>
      <c r="D321" s="2"/>
    </row>
    <row r="322" spans="1:4" x14ac:dyDescent="0.3">
      <c r="A322" s="2" t="s">
        <v>299</v>
      </c>
      <c r="B322" s="2" t="s">
        <v>168</v>
      </c>
      <c r="C322" s="2" t="s">
        <v>2547</v>
      </c>
      <c r="D322" s="2"/>
    </row>
    <row r="323" spans="1:4" x14ac:dyDescent="0.3">
      <c r="A323" s="2" t="s">
        <v>300</v>
      </c>
      <c r="B323" s="2" t="s">
        <v>168</v>
      </c>
      <c r="C323" s="2" t="s">
        <v>2547</v>
      </c>
      <c r="D323" s="2"/>
    </row>
    <row r="324" spans="1:4" x14ac:dyDescent="0.3">
      <c r="A324" s="2" t="s">
        <v>301</v>
      </c>
      <c r="B324" s="2" t="s">
        <v>168</v>
      </c>
      <c r="C324" s="2" t="s">
        <v>2547</v>
      </c>
      <c r="D324" s="2"/>
    </row>
    <row r="325" spans="1:4" x14ac:dyDescent="0.3">
      <c r="A325" s="2" t="s">
        <v>302</v>
      </c>
      <c r="B325" s="2" t="s">
        <v>168</v>
      </c>
      <c r="C325" s="2" t="s">
        <v>2547</v>
      </c>
      <c r="D325" s="2"/>
    </row>
    <row r="326" spans="1:4" x14ac:dyDescent="0.3">
      <c r="A326" s="2" t="s">
        <v>303</v>
      </c>
      <c r="B326" s="2" t="s">
        <v>168</v>
      </c>
      <c r="C326" s="2" t="s">
        <v>2547</v>
      </c>
      <c r="D326" s="2"/>
    </row>
    <row r="327" spans="1:4" x14ac:dyDescent="0.3">
      <c r="A327" s="2" t="s">
        <v>304</v>
      </c>
      <c r="B327" s="2" t="s">
        <v>168</v>
      </c>
      <c r="C327" s="2" t="s">
        <v>2547</v>
      </c>
      <c r="D327" s="2"/>
    </row>
    <row r="328" spans="1:4" x14ac:dyDescent="0.3">
      <c r="A328" s="2" t="s">
        <v>305</v>
      </c>
      <c r="B328" s="2" t="s">
        <v>168</v>
      </c>
      <c r="C328" s="2" t="s">
        <v>2547</v>
      </c>
      <c r="D328" s="2"/>
    </row>
    <row r="329" spans="1:4" x14ac:dyDescent="0.3">
      <c r="A329" s="2" t="s">
        <v>306</v>
      </c>
      <c r="B329" s="2" t="s">
        <v>168</v>
      </c>
      <c r="C329" s="2" t="s">
        <v>2547</v>
      </c>
      <c r="D329" s="2"/>
    </row>
    <row r="330" spans="1:4" x14ac:dyDescent="0.3">
      <c r="A330" s="2" t="s">
        <v>307</v>
      </c>
      <c r="B330" s="2" t="s">
        <v>168</v>
      </c>
      <c r="C330" s="2" t="s">
        <v>2547</v>
      </c>
      <c r="D330" s="2"/>
    </row>
    <row r="331" spans="1:4" x14ac:dyDescent="0.3">
      <c r="A331" s="2" t="s">
        <v>308</v>
      </c>
      <c r="B331" s="2" t="s">
        <v>168</v>
      </c>
      <c r="C331" s="2" t="s">
        <v>2547</v>
      </c>
      <c r="D331" s="2"/>
    </row>
    <row r="332" spans="1:4" x14ac:dyDescent="0.3">
      <c r="A332" s="2" t="s">
        <v>309</v>
      </c>
      <c r="B332" s="2" t="s">
        <v>168</v>
      </c>
      <c r="C332" s="2" t="s">
        <v>2547</v>
      </c>
      <c r="D332" s="2"/>
    </row>
    <row r="333" spans="1:4" x14ac:dyDescent="0.3">
      <c r="A333" s="2" t="s">
        <v>310</v>
      </c>
      <c r="B333" s="2" t="s">
        <v>168</v>
      </c>
      <c r="C333" s="2" t="s">
        <v>2547</v>
      </c>
      <c r="D333" s="2"/>
    </row>
    <row r="334" spans="1:4" x14ac:dyDescent="0.3">
      <c r="A334" s="2" t="s">
        <v>311</v>
      </c>
      <c r="B334" s="2" t="s">
        <v>168</v>
      </c>
      <c r="C334" s="2" t="s">
        <v>2547</v>
      </c>
      <c r="D334" s="2"/>
    </row>
    <row r="335" spans="1:4" x14ac:dyDescent="0.3">
      <c r="A335" s="2" t="s">
        <v>312</v>
      </c>
      <c r="B335" s="2" t="s">
        <v>168</v>
      </c>
      <c r="C335" s="2" t="s">
        <v>2547</v>
      </c>
      <c r="D335" s="2"/>
    </row>
    <row r="336" spans="1:4" x14ac:dyDescent="0.3">
      <c r="A336" s="2" t="s">
        <v>313</v>
      </c>
      <c r="B336" s="2" t="s">
        <v>168</v>
      </c>
      <c r="C336" s="2" t="s">
        <v>2547</v>
      </c>
      <c r="D336" s="2"/>
    </row>
    <row r="337" spans="1:4" x14ac:dyDescent="0.3">
      <c r="A337" s="2" t="s">
        <v>314</v>
      </c>
      <c r="B337" s="2" t="s">
        <v>168</v>
      </c>
      <c r="C337" s="2" t="s">
        <v>2547</v>
      </c>
      <c r="D337" s="2"/>
    </row>
    <row r="338" spans="1:4" x14ac:dyDescent="0.3">
      <c r="A338" s="2" t="s">
        <v>315</v>
      </c>
      <c r="B338" s="2" t="s">
        <v>168</v>
      </c>
      <c r="C338" s="2" t="s">
        <v>2547</v>
      </c>
      <c r="D338" s="2"/>
    </row>
    <row r="339" spans="1:4" x14ac:dyDescent="0.3">
      <c r="A339" s="2" t="s">
        <v>316</v>
      </c>
      <c r="B339" s="2" t="s">
        <v>168</v>
      </c>
      <c r="C339" s="2" t="s">
        <v>2547</v>
      </c>
      <c r="D339" s="2"/>
    </row>
    <row r="340" spans="1:4" x14ac:dyDescent="0.3">
      <c r="A340" s="2" t="s">
        <v>317</v>
      </c>
      <c r="B340" s="2" t="s">
        <v>168</v>
      </c>
      <c r="C340" s="2" t="s">
        <v>2547</v>
      </c>
      <c r="D340" s="2"/>
    </row>
    <row r="341" spans="1:4" x14ac:dyDescent="0.3">
      <c r="A341" s="2" t="s">
        <v>318</v>
      </c>
      <c r="B341" s="2" t="s">
        <v>168</v>
      </c>
      <c r="C341" s="2" t="s">
        <v>2547</v>
      </c>
      <c r="D341" s="2"/>
    </row>
    <row r="342" spans="1:4" x14ac:dyDescent="0.3">
      <c r="A342" s="2" t="s">
        <v>319</v>
      </c>
      <c r="B342" s="2" t="s">
        <v>168</v>
      </c>
      <c r="C342" s="2" t="s">
        <v>2547</v>
      </c>
      <c r="D342" s="2"/>
    </row>
    <row r="343" spans="1:4" x14ac:dyDescent="0.3">
      <c r="A343" s="2" t="s">
        <v>320</v>
      </c>
      <c r="B343" s="2" t="s">
        <v>168</v>
      </c>
      <c r="C343" s="2" t="s">
        <v>2547</v>
      </c>
      <c r="D343" s="2"/>
    </row>
    <row r="344" spans="1:4" x14ac:dyDescent="0.3">
      <c r="A344" s="2" t="s">
        <v>321</v>
      </c>
      <c r="B344" s="2" t="s">
        <v>168</v>
      </c>
      <c r="C344" s="2" t="s">
        <v>2547</v>
      </c>
      <c r="D344" s="2"/>
    </row>
    <row r="345" spans="1:4" x14ac:dyDescent="0.3">
      <c r="A345" s="2" t="s">
        <v>322</v>
      </c>
      <c r="B345" s="2" t="s">
        <v>168</v>
      </c>
      <c r="C345" s="2" t="s">
        <v>2547</v>
      </c>
      <c r="D345" s="2"/>
    </row>
    <row r="346" spans="1:4" x14ac:dyDescent="0.3">
      <c r="A346" s="2" t="s">
        <v>323</v>
      </c>
      <c r="B346" s="2" t="s">
        <v>168</v>
      </c>
      <c r="C346" s="2" t="s">
        <v>2547</v>
      </c>
      <c r="D346" s="2"/>
    </row>
    <row r="347" spans="1:4" x14ac:dyDescent="0.3">
      <c r="A347" s="2" t="s">
        <v>324</v>
      </c>
      <c r="B347" s="2" t="s">
        <v>168</v>
      </c>
      <c r="C347" s="2" t="s">
        <v>2547</v>
      </c>
      <c r="D347" s="2"/>
    </row>
    <row r="348" spans="1:4" x14ac:dyDescent="0.3">
      <c r="A348" s="2" t="s">
        <v>325</v>
      </c>
      <c r="B348" s="2" t="s">
        <v>168</v>
      </c>
      <c r="C348" s="2" t="s">
        <v>2547</v>
      </c>
      <c r="D348" s="2"/>
    </row>
    <row r="349" spans="1:4" x14ac:dyDescent="0.3">
      <c r="A349" s="2" t="s">
        <v>326</v>
      </c>
      <c r="B349" s="2" t="s">
        <v>168</v>
      </c>
      <c r="C349" s="2" t="s">
        <v>2547</v>
      </c>
      <c r="D349" s="2"/>
    </row>
    <row r="350" spans="1:4" x14ac:dyDescent="0.3">
      <c r="A350" s="2" t="s">
        <v>327</v>
      </c>
      <c r="B350" s="2" t="s">
        <v>168</v>
      </c>
      <c r="C350" s="2" t="s">
        <v>2547</v>
      </c>
      <c r="D350" s="2"/>
    </row>
    <row r="351" spans="1:4" x14ac:dyDescent="0.3">
      <c r="A351" s="2" t="s">
        <v>328</v>
      </c>
      <c r="B351" s="2" t="s">
        <v>168</v>
      </c>
      <c r="C351" s="2" t="s">
        <v>2547</v>
      </c>
      <c r="D351" s="2"/>
    </row>
    <row r="352" spans="1:4" x14ac:dyDescent="0.3">
      <c r="A352" s="2" t="s">
        <v>329</v>
      </c>
      <c r="B352" s="2" t="s">
        <v>168</v>
      </c>
      <c r="C352" s="2" t="s">
        <v>2547</v>
      </c>
      <c r="D352" s="2"/>
    </row>
    <row r="353" spans="1:4" x14ac:dyDescent="0.3">
      <c r="A353" s="2" t="s">
        <v>330</v>
      </c>
      <c r="B353" s="2" t="s">
        <v>168</v>
      </c>
      <c r="C353" s="2" t="s">
        <v>2547</v>
      </c>
      <c r="D353" s="2"/>
    </row>
    <row r="354" spans="1:4" x14ac:dyDescent="0.3">
      <c r="A354" s="2" t="s">
        <v>331</v>
      </c>
      <c r="B354" s="2" t="s">
        <v>168</v>
      </c>
      <c r="C354" s="2" t="s">
        <v>2547</v>
      </c>
      <c r="D354" s="2"/>
    </row>
    <row r="355" spans="1:4" x14ac:dyDescent="0.3">
      <c r="A355" s="2" t="s">
        <v>332</v>
      </c>
      <c r="B355" s="2" t="s">
        <v>168</v>
      </c>
      <c r="C355" s="2" t="s">
        <v>2547</v>
      </c>
      <c r="D355" s="2"/>
    </row>
    <row r="356" spans="1:4" x14ac:dyDescent="0.3">
      <c r="A356" s="2" t="s">
        <v>333</v>
      </c>
      <c r="B356" s="2" t="s">
        <v>168</v>
      </c>
      <c r="C356" s="2" t="s">
        <v>2547</v>
      </c>
      <c r="D356" s="2"/>
    </row>
    <row r="357" spans="1:4" x14ac:dyDescent="0.3">
      <c r="A357" s="2" t="s">
        <v>334</v>
      </c>
      <c r="B357" s="2" t="s">
        <v>168</v>
      </c>
      <c r="C357" s="2" t="s">
        <v>2547</v>
      </c>
      <c r="D357" s="2"/>
    </row>
    <row r="358" spans="1:4" x14ac:dyDescent="0.3">
      <c r="A358" s="2" t="s">
        <v>335</v>
      </c>
      <c r="B358" s="2" t="s">
        <v>168</v>
      </c>
      <c r="C358" s="2" t="s">
        <v>2547</v>
      </c>
      <c r="D358" s="2"/>
    </row>
    <row r="359" spans="1:4" x14ac:dyDescent="0.3">
      <c r="A359" s="2" t="s">
        <v>336</v>
      </c>
      <c r="B359" s="2" t="s">
        <v>168</v>
      </c>
      <c r="C359" s="2" t="s">
        <v>2547</v>
      </c>
      <c r="D359" s="2"/>
    </row>
    <row r="360" spans="1:4" x14ac:dyDescent="0.3">
      <c r="A360" s="2" t="s">
        <v>337</v>
      </c>
      <c r="B360" s="2" t="s">
        <v>168</v>
      </c>
      <c r="C360" s="2" t="s">
        <v>2547</v>
      </c>
      <c r="D360" s="2"/>
    </row>
    <row r="361" spans="1:4" x14ac:dyDescent="0.3">
      <c r="A361" s="2" t="s">
        <v>338</v>
      </c>
      <c r="B361" s="2" t="s">
        <v>168</v>
      </c>
      <c r="C361" s="2" t="s">
        <v>2547</v>
      </c>
      <c r="D361" s="2"/>
    </row>
    <row r="362" spans="1:4" x14ac:dyDescent="0.3">
      <c r="A362" s="2" t="s">
        <v>339</v>
      </c>
      <c r="B362" s="2" t="s">
        <v>168</v>
      </c>
      <c r="C362" s="2" t="s">
        <v>2547</v>
      </c>
      <c r="D362" s="2"/>
    </row>
    <row r="363" spans="1:4" x14ac:dyDescent="0.3">
      <c r="A363" s="2" t="s">
        <v>340</v>
      </c>
      <c r="B363" s="2" t="s">
        <v>168</v>
      </c>
      <c r="C363" s="2" t="s">
        <v>2547</v>
      </c>
      <c r="D363" s="2"/>
    </row>
    <row r="364" spans="1:4" x14ac:dyDescent="0.3">
      <c r="A364" s="2" t="s">
        <v>341</v>
      </c>
      <c r="B364" s="2" t="s">
        <v>168</v>
      </c>
      <c r="C364" s="2" t="s">
        <v>2547</v>
      </c>
      <c r="D364" s="2"/>
    </row>
    <row r="365" spans="1:4" x14ac:dyDescent="0.3">
      <c r="A365" s="2" t="s">
        <v>342</v>
      </c>
      <c r="B365" s="2" t="s">
        <v>168</v>
      </c>
      <c r="C365" s="2" t="s">
        <v>2547</v>
      </c>
      <c r="D365" s="2"/>
    </row>
    <row r="366" spans="1:4" x14ac:dyDescent="0.3">
      <c r="A366" s="2" t="s">
        <v>343</v>
      </c>
      <c r="B366" s="2" t="s">
        <v>168</v>
      </c>
      <c r="C366" s="2" t="s">
        <v>2547</v>
      </c>
      <c r="D366" s="2"/>
    </row>
    <row r="367" spans="1:4" x14ac:dyDescent="0.3">
      <c r="A367" s="2" t="s">
        <v>344</v>
      </c>
      <c r="B367" s="2" t="s">
        <v>168</v>
      </c>
      <c r="C367" s="2" t="s">
        <v>2547</v>
      </c>
      <c r="D367" s="2"/>
    </row>
    <row r="368" spans="1:4" x14ac:dyDescent="0.3">
      <c r="A368" s="2" t="s">
        <v>345</v>
      </c>
      <c r="B368" s="2" t="s">
        <v>168</v>
      </c>
      <c r="C368" s="2" t="s">
        <v>2547</v>
      </c>
      <c r="D368" s="2"/>
    </row>
    <row r="369" spans="1:4" x14ac:dyDescent="0.3">
      <c r="A369" s="2" t="s">
        <v>346</v>
      </c>
      <c r="B369" s="2" t="s">
        <v>168</v>
      </c>
      <c r="C369" s="2" t="s">
        <v>2547</v>
      </c>
      <c r="D369" s="2"/>
    </row>
    <row r="370" spans="1:4" x14ac:dyDescent="0.3">
      <c r="A370" s="2" t="s">
        <v>347</v>
      </c>
      <c r="B370" s="2" t="s">
        <v>168</v>
      </c>
      <c r="C370" s="2" t="s">
        <v>2547</v>
      </c>
      <c r="D370" s="2"/>
    </row>
    <row r="371" spans="1:4" x14ac:dyDescent="0.3">
      <c r="A371" s="2" t="s">
        <v>348</v>
      </c>
      <c r="B371" s="2" t="s">
        <v>168</v>
      </c>
      <c r="C371" s="2" t="s">
        <v>2547</v>
      </c>
      <c r="D371" s="2"/>
    </row>
    <row r="372" spans="1:4" x14ac:dyDescent="0.3">
      <c r="A372" s="2" t="s">
        <v>349</v>
      </c>
      <c r="B372" s="2" t="s">
        <v>168</v>
      </c>
      <c r="C372" s="2" t="s">
        <v>2547</v>
      </c>
      <c r="D372" s="2"/>
    </row>
    <row r="373" spans="1:4" x14ac:dyDescent="0.3">
      <c r="A373" s="2" t="s">
        <v>350</v>
      </c>
      <c r="B373" s="2" t="s">
        <v>168</v>
      </c>
      <c r="C373" s="2" t="s">
        <v>2547</v>
      </c>
      <c r="D373" s="2"/>
    </row>
    <row r="374" spans="1:4" x14ac:dyDescent="0.3">
      <c r="A374" s="2" t="s">
        <v>351</v>
      </c>
      <c r="B374" s="2" t="s">
        <v>168</v>
      </c>
      <c r="C374" s="2" t="s">
        <v>2547</v>
      </c>
      <c r="D374" s="2"/>
    </row>
    <row r="375" spans="1:4" x14ac:dyDescent="0.3">
      <c r="A375" s="2" t="s">
        <v>352</v>
      </c>
      <c r="B375" s="2" t="s">
        <v>168</v>
      </c>
      <c r="C375" s="2" t="s">
        <v>2547</v>
      </c>
      <c r="D375" s="2"/>
    </row>
    <row r="376" spans="1:4" x14ac:dyDescent="0.3">
      <c r="A376" s="2" t="s">
        <v>353</v>
      </c>
      <c r="B376" s="2" t="s">
        <v>168</v>
      </c>
      <c r="C376" s="2" t="s">
        <v>2547</v>
      </c>
      <c r="D376" s="2"/>
    </row>
    <row r="377" spans="1:4" x14ac:dyDescent="0.3">
      <c r="A377" s="2" t="s">
        <v>354</v>
      </c>
      <c r="B377" s="2" t="s">
        <v>168</v>
      </c>
      <c r="C377" s="2" t="s">
        <v>2547</v>
      </c>
      <c r="D377" s="2"/>
    </row>
    <row r="378" spans="1:4" x14ac:dyDescent="0.3">
      <c r="A378" s="2" t="s">
        <v>355</v>
      </c>
      <c r="B378" s="2" t="s">
        <v>168</v>
      </c>
      <c r="C378" s="2" t="s">
        <v>2547</v>
      </c>
      <c r="D378" s="2"/>
    </row>
    <row r="379" spans="1:4" x14ac:dyDescent="0.3">
      <c r="A379" s="2" t="s">
        <v>356</v>
      </c>
      <c r="B379" s="2" t="s">
        <v>168</v>
      </c>
      <c r="C379" s="2" t="s">
        <v>2547</v>
      </c>
      <c r="D379" s="2"/>
    </row>
    <row r="380" spans="1:4" x14ac:dyDescent="0.3">
      <c r="A380" s="2" t="s">
        <v>357</v>
      </c>
      <c r="B380" s="2" t="s">
        <v>168</v>
      </c>
      <c r="C380" s="2" t="s">
        <v>2547</v>
      </c>
      <c r="D380" s="2"/>
    </row>
    <row r="381" spans="1:4" x14ac:dyDescent="0.3">
      <c r="A381" s="2" t="s">
        <v>358</v>
      </c>
      <c r="B381" s="2" t="s">
        <v>168</v>
      </c>
      <c r="C381" s="2" t="s">
        <v>2547</v>
      </c>
      <c r="D381" s="2"/>
    </row>
    <row r="382" spans="1:4" x14ac:dyDescent="0.3">
      <c r="A382" s="2" t="s">
        <v>359</v>
      </c>
      <c r="B382" s="2" t="s">
        <v>168</v>
      </c>
      <c r="C382" s="2" t="s">
        <v>2547</v>
      </c>
      <c r="D382" s="2"/>
    </row>
    <row r="383" spans="1:4" x14ac:dyDescent="0.3">
      <c r="A383" s="2" t="s">
        <v>360</v>
      </c>
      <c r="B383" s="2" t="s">
        <v>168</v>
      </c>
      <c r="C383" s="2" t="s">
        <v>2547</v>
      </c>
      <c r="D383" s="2"/>
    </row>
    <row r="384" spans="1:4" x14ac:dyDescent="0.3">
      <c r="A384" s="2" t="s">
        <v>361</v>
      </c>
      <c r="B384" s="2" t="s">
        <v>168</v>
      </c>
      <c r="C384" s="2" t="s">
        <v>2547</v>
      </c>
      <c r="D384" s="2"/>
    </row>
    <row r="385" spans="1:4" x14ac:dyDescent="0.3">
      <c r="A385" s="2" t="s">
        <v>362</v>
      </c>
      <c r="B385" s="2" t="s">
        <v>168</v>
      </c>
      <c r="C385" s="2" t="s">
        <v>2547</v>
      </c>
      <c r="D385" s="2"/>
    </row>
    <row r="386" spans="1:4" x14ac:dyDescent="0.3">
      <c r="A386" s="2" t="s">
        <v>363</v>
      </c>
      <c r="B386" s="2" t="s">
        <v>168</v>
      </c>
      <c r="C386" s="2" t="s">
        <v>2547</v>
      </c>
      <c r="D386" s="2"/>
    </row>
    <row r="387" spans="1:4" x14ac:dyDescent="0.3">
      <c r="A387" s="2" t="s">
        <v>364</v>
      </c>
      <c r="B387" s="2" t="s">
        <v>168</v>
      </c>
      <c r="C387" s="2" t="s">
        <v>2547</v>
      </c>
      <c r="D387" s="2"/>
    </row>
    <row r="388" spans="1:4" x14ac:dyDescent="0.3">
      <c r="A388" s="2" t="s">
        <v>365</v>
      </c>
      <c r="B388" s="2" t="s">
        <v>168</v>
      </c>
      <c r="C388" s="2" t="s">
        <v>2547</v>
      </c>
      <c r="D388" s="2"/>
    </row>
    <row r="389" spans="1:4" x14ac:dyDescent="0.3">
      <c r="A389" s="2" t="s">
        <v>366</v>
      </c>
      <c r="B389" s="2" t="s">
        <v>168</v>
      </c>
      <c r="C389" s="2" t="s">
        <v>2547</v>
      </c>
      <c r="D389" s="2"/>
    </row>
    <row r="390" spans="1:4" x14ac:dyDescent="0.3">
      <c r="A390" s="2" t="s">
        <v>367</v>
      </c>
      <c r="B390" s="2" t="s">
        <v>168</v>
      </c>
      <c r="C390" s="2" t="s">
        <v>2547</v>
      </c>
      <c r="D390" s="2"/>
    </row>
    <row r="391" spans="1:4" x14ac:dyDescent="0.3">
      <c r="A391" s="2" t="s">
        <v>368</v>
      </c>
      <c r="B391" s="2" t="s">
        <v>168</v>
      </c>
      <c r="C391" s="2" t="s">
        <v>2547</v>
      </c>
      <c r="D391" s="2"/>
    </row>
    <row r="392" spans="1:4" x14ac:dyDescent="0.3">
      <c r="A392" s="2" t="s">
        <v>369</v>
      </c>
      <c r="B392" s="2" t="s">
        <v>168</v>
      </c>
      <c r="C392" s="2" t="s">
        <v>2547</v>
      </c>
      <c r="D392" s="2"/>
    </row>
    <row r="393" spans="1:4" x14ac:dyDescent="0.3">
      <c r="A393" s="2" t="s">
        <v>370</v>
      </c>
      <c r="B393" s="2" t="s">
        <v>168</v>
      </c>
      <c r="C393" s="2" t="s">
        <v>2547</v>
      </c>
      <c r="D393" s="2"/>
    </row>
    <row r="394" spans="1:4" x14ac:dyDescent="0.3">
      <c r="A394" s="2" t="s">
        <v>371</v>
      </c>
      <c r="B394" s="2" t="s">
        <v>168</v>
      </c>
      <c r="C394" s="2" t="s">
        <v>2547</v>
      </c>
      <c r="D394" s="2"/>
    </row>
    <row r="395" spans="1:4" x14ac:dyDescent="0.3">
      <c r="A395" s="2" t="s">
        <v>372</v>
      </c>
      <c r="B395" s="2" t="s">
        <v>168</v>
      </c>
      <c r="C395" s="2" t="s">
        <v>2547</v>
      </c>
      <c r="D395" s="2"/>
    </row>
    <row r="396" spans="1:4" x14ac:dyDescent="0.3">
      <c r="A396" s="2" t="s">
        <v>373</v>
      </c>
      <c r="B396" s="2" t="s">
        <v>168</v>
      </c>
      <c r="C396" s="2" t="s">
        <v>2547</v>
      </c>
      <c r="D396" s="2"/>
    </row>
    <row r="397" spans="1:4" x14ac:dyDescent="0.3">
      <c r="A397" s="2" t="s">
        <v>374</v>
      </c>
      <c r="B397" s="2" t="s">
        <v>168</v>
      </c>
      <c r="C397" s="2" t="s">
        <v>2547</v>
      </c>
      <c r="D397" s="2"/>
    </row>
    <row r="398" spans="1:4" x14ac:dyDescent="0.3">
      <c r="A398" s="2" t="s">
        <v>375</v>
      </c>
      <c r="B398" s="2" t="s">
        <v>168</v>
      </c>
      <c r="C398" s="2" t="s">
        <v>2547</v>
      </c>
      <c r="D398" s="2"/>
    </row>
    <row r="399" spans="1:4" x14ac:dyDescent="0.3">
      <c r="A399" s="2" t="s">
        <v>376</v>
      </c>
      <c r="B399" s="2" t="s">
        <v>168</v>
      </c>
      <c r="C399" s="2" t="s">
        <v>2547</v>
      </c>
      <c r="D399" s="2"/>
    </row>
    <row r="400" spans="1:4" x14ac:dyDescent="0.3">
      <c r="A400" s="2" t="s">
        <v>377</v>
      </c>
      <c r="B400" s="2" t="s">
        <v>168</v>
      </c>
      <c r="C400" s="2" t="s">
        <v>2547</v>
      </c>
      <c r="D400" s="2"/>
    </row>
    <row r="401" spans="1:4" x14ac:dyDescent="0.3">
      <c r="A401" s="2" t="s">
        <v>378</v>
      </c>
      <c r="B401" s="2" t="s">
        <v>168</v>
      </c>
      <c r="C401" s="2" t="s">
        <v>2547</v>
      </c>
      <c r="D401" s="2"/>
    </row>
    <row r="402" spans="1:4" x14ac:dyDescent="0.3">
      <c r="A402" s="2" t="s">
        <v>379</v>
      </c>
      <c r="B402" s="2" t="s">
        <v>168</v>
      </c>
      <c r="C402" s="2" t="s">
        <v>2547</v>
      </c>
      <c r="D402" s="2"/>
    </row>
    <row r="403" spans="1:4" x14ac:dyDescent="0.3">
      <c r="A403" s="2" t="s">
        <v>380</v>
      </c>
      <c r="B403" s="2" t="s">
        <v>168</v>
      </c>
      <c r="C403" s="2" t="s">
        <v>2547</v>
      </c>
      <c r="D403" s="2"/>
    </row>
    <row r="404" spans="1:4" x14ac:dyDescent="0.3">
      <c r="A404" s="2" t="s">
        <v>381</v>
      </c>
      <c r="B404" s="2" t="s">
        <v>168</v>
      </c>
      <c r="C404" s="2" t="s">
        <v>2547</v>
      </c>
      <c r="D404" s="2"/>
    </row>
    <row r="405" spans="1:4" x14ac:dyDescent="0.3">
      <c r="A405" s="2" t="s">
        <v>382</v>
      </c>
      <c r="B405" s="2" t="s">
        <v>168</v>
      </c>
      <c r="C405" s="2" t="s">
        <v>2547</v>
      </c>
      <c r="D405" s="2"/>
    </row>
    <row r="406" spans="1:4" x14ac:dyDescent="0.3">
      <c r="A406" s="2" t="s">
        <v>383</v>
      </c>
      <c r="B406" s="2" t="s">
        <v>168</v>
      </c>
      <c r="C406" s="2" t="s">
        <v>2547</v>
      </c>
      <c r="D406" s="2"/>
    </row>
    <row r="407" spans="1:4" x14ac:dyDescent="0.3">
      <c r="A407" s="2" t="s">
        <v>384</v>
      </c>
      <c r="B407" s="2" t="s">
        <v>168</v>
      </c>
      <c r="C407" s="2" t="s">
        <v>2547</v>
      </c>
      <c r="D407" s="2"/>
    </row>
    <row r="408" spans="1:4" x14ac:dyDescent="0.3">
      <c r="A408" s="2" t="s">
        <v>385</v>
      </c>
      <c r="B408" s="2" t="s">
        <v>168</v>
      </c>
      <c r="C408" s="2" t="s">
        <v>2547</v>
      </c>
      <c r="D408" s="2"/>
    </row>
    <row r="409" spans="1:4" x14ac:dyDescent="0.3">
      <c r="A409" s="2" t="s">
        <v>386</v>
      </c>
      <c r="B409" s="2" t="s">
        <v>168</v>
      </c>
      <c r="C409" s="2" t="s">
        <v>2547</v>
      </c>
      <c r="D409" s="2"/>
    </row>
    <row r="410" spans="1:4" x14ac:dyDescent="0.3">
      <c r="A410" s="2" t="s">
        <v>387</v>
      </c>
      <c r="B410" s="2" t="s">
        <v>168</v>
      </c>
      <c r="C410" s="2" t="s">
        <v>2547</v>
      </c>
      <c r="D410" s="2"/>
    </row>
    <row r="411" spans="1:4" x14ac:dyDescent="0.3">
      <c r="A411" s="2" t="s">
        <v>388</v>
      </c>
      <c r="B411" s="2" t="s">
        <v>168</v>
      </c>
      <c r="C411" s="2" t="s">
        <v>2547</v>
      </c>
      <c r="D411" s="2"/>
    </row>
    <row r="412" spans="1:4" x14ac:dyDescent="0.3">
      <c r="A412" s="2" t="s">
        <v>389</v>
      </c>
      <c r="B412" s="2" t="s">
        <v>168</v>
      </c>
      <c r="C412" s="2" t="s">
        <v>2547</v>
      </c>
      <c r="D412" s="2"/>
    </row>
    <row r="413" spans="1:4" x14ac:dyDescent="0.3">
      <c r="A413" s="2" t="s">
        <v>390</v>
      </c>
      <c r="B413" s="2" t="s">
        <v>168</v>
      </c>
      <c r="C413" s="2" t="s">
        <v>2547</v>
      </c>
      <c r="D413" s="2"/>
    </row>
    <row r="414" spans="1:4" x14ac:dyDescent="0.3">
      <c r="A414" s="2" t="s">
        <v>391</v>
      </c>
      <c r="B414" s="2" t="s">
        <v>168</v>
      </c>
      <c r="C414" s="2" t="s">
        <v>2547</v>
      </c>
      <c r="D414" s="2"/>
    </row>
    <row r="415" spans="1:4" x14ac:dyDescent="0.3">
      <c r="A415" s="2" t="s">
        <v>392</v>
      </c>
      <c r="B415" s="2" t="s">
        <v>168</v>
      </c>
      <c r="C415" s="2" t="s">
        <v>2547</v>
      </c>
      <c r="D415" s="2"/>
    </row>
    <row r="416" spans="1:4" x14ac:dyDescent="0.3">
      <c r="A416" s="2" t="s">
        <v>393</v>
      </c>
      <c r="B416" s="2" t="s">
        <v>168</v>
      </c>
      <c r="C416" s="2" t="s">
        <v>2547</v>
      </c>
      <c r="D416" s="2"/>
    </row>
    <row r="417" spans="1:4" x14ac:dyDescent="0.3">
      <c r="A417" s="2" t="s">
        <v>394</v>
      </c>
      <c r="B417" s="2" t="s">
        <v>168</v>
      </c>
      <c r="C417" s="2" t="s">
        <v>2547</v>
      </c>
      <c r="D417" s="2"/>
    </row>
    <row r="418" spans="1:4" x14ac:dyDescent="0.3">
      <c r="A418" s="2" t="s">
        <v>395</v>
      </c>
      <c r="B418" s="2" t="s">
        <v>168</v>
      </c>
      <c r="C418" s="2" t="s">
        <v>2547</v>
      </c>
      <c r="D418" s="2"/>
    </row>
    <row r="419" spans="1:4" x14ac:dyDescent="0.3">
      <c r="A419" s="2" t="s">
        <v>396</v>
      </c>
      <c r="B419" s="2" t="s">
        <v>168</v>
      </c>
      <c r="C419" s="2" t="s">
        <v>2547</v>
      </c>
      <c r="D419" s="2"/>
    </row>
    <row r="420" spans="1:4" x14ac:dyDescent="0.3">
      <c r="A420" s="2" t="s">
        <v>397</v>
      </c>
      <c r="B420" s="2" t="s">
        <v>168</v>
      </c>
      <c r="C420" s="2" t="s">
        <v>2547</v>
      </c>
      <c r="D420" s="2"/>
    </row>
    <row r="421" spans="1:4" x14ac:dyDescent="0.3">
      <c r="A421" s="2" t="s">
        <v>398</v>
      </c>
      <c r="B421" s="2" t="s">
        <v>168</v>
      </c>
      <c r="C421" s="2" t="s">
        <v>2547</v>
      </c>
      <c r="D421" s="2"/>
    </row>
    <row r="422" spans="1:4" x14ac:dyDescent="0.3">
      <c r="A422" s="2" t="s">
        <v>399</v>
      </c>
      <c r="B422" s="2" t="s">
        <v>168</v>
      </c>
      <c r="C422" s="2" t="s">
        <v>2547</v>
      </c>
      <c r="D422" s="2"/>
    </row>
    <row r="423" spans="1:4" x14ac:dyDescent="0.3">
      <c r="A423" s="2" t="s">
        <v>400</v>
      </c>
      <c r="B423" s="2" t="s">
        <v>168</v>
      </c>
      <c r="C423" s="2" t="s">
        <v>2547</v>
      </c>
      <c r="D423" s="2"/>
    </row>
    <row r="424" spans="1:4" x14ac:dyDescent="0.3">
      <c r="A424" s="2" t="s">
        <v>401</v>
      </c>
      <c r="B424" s="2" t="s">
        <v>168</v>
      </c>
      <c r="C424" s="2" t="s">
        <v>2547</v>
      </c>
      <c r="D424" s="2"/>
    </row>
    <row r="425" spans="1:4" x14ac:dyDescent="0.3">
      <c r="A425" s="2" t="s">
        <v>402</v>
      </c>
      <c r="B425" s="2" t="s">
        <v>168</v>
      </c>
      <c r="C425" s="2" t="s">
        <v>2547</v>
      </c>
      <c r="D425" s="2"/>
    </row>
    <row r="426" spans="1:4" x14ac:dyDescent="0.3">
      <c r="A426" s="2" t="s">
        <v>403</v>
      </c>
      <c r="B426" s="2" t="s">
        <v>168</v>
      </c>
      <c r="C426" s="2" t="s">
        <v>2547</v>
      </c>
      <c r="D426" s="2"/>
    </row>
    <row r="427" spans="1:4" x14ac:dyDescent="0.3">
      <c r="A427" s="2" t="s">
        <v>404</v>
      </c>
      <c r="B427" s="2" t="s">
        <v>168</v>
      </c>
      <c r="C427" s="2" t="s">
        <v>2547</v>
      </c>
      <c r="D427" s="2"/>
    </row>
    <row r="428" spans="1:4" x14ac:dyDescent="0.3">
      <c r="A428" s="2" t="s">
        <v>405</v>
      </c>
      <c r="B428" s="2" t="s">
        <v>168</v>
      </c>
      <c r="C428" s="2" t="s">
        <v>2547</v>
      </c>
      <c r="D428" s="2"/>
    </row>
    <row r="429" spans="1:4" x14ac:dyDescent="0.3">
      <c r="A429" s="2" t="s">
        <v>406</v>
      </c>
      <c r="B429" s="2" t="s">
        <v>168</v>
      </c>
      <c r="C429" s="2" t="s">
        <v>2547</v>
      </c>
      <c r="D429" s="2"/>
    </row>
    <row r="430" spans="1:4" x14ac:dyDescent="0.3">
      <c r="A430" s="2" t="s">
        <v>407</v>
      </c>
      <c r="B430" s="2" t="s">
        <v>168</v>
      </c>
      <c r="C430" s="2" t="s">
        <v>2547</v>
      </c>
      <c r="D430" s="2"/>
    </row>
    <row r="431" spans="1:4" x14ac:dyDescent="0.3">
      <c r="A431" s="2" t="s">
        <v>408</v>
      </c>
      <c r="B431" s="2" t="s">
        <v>168</v>
      </c>
      <c r="C431" s="2" t="s">
        <v>2547</v>
      </c>
      <c r="D431" s="2"/>
    </row>
    <row r="432" spans="1:4" x14ac:dyDescent="0.3">
      <c r="A432" s="2" t="s">
        <v>409</v>
      </c>
      <c r="B432" s="2" t="s">
        <v>168</v>
      </c>
      <c r="C432" s="2" t="s">
        <v>2547</v>
      </c>
      <c r="D432" s="2"/>
    </row>
    <row r="433" spans="1:4" x14ac:dyDescent="0.3">
      <c r="A433" s="2" t="s">
        <v>410</v>
      </c>
      <c r="B433" s="2" t="s">
        <v>168</v>
      </c>
      <c r="C433" s="2" t="s">
        <v>2547</v>
      </c>
      <c r="D433" s="2"/>
    </row>
    <row r="434" spans="1:4" x14ac:dyDescent="0.3">
      <c r="A434" s="2" t="s">
        <v>411</v>
      </c>
      <c r="B434" s="2" t="s">
        <v>168</v>
      </c>
      <c r="C434" s="2" t="s">
        <v>2547</v>
      </c>
      <c r="D434" s="2"/>
    </row>
    <row r="435" spans="1:4" x14ac:dyDescent="0.3">
      <c r="A435" s="2" t="s">
        <v>412</v>
      </c>
      <c r="B435" s="2" t="s">
        <v>168</v>
      </c>
      <c r="C435" s="2" t="s">
        <v>2547</v>
      </c>
      <c r="D435" s="2"/>
    </row>
    <row r="436" spans="1:4" x14ac:dyDescent="0.3">
      <c r="A436" s="2" t="s">
        <v>413</v>
      </c>
      <c r="B436" s="2" t="s">
        <v>168</v>
      </c>
      <c r="C436" s="2" t="s">
        <v>2547</v>
      </c>
      <c r="D436" s="2"/>
    </row>
    <row r="437" spans="1:4" x14ac:dyDescent="0.3">
      <c r="A437" s="2" t="s">
        <v>414</v>
      </c>
      <c r="B437" s="2" t="s">
        <v>168</v>
      </c>
      <c r="C437" s="2" t="s">
        <v>2547</v>
      </c>
      <c r="D437" s="2"/>
    </row>
    <row r="438" spans="1:4" x14ac:dyDescent="0.3">
      <c r="A438" s="2" t="s">
        <v>415</v>
      </c>
      <c r="B438" s="2" t="s">
        <v>168</v>
      </c>
      <c r="C438" s="2" t="s">
        <v>2547</v>
      </c>
      <c r="D438" s="2"/>
    </row>
    <row r="439" spans="1:4" x14ac:dyDescent="0.3">
      <c r="A439" s="2" t="s">
        <v>416</v>
      </c>
      <c r="B439" s="2" t="s">
        <v>168</v>
      </c>
      <c r="C439" s="2" t="s">
        <v>2547</v>
      </c>
      <c r="D439" s="2"/>
    </row>
    <row r="440" spans="1:4" x14ac:dyDescent="0.3">
      <c r="A440" s="2" t="s">
        <v>417</v>
      </c>
      <c r="B440" s="2" t="s">
        <v>168</v>
      </c>
      <c r="C440" s="2" t="s">
        <v>2547</v>
      </c>
      <c r="D440" s="2"/>
    </row>
    <row r="441" spans="1:4" x14ac:dyDescent="0.3">
      <c r="A441" s="2" t="s">
        <v>418</v>
      </c>
      <c r="B441" s="2" t="s">
        <v>168</v>
      </c>
      <c r="C441" s="2" t="s">
        <v>2547</v>
      </c>
      <c r="D441" s="2"/>
    </row>
    <row r="442" spans="1:4" x14ac:dyDescent="0.3">
      <c r="A442" s="2" t="s">
        <v>419</v>
      </c>
      <c r="B442" s="2" t="s">
        <v>168</v>
      </c>
      <c r="C442" s="2" t="s">
        <v>2547</v>
      </c>
      <c r="D442" s="2"/>
    </row>
    <row r="443" spans="1:4" x14ac:dyDescent="0.3">
      <c r="A443" s="2" t="s">
        <v>420</v>
      </c>
      <c r="B443" s="2" t="s">
        <v>168</v>
      </c>
      <c r="C443" s="2" t="s">
        <v>2547</v>
      </c>
      <c r="D443" s="2"/>
    </row>
    <row r="444" spans="1:4" x14ac:dyDescent="0.3">
      <c r="A444" s="2" t="s">
        <v>421</v>
      </c>
      <c r="B444" s="2" t="s">
        <v>168</v>
      </c>
      <c r="C444" s="2" t="s">
        <v>2547</v>
      </c>
      <c r="D444" s="2"/>
    </row>
    <row r="445" spans="1:4" x14ac:dyDescent="0.3">
      <c r="A445" s="2" t="s">
        <v>422</v>
      </c>
      <c r="B445" s="2" t="s">
        <v>168</v>
      </c>
      <c r="C445" s="2" t="s">
        <v>2547</v>
      </c>
      <c r="D445" s="2"/>
    </row>
    <row r="446" spans="1:4" x14ac:dyDescent="0.3">
      <c r="A446" s="2" t="s">
        <v>423</v>
      </c>
      <c r="B446" s="2" t="s">
        <v>168</v>
      </c>
      <c r="C446" s="2" t="s">
        <v>2547</v>
      </c>
      <c r="D446" s="2"/>
    </row>
    <row r="447" spans="1:4" x14ac:dyDescent="0.3">
      <c r="A447" s="2" t="s">
        <v>424</v>
      </c>
      <c r="B447" s="2" t="s">
        <v>168</v>
      </c>
      <c r="C447" s="2" t="s">
        <v>2547</v>
      </c>
      <c r="D447" s="2"/>
    </row>
    <row r="448" spans="1:4" x14ac:dyDescent="0.3">
      <c r="A448" s="2" t="s">
        <v>425</v>
      </c>
      <c r="B448" s="2" t="s">
        <v>168</v>
      </c>
      <c r="C448" s="2" t="s">
        <v>2547</v>
      </c>
      <c r="D448" s="2"/>
    </row>
    <row r="449" spans="1:4" x14ac:dyDescent="0.3">
      <c r="A449" s="2" t="s">
        <v>426</v>
      </c>
      <c r="B449" s="2" t="s">
        <v>168</v>
      </c>
      <c r="C449" s="2" t="s">
        <v>2547</v>
      </c>
      <c r="D449" s="2"/>
    </row>
    <row r="450" spans="1:4" x14ac:dyDescent="0.3">
      <c r="A450" s="2" t="s">
        <v>427</v>
      </c>
      <c r="B450" s="2" t="s">
        <v>168</v>
      </c>
      <c r="C450" s="2" t="s">
        <v>2547</v>
      </c>
      <c r="D450" s="2"/>
    </row>
    <row r="451" spans="1:4" x14ac:dyDescent="0.3">
      <c r="A451" s="2" t="s">
        <v>428</v>
      </c>
      <c r="B451" s="2" t="s">
        <v>168</v>
      </c>
      <c r="C451" s="2" t="s">
        <v>2547</v>
      </c>
      <c r="D451" s="2"/>
    </row>
    <row r="452" spans="1:4" x14ac:dyDescent="0.3">
      <c r="A452" s="2" t="s">
        <v>429</v>
      </c>
      <c r="B452" s="2" t="s">
        <v>168</v>
      </c>
      <c r="C452" s="2" t="s">
        <v>2547</v>
      </c>
      <c r="D452" s="2"/>
    </row>
    <row r="453" spans="1:4" x14ac:dyDescent="0.3">
      <c r="A453" s="2" t="s">
        <v>430</v>
      </c>
      <c r="B453" s="2" t="s">
        <v>168</v>
      </c>
      <c r="C453" s="2" t="s">
        <v>2547</v>
      </c>
      <c r="D453" s="2"/>
    </row>
    <row r="454" spans="1:4" x14ac:dyDescent="0.3">
      <c r="A454" s="2" t="s">
        <v>431</v>
      </c>
      <c r="B454" s="2" t="s">
        <v>168</v>
      </c>
      <c r="C454" s="2" t="s">
        <v>2547</v>
      </c>
      <c r="D454" s="2"/>
    </row>
    <row r="455" spans="1:4" x14ac:dyDescent="0.3">
      <c r="A455" s="2" t="s">
        <v>432</v>
      </c>
      <c r="B455" s="2" t="s">
        <v>168</v>
      </c>
      <c r="C455" s="2" t="s">
        <v>2547</v>
      </c>
      <c r="D455" s="2"/>
    </row>
    <row r="456" spans="1:4" x14ac:dyDescent="0.3">
      <c r="A456" s="2" t="s">
        <v>433</v>
      </c>
      <c r="B456" s="2" t="s">
        <v>168</v>
      </c>
      <c r="C456" s="2" t="s">
        <v>2547</v>
      </c>
      <c r="D456" s="2"/>
    </row>
    <row r="457" spans="1:4" x14ac:dyDescent="0.3">
      <c r="A457" s="2" t="s">
        <v>434</v>
      </c>
      <c r="B457" s="2" t="s">
        <v>168</v>
      </c>
      <c r="C457" s="2" t="s">
        <v>2547</v>
      </c>
      <c r="D457" s="2"/>
    </row>
    <row r="458" spans="1:4" x14ac:dyDescent="0.3">
      <c r="A458" s="2" t="s">
        <v>435</v>
      </c>
      <c r="B458" s="2" t="s">
        <v>168</v>
      </c>
      <c r="C458" s="2" t="s">
        <v>2547</v>
      </c>
      <c r="D458" s="2"/>
    </row>
    <row r="459" spans="1:4" x14ac:dyDescent="0.3">
      <c r="A459" s="2" t="s">
        <v>436</v>
      </c>
      <c r="B459" s="2" t="s">
        <v>168</v>
      </c>
      <c r="C459" s="2" t="s">
        <v>2547</v>
      </c>
      <c r="D459" s="2"/>
    </row>
    <row r="460" spans="1:4" x14ac:dyDescent="0.3">
      <c r="A460" s="2" t="s">
        <v>437</v>
      </c>
      <c r="B460" s="2" t="s">
        <v>168</v>
      </c>
      <c r="C460" s="2" t="s">
        <v>2547</v>
      </c>
      <c r="D460" s="2"/>
    </row>
    <row r="461" spans="1:4" x14ac:dyDescent="0.3">
      <c r="A461" s="2" t="s">
        <v>438</v>
      </c>
      <c r="B461" s="2" t="s">
        <v>168</v>
      </c>
      <c r="C461" s="2" t="s">
        <v>2547</v>
      </c>
      <c r="D461" s="2"/>
    </row>
    <row r="462" spans="1:4" x14ac:dyDescent="0.3">
      <c r="A462" s="2" t="s">
        <v>439</v>
      </c>
      <c r="B462" s="2" t="s">
        <v>168</v>
      </c>
      <c r="C462" s="2" t="s">
        <v>2547</v>
      </c>
      <c r="D462" s="2"/>
    </row>
    <row r="463" spans="1:4" x14ac:dyDescent="0.3">
      <c r="A463" s="2" t="s">
        <v>440</v>
      </c>
      <c r="B463" s="2" t="s">
        <v>168</v>
      </c>
      <c r="C463" s="2" t="s">
        <v>2547</v>
      </c>
      <c r="D463" s="2"/>
    </row>
    <row r="464" spans="1:4" x14ac:dyDescent="0.3">
      <c r="A464" s="2" t="s">
        <v>441</v>
      </c>
      <c r="B464" s="2" t="s">
        <v>168</v>
      </c>
      <c r="C464" s="2" t="s">
        <v>2547</v>
      </c>
      <c r="D464" s="2"/>
    </row>
    <row r="465" spans="1:4" x14ac:dyDescent="0.3">
      <c r="A465" s="2" t="s">
        <v>442</v>
      </c>
      <c r="B465" s="2" t="s">
        <v>168</v>
      </c>
      <c r="C465" s="2" t="s">
        <v>2547</v>
      </c>
      <c r="D465" s="2"/>
    </row>
    <row r="466" spans="1:4" x14ac:dyDescent="0.3">
      <c r="A466" s="2" t="s">
        <v>443</v>
      </c>
      <c r="B466" s="2" t="s">
        <v>168</v>
      </c>
      <c r="C466" s="2" t="s">
        <v>2547</v>
      </c>
      <c r="D466" s="2"/>
    </row>
    <row r="467" spans="1:4" x14ac:dyDescent="0.3">
      <c r="A467" s="2" t="s">
        <v>444</v>
      </c>
      <c r="B467" s="2" t="s">
        <v>168</v>
      </c>
      <c r="C467" s="2" t="s">
        <v>2547</v>
      </c>
      <c r="D467" s="2"/>
    </row>
    <row r="468" spans="1:4" x14ac:dyDescent="0.3">
      <c r="A468" s="2" t="s">
        <v>445</v>
      </c>
      <c r="B468" s="2" t="s">
        <v>168</v>
      </c>
      <c r="C468" s="2" t="s">
        <v>2547</v>
      </c>
      <c r="D468" s="2"/>
    </row>
    <row r="469" spans="1:4" x14ac:dyDescent="0.3">
      <c r="A469" s="2" t="s">
        <v>446</v>
      </c>
      <c r="B469" s="2" t="s">
        <v>168</v>
      </c>
      <c r="C469" s="2" t="s">
        <v>2547</v>
      </c>
      <c r="D469" s="2"/>
    </row>
    <row r="470" spans="1:4" x14ac:dyDescent="0.3">
      <c r="A470" s="2" t="s">
        <v>447</v>
      </c>
      <c r="B470" s="2" t="s">
        <v>168</v>
      </c>
      <c r="C470" s="2" t="s">
        <v>2547</v>
      </c>
      <c r="D470" s="2"/>
    </row>
    <row r="471" spans="1:4" x14ac:dyDescent="0.3">
      <c r="A471" s="2" t="s">
        <v>448</v>
      </c>
      <c r="B471" s="2" t="s">
        <v>168</v>
      </c>
      <c r="C471" s="2" t="s">
        <v>2547</v>
      </c>
      <c r="D471" s="2"/>
    </row>
    <row r="472" spans="1:4" x14ac:dyDescent="0.3">
      <c r="A472" s="2" t="s">
        <v>449</v>
      </c>
      <c r="B472" s="2" t="s">
        <v>168</v>
      </c>
      <c r="C472" s="2" t="s">
        <v>2547</v>
      </c>
      <c r="D472" s="2"/>
    </row>
    <row r="473" spans="1:4" x14ac:dyDescent="0.3">
      <c r="A473" s="2" t="s">
        <v>450</v>
      </c>
      <c r="B473" s="2" t="s">
        <v>168</v>
      </c>
      <c r="C473" s="2" t="s">
        <v>2547</v>
      </c>
      <c r="D473" s="2"/>
    </row>
    <row r="474" spans="1:4" x14ac:dyDescent="0.3">
      <c r="A474" s="2" t="s">
        <v>451</v>
      </c>
      <c r="B474" s="2" t="s">
        <v>168</v>
      </c>
      <c r="C474" s="2" t="s">
        <v>2547</v>
      </c>
      <c r="D474" s="2"/>
    </row>
    <row r="475" spans="1:4" x14ac:dyDescent="0.3">
      <c r="A475" s="2" t="s">
        <v>452</v>
      </c>
      <c r="B475" s="2" t="s">
        <v>168</v>
      </c>
      <c r="C475" s="2" t="s">
        <v>2547</v>
      </c>
      <c r="D475" s="2"/>
    </row>
    <row r="476" spans="1:4" x14ac:dyDescent="0.3">
      <c r="A476" s="2" t="s">
        <v>453</v>
      </c>
      <c r="B476" s="2" t="s">
        <v>168</v>
      </c>
      <c r="C476" s="2" t="s">
        <v>2547</v>
      </c>
      <c r="D476" s="2"/>
    </row>
    <row r="477" spans="1:4" x14ac:dyDescent="0.3">
      <c r="A477" s="2" t="s">
        <v>454</v>
      </c>
      <c r="B477" s="2" t="s">
        <v>168</v>
      </c>
      <c r="C477" s="2" t="s">
        <v>2547</v>
      </c>
      <c r="D477" s="2"/>
    </row>
    <row r="478" spans="1:4" x14ac:dyDescent="0.3">
      <c r="A478" s="2" t="s">
        <v>455</v>
      </c>
      <c r="B478" s="2" t="s">
        <v>168</v>
      </c>
      <c r="C478" s="2" t="s">
        <v>2547</v>
      </c>
      <c r="D478" s="2"/>
    </row>
    <row r="479" spans="1:4" x14ac:dyDescent="0.3">
      <c r="A479" s="2" t="s">
        <v>456</v>
      </c>
      <c r="B479" s="2" t="s">
        <v>168</v>
      </c>
      <c r="C479" s="2" t="s">
        <v>2547</v>
      </c>
      <c r="D479" s="2"/>
    </row>
    <row r="480" spans="1:4" x14ac:dyDescent="0.3">
      <c r="A480" s="2" t="s">
        <v>457</v>
      </c>
      <c r="B480" s="2" t="s">
        <v>168</v>
      </c>
      <c r="C480" s="2" t="s">
        <v>2547</v>
      </c>
      <c r="D480" s="2"/>
    </row>
    <row r="481" spans="1:4" x14ac:dyDescent="0.3">
      <c r="A481" s="2" t="s">
        <v>458</v>
      </c>
      <c r="B481" s="2" t="s">
        <v>168</v>
      </c>
      <c r="C481" s="2" t="s">
        <v>2547</v>
      </c>
      <c r="D481" s="2"/>
    </row>
    <row r="482" spans="1:4" x14ac:dyDescent="0.3">
      <c r="A482" s="2" t="s">
        <v>459</v>
      </c>
      <c r="B482" s="2" t="s">
        <v>168</v>
      </c>
      <c r="C482" s="2" t="s">
        <v>2547</v>
      </c>
      <c r="D482" s="2"/>
    </row>
    <row r="483" spans="1:4" x14ac:dyDescent="0.3">
      <c r="A483" s="2" t="s">
        <v>460</v>
      </c>
      <c r="B483" s="2" t="s">
        <v>168</v>
      </c>
      <c r="C483" s="2" t="s">
        <v>2547</v>
      </c>
      <c r="D483" s="2"/>
    </row>
    <row r="484" spans="1:4" x14ac:dyDescent="0.3">
      <c r="A484" s="2" t="s">
        <v>461</v>
      </c>
      <c r="B484" s="2" t="s">
        <v>168</v>
      </c>
      <c r="C484" s="2" t="s">
        <v>2547</v>
      </c>
      <c r="D484" s="2"/>
    </row>
    <row r="485" spans="1:4" x14ac:dyDescent="0.3">
      <c r="A485" s="2" t="s">
        <v>462</v>
      </c>
      <c r="B485" s="2" t="s">
        <v>168</v>
      </c>
      <c r="C485" s="2" t="s">
        <v>2547</v>
      </c>
      <c r="D485" s="2"/>
    </row>
    <row r="486" spans="1:4" x14ac:dyDescent="0.3">
      <c r="A486" s="2" t="s">
        <v>463</v>
      </c>
      <c r="B486" s="2" t="s">
        <v>168</v>
      </c>
      <c r="C486" s="2" t="s">
        <v>2547</v>
      </c>
      <c r="D486" s="2"/>
    </row>
    <row r="487" spans="1:4" x14ac:dyDescent="0.3">
      <c r="A487" s="2" t="s">
        <v>464</v>
      </c>
      <c r="B487" s="2" t="s">
        <v>168</v>
      </c>
      <c r="C487" s="2" t="s">
        <v>2547</v>
      </c>
      <c r="D487" s="2"/>
    </row>
    <row r="488" spans="1:4" x14ac:dyDescent="0.3">
      <c r="A488" s="2" t="s">
        <v>465</v>
      </c>
      <c r="B488" s="2" t="s">
        <v>168</v>
      </c>
      <c r="C488" s="2" t="s">
        <v>2547</v>
      </c>
      <c r="D488" s="2"/>
    </row>
    <row r="489" spans="1:4" x14ac:dyDescent="0.3">
      <c r="A489" s="2" t="s">
        <v>466</v>
      </c>
      <c r="B489" s="2" t="s">
        <v>168</v>
      </c>
      <c r="C489" s="2" t="s">
        <v>2547</v>
      </c>
      <c r="D489" s="2"/>
    </row>
    <row r="490" spans="1:4" x14ac:dyDescent="0.3">
      <c r="A490" s="2" t="s">
        <v>467</v>
      </c>
      <c r="B490" s="2" t="s">
        <v>168</v>
      </c>
      <c r="C490" s="2" t="s">
        <v>2547</v>
      </c>
      <c r="D490" s="2"/>
    </row>
    <row r="491" spans="1:4" x14ac:dyDescent="0.3">
      <c r="A491" s="2" t="s">
        <v>468</v>
      </c>
      <c r="B491" s="2" t="s">
        <v>168</v>
      </c>
      <c r="C491" s="2" t="s">
        <v>2547</v>
      </c>
      <c r="D491" s="2"/>
    </row>
    <row r="492" spans="1:4" x14ac:dyDescent="0.3">
      <c r="A492" s="2" t="s">
        <v>469</v>
      </c>
      <c r="B492" s="2" t="s">
        <v>168</v>
      </c>
      <c r="C492" s="2" t="s">
        <v>2547</v>
      </c>
      <c r="D492" s="2"/>
    </row>
    <row r="493" spans="1:4" x14ac:dyDescent="0.3">
      <c r="A493" s="2" t="s">
        <v>470</v>
      </c>
      <c r="B493" s="2" t="s">
        <v>168</v>
      </c>
      <c r="C493" s="2" t="s">
        <v>2547</v>
      </c>
      <c r="D493" s="2"/>
    </row>
    <row r="494" spans="1:4" x14ac:dyDescent="0.3">
      <c r="A494" s="2" t="s">
        <v>471</v>
      </c>
      <c r="B494" s="2" t="s">
        <v>168</v>
      </c>
      <c r="C494" s="2" t="s">
        <v>2547</v>
      </c>
      <c r="D494" s="2"/>
    </row>
    <row r="495" spans="1:4" x14ac:dyDescent="0.3">
      <c r="A495" s="2" t="s">
        <v>472</v>
      </c>
      <c r="B495" s="2" t="s">
        <v>168</v>
      </c>
      <c r="C495" s="2" t="s">
        <v>2547</v>
      </c>
      <c r="D495" s="2"/>
    </row>
    <row r="496" spans="1:4" x14ac:dyDescent="0.3">
      <c r="A496" s="2" t="s">
        <v>473</v>
      </c>
      <c r="B496" s="2" t="s">
        <v>168</v>
      </c>
      <c r="C496" s="2" t="s">
        <v>2547</v>
      </c>
      <c r="D496" s="2"/>
    </row>
    <row r="497" spans="1:4" x14ac:dyDescent="0.3">
      <c r="A497" s="2" t="s">
        <v>474</v>
      </c>
      <c r="B497" s="2" t="s">
        <v>168</v>
      </c>
      <c r="C497" s="2" t="s">
        <v>2547</v>
      </c>
      <c r="D497" s="2"/>
    </row>
    <row r="498" spans="1:4" x14ac:dyDescent="0.3">
      <c r="A498" s="2" t="s">
        <v>475</v>
      </c>
      <c r="B498" s="2" t="s">
        <v>168</v>
      </c>
      <c r="C498" s="2" t="s">
        <v>2547</v>
      </c>
      <c r="D498" s="2"/>
    </row>
    <row r="499" spans="1:4" x14ac:dyDescent="0.3">
      <c r="A499" s="2" t="s">
        <v>476</v>
      </c>
      <c r="B499" s="2" t="s">
        <v>168</v>
      </c>
      <c r="C499" s="2" t="s">
        <v>2547</v>
      </c>
      <c r="D499" s="2"/>
    </row>
    <row r="500" spans="1:4" x14ac:dyDescent="0.3">
      <c r="A500" s="2" t="s">
        <v>477</v>
      </c>
      <c r="B500" s="2" t="s">
        <v>168</v>
      </c>
      <c r="C500" s="2" t="s">
        <v>2547</v>
      </c>
      <c r="D500" s="2"/>
    </row>
    <row r="501" spans="1:4" x14ac:dyDescent="0.3">
      <c r="A501" s="2" t="s">
        <v>478</v>
      </c>
      <c r="B501" s="2" t="s">
        <v>168</v>
      </c>
      <c r="C501" s="2" t="s">
        <v>2547</v>
      </c>
      <c r="D501" s="2"/>
    </row>
    <row r="502" spans="1:4" x14ac:dyDescent="0.3">
      <c r="A502" s="2" t="s">
        <v>479</v>
      </c>
      <c r="B502" s="2" t="s">
        <v>168</v>
      </c>
      <c r="C502" s="2" t="s">
        <v>2547</v>
      </c>
      <c r="D502" s="2"/>
    </row>
    <row r="503" spans="1:4" x14ac:dyDescent="0.3">
      <c r="A503" s="2" t="s">
        <v>480</v>
      </c>
      <c r="B503" s="2" t="s">
        <v>168</v>
      </c>
      <c r="C503" s="2" t="s">
        <v>2547</v>
      </c>
      <c r="D503" s="2"/>
    </row>
    <row r="504" spans="1:4" x14ac:dyDescent="0.3">
      <c r="A504" s="2" t="s">
        <v>481</v>
      </c>
      <c r="B504" s="2" t="s">
        <v>168</v>
      </c>
      <c r="C504" s="2" t="s">
        <v>2547</v>
      </c>
      <c r="D504" s="2"/>
    </row>
    <row r="505" spans="1:4" x14ac:dyDescent="0.3">
      <c r="A505" s="2" t="s">
        <v>482</v>
      </c>
      <c r="B505" s="2" t="s">
        <v>168</v>
      </c>
      <c r="C505" s="2" t="s">
        <v>2547</v>
      </c>
      <c r="D505" s="2"/>
    </row>
    <row r="506" spans="1:4" x14ac:dyDescent="0.3">
      <c r="A506" s="2" t="s">
        <v>483</v>
      </c>
      <c r="B506" s="2" t="s">
        <v>168</v>
      </c>
      <c r="C506" s="2" t="s">
        <v>2547</v>
      </c>
      <c r="D506" s="2"/>
    </row>
    <row r="507" spans="1:4" x14ac:dyDescent="0.3">
      <c r="A507" s="2" t="s">
        <v>484</v>
      </c>
      <c r="B507" s="2" t="s">
        <v>168</v>
      </c>
      <c r="C507" s="2" t="s">
        <v>2547</v>
      </c>
      <c r="D507" s="2"/>
    </row>
    <row r="508" spans="1:4" x14ac:dyDescent="0.3">
      <c r="A508" s="2" t="s">
        <v>485</v>
      </c>
      <c r="B508" s="2" t="s">
        <v>168</v>
      </c>
      <c r="C508" s="2" t="s">
        <v>2547</v>
      </c>
      <c r="D508" s="2"/>
    </row>
    <row r="509" spans="1:4" x14ac:dyDescent="0.3">
      <c r="A509" s="2" t="s">
        <v>486</v>
      </c>
      <c r="B509" s="2" t="s">
        <v>168</v>
      </c>
      <c r="C509" s="2" t="s">
        <v>2547</v>
      </c>
      <c r="D509" s="2"/>
    </row>
    <row r="510" spans="1:4" x14ac:dyDescent="0.3">
      <c r="A510" s="2" t="s">
        <v>487</v>
      </c>
      <c r="B510" s="2" t="s">
        <v>168</v>
      </c>
      <c r="C510" s="2" t="s">
        <v>2547</v>
      </c>
      <c r="D510" s="2"/>
    </row>
    <row r="511" spans="1:4" x14ac:dyDescent="0.3">
      <c r="A511" s="2" t="s">
        <v>488</v>
      </c>
      <c r="B511" s="2" t="s">
        <v>168</v>
      </c>
      <c r="C511" s="2" t="s">
        <v>2547</v>
      </c>
      <c r="D511" s="2"/>
    </row>
    <row r="512" spans="1:4" x14ac:dyDescent="0.3">
      <c r="A512" s="2" t="s">
        <v>489</v>
      </c>
      <c r="B512" s="2" t="s">
        <v>168</v>
      </c>
      <c r="C512" s="2" t="s">
        <v>2547</v>
      </c>
      <c r="D512" s="2"/>
    </row>
    <row r="513" spans="1:4" x14ac:dyDescent="0.3">
      <c r="A513" s="2" t="s">
        <v>490</v>
      </c>
      <c r="B513" s="2" t="s">
        <v>168</v>
      </c>
      <c r="C513" s="2" t="s">
        <v>2547</v>
      </c>
      <c r="D513" s="2"/>
    </row>
    <row r="514" spans="1:4" x14ac:dyDescent="0.3">
      <c r="A514" s="2" t="s">
        <v>491</v>
      </c>
      <c r="B514" s="2" t="s">
        <v>168</v>
      </c>
      <c r="C514" s="2" t="s">
        <v>2547</v>
      </c>
      <c r="D514" s="2"/>
    </row>
    <row r="515" spans="1:4" x14ac:dyDescent="0.3">
      <c r="A515" s="2" t="s">
        <v>492</v>
      </c>
      <c r="B515" s="2" t="s">
        <v>168</v>
      </c>
      <c r="C515" s="2" t="s">
        <v>2547</v>
      </c>
      <c r="D515" s="2"/>
    </row>
    <row r="516" spans="1:4" x14ac:dyDescent="0.3">
      <c r="A516" s="2" t="s">
        <v>493</v>
      </c>
      <c r="B516" s="2" t="s">
        <v>168</v>
      </c>
      <c r="C516" s="2" t="s">
        <v>2547</v>
      </c>
      <c r="D516" s="2"/>
    </row>
    <row r="517" spans="1:4" x14ac:dyDescent="0.3">
      <c r="A517" s="2" t="s">
        <v>494</v>
      </c>
      <c r="B517" s="2" t="s">
        <v>168</v>
      </c>
      <c r="C517" s="2" t="s">
        <v>2547</v>
      </c>
      <c r="D517" s="2"/>
    </row>
    <row r="518" spans="1:4" x14ac:dyDescent="0.3">
      <c r="A518" s="2" t="s">
        <v>495</v>
      </c>
      <c r="B518" s="2" t="s">
        <v>168</v>
      </c>
      <c r="C518" s="2" t="s">
        <v>2547</v>
      </c>
      <c r="D518" s="2"/>
    </row>
    <row r="519" spans="1:4" x14ac:dyDescent="0.3">
      <c r="A519" s="2" t="s">
        <v>496</v>
      </c>
      <c r="B519" s="2" t="s">
        <v>168</v>
      </c>
      <c r="C519" s="2" t="s">
        <v>2547</v>
      </c>
      <c r="D519" s="2"/>
    </row>
    <row r="520" spans="1:4" x14ac:dyDescent="0.3">
      <c r="A520" s="2" t="s">
        <v>497</v>
      </c>
      <c r="B520" s="2" t="s">
        <v>168</v>
      </c>
      <c r="C520" s="2" t="s">
        <v>2547</v>
      </c>
      <c r="D520" s="2"/>
    </row>
    <row r="521" spans="1:4" x14ac:dyDescent="0.3">
      <c r="A521" s="2" t="s">
        <v>498</v>
      </c>
      <c r="B521" s="2" t="s">
        <v>168</v>
      </c>
      <c r="C521" s="2" t="s">
        <v>2547</v>
      </c>
      <c r="D521" s="2"/>
    </row>
    <row r="522" spans="1:4" x14ac:dyDescent="0.3">
      <c r="A522" s="2" t="s">
        <v>499</v>
      </c>
      <c r="B522" s="2" t="s">
        <v>168</v>
      </c>
      <c r="C522" s="2" t="s">
        <v>2547</v>
      </c>
      <c r="D522" s="2"/>
    </row>
    <row r="523" spans="1:4" x14ac:dyDescent="0.3">
      <c r="A523" s="2" t="s">
        <v>500</v>
      </c>
      <c r="B523" s="2" t="s">
        <v>168</v>
      </c>
      <c r="C523" s="2" t="s">
        <v>2547</v>
      </c>
      <c r="D523" s="2"/>
    </row>
    <row r="524" spans="1:4" x14ac:dyDescent="0.3">
      <c r="A524" s="2" t="s">
        <v>501</v>
      </c>
      <c r="B524" s="2" t="s">
        <v>168</v>
      </c>
      <c r="C524" s="2" t="s">
        <v>2547</v>
      </c>
      <c r="D524" s="2"/>
    </row>
    <row r="525" spans="1:4" x14ac:dyDescent="0.3">
      <c r="A525" s="2" t="s">
        <v>502</v>
      </c>
      <c r="B525" s="2" t="s">
        <v>168</v>
      </c>
      <c r="C525" s="2" t="s">
        <v>2547</v>
      </c>
      <c r="D525" s="2"/>
    </row>
    <row r="526" spans="1:4" x14ac:dyDescent="0.3">
      <c r="A526" s="2" t="s">
        <v>503</v>
      </c>
      <c r="B526" s="2" t="s">
        <v>168</v>
      </c>
      <c r="C526" s="2" t="s">
        <v>2547</v>
      </c>
      <c r="D526" s="2"/>
    </row>
    <row r="527" spans="1:4" x14ac:dyDescent="0.3">
      <c r="A527" s="2" t="s">
        <v>504</v>
      </c>
      <c r="B527" s="2" t="s">
        <v>168</v>
      </c>
      <c r="C527" s="2" t="s">
        <v>2547</v>
      </c>
      <c r="D527" s="2"/>
    </row>
    <row r="528" spans="1:4" x14ac:dyDescent="0.3">
      <c r="A528" s="2" t="s">
        <v>505</v>
      </c>
      <c r="B528" s="2" t="s">
        <v>168</v>
      </c>
      <c r="C528" s="2" t="s">
        <v>2547</v>
      </c>
      <c r="D528" s="2"/>
    </row>
    <row r="529" spans="1:4" x14ac:dyDescent="0.3">
      <c r="A529" s="2" t="s">
        <v>506</v>
      </c>
      <c r="B529" s="2" t="s">
        <v>168</v>
      </c>
      <c r="C529" s="2" t="s">
        <v>2547</v>
      </c>
      <c r="D529" s="2"/>
    </row>
    <row r="530" spans="1:4" x14ac:dyDescent="0.3">
      <c r="A530" s="2" t="s">
        <v>507</v>
      </c>
      <c r="B530" s="2" t="s">
        <v>168</v>
      </c>
      <c r="C530" s="2" t="s">
        <v>2547</v>
      </c>
      <c r="D530" s="2"/>
    </row>
    <row r="531" spans="1:4" x14ac:dyDescent="0.3">
      <c r="A531" s="2" t="s">
        <v>508</v>
      </c>
      <c r="B531" s="2" t="s">
        <v>168</v>
      </c>
      <c r="C531" s="2" t="s">
        <v>2547</v>
      </c>
      <c r="D531" s="2"/>
    </row>
    <row r="532" spans="1:4" x14ac:dyDescent="0.3">
      <c r="A532" s="2" t="s">
        <v>509</v>
      </c>
      <c r="B532" s="2" t="s">
        <v>168</v>
      </c>
      <c r="C532" s="2" t="s">
        <v>2547</v>
      </c>
      <c r="D532" s="2"/>
    </row>
    <row r="533" spans="1:4" x14ac:dyDescent="0.3">
      <c r="A533" s="2" t="s">
        <v>510</v>
      </c>
      <c r="B533" s="2" t="s">
        <v>168</v>
      </c>
      <c r="C533" s="2" t="s">
        <v>2547</v>
      </c>
      <c r="D533" s="2"/>
    </row>
    <row r="534" spans="1:4" x14ac:dyDescent="0.3">
      <c r="A534" s="2" t="s">
        <v>511</v>
      </c>
      <c r="B534" s="2" t="s">
        <v>168</v>
      </c>
      <c r="C534" s="2" t="s">
        <v>2547</v>
      </c>
      <c r="D534" s="2"/>
    </row>
    <row r="535" spans="1:4" x14ac:dyDescent="0.3">
      <c r="A535" s="2" t="s">
        <v>512</v>
      </c>
      <c r="B535" s="2" t="s">
        <v>168</v>
      </c>
      <c r="C535" s="2" t="s">
        <v>2547</v>
      </c>
      <c r="D535" s="2"/>
    </row>
    <row r="536" spans="1:4" x14ac:dyDescent="0.3">
      <c r="A536" s="2" t="s">
        <v>513</v>
      </c>
      <c r="B536" s="2" t="s">
        <v>168</v>
      </c>
      <c r="C536" s="2" t="s">
        <v>2547</v>
      </c>
      <c r="D536" s="2"/>
    </row>
    <row r="537" spans="1:4" x14ac:dyDescent="0.3">
      <c r="A537" s="2" t="s">
        <v>514</v>
      </c>
      <c r="B537" s="2" t="s">
        <v>168</v>
      </c>
      <c r="C537" s="2" t="s">
        <v>2547</v>
      </c>
      <c r="D537" s="2"/>
    </row>
    <row r="538" spans="1:4" x14ac:dyDescent="0.3">
      <c r="A538" s="2" t="s">
        <v>515</v>
      </c>
      <c r="B538" s="2" t="s">
        <v>168</v>
      </c>
      <c r="C538" s="2" t="s">
        <v>2547</v>
      </c>
      <c r="D538" s="2"/>
    </row>
    <row r="539" spans="1:4" x14ac:dyDescent="0.3">
      <c r="A539" s="2" t="s">
        <v>516</v>
      </c>
      <c r="B539" s="2" t="s">
        <v>168</v>
      </c>
      <c r="C539" s="2" t="s">
        <v>2547</v>
      </c>
      <c r="D539" s="2"/>
    </row>
    <row r="540" spans="1:4" x14ac:dyDescent="0.3">
      <c r="A540" s="2" t="s">
        <v>517</v>
      </c>
      <c r="B540" s="2" t="s">
        <v>168</v>
      </c>
      <c r="C540" s="2" t="s">
        <v>2547</v>
      </c>
      <c r="D540" s="2"/>
    </row>
    <row r="541" spans="1:4" x14ac:dyDescent="0.3">
      <c r="A541" s="2" t="s">
        <v>518</v>
      </c>
      <c r="B541" s="2" t="s">
        <v>168</v>
      </c>
      <c r="C541" s="2" t="s">
        <v>2547</v>
      </c>
      <c r="D541" s="2"/>
    </row>
    <row r="542" spans="1:4" x14ac:dyDescent="0.3">
      <c r="A542" s="2" t="s">
        <v>519</v>
      </c>
      <c r="B542" s="2" t="s">
        <v>168</v>
      </c>
      <c r="C542" s="2" t="s">
        <v>2547</v>
      </c>
      <c r="D542" s="2"/>
    </row>
    <row r="543" spans="1:4" x14ac:dyDescent="0.3">
      <c r="A543" s="2" t="s">
        <v>520</v>
      </c>
      <c r="B543" s="2" t="s">
        <v>168</v>
      </c>
      <c r="C543" s="2" t="s">
        <v>2547</v>
      </c>
      <c r="D543" s="2"/>
    </row>
    <row r="544" spans="1:4" x14ac:dyDescent="0.3">
      <c r="A544" s="2" t="s">
        <v>521</v>
      </c>
      <c r="B544" s="2" t="s">
        <v>168</v>
      </c>
      <c r="C544" s="2" t="s">
        <v>2547</v>
      </c>
      <c r="D544" s="2"/>
    </row>
    <row r="545" spans="1:4" x14ac:dyDescent="0.3">
      <c r="A545" s="2" t="s">
        <v>522</v>
      </c>
      <c r="B545" s="2" t="s">
        <v>168</v>
      </c>
      <c r="C545" s="2" t="s">
        <v>2547</v>
      </c>
      <c r="D545" s="2"/>
    </row>
    <row r="546" spans="1:4" x14ac:dyDescent="0.3">
      <c r="A546" s="2" t="s">
        <v>523</v>
      </c>
      <c r="B546" s="2" t="s">
        <v>168</v>
      </c>
      <c r="C546" s="2" t="s">
        <v>2547</v>
      </c>
      <c r="D546" s="2"/>
    </row>
    <row r="547" spans="1:4" x14ac:dyDescent="0.3">
      <c r="A547" s="2" t="s">
        <v>524</v>
      </c>
      <c r="B547" s="2" t="s">
        <v>168</v>
      </c>
      <c r="C547" s="2" t="s">
        <v>2547</v>
      </c>
      <c r="D547" s="2"/>
    </row>
    <row r="548" spans="1:4" x14ac:dyDescent="0.3">
      <c r="A548" s="2" t="s">
        <v>525</v>
      </c>
      <c r="B548" s="2" t="s">
        <v>168</v>
      </c>
      <c r="C548" s="2" t="s">
        <v>2547</v>
      </c>
      <c r="D548" s="2"/>
    </row>
    <row r="549" spans="1:4" x14ac:dyDescent="0.3">
      <c r="A549" s="2" t="s">
        <v>526</v>
      </c>
      <c r="B549" s="2" t="s">
        <v>168</v>
      </c>
      <c r="C549" s="2" t="s">
        <v>2547</v>
      </c>
      <c r="D549" s="2"/>
    </row>
    <row r="550" spans="1:4" x14ac:dyDescent="0.3">
      <c r="A550" s="2" t="s">
        <v>527</v>
      </c>
      <c r="B550" s="2" t="s">
        <v>168</v>
      </c>
      <c r="C550" s="2" t="s">
        <v>2547</v>
      </c>
      <c r="D550" s="2"/>
    </row>
    <row r="551" spans="1:4" x14ac:dyDescent="0.3">
      <c r="A551" s="2" t="s">
        <v>528</v>
      </c>
      <c r="B551" s="2" t="s">
        <v>168</v>
      </c>
      <c r="C551" s="2" t="s">
        <v>2547</v>
      </c>
      <c r="D551" s="2"/>
    </row>
    <row r="552" spans="1:4" x14ac:dyDescent="0.3">
      <c r="A552" s="2" t="s">
        <v>529</v>
      </c>
      <c r="B552" s="2" t="s">
        <v>168</v>
      </c>
      <c r="C552" s="2" t="s">
        <v>2547</v>
      </c>
      <c r="D552" s="2"/>
    </row>
    <row r="553" spans="1:4" x14ac:dyDescent="0.3">
      <c r="A553" s="2" t="s">
        <v>530</v>
      </c>
      <c r="B553" s="2" t="s">
        <v>168</v>
      </c>
      <c r="C553" s="2" t="s">
        <v>2547</v>
      </c>
      <c r="D553" s="2"/>
    </row>
    <row r="554" spans="1:4" x14ac:dyDescent="0.3">
      <c r="A554" s="2" t="s">
        <v>531</v>
      </c>
      <c r="B554" s="2" t="s">
        <v>168</v>
      </c>
      <c r="C554" s="2" t="s">
        <v>2547</v>
      </c>
      <c r="D554" s="2"/>
    </row>
    <row r="555" spans="1:4" x14ac:dyDescent="0.3">
      <c r="A555" s="2" t="s">
        <v>532</v>
      </c>
      <c r="B555" s="2" t="s">
        <v>168</v>
      </c>
      <c r="C555" s="2" t="s">
        <v>2547</v>
      </c>
      <c r="D555" s="2"/>
    </row>
    <row r="556" spans="1:4" x14ac:dyDescent="0.3">
      <c r="A556" s="2" t="s">
        <v>533</v>
      </c>
      <c r="B556" s="2" t="s">
        <v>168</v>
      </c>
      <c r="C556" s="2" t="s">
        <v>2547</v>
      </c>
      <c r="D556" s="2"/>
    </row>
    <row r="557" spans="1:4" x14ac:dyDescent="0.3">
      <c r="A557" s="2" t="s">
        <v>534</v>
      </c>
      <c r="B557" s="2" t="s">
        <v>168</v>
      </c>
      <c r="C557" s="2" t="s">
        <v>2547</v>
      </c>
      <c r="D557" s="2"/>
    </row>
    <row r="558" spans="1:4" x14ac:dyDescent="0.3">
      <c r="A558" s="2" t="s">
        <v>535</v>
      </c>
      <c r="B558" s="2" t="s">
        <v>168</v>
      </c>
      <c r="C558" s="2" t="s">
        <v>2547</v>
      </c>
      <c r="D558" s="2"/>
    </row>
    <row r="559" spans="1:4" x14ac:dyDescent="0.3">
      <c r="A559" s="2" t="s">
        <v>536</v>
      </c>
      <c r="B559" s="2" t="s">
        <v>168</v>
      </c>
      <c r="C559" s="2" t="s">
        <v>2547</v>
      </c>
      <c r="D559" s="2"/>
    </row>
    <row r="560" spans="1:4" x14ac:dyDescent="0.3">
      <c r="A560" s="2" t="s">
        <v>537</v>
      </c>
      <c r="B560" s="2" t="s">
        <v>168</v>
      </c>
      <c r="C560" s="2" t="s">
        <v>2547</v>
      </c>
      <c r="D560" s="2"/>
    </row>
    <row r="561" spans="1:4" x14ac:dyDescent="0.3">
      <c r="A561" s="2" t="s">
        <v>538</v>
      </c>
      <c r="B561" s="2" t="s">
        <v>168</v>
      </c>
      <c r="C561" s="2" t="s">
        <v>2547</v>
      </c>
      <c r="D561" s="2"/>
    </row>
    <row r="562" spans="1:4" x14ac:dyDescent="0.3">
      <c r="A562" s="2" t="s">
        <v>539</v>
      </c>
      <c r="B562" s="2" t="s">
        <v>168</v>
      </c>
      <c r="C562" s="2" t="s">
        <v>2547</v>
      </c>
      <c r="D562" s="2"/>
    </row>
    <row r="563" spans="1:4" x14ac:dyDescent="0.3">
      <c r="A563" s="2" t="s">
        <v>540</v>
      </c>
      <c r="B563" s="2" t="s">
        <v>168</v>
      </c>
      <c r="C563" s="2" t="s">
        <v>2547</v>
      </c>
      <c r="D563" s="2"/>
    </row>
    <row r="564" spans="1:4" x14ac:dyDescent="0.3">
      <c r="A564" s="2" t="s">
        <v>541</v>
      </c>
      <c r="B564" s="2" t="s">
        <v>168</v>
      </c>
      <c r="C564" s="2" t="s">
        <v>2547</v>
      </c>
      <c r="D564" s="2"/>
    </row>
    <row r="565" spans="1:4" x14ac:dyDescent="0.3">
      <c r="A565" s="2" t="s">
        <v>542</v>
      </c>
      <c r="B565" s="2" t="s">
        <v>168</v>
      </c>
      <c r="C565" s="2" t="s">
        <v>2547</v>
      </c>
      <c r="D565" s="2"/>
    </row>
    <row r="566" spans="1:4" x14ac:dyDescent="0.3">
      <c r="A566" s="2" t="s">
        <v>543</v>
      </c>
      <c r="B566" s="2" t="s">
        <v>168</v>
      </c>
      <c r="C566" s="2" t="s">
        <v>2547</v>
      </c>
      <c r="D566" s="2"/>
    </row>
    <row r="567" spans="1:4" x14ac:dyDescent="0.3">
      <c r="A567" s="2" t="s">
        <v>544</v>
      </c>
      <c r="B567" s="2" t="s">
        <v>168</v>
      </c>
      <c r="C567" s="2" t="s">
        <v>2547</v>
      </c>
      <c r="D567" s="2"/>
    </row>
    <row r="568" spans="1:4" x14ac:dyDescent="0.3">
      <c r="A568" s="2" t="s">
        <v>545</v>
      </c>
      <c r="B568" s="2" t="s">
        <v>168</v>
      </c>
      <c r="C568" s="2" t="s">
        <v>2547</v>
      </c>
      <c r="D568" s="2"/>
    </row>
    <row r="569" spans="1:4" x14ac:dyDescent="0.3">
      <c r="A569" s="2" t="s">
        <v>546</v>
      </c>
      <c r="B569" s="2" t="s">
        <v>168</v>
      </c>
      <c r="C569" s="2" t="s">
        <v>2547</v>
      </c>
      <c r="D569" s="2"/>
    </row>
    <row r="570" spans="1:4" x14ac:dyDescent="0.3">
      <c r="A570" s="2" t="s">
        <v>547</v>
      </c>
      <c r="B570" s="2" t="s">
        <v>168</v>
      </c>
      <c r="C570" s="2" t="s">
        <v>2547</v>
      </c>
    </row>
    <row r="571" spans="1:4" x14ac:dyDescent="0.3">
      <c r="A571" s="2" t="s">
        <v>548</v>
      </c>
      <c r="B571" s="2" t="s">
        <v>168</v>
      </c>
      <c r="C571" s="2" t="s">
        <v>2547</v>
      </c>
    </row>
    <row r="572" spans="1:4" x14ac:dyDescent="0.3">
      <c r="A572" s="2" t="s">
        <v>549</v>
      </c>
      <c r="B572" s="2" t="s">
        <v>168</v>
      </c>
      <c r="C572" s="2" t="s">
        <v>2547</v>
      </c>
    </row>
    <row r="573" spans="1:4" x14ac:dyDescent="0.3">
      <c r="A573" s="2" t="s">
        <v>550</v>
      </c>
      <c r="B573" s="2" t="s">
        <v>168</v>
      </c>
      <c r="C573" s="2" t="s">
        <v>2547</v>
      </c>
    </row>
    <row r="574" spans="1:4" x14ac:dyDescent="0.3">
      <c r="A574" s="2" t="s">
        <v>551</v>
      </c>
      <c r="B574" s="2" t="s">
        <v>168</v>
      </c>
      <c r="C574" s="2" t="s">
        <v>2547</v>
      </c>
    </row>
    <row r="575" spans="1:4" x14ac:dyDescent="0.3">
      <c r="A575" s="2" t="s">
        <v>552</v>
      </c>
      <c r="B575" s="2" t="s">
        <v>168</v>
      </c>
      <c r="C575" s="2" t="s">
        <v>2547</v>
      </c>
    </row>
    <row r="576" spans="1:4" x14ac:dyDescent="0.3">
      <c r="A576" s="2" t="s">
        <v>553</v>
      </c>
      <c r="B576" s="2" t="s">
        <v>168</v>
      </c>
      <c r="C576" s="2" t="s">
        <v>2547</v>
      </c>
    </row>
    <row r="577" spans="1:3" x14ac:dyDescent="0.3">
      <c r="A577" s="2" t="s">
        <v>554</v>
      </c>
      <c r="B577" s="2" t="s">
        <v>168</v>
      </c>
      <c r="C577" s="2" t="s">
        <v>2547</v>
      </c>
    </row>
    <row r="578" spans="1:3" x14ac:dyDescent="0.3">
      <c r="A578" s="2" t="s">
        <v>555</v>
      </c>
      <c r="B578" s="2" t="s">
        <v>168</v>
      </c>
      <c r="C578" s="2" t="s">
        <v>2547</v>
      </c>
    </row>
    <row r="579" spans="1:3" x14ac:dyDescent="0.3">
      <c r="A579" s="2" t="s">
        <v>556</v>
      </c>
      <c r="B579" s="2" t="s">
        <v>168</v>
      </c>
      <c r="C579" s="2" t="s">
        <v>2547</v>
      </c>
    </row>
    <row r="580" spans="1:3" x14ac:dyDescent="0.3">
      <c r="A580" s="2" t="s">
        <v>557</v>
      </c>
      <c r="B580" s="2" t="s">
        <v>168</v>
      </c>
      <c r="C580" s="2" t="s">
        <v>2547</v>
      </c>
    </row>
    <row r="581" spans="1:3" x14ac:dyDescent="0.3">
      <c r="A581" s="2" t="s">
        <v>558</v>
      </c>
      <c r="B581" s="2" t="s">
        <v>168</v>
      </c>
      <c r="C581" s="2" t="s">
        <v>2547</v>
      </c>
    </row>
    <row r="582" spans="1:3" x14ac:dyDescent="0.3">
      <c r="A582" s="2" t="s">
        <v>559</v>
      </c>
      <c r="B582" s="2" t="s">
        <v>168</v>
      </c>
      <c r="C582" s="2" t="s">
        <v>2547</v>
      </c>
    </row>
    <row r="583" spans="1:3" x14ac:dyDescent="0.3">
      <c r="A583" s="2" t="s">
        <v>560</v>
      </c>
      <c r="B583" s="2" t="s">
        <v>168</v>
      </c>
      <c r="C583" s="2" t="s">
        <v>2547</v>
      </c>
    </row>
    <row r="584" spans="1:3" x14ac:dyDescent="0.3">
      <c r="A584" s="2" t="s">
        <v>561</v>
      </c>
      <c r="B584" s="2" t="s">
        <v>168</v>
      </c>
      <c r="C584" s="2" t="s">
        <v>2547</v>
      </c>
    </row>
    <row r="585" spans="1:3" x14ac:dyDescent="0.3">
      <c r="A585" s="2" t="s">
        <v>562</v>
      </c>
      <c r="B585" s="2" t="s">
        <v>168</v>
      </c>
      <c r="C585" s="2" t="s">
        <v>2547</v>
      </c>
    </row>
    <row r="586" spans="1:3" x14ac:dyDescent="0.3">
      <c r="A586" s="2" t="s">
        <v>563</v>
      </c>
      <c r="B586" s="2" t="s">
        <v>168</v>
      </c>
      <c r="C586" s="2" t="s">
        <v>2547</v>
      </c>
    </row>
    <row r="587" spans="1:3" x14ac:dyDescent="0.3">
      <c r="A587" s="2" t="s">
        <v>564</v>
      </c>
      <c r="B587" s="2" t="s">
        <v>168</v>
      </c>
      <c r="C587" s="2" t="s">
        <v>2547</v>
      </c>
    </row>
    <row r="588" spans="1:3" x14ac:dyDescent="0.3">
      <c r="A588" s="2" t="s">
        <v>565</v>
      </c>
      <c r="B588" s="2" t="s">
        <v>168</v>
      </c>
      <c r="C588" s="2" t="s">
        <v>2547</v>
      </c>
    </row>
    <row r="589" spans="1:3" x14ac:dyDescent="0.3">
      <c r="A589" s="2" t="s">
        <v>566</v>
      </c>
      <c r="B589" s="2" t="s">
        <v>168</v>
      </c>
      <c r="C589" s="2" t="s">
        <v>2547</v>
      </c>
    </row>
    <row r="590" spans="1:3" x14ac:dyDescent="0.3">
      <c r="A590" s="2" t="s">
        <v>567</v>
      </c>
      <c r="B590" s="2" t="s">
        <v>168</v>
      </c>
      <c r="C590" s="2" t="s">
        <v>2547</v>
      </c>
    </row>
    <row r="591" spans="1:3" x14ac:dyDescent="0.3">
      <c r="A591" s="2" t="s">
        <v>568</v>
      </c>
      <c r="B591" s="2" t="s">
        <v>168</v>
      </c>
      <c r="C591" s="2" t="s">
        <v>2547</v>
      </c>
    </row>
    <row r="592" spans="1:3" x14ac:dyDescent="0.3">
      <c r="A592" s="2" t="s">
        <v>569</v>
      </c>
      <c r="B592" s="2" t="s">
        <v>168</v>
      </c>
      <c r="C592" s="2" t="s">
        <v>2547</v>
      </c>
    </row>
    <row r="593" spans="1:3" x14ac:dyDescent="0.3">
      <c r="A593" s="2" t="s">
        <v>570</v>
      </c>
      <c r="B593" s="2" t="s">
        <v>168</v>
      </c>
      <c r="C593" s="2" t="s">
        <v>2547</v>
      </c>
    </row>
    <row r="594" spans="1:3" x14ac:dyDescent="0.3">
      <c r="A594" s="2" t="s">
        <v>571</v>
      </c>
      <c r="B594" s="2" t="s">
        <v>168</v>
      </c>
      <c r="C594" s="2" t="s">
        <v>2547</v>
      </c>
    </row>
    <row r="595" spans="1:3" x14ac:dyDescent="0.3">
      <c r="A595" s="2" t="s">
        <v>572</v>
      </c>
      <c r="B595" s="2" t="s">
        <v>168</v>
      </c>
      <c r="C595" s="2" t="s">
        <v>2547</v>
      </c>
    </row>
    <row r="596" spans="1:3" x14ac:dyDescent="0.3">
      <c r="A596" s="2" t="s">
        <v>573</v>
      </c>
      <c r="B596" s="2" t="s">
        <v>168</v>
      </c>
      <c r="C596" s="2" t="s">
        <v>2547</v>
      </c>
    </row>
    <row r="597" spans="1:3" x14ac:dyDescent="0.3">
      <c r="A597" s="2" t="s">
        <v>574</v>
      </c>
      <c r="B597" s="2" t="s">
        <v>168</v>
      </c>
      <c r="C597" s="2" t="s">
        <v>2547</v>
      </c>
    </row>
    <row r="598" spans="1:3" x14ac:dyDescent="0.3">
      <c r="A598" s="2" t="s">
        <v>575</v>
      </c>
      <c r="B598" s="2" t="s">
        <v>168</v>
      </c>
      <c r="C598" s="2" t="s">
        <v>2547</v>
      </c>
    </row>
    <row r="599" spans="1:3" x14ac:dyDescent="0.3">
      <c r="A599" s="2" t="s">
        <v>576</v>
      </c>
      <c r="B599" s="2" t="s">
        <v>168</v>
      </c>
      <c r="C599" s="2" t="s">
        <v>2547</v>
      </c>
    </row>
    <row r="600" spans="1:3" x14ac:dyDescent="0.3">
      <c r="A600" s="2" t="s">
        <v>577</v>
      </c>
      <c r="B600" s="2" t="s">
        <v>168</v>
      </c>
      <c r="C600" s="2" t="s">
        <v>2547</v>
      </c>
    </row>
    <row r="601" spans="1:3" x14ac:dyDescent="0.3">
      <c r="A601" s="2" t="s">
        <v>578</v>
      </c>
      <c r="B601" s="2" t="s">
        <v>168</v>
      </c>
      <c r="C601" s="2" t="s">
        <v>2547</v>
      </c>
    </row>
    <row r="602" spans="1:3" x14ac:dyDescent="0.3">
      <c r="A602" s="2" t="s">
        <v>579</v>
      </c>
      <c r="B602" s="2" t="s">
        <v>168</v>
      </c>
      <c r="C602" s="2" t="s">
        <v>2547</v>
      </c>
    </row>
    <row r="603" spans="1:3" x14ac:dyDescent="0.3">
      <c r="A603" s="2" t="s">
        <v>580</v>
      </c>
      <c r="B603" s="2" t="s">
        <v>168</v>
      </c>
      <c r="C603" s="2" t="s">
        <v>2547</v>
      </c>
    </row>
    <row r="604" spans="1:3" x14ac:dyDescent="0.3">
      <c r="A604" s="2" t="s">
        <v>581</v>
      </c>
      <c r="B604" s="2" t="s">
        <v>168</v>
      </c>
      <c r="C604" s="2" t="s">
        <v>2547</v>
      </c>
    </row>
    <row r="605" spans="1:3" x14ac:dyDescent="0.3">
      <c r="A605" s="2" t="s">
        <v>582</v>
      </c>
      <c r="B605" s="2" t="s">
        <v>168</v>
      </c>
      <c r="C605" s="2" t="s">
        <v>2547</v>
      </c>
    </row>
    <row r="606" spans="1:3" x14ac:dyDescent="0.3">
      <c r="A606" s="2" t="s">
        <v>583</v>
      </c>
      <c r="B606" s="2" t="s">
        <v>168</v>
      </c>
      <c r="C606" s="2" t="s">
        <v>2547</v>
      </c>
    </row>
    <row r="607" spans="1:3" x14ac:dyDescent="0.3">
      <c r="A607" s="2" t="s">
        <v>584</v>
      </c>
      <c r="B607" s="2" t="s">
        <v>168</v>
      </c>
      <c r="C607" s="2" t="s">
        <v>2547</v>
      </c>
    </row>
    <row r="608" spans="1:3" x14ac:dyDescent="0.3">
      <c r="A608" s="2" t="s">
        <v>585</v>
      </c>
      <c r="B608" s="2" t="s">
        <v>168</v>
      </c>
      <c r="C608" s="2" t="s">
        <v>2547</v>
      </c>
    </row>
    <row r="609" spans="1:3" x14ac:dyDescent="0.3">
      <c r="A609" s="2" t="s">
        <v>586</v>
      </c>
      <c r="B609" s="2" t="s">
        <v>168</v>
      </c>
      <c r="C609" s="2" t="s">
        <v>2547</v>
      </c>
    </row>
    <row r="610" spans="1:3" x14ac:dyDescent="0.3">
      <c r="A610" s="2" t="s">
        <v>587</v>
      </c>
      <c r="B610" s="2" t="s">
        <v>168</v>
      </c>
      <c r="C610" s="2" t="s">
        <v>2547</v>
      </c>
    </row>
    <row r="611" spans="1:3" x14ac:dyDescent="0.3">
      <c r="A611" s="2" t="s">
        <v>588</v>
      </c>
      <c r="B611" s="2" t="s">
        <v>168</v>
      </c>
      <c r="C611" s="2" t="s">
        <v>2547</v>
      </c>
    </row>
    <row r="612" spans="1:3" x14ac:dyDescent="0.3">
      <c r="A612" s="2" t="s">
        <v>589</v>
      </c>
      <c r="B612" s="2" t="s">
        <v>168</v>
      </c>
      <c r="C612" s="2" t="s">
        <v>2547</v>
      </c>
    </row>
    <row r="613" spans="1:3" x14ac:dyDescent="0.3">
      <c r="A613" s="2" t="s">
        <v>590</v>
      </c>
      <c r="B613" s="2" t="s">
        <v>168</v>
      </c>
      <c r="C613" s="2" t="s">
        <v>2547</v>
      </c>
    </row>
    <row r="614" spans="1:3" x14ac:dyDescent="0.3">
      <c r="A614" s="2" t="s">
        <v>591</v>
      </c>
      <c r="B614" s="2" t="s">
        <v>168</v>
      </c>
      <c r="C614" s="2" t="s">
        <v>2547</v>
      </c>
    </row>
    <row r="615" spans="1:3" x14ac:dyDescent="0.3">
      <c r="A615" s="2" t="s">
        <v>592</v>
      </c>
      <c r="B615" s="2" t="s">
        <v>168</v>
      </c>
      <c r="C615" s="2" t="s">
        <v>2547</v>
      </c>
    </row>
    <row r="616" spans="1:3" x14ac:dyDescent="0.3">
      <c r="A616" s="2" t="s">
        <v>593</v>
      </c>
      <c r="B616" s="2" t="s">
        <v>168</v>
      </c>
      <c r="C616" s="2" t="s">
        <v>2547</v>
      </c>
    </row>
    <row r="617" spans="1:3" x14ac:dyDescent="0.3">
      <c r="A617" s="2" t="s">
        <v>594</v>
      </c>
      <c r="B617" s="2" t="s">
        <v>168</v>
      </c>
      <c r="C617" s="2" t="s">
        <v>2547</v>
      </c>
    </row>
    <row r="618" spans="1:3" x14ac:dyDescent="0.3">
      <c r="A618" s="2" t="s">
        <v>595</v>
      </c>
      <c r="B618" s="2" t="s">
        <v>168</v>
      </c>
      <c r="C618" s="2" t="s">
        <v>2547</v>
      </c>
    </row>
    <row r="619" spans="1:3" x14ac:dyDescent="0.3">
      <c r="A619" s="2" t="s">
        <v>596</v>
      </c>
      <c r="B619" s="2" t="s">
        <v>168</v>
      </c>
      <c r="C619" s="2" t="s">
        <v>2547</v>
      </c>
    </row>
    <row r="620" spans="1:3" x14ac:dyDescent="0.3">
      <c r="A620" s="2" t="s">
        <v>597</v>
      </c>
      <c r="B620" s="2" t="s">
        <v>168</v>
      </c>
      <c r="C620" s="2" t="s">
        <v>2547</v>
      </c>
    </row>
    <row r="621" spans="1:3" x14ac:dyDescent="0.3">
      <c r="A621" s="2" t="s">
        <v>598</v>
      </c>
      <c r="B621" s="2" t="s">
        <v>168</v>
      </c>
      <c r="C621" s="2" t="s">
        <v>2547</v>
      </c>
    </row>
    <row r="622" spans="1:3" x14ac:dyDescent="0.3">
      <c r="A622" s="2" t="s">
        <v>599</v>
      </c>
      <c r="B622" s="2" t="s">
        <v>168</v>
      </c>
      <c r="C622" s="2" t="s">
        <v>2547</v>
      </c>
    </row>
    <row r="623" spans="1:3" x14ac:dyDescent="0.3">
      <c r="A623" s="2" t="s">
        <v>600</v>
      </c>
      <c r="B623" s="2" t="s">
        <v>168</v>
      </c>
      <c r="C623" s="2" t="s">
        <v>2547</v>
      </c>
    </row>
    <row r="624" spans="1:3" x14ac:dyDescent="0.3">
      <c r="A624" s="2" t="s">
        <v>601</v>
      </c>
      <c r="B624" s="2" t="s">
        <v>168</v>
      </c>
      <c r="C624" s="2" t="s">
        <v>2547</v>
      </c>
    </row>
    <row r="625" spans="1:3" x14ac:dyDescent="0.3">
      <c r="A625" s="2" t="s">
        <v>602</v>
      </c>
      <c r="B625" s="2" t="s">
        <v>168</v>
      </c>
      <c r="C625" s="2" t="s">
        <v>2547</v>
      </c>
    </row>
    <row r="626" spans="1:3" x14ac:dyDescent="0.3">
      <c r="A626" s="2" t="s">
        <v>603</v>
      </c>
      <c r="B626" s="2" t="s">
        <v>168</v>
      </c>
      <c r="C626" s="2" t="s">
        <v>2547</v>
      </c>
    </row>
    <row r="627" spans="1:3" x14ac:dyDescent="0.3">
      <c r="A627" s="2" t="s">
        <v>604</v>
      </c>
      <c r="B627" s="2" t="s">
        <v>168</v>
      </c>
      <c r="C627" s="2" t="s">
        <v>2547</v>
      </c>
    </row>
    <row r="628" spans="1:3" x14ac:dyDescent="0.3">
      <c r="A628" s="2" t="s">
        <v>605</v>
      </c>
      <c r="B628" s="2" t="s">
        <v>168</v>
      </c>
      <c r="C628" s="2" t="s">
        <v>2547</v>
      </c>
    </row>
    <row r="629" spans="1:3" x14ac:dyDescent="0.3">
      <c r="A629" s="2" t="s">
        <v>606</v>
      </c>
      <c r="B629" s="2" t="s">
        <v>168</v>
      </c>
      <c r="C629" s="2" t="s">
        <v>2547</v>
      </c>
    </row>
    <row r="630" spans="1:3" x14ac:dyDescent="0.3">
      <c r="A630" s="2" t="s">
        <v>607</v>
      </c>
      <c r="B630" s="2" t="s">
        <v>168</v>
      </c>
      <c r="C630" s="2" t="s">
        <v>2547</v>
      </c>
    </row>
    <row r="631" spans="1:3" x14ac:dyDescent="0.3">
      <c r="A631" s="2" t="s">
        <v>608</v>
      </c>
      <c r="B631" s="2" t="s">
        <v>168</v>
      </c>
      <c r="C631" s="2" t="s">
        <v>2547</v>
      </c>
    </row>
    <row r="632" spans="1:3" x14ac:dyDescent="0.3">
      <c r="A632" s="2" t="s">
        <v>609</v>
      </c>
      <c r="B632" s="2" t="s">
        <v>168</v>
      </c>
      <c r="C632" s="2" t="s">
        <v>2547</v>
      </c>
    </row>
    <row r="633" spans="1:3" x14ac:dyDescent="0.3">
      <c r="A633" s="2" t="s">
        <v>610</v>
      </c>
      <c r="B633" s="2" t="s">
        <v>168</v>
      </c>
      <c r="C633" s="2" t="s">
        <v>2547</v>
      </c>
    </row>
    <row r="634" spans="1:3" x14ac:dyDescent="0.3">
      <c r="A634" s="2" t="s">
        <v>611</v>
      </c>
      <c r="B634" s="2" t="s">
        <v>168</v>
      </c>
      <c r="C634" s="2" t="s">
        <v>2547</v>
      </c>
    </row>
    <row r="635" spans="1:3" x14ac:dyDescent="0.3">
      <c r="A635" s="2" t="s">
        <v>612</v>
      </c>
      <c r="B635" s="2" t="s">
        <v>168</v>
      </c>
      <c r="C635" s="2" t="s">
        <v>2547</v>
      </c>
    </row>
    <row r="636" spans="1:3" x14ac:dyDescent="0.3">
      <c r="A636" s="2" t="s">
        <v>613</v>
      </c>
      <c r="B636" s="2" t="s">
        <v>168</v>
      </c>
      <c r="C636" s="2" t="s">
        <v>2547</v>
      </c>
    </row>
    <row r="637" spans="1:3" x14ac:dyDescent="0.3">
      <c r="A637" s="2" t="s">
        <v>614</v>
      </c>
      <c r="B637" s="2" t="s">
        <v>168</v>
      </c>
      <c r="C637" s="2" t="s">
        <v>2547</v>
      </c>
    </row>
    <row r="638" spans="1:3" x14ac:dyDescent="0.3">
      <c r="A638" s="2" t="s">
        <v>615</v>
      </c>
      <c r="B638" s="2" t="s">
        <v>168</v>
      </c>
      <c r="C638" s="2" t="s">
        <v>2547</v>
      </c>
    </row>
    <row r="639" spans="1:3" x14ac:dyDescent="0.3">
      <c r="A639" s="2" t="s">
        <v>616</v>
      </c>
      <c r="B639" s="2" t="s">
        <v>168</v>
      </c>
      <c r="C639" s="2" t="s">
        <v>2547</v>
      </c>
    </row>
    <row r="640" spans="1:3" x14ac:dyDescent="0.3">
      <c r="A640" s="2" t="s">
        <v>617</v>
      </c>
      <c r="B640" s="2" t="s">
        <v>168</v>
      </c>
      <c r="C640" s="2" t="s">
        <v>2547</v>
      </c>
    </row>
    <row r="641" spans="1:3" x14ac:dyDescent="0.3">
      <c r="A641" s="2" t="s">
        <v>618</v>
      </c>
      <c r="B641" s="2" t="s">
        <v>168</v>
      </c>
      <c r="C641" s="2" t="s">
        <v>2547</v>
      </c>
    </row>
    <row r="642" spans="1:3" x14ac:dyDescent="0.3">
      <c r="A642" s="2" t="s">
        <v>619</v>
      </c>
      <c r="B642" s="2" t="s">
        <v>168</v>
      </c>
      <c r="C642" s="2" t="s">
        <v>2547</v>
      </c>
    </row>
    <row r="643" spans="1:3" x14ac:dyDescent="0.3">
      <c r="A643" s="2" t="s">
        <v>620</v>
      </c>
      <c r="B643" s="2" t="s">
        <v>168</v>
      </c>
      <c r="C643" s="2" t="s">
        <v>2547</v>
      </c>
    </row>
    <row r="644" spans="1:3" x14ac:dyDescent="0.3">
      <c r="A644" s="2" t="s">
        <v>621</v>
      </c>
      <c r="B644" s="2" t="s">
        <v>168</v>
      </c>
      <c r="C644" s="2" t="s">
        <v>2547</v>
      </c>
    </row>
    <row r="645" spans="1:3" x14ac:dyDescent="0.3">
      <c r="A645" s="2" t="s">
        <v>622</v>
      </c>
      <c r="B645" s="2" t="s">
        <v>168</v>
      </c>
      <c r="C645" s="2" t="s">
        <v>2547</v>
      </c>
    </row>
    <row r="646" spans="1:3" x14ac:dyDescent="0.3">
      <c r="A646" s="2" t="s">
        <v>623</v>
      </c>
      <c r="B646" s="2" t="s">
        <v>168</v>
      </c>
      <c r="C646" s="2" t="s">
        <v>2547</v>
      </c>
    </row>
    <row r="647" spans="1:3" x14ac:dyDescent="0.3">
      <c r="A647" s="2" t="s">
        <v>624</v>
      </c>
      <c r="B647" s="2" t="s">
        <v>168</v>
      </c>
      <c r="C647" s="2" t="s">
        <v>2547</v>
      </c>
    </row>
    <row r="648" spans="1:3" x14ac:dyDescent="0.3">
      <c r="A648" s="2" t="s">
        <v>625</v>
      </c>
      <c r="B648" s="2" t="s">
        <v>168</v>
      </c>
      <c r="C648" s="2" t="s">
        <v>2547</v>
      </c>
    </row>
    <row r="649" spans="1:3" x14ac:dyDescent="0.3">
      <c r="A649" s="2" t="s">
        <v>626</v>
      </c>
      <c r="B649" s="2" t="s">
        <v>168</v>
      </c>
      <c r="C649" s="2" t="s">
        <v>2547</v>
      </c>
    </row>
    <row r="650" spans="1:3" x14ac:dyDescent="0.3">
      <c r="A650" s="2" t="s">
        <v>627</v>
      </c>
      <c r="B650" s="2" t="s">
        <v>168</v>
      </c>
      <c r="C650" s="2" t="s">
        <v>2547</v>
      </c>
    </row>
    <row r="651" spans="1:3" x14ac:dyDescent="0.3">
      <c r="A651" s="2" t="s">
        <v>628</v>
      </c>
      <c r="B651" s="2" t="s">
        <v>168</v>
      </c>
      <c r="C651" s="2" t="s">
        <v>2547</v>
      </c>
    </row>
    <row r="652" spans="1:3" x14ac:dyDescent="0.3">
      <c r="A652" s="2" t="s">
        <v>629</v>
      </c>
      <c r="B652" s="2" t="s">
        <v>168</v>
      </c>
      <c r="C652" s="2" t="s">
        <v>2547</v>
      </c>
    </row>
    <row r="653" spans="1:3" x14ac:dyDescent="0.3">
      <c r="A653" s="2" t="s">
        <v>630</v>
      </c>
      <c r="B653" s="2" t="s">
        <v>168</v>
      </c>
      <c r="C653" s="2" t="s">
        <v>2547</v>
      </c>
    </row>
    <row r="654" spans="1:3" x14ac:dyDescent="0.3">
      <c r="A654" s="2" t="s">
        <v>631</v>
      </c>
      <c r="B654" s="2" t="s">
        <v>168</v>
      </c>
      <c r="C654" s="2" t="s">
        <v>2547</v>
      </c>
    </row>
    <row r="655" spans="1:3" x14ac:dyDescent="0.3">
      <c r="A655" s="2" t="s">
        <v>632</v>
      </c>
      <c r="B655" s="2" t="s">
        <v>168</v>
      </c>
      <c r="C655" s="2" t="s">
        <v>2547</v>
      </c>
    </row>
    <row r="656" spans="1:3" x14ac:dyDescent="0.3">
      <c r="A656" s="2" t="s">
        <v>633</v>
      </c>
      <c r="B656" s="2" t="s">
        <v>168</v>
      </c>
      <c r="C656" s="2" t="s">
        <v>2547</v>
      </c>
    </row>
    <row r="657" spans="1:3" x14ac:dyDescent="0.3">
      <c r="A657" s="2" t="s">
        <v>634</v>
      </c>
      <c r="B657" s="2" t="s">
        <v>168</v>
      </c>
      <c r="C657" s="2" t="s">
        <v>2547</v>
      </c>
    </row>
    <row r="658" spans="1:3" x14ac:dyDescent="0.3">
      <c r="A658" s="2" t="s">
        <v>635</v>
      </c>
      <c r="B658" s="2" t="s">
        <v>168</v>
      </c>
      <c r="C658" s="2" t="s">
        <v>2547</v>
      </c>
    </row>
    <row r="659" spans="1:3" x14ac:dyDescent="0.3">
      <c r="A659" s="2" t="s">
        <v>636</v>
      </c>
      <c r="B659" s="2" t="s">
        <v>168</v>
      </c>
      <c r="C659" s="2" t="s">
        <v>2547</v>
      </c>
    </row>
    <row r="660" spans="1:3" x14ac:dyDescent="0.3">
      <c r="A660" s="2" t="s">
        <v>637</v>
      </c>
      <c r="B660" s="2" t="s">
        <v>168</v>
      </c>
      <c r="C660" s="2" t="s">
        <v>2547</v>
      </c>
    </row>
    <row r="661" spans="1:3" x14ac:dyDescent="0.3">
      <c r="A661" s="2" t="s">
        <v>638</v>
      </c>
      <c r="B661" s="2" t="s">
        <v>168</v>
      </c>
      <c r="C661" s="2" t="s">
        <v>2547</v>
      </c>
    </row>
    <row r="662" spans="1:3" x14ac:dyDescent="0.3">
      <c r="A662" s="2" t="s">
        <v>639</v>
      </c>
      <c r="B662" s="2" t="s">
        <v>168</v>
      </c>
      <c r="C662" s="2" t="s">
        <v>2547</v>
      </c>
    </row>
    <row r="663" spans="1:3" x14ac:dyDescent="0.3">
      <c r="A663" s="2" t="s">
        <v>640</v>
      </c>
      <c r="B663" s="2" t="s">
        <v>168</v>
      </c>
      <c r="C663" s="2" t="s">
        <v>2547</v>
      </c>
    </row>
    <row r="664" spans="1:3" x14ac:dyDescent="0.3">
      <c r="A664" s="2" t="s">
        <v>641</v>
      </c>
      <c r="B664" s="2" t="s">
        <v>168</v>
      </c>
      <c r="C664" s="2" t="s">
        <v>2547</v>
      </c>
    </row>
    <row r="665" spans="1:3" x14ac:dyDescent="0.3">
      <c r="A665" s="2" t="s">
        <v>642</v>
      </c>
      <c r="B665" s="2" t="s">
        <v>168</v>
      </c>
      <c r="C665" s="2" t="s">
        <v>2547</v>
      </c>
    </row>
    <row r="666" spans="1:3" x14ac:dyDescent="0.3">
      <c r="A666" s="2" t="s">
        <v>643</v>
      </c>
      <c r="B666" s="2" t="s">
        <v>168</v>
      </c>
      <c r="C666" s="2" t="s">
        <v>2547</v>
      </c>
    </row>
    <row r="667" spans="1:3" x14ac:dyDescent="0.3">
      <c r="A667" s="2" t="s">
        <v>644</v>
      </c>
      <c r="B667" s="2" t="s">
        <v>168</v>
      </c>
      <c r="C667" s="2" t="s">
        <v>2547</v>
      </c>
    </row>
    <row r="668" spans="1:3" x14ac:dyDescent="0.3">
      <c r="A668" s="2" t="s">
        <v>645</v>
      </c>
      <c r="B668" s="2" t="s">
        <v>168</v>
      </c>
      <c r="C668" s="2" t="s">
        <v>2547</v>
      </c>
    </row>
    <row r="669" spans="1:3" x14ac:dyDescent="0.3">
      <c r="A669" s="2" t="s">
        <v>646</v>
      </c>
      <c r="B669" s="2" t="s">
        <v>168</v>
      </c>
      <c r="C669" s="2" t="s">
        <v>2547</v>
      </c>
    </row>
    <row r="670" spans="1:3" x14ac:dyDescent="0.3">
      <c r="A670" s="2" t="s">
        <v>647</v>
      </c>
      <c r="B670" s="2" t="s">
        <v>168</v>
      </c>
      <c r="C670" s="2" t="s">
        <v>2547</v>
      </c>
    </row>
    <row r="671" spans="1:3" x14ac:dyDescent="0.3">
      <c r="A671" s="2" t="s">
        <v>648</v>
      </c>
      <c r="B671" s="2" t="s">
        <v>168</v>
      </c>
      <c r="C671" s="2" t="s">
        <v>2547</v>
      </c>
    </row>
    <row r="672" spans="1:3" x14ac:dyDescent="0.3">
      <c r="A672" s="2" t="s">
        <v>649</v>
      </c>
      <c r="B672" s="2" t="s">
        <v>168</v>
      </c>
      <c r="C672" s="2" t="s">
        <v>2547</v>
      </c>
    </row>
    <row r="673" spans="1:3" x14ac:dyDescent="0.3">
      <c r="A673" s="2" t="s">
        <v>650</v>
      </c>
      <c r="B673" s="2" t="s">
        <v>168</v>
      </c>
      <c r="C673" s="2" t="s">
        <v>2547</v>
      </c>
    </row>
    <row r="674" spans="1:3" x14ac:dyDescent="0.3">
      <c r="A674" s="2" t="s">
        <v>651</v>
      </c>
      <c r="B674" s="2" t="s">
        <v>168</v>
      </c>
      <c r="C674" s="2" t="s">
        <v>2547</v>
      </c>
    </row>
    <row r="675" spans="1:3" x14ac:dyDescent="0.3">
      <c r="A675" s="2" t="s">
        <v>652</v>
      </c>
      <c r="B675" s="2" t="s">
        <v>168</v>
      </c>
      <c r="C675" s="2" t="s">
        <v>2547</v>
      </c>
    </row>
    <row r="676" spans="1:3" x14ac:dyDescent="0.3">
      <c r="A676" s="2" t="s">
        <v>653</v>
      </c>
      <c r="B676" s="2" t="s">
        <v>168</v>
      </c>
      <c r="C676" s="2" t="s">
        <v>2547</v>
      </c>
    </row>
    <row r="677" spans="1:3" x14ac:dyDescent="0.3">
      <c r="A677" s="2" t="s">
        <v>654</v>
      </c>
      <c r="B677" s="2" t="s">
        <v>168</v>
      </c>
      <c r="C677" s="2" t="s">
        <v>2547</v>
      </c>
    </row>
    <row r="678" spans="1:3" x14ac:dyDescent="0.3">
      <c r="A678" s="2" t="s">
        <v>655</v>
      </c>
      <c r="B678" s="2" t="s">
        <v>168</v>
      </c>
      <c r="C678" s="2" t="s">
        <v>2547</v>
      </c>
    </row>
    <row r="679" spans="1:3" x14ac:dyDescent="0.3">
      <c r="A679" s="2" t="s">
        <v>656</v>
      </c>
      <c r="B679" s="2" t="s">
        <v>168</v>
      </c>
      <c r="C679" s="2" t="s">
        <v>2547</v>
      </c>
    </row>
    <row r="680" spans="1:3" x14ac:dyDescent="0.3">
      <c r="A680" s="2" t="s">
        <v>657</v>
      </c>
      <c r="B680" s="2" t="s">
        <v>168</v>
      </c>
      <c r="C680" s="2" t="s">
        <v>2547</v>
      </c>
    </row>
    <row r="681" spans="1:3" x14ac:dyDescent="0.3">
      <c r="A681" s="2" t="s">
        <v>658</v>
      </c>
      <c r="B681" s="2" t="s">
        <v>168</v>
      </c>
      <c r="C681" s="2" t="s">
        <v>2547</v>
      </c>
    </row>
    <row r="682" spans="1:3" x14ac:dyDescent="0.3">
      <c r="A682" s="2" t="s">
        <v>659</v>
      </c>
      <c r="B682" s="2" t="s">
        <v>168</v>
      </c>
      <c r="C682" s="2" t="s">
        <v>2547</v>
      </c>
    </row>
    <row r="683" spans="1:3" x14ac:dyDescent="0.3">
      <c r="A683" s="2" t="s">
        <v>660</v>
      </c>
      <c r="B683" s="2" t="s">
        <v>168</v>
      </c>
      <c r="C683" s="2" t="s">
        <v>2547</v>
      </c>
    </row>
    <row r="684" spans="1:3" x14ac:dyDescent="0.3">
      <c r="A684" s="2" t="s">
        <v>661</v>
      </c>
      <c r="B684" s="2" t="s">
        <v>168</v>
      </c>
      <c r="C684" s="2" t="s">
        <v>2547</v>
      </c>
    </row>
    <row r="685" spans="1:3" x14ac:dyDescent="0.3">
      <c r="A685" s="2" t="s">
        <v>662</v>
      </c>
      <c r="B685" s="2" t="s">
        <v>168</v>
      </c>
      <c r="C685" s="2" t="s">
        <v>2547</v>
      </c>
    </row>
    <row r="686" spans="1:3" x14ac:dyDescent="0.3">
      <c r="A686" s="2" t="s">
        <v>663</v>
      </c>
      <c r="B686" s="2" t="s">
        <v>168</v>
      </c>
      <c r="C686" s="2" t="s">
        <v>2547</v>
      </c>
    </row>
    <row r="687" spans="1:3" x14ac:dyDescent="0.3">
      <c r="A687" s="2" t="s">
        <v>664</v>
      </c>
      <c r="B687" s="2" t="s">
        <v>168</v>
      </c>
      <c r="C687" s="2" t="s">
        <v>2547</v>
      </c>
    </row>
    <row r="688" spans="1:3" x14ac:dyDescent="0.3">
      <c r="A688" s="2" t="s">
        <v>665</v>
      </c>
      <c r="B688" s="2" t="s">
        <v>168</v>
      </c>
      <c r="C688" s="2" t="s">
        <v>2547</v>
      </c>
    </row>
    <row r="689" spans="1:3" x14ac:dyDescent="0.3">
      <c r="A689" s="2" t="s">
        <v>666</v>
      </c>
      <c r="B689" s="2" t="s">
        <v>168</v>
      </c>
      <c r="C689" s="2" t="s">
        <v>2547</v>
      </c>
    </row>
    <row r="690" spans="1:3" x14ac:dyDescent="0.3">
      <c r="A690" s="2" t="s">
        <v>667</v>
      </c>
      <c r="B690" s="2" t="s">
        <v>168</v>
      </c>
      <c r="C690" s="2" t="s">
        <v>2547</v>
      </c>
    </row>
    <row r="691" spans="1:3" x14ac:dyDescent="0.3">
      <c r="A691" s="2" t="s">
        <v>668</v>
      </c>
      <c r="B691" s="2" t="s">
        <v>168</v>
      </c>
      <c r="C691" s="2" t="s">
        <v>2547</v>
      </c>
    </row>
    <row r="692" spans="1:3" x14ac:dyDescent="0.3">
      <c r="A692" s="2" t="s">
        <v>669</v>
      </c>
      <c r="B692" s="2" t="s">
        <v>168</v>
      </c>
      <c r="C692" s="2" t="s">
        <v>2547</v>
      </c>
    </row>
    <row r="693" spans="1:3" x14ac:dyDescent="0.3">
      <c r="A693" s="2" t="s">
        <v>670</v>
      </c>
      <c r="B693" s="2" t="s">
        <v>168</v>
      </c>
      <c r="C693" s="2" t="s">
        <v>2547</v>
      </c>
    </row>
    <row r="694" spans="1:3" x14ac:dyDescent="0.3">
      <c r="A694" s="2" t="s">
        <v>671</v>
      </c>
      <c r="B694" s="2" t="s">
        <v>168</v>
      </c>
      <c r="C694" s="2" t="s">
        <v>2547</v>
      </c>
    </row>
    <row r="695" spans="1:3" x14ac:dyDescent="0.3">
      <c r="A695" s="2" t="s">
        <v>672</v>
      </c>
      <c r="B695" s="2" t="s">
        <v>168</v>
      </c>
      <c r="C695" s="2" t="s">
        <v>2547</v>
      </c>
    </row>
    <row r="696" spans="1:3" x14ac:dyDescent="0.3">
      <c r="A696" s="2" t="s">
        <v>673</v>
      </c>
      <c r="B696" s="2" t="s">
        <v>168</v>
      </c>
      <c r="C696" s="2" t="s">
        <v>2547</v>
      </c>
    </row>
    <row r="697" spans="1:3" x14ac:dyDescent="0.3">
      <c r="A697" s="2" t="s">
        <v>674</v>
      </c>
      <c r="B697" s="2" t="s">
        <v>168</v>
      </c>
      <c r="C697" s="2" t="s">
        <v>2547</v>
      </c>
    </row>
    <row r="698" spans="1:3" x14ac:dyDescent="0.3">
      <c r="A698" s="2" t="s">
        <v>675</v>
      </c>
      <c r="B698" s="2" t="s">
        <v>168</v>
      </c>
      <c r="C698" s="2" t="s">
        <v>2547</v>
      </c>
    </row>
    <row r="699" spans="1:3" x14ac:dyDescent="0.3">
      <c r="A699" s="2" t="s">
        <v>676</v>
      </c>
      <c r="B699" s="2" t="s">
        <v>168</v>
      </c>
      <c r="C699" s="2" t="s">
        <v>2547</v>
      </c>
    </row>
    <row r="700" spans="1:3" x14ac:dyDescent="0.3">
      <c r="A700" s="2" t="s">
        <v>677</v>
      </c>
      <c r="B700" s="2" t="s">
        <v>168</v>
      </c>
      <c r="C700" s="2" t="s">
        <v>2547</v>
      </c>
    </row>
    <row r="701" spans="1:3" x14ac:dyDescent="0.3">
      <c r="A701" s="2" t="s">
        <v>678</v>
      </c>
      <c r="B701" s="2" t="s">
        <v>168</v>
      </c>
      <c r="C701" s="2" t="s">
        <v>2547</v>
      </c>
    </row>
    <row r="702" spans="1:3" x14ac:dyDescent="0.3">
      <c r="A702" s="2" t="s">
        <v>679</v>
      </c>
      <c r="B702" s="2" t="s">
        <v>168</v>
      </c>
      <c r="C702" s="2" t="s">
        <v>2547</v>
      </c>
    </row>
    <row r="703" spans="1:3" x14ac:dyDescent="0.3">
      <c r="A703" s="2" t="s">
        <v>680</v>
      </c>
      <c r="B703" s="2" t="s">
        <v>168</v>
      </c>
      <c r="C703" s="2" t="s">
        <v>2547</v>
      </c>
    </row>
    <row r="704" spans="1:3" x14ac:dyDescent="0.3">
      <c r="A704" s="2" t="s">
        <v>681</v>
      </c>
      <c r="B704" s="2" t="s">
        <v>168</v>
      </c>
      <c r="C704" s="2" t="s">
        <v>2547</v>
      </c>
    </row>
    <row r="705" spans="1:3" x14ac:dyDescent="0.3">
      <c r="A705" s="2" t="s">
        <v>682</v>
      </c>
      <c r="B705" s="2" t="s">
        <v>168</v>
      </c>
      <c r="C705" s="2" t="s">
        <v>2547</v>
      </c>
    </row>
    <row r="706" spans="1:3" x14ac:dyDescent="0.3">
      <c r="A706" s="2" t="s">
        <v>683</v>
      </c>
      <c r="B706" s="2" t="s">
        <v>168</v>
      </c>
      <c r="C706" s="2" t="s">
        <v>2547</v>
      </c>
    </row>
    <row r="707" spans="1:3" x14ac:dyDescent="0.3">
      <c r="A707" s="2" t="s">
        <v>684</v>
      </c>
      <c r="B707" s="2" t="s">
        <v>168</v>
      </c>
      <c r="C707" s="2" t="s">
        <v>2547</v>
      </c>
    </row>
    <row r="708" spans="1:3" x14ac:dyDescent="0.3">
      <c r="A708" s="2" t="s">
        <v>685</v>
      </c>
      <c r="B708" s="2" t="s">
        <v>168</v>
      </c>
      <c r="C708" s="2" t="s">
        <v>2547</v>
      </c>
    </row>
    <row r="709" spans="1:3" x14ac:dyDescent="0.3">
      <c r="A709" s="2" t="s">
        <v>686</v>
      </c>
      <c r="B709" s="2" t="s">
        <v>168</v>
      </c>
      <c r="C709" s="2" t="s">
        <v>2547</v>
      </c>
    </row>
    <row r="710" spans="1:3" x14ac:dyDescent="0.3">
      <c r="A710" s="2" t="s">
        <v>687</v>
      </c>
      <c r="B710" s="2" t="s">
        <v>168</v>
      </c>
      <c r="C710" s="2" t="s">
        <v>2547</v>
      </c>
    </row>
    <row r="711" spans="1:3" x14ac:dyDescent="0.3">
      <c r="A711" s="2" t="s">
        <v>688</v>
      </c>
      <c r="B711" s="2" t="s">
        <v>168</v>
      </c>
      <c r="C711" s="2" t="s">
        <v>2547</v>
      </c>
    </row>
    <row r="712" spans="1:3" x14ac:dyDescent="0.3">
      <c r="A712" s="2" t="s">
        <v>689</v>
      </c>
      <c r="B712" s="2" t="s">
        <v>168</v>
      </c>
      <c r="C712" s="2" t="s">
        <v>2547</v>
      </c>
    </row>
    <row r="713" spans="1:3" x14ac:dyDescent="0.3">
      <c r="A713" s="2" t="s">
        <v>690</v>
      </c>
      <c r="B713" s="2" t="s">
        <v>168</v>
      </c>
      <c r="C713" s="2" t="s">
        <v>2547</v>
      </c>
    </row>
    <row r="714" spans="1:3" x14ac:dyDescent="0.3">
      <c r="A714" s="2" t="s">
        <v>691</v>
      </c>
      <c r="B714" s="2" t="s">
        <v>168</v>
      </c>
      <c r="C714" s="2" t="s">
        <v>2547</v>
      </c>
    </row>
    <row r="715" spans="1:3" x14ac:dyDescent="0.3">
      <c r="A715" s="2" t="s">
        <v>692</v>
      </c>
      <c r="B715" s="2" t="s">
        <v>168</v>
      </c>
      <c r="C715" s="2" t="s">
        <v>2547</v>
      </c>
    </row>
    <row r="716" spans="1:3" x14ac:dyDescent="0.3">
      <c r="A716" s="2" t="s">
        <v>693</v>
      </c>
      <c r="B716" s="2" t="s">
        <v>168</v>
      </c>
      <c r="C716" s="2" t="s">
        <v>2547</v>
      </c>
    </row>
    <row r="717" spans="1:3" x14ac:dyDescent="0.3">
      <c r="A717" s="2" t="s">
        <v>694</v>
      </c>
      <c r="B717" s="2" t="s">
        <v>168</v>
      </c>
      <c r="C717" s="2" t="s">
        <v>2547</v>
      </c>
    </row>
    <row r="718" spans="1:3" x14ac:dyDescent="0.3">
      <c r="A718" s="2" t="s">
        <v>695</v>
      </c>
      <c r="B718" s="2" t="s">
        <v>168</v>
      </c>
      <c r="C718" s="2" t="s">
        <v>2547</v>
      </c>
    </row>
    <row r="719" spans="1:3" x14ac:dyDescent="0.3">
      <c r="A719" s="2" t="s">
        <v>696</v>
      </c>
      <c r="B719" s="2" t="s">
        <v>168</v>
      </c>
      <c r="C719" s="2" t="s">
        <v>2547</v>
      </c>
    </row>
    <row r="720" spans="1:3" x14ac:dyDescent="0.3">
      <c r="A720" s="2" t="s">
        <v>697</v>
      </c>
      <c r="B720" s="2" t="s">
        <v>168</v>
      </c>
      <c r="C720" s="2" t="s">
        <v>2547</v>
      </c>
    </row>
    <row r="721" spans="1:3" x14ac:dyDescent="0.3">
      <c r="A721" s="2" t="s">
        <v>698</v>
      </c>
      <c r="B721" s="2" t="s">
        <v>168</v>
      </c>
      <c r="C721" s="2" t="s">
        <v>2547</v>
      </c>
    </row>
    <row r="722" spans="1:3" x14ac:dyDescent="0.3">
      <c r="A722" s="2" t="s">
        <v>699</v>
      </c>
      <c r="B722" s="2" t="s">
        <v>168</v>
      </c>
      <c r="C722" s="2" t="s">
        <v>2547</v>
      </c>
    </row>
    <row r="723" spans="1:3" x14ac:dyDescent="0.3">
      <c r="A723" s="2" t="s">
        <v>700</v>
      </c>
      <c r="B723" s="2" t="s">
        <v>168</v>
      </c>
      <c r="C723" s="2" t="s">
        <v>2547</v>
      </c>
    </row>
    <row r="724" spans="1:3" x14ac:dyDescent="0.3">
      <c r="A724" s="2" t="s">
        <v>701</v>
      </c>
      <c r="B724" s="2" t="s">
        <v>168</v>
      </c>
      <c r="C724" s="2" t="s">
        <v>2547</v>
      </c>
    </row>
    <row r="725" spans="1:3" x14ac:dyDescent="0.3">
      <c r="A725" s="2" t="s">
        <v>702</v>
      </c>
      <c r="B725" s="2" t="s">
        <v>168</v>
      </c>
      <c r="C725" s="2" t="s">
        <v>2547</v>
      </c>
    </row>
    <row r="726" spans="1:3" x14ac:dyDescent="0.3">
      <c r="A726" s="2" t="s">
        <v>703</v>
      </c>
      <c r="B726" s="2" t="s">
        <v>168</v>
      </c>
      <c r="C726" s="2" t="s">
        <v>2547</v>
      </c>
    </row>
    <row r="727" spans="1:3" x14ac:dyDescent="0.3">
      <c r="A727" s="2" t="s">
        <v>704</v>
      </c>
      <c r="B727" s="2" t="s">
        <v>168</v>
      </c>
      <c r="C727" s="2" t="s">
        <v>2547</v>
      </c>
    </row>
    <row r="728" spans="1:3" x14ac:dyDescent="0.3">
      <c r="A728" s="2" t="s">
        <v>705</v>
      </c>
      <c r="B728" s="2" t="s">
        <v>168</v>
      </c>
      <c r="C728" s="2" t="s">
        <v>2547</v>
      </c>
    </row>
    <row r="729" spans="1:3" x14ac:dyDescent="0.3">
      <c r="A729" s="2" t="s">
        <v>706</v>
      </c>
      <c r="B729" s="2" t="s">
        <v>168</v>
      </c>
      <c r="C729" s="2" t="s">
        <v>2547</v>
      </c>
    </row>
    <row r="730" spans="1:3" x14ac:dyDescent="0.3">
      <c r="A730" s="2" t="s">
        <v>707</v>
      </c>
      <c r="B730" s="2" t="s">
        <v>168</v>
      </c>
      <c r="C730" s="2" t="s">
        <v>2547</v>
      </c>
    </row>
    <row r="731" spans="1:3" x14ac:dyDescent="0.3">
      <c r="A731" s="2" t="s">
        <v>708</v>
      </c>
      <c r="B731" s="2" t="s">
        <v>168</v>
      </c>
      <c r="C731" s="2" t="s">
        <v>2547</v>
      </c>
    </row>
    <row r="732" spans="1:3" x14ac:dyDescent="0.3">
      <c r="A732" s="2" t="s">
        <v>709</v>
      </c>
      <c r="B732" s="2" t="s">
        <v>168</v>
      </c>
      <c r="C732" s="2" t="s">
        <v>2547</v>
      </c>
    </row>
    <row r="733" spans="1:3" x14ac:dyDescent="0.3">
      <c r="A733" s="2" t="s">
        <v>710</v>
      </c>
      <c r="B733" s="2" t="s">
        <v>168</v>
      </c>
      <c r="C733" s="2" t="s">
        <v>2547</v>
      </c>
    </row>
    <row r="734" spans="1:3" x14ac:dyDescent="0.3">
      <c r="A734" s="2" t="s">
        <v>711</v>
      </c>
      <c r="B734" s="2" t="s">
        <v>168</v>
      </c>
      <c r="C734" s="2" t="s">
        <v>2547</v>
      </c>
    </row>
    <row r="735" spans="1:3" x14ac:dyDescent="0.3">
      <c r="A735" s="2" t="s">
        <v>712</v>
      </c>
      <c r="B735" s="2" t="s">
        <v>168</v>
      </c>
      <c r="C735" s="2" t="s">
        <v>2547</v>
      </c>
    </row>
    <row r="736" spans="1:3" x14ac:dyDescent="0.3">
      <c r="A736" s="2" t="s">
        <v>713</v>
      </c>
      <c r="B736" s="2" t="s">
        <v>168</v>
      </c>
      <c r="C736" s="2" t="s">
        <v>2547</v>
      </c>
    </row>
    <row r="737" spans="1:3" x14ac:dyDescent="0.3">
      <c r="A737" s="2" t="s">
        <v>714</v>
      </c>
      <c r="B737" s="2" t="s">
        <v>168</v>
      </c>
      <c r="C737" s="2" t="s">
        <v>2547</v>
      </c>
    </row>
    <row r="738" spans="1:3" x14ac:dyDescent="0.3">
      <c r="A738" s="2" t="s">
        <v>715</v>
      </c>
      <c r="B738" s="2" t="s">
        <v>168</v>
      </c>
      <c r="C738" s="2" t="s">
        <v>2547</v>
      </c>
    </row>
    <row r="739" spans="1:3" x14ac:dyDescent="0.3">
      <c r="A739" s="2" t="s">
        <v>716</v>
      </c>
      <c r="B739" s="2" t="s">
        <v>168</v>
      </c>
      <c r="C739" s="2" t="s">
        <v>2547</v>
      </c>
    </row>
    <row r="740" spans="1:3" x14ac:dyDescent="0.3">
      <c r="A740" s="2" t="s">
        <v>717</v>
      </c>
      <c r="B740" s="2" t="s">
        <v>168</v>
      </c>
      <c r="C740" s="2" t="s">
        <v>2547</v>
      </c>
    </row>
    <row r="741" spans="1:3" x14ac:dyDescent="0.3">
      <c r="A741" s="2" t="s">
        <v>718</v>
      </c>
      <c r="B741" s="2" t="s">
        <v>168</v>
      </c>
      <c r="C741" s="2" t="s">
        <v>2547</v>
      </c>
    </row>
    <row r="742" spans="1:3" x14ac:dyDescent="0.3">
      <c r="A742" s="2" t="s">
        <v>719</v>
      </c>
      <c r="B742" s="2" t="s">
        <v>168</v>
      </c>
      <c r="C742" s="2" t="s">
        <v>2547</v>
      </c>
    </row>
    <row r="743" spans="1:3" x14ac:dyDescent="0.3">
      <c r="A743" s="2" t="s">
        <v>720</v>
      </c>
      <c r="B743" s="2" t="s">
        <v>168</v>
      </c>
      <c r="C743" s="2" t="s">
        <v>2547</v>
      </c>
    </row>
    <row r="744" spans="1:3" x14ac:dyDescent="0.3">
      <c r="A744" s="2" t="s">
        <v>721</v>
      </c>
      <c r="B744" s="2" t="s">
        <v>168</v>
      </c>
      <c r="C744" s="2" t="s">
        <v>2547</v>
      </c>
    </row>
    <row r="745" spans="1:3" x14ac:dyDescent="0.3">
      <c r="A745" s="2" t="s">
        <v>722</v>
      </c>
      <c r="B745" s="2" t="s">
        <v>168</v>
      </c>
      <c r="C745" s="2" t="s">
        <v>2547</v>
      </c>
    </row>
    <row r="746" spans="1:3" x14ac:dyDescent="0.3">
      <c r="A746" s="2" t="s">
        <v>723</v>
      </c>
      <c r="B746" s="2" t="s">
        <v>168</v>
      </c>
      <c r="C746" s="2" t="s">
        <v>2547</v>
      </c>
    </row>
    <row r="747" spans="1:3" x14ac:dyDescent="0.3">
      <c r="A747" s="2" t="s">
        <v>724</v>
      </c>
      <c r="B747" s="2" t="s">
        <v>168</v>
      </c>
      <c r="C747" s="2" t="s">
        <v>2547</v>
      </c>
    </row>
    <row r="748" spans="1:3" x14ac:dyDescent="0.3">
      <c r="A748" s="2" t="s">
        <v>725</v>
      </c>
      <c r="B748" s="2" t="s">
        <v>168</v>
      </c>
      <c r="C748" s="2" t="s">
        <v>2547</v>
      </c>
    </row>
    <row r="749" spans="1:3" x14ac:dyDescent="0.3">
      <c r="A749" s="2" t="s">
        <v>726</v>
      </c>
      <c r="B749" s="2" t="s">
        <v>168</v>
      </c>
      <c r="C749" s="2" t="s">
        <v>2547</v>
      </c>
    </row>
    <row r="750" spans="1:3" x14ac:dyDescent="0.3">
      <c r="A750" s="2" t="s">
        <v>727</v>
      </c>
      <c r="B750" s="2" t="s">
        <v>168</v>
      </c>
      <c r="C750" s="2" t="s">
        <v>2547</v>
      </c>
    </row>
    <row r="751" spans="1:3" x14ac:dyDescent="0.3">
      <c r="A751" s="2" t="s">
        <v>728</v>
      </c>
      <c r="B751" s="2" t="s">
        <v>168</v>
      </c>
      <c r="C751" s="2" t="s">
        <v>2547</v>
      </c>
    </row>
    <row r="752" spans="1:3" x14ac:dyDescent="0.3">
      <c r="A752" s="2" t="s">
        <v>729</v>
      </c>
      <c r="B752" s="2" t="s">
        <v>168</v>
      </c>
      <c r="C752" s="2" t="s">
        <v>2547</v>
      </c>
    </row>
    <row r="753" spans="1:3" x14ac:dyDescent="0.3">
      <c r="A753" s="2" t="s">
        <v>730</v>
      </c>
      <c r="B753" s="2" t="s">
        <v>168</v>
      </c>
      <c r="C753" s="2" t="s">
        <v>2547</v>
      </c>
    </row>
    <row r="754" spans="1:3" x14ac:dyDescent="0.3">
      <c r="A754" s="2" t="s">
        <v>731</v>
      </c>
      <c r="B754" s="2" t="s">
        <v>168</v>
      </c>
      <c r="C754" s="2" t="s">
        <v>2547</v>
      </c>
    </row>
    <row r="755" spans="1:3" x14ac:dyDescent="0.3">
      <c r="A755" s="2" t="s">
        <v>732</v>
      </c>
      <c r="B755" s="2" t="s">
        <v>168</v>
      </c>
      <c r="C755" s="2" t="s">
        <v>2547</v>
      </c>
    </row>
    <row r="756" spans="1:3" x14ac:dyDescent="0.3">
      <c r="A756" s="2" t="s">
        <v>733</v>
      </c>
      <c r="B756" s="2" t="s">
        <v>168</v>
      </c>
      <c r="C756" s="2" t="s">
        <v>2547</v>
      </c>
    </row>
    <row r="757" spans="1:3" x14ac:dyDescent="0.3">
      <c r="A757" s="2" t="s">
        <v>734</v>
      </c>
      <c r="B757" s="2" t="s">
        <v>168</v>
      </c>
      <c r="C757" s="2" t="s">
        <v>2547</v>
      </c>
    </row>
    <row r="758" spans="1:3" x14ac:dyDescent="0.3">
      <c r="A758" s="2" t="s">
        <v>735</v>
      </c>
      <c r="B758" s="2" t="s">
        <v>168</v>
      </c>
      <c r="C758" s="2" t="s">
        <v>2547</v>
      </c>
    </row>
    <row r="759" spans="1:3" x14ac:dyDescent="0.3">
      <c r="A759" s="2" t="s">
        <v>736</v>
      </c>
      <c r="B759" s="2" t="s">
        <v>168</v>
      </c>
      <c r="C759" s="2" t="s">
        <v>2547</v>
      </c>
    </row>
    <row r="760" spans="1:3" x14ac:dyDescent="0.3">
      <c r="A760" s="2" t="s">
        <v>737</v>
      </c>
      <c r="B760" s="2" t="s">
        <v>168</v>
      </c>
      <c r="C760" s="2" t="s">
        <v>2547</v>
      </c>
    </row>
    <row r="761" spans="1:3" x14ac:dyDescent="0.3">
      <c r="A761" s="2" t="s">
        <v>738</v>
      </c>
      <c r="B761" s="2" t="s">
        <v>168</v>
      </c>
      <c r="C761" s="2" t="s">
        <v>2547</v>
      </c>
    </row>
    <row r="762" spans="1:3" x14ac:dyDescent="0.3">
      <c r="A762" s="2" t="s">
        <v>739</v>
      </c>
      <c r="B762" s="2" t="s">
        <v>168</v>
      </c>
      <c r="C762" s="2" t="s">
        <v>2547</v>
      </c>
    </row>
    <row r="763" spans="1:3" x14ac:dyDescent="0.3">
      <c r="A763" s="2" t="s">
        <v>740</v>
      </c>
      <c r="B763" s="2" t="s">
        <v>168</v>
      </c>
      <c r="C763" s="2" t="s">
        <v>2547</v>
      </c>
    </row>
    <row r="764" spans="1:3" x14ac:dyDescent="0.3">
      <c r="A764" s="2" t="s">
        <v>741</v>
      </c>
      <c r="B764" s="2" t="s">
        <v>168</v>
      </c>
      <c r="C764" s="2" t="s">
        <v>2547</v>
      </c>
    </row>
    <row r="765" spans="1:3" x14ac:dyDescent="0.3">
      <c r="A765" s="2" t="s">
        <v>742</v>
      </c>
      <c r="B765" s="2" t="s">
        <v>168</v>
      </c>
      <c r="C765" s="2" t="s">
        <v>2547</v>
      </c>
    </row>
    <row r="766" spans="1:3" x14ac:dyDescent="0.3">
      <c r="A766" s="2" t="s">
        <v>743</v>
      </c>
      <c r="B766" s="2" t="s">
        <v>168</v>
      </c>
      <c r="C766" s="2" t="s">
        <v>2547</v>
      </c>
    </row>
    <row r="767" spans="1:3" x14ac:dyDescent="0.3">
      <c r="A767" s="2" t="s">
        <v>744</v>
      </c>
      <c r="B767" s="2" t="s">
        <v>168</v>
      </c>
      <c r="C767" s="2" t="s">
        <v>2547</v>
      </c>
    </row>
    <row r="768" spans="1:3" x14ac:dyDescent="0.3">
      <c r="A768" s="2" t="s">
        <v>745</v>
      </c>
      <c r="B768" s="2" t="s">
        <v>168</v>
      </c>
      <c r="C768" s="2" t="s">
        <v>2547</v>
      </c>
    </row>
    <row r="769" spans="1:3" x14ac:dyDescent="0.3">
      <c r="A769" s="2" t="s">
        <v>746</v>
      </c>
      <c r="B769" s="2" t="s">
        <v>168</v>
      </c>
      <c r="C769" s="2" t="s">
        <v>2547</v>
      </c>
    </row>
    <row r="770" spans="1:3" x14ac:dyDescent="0.3">
      <c r="A770" s="2" t="s">
        <v>747</v>
      </c>
      <c r="B770" s="2" t="s">
        <v>168</v>
      </c>
      <c r="C770" s="2" t="s">
        <v>2547</v>
      </c>
    </row>
    <row r="771" spans="1:3" x14ac:dyDescent="0.3">
      <c r="A771" s="2" t="s">
        <v>748</v>
      </c>
      <c r="B771" s="2" t="s">
        <v>168</v>
      </c>
      <c r="C771" s="2" t="s">
        <v>2547</v>
      </c>
    </row>
    <row r="772" spans="1:3" x14ac:dyDescent="0.3">
      <c r="A772" s="2" t="s">
        <v>749</v>
      </c>
      <c r="B772" s="2" t="s">
        <v>168</v>
      </c>
      <c r="C772" s="2" t="s">
        <v>2547</v>
      </c>
    </row>
    <row r="773" spans="1:3" x14ac:dyDescent="0.3">
      <c r="A773" s="2" t="s">
        <v>750</v>
      </c>
      <c r="B773" s="2" t="s">
        <v>168</v>
      </c>
      <c r="C773" s="2" t="s">
        <v>2547</v>
      </c>
    </row>
    <row r="774" spans="1:3" x14ac:dyDescent="0.3">
      <c r="A774" s="2" t="s">
        <v>751</v>
      </c>
      <c r="B774" s="2" t="s">
        <v>168</v>
      </c>
      <c r="C774" s="2" t="s">
        <v>2547</v>
      </c>
    </row>
    <row r="775" spans="1:3" x14ac:dyDescent="0.3">
      <c r="A775" s="2" t="s">
        <v>752</v>
      </c>
      <c r="B775" s="2" t="s">
        <v>168</v>
      </c>
      <c r="C775" s="2" t="s">
        <v>2547</v>
      </c>
    </row>
    <row r="776" spans="1:3" x14ac:dyDescent="0.3">
      <c r="A776" s="2" t="s">
        <v>753</v>
      </c>
      <c r="B776" s="2" t="s">
        <v>168</v>
      </c>
      <c r="C776" s="2" t="s">
        <v>2547</v>
      </c>
    </row>
    <row r="777" spans="1:3" x14ac:dyDescent="0.3">
      <c r="A777" s="2" t="s">
        <v>754</v>
      </c>
      <c r="B777" s="2" t="s">
        <v>168</v>
      </c>
      <c r="C777" s="2" t="s">
        <v>2547</v>
      </c>
    </row>
    <row r="778" spans="1:3" x14ac:dyDescent="0.3">
      <c r="A778" s="2" t="s">
        <v>755</v>
      </c>
      <c r="B778" s="2" t="s">
        <v>168</v>
      </c>
      <c r="C778" s="2" t="s">
        <v>2547</v>
      </c>
    </row>
    <row r="779" spans="1:3" x14ac:dyDescent="0.3">
      <c r="A779" s="2" t="s">
        <v>756</v>
      </c>
      <c r="B779" s="2" t="s">
        <v>168</v>
      </c>
      <c r="C779" s="2" t="s">
        <v>2547</v>
      </c>
    </row>
    <row r="780" spans="1:3" x14ac:dyDescent="0.3">
      <c r="A780" s="2" t="s">
        <v>757</v>
      </c>
      <c r="B780" s="2" t="s">
        <v>168</v>
      </c>
      <c r="C780" s="2" t="s">
        <v>2547</v>
      </c>
    </row>
    <row r="781" spans="1:3" x14ac:dyDescent="0.3">
      <c r="A781" s="2" t="s">
        <v>758</v>
      </c>
      <c r="B781" s="2" t="s">
        <v>168</v>
      </c>
      <c r="C781" s="2" t="s">
        <v>2547</v>
      </c>
    </row>
    <row r="782" spans="1:3" x14ac:dyDescent="0.3">
      <c r="A782" s="2" t="s">
        <v>759</v>
      </c>
      <c r="B782" s="2" t="s">
        <v>168</v>
      </c>
      <c r="C782" s="2" t="s">
        <v>2547</v>
      </c>
    </row>
    <row r="783" spans="1:3" x14ac:dyDescent="0.3">
      <c r="A783" s="2" t="s">
        <v>760</v>
      </c>
      <c r="B783" s="2" t="s">
        <v>168</v>
      </c>
      <c r="C783" s="2" t="s">
        <v>2547</v>
      </c>
    </row>
    <row r="784" spans="1:3" x14ac:dyDescent="0.3">
      <c r="A784" s="2" t="s">
        <v>761</v>
      </c>
      <c r="B784" s="2" t="s">
        <v>168</v>
      </c>
      <c r="C784" s="2" t="s">
        <v>2547</v>
      </c>
    </row>
    <row r="785" spans="1:3" x14ac:dyDescent="0.3">
      <c r="A785" s="2" t="s">
        <v>762</v>
      </c>
      <c r="B785" s="2" t="s">
        <v>168</v>
      </c>
      <c r="C785" s="2" t="s">
        <v>2547</v>
      </c>
    </row>
    <row r="786" spans="1:3" x14ac:dyDescent="0.3">
      <c r="A786" s="2" t="s">
        <v>763</v>
      </c>
      <c r="B786" s="2" t="s">
        <v>168</v>
      </c>
      <c r="C786" s="2" t="s">
        <v>2547</v>
      </c>
    </row>
    <row r="787" spans="1:3" x14ac:dyDescent="0.3">
      <c r="A787" s="2" t="s">
        <v>764</v>
      </c>
      <c r="B787" s="2" t="s">
        <v>168</v>
      </c>
      <c r="C787" s="2" t="s">
        <v>2547</v>
      </c>
    </row>
    <row r="788" spans="1:3" x14ac:dyDescent="0.3">
      <c r="A788" s="2" t="s">
        <v>765</v>
      </c>
      <c r="B788" s="2" t="s">
        <v>168</v>
      </c>
      <c r="C788" s="2" t="s">
        <v>2547</v>
      </c>
    </row>
    <row r="789" spans="1:3" x14ac:dyDescent="0.3">
      <c r="A789" s="2" t="s">
        <v>766</v>
      </c>
      <c r="B789" s="2" t="s">
        <v>168</v>
      </c>
      <c r="C789" s="2" t="s">
        <v>2547</v>
      </c>
    </row>
    <row r="790" spans="1:3" x14ac:dyDescent="0.3">
      <c r="A790" s="2" t="s">
        <v>767</v>
      </c>
      <c r="B790" s="2" t="s">
        <v>168</v>
      </c>
      <c r="C790" s="2" t="s">
        <v>2547</v>
      </c>
    </row>
    <row r="791" spans="1:3" x14ac:dyDescent="0.3">
      <c r="A791" s="2" t="s">
        <v>768</v>
      </c>
      <c r="B791" s="2" t="s">
        <v>168</v>
      </c>
      <c r="C791" s="2" t="s">
        <v>2547</v>
      </c>
    </row>
    <row r="792" spans="1:3" x14ac:dyDescent="0.3">
      <c r="A792" s="2" t="s">
        <v>769</v>
      </c>
      <c r="B792" s="2" t="s">
        <v>168</v>
      </c>
      <c r="C792" s="2" t="s">
        <v>2547</v>
      </c>
    </row>
    <row r="793" spans="1:3" x14ac:dyDescent="0.3">
      <c r="A793" s="2" t="s">
        <v>2606</v>
      </c>
      <c r="B793" s="2" t="s">
        <v>2550</v>
      </c>
      <c r="C793" s="2" t="s">
        <v>2550</v>
      </c>
    </row>
    <row r="794" spans="1:3" x14ac:dyDescent="0.3">
      <c r="A794" s="2" t="s">
        <v>2607</v>
      </c>
      <c r="B794" s="2" t="s">
        <v>2550</v>
      </c>
      <c r="C794" s="2" t="s">
        <v>2550</v>
      </c>
    </row>
    <row r="795" spans="1:3" x14ac:dyDescent="0.3">
      <c r="A795" s="2" t="s">
        <v>2608</v>
      </c>
      <c r="B795" s="2" t="s">
        <v>2550</v>
      </c>
      <c r="C795" s="2" t="s">
        <v>2550</v>
      </c>
    </row>
    <row r="796" spans="1:3" x14ac:dyDescent="0.3">
      <c r="A796" s="2" t="s">
        <v>2609</v>
      </c>
      <c r="B796" s="2" t="s">
        <v>2550</v>
      </c>
      <c r="C796" s="2" t="s">
        <v>2550</v>
      </c>
    </row>
    <row r="797" spans="1:3" x14ac:dyDescent="0.3">
      <c r="A797" s="2" t="s">
        <v>2610</v>
      </c>
      <c r="B797" s="2" t="s">
        <v>2550</v>
      </c>
      <c r="C797" s="2" t="s">
        <v>2550</v>
      </c>
    </row>
    <row r="798" spans="1:3" x14ac:dyDescent="0.3">
      <c r="A798" s="2" t="s">
        <v>2611</v>
      </c>
      <c r="B798" s="2" t="s">
        <v>2550</v>
      </c>
      <c r="C798" s="2" t="s">
        <v>2550</v>
      </c>
    </row>
    <row r="799" spans="1:3" x14ac:dyDescent="0.3">
      <c r="A799" s="2" t="s">
        <v>2612</v>
      </c>
      <c r="B799" s="2" t="s">
        <v>2550</v>
      </c>
      <c r="C799" s="2" t="s">
        <v>2550</v>
      </c>
    </row>
    <row r="800" spans="1:3" x14ac:dyDescent="0.3">
      <c r="A800" s="2" t="s">
        <v>2613</v>
      </c>
      <c r="B800" s="2" t="s">
        <v>2550</v>
      </c>
      <c r="C800" s="2" t="s">
        <v>2550</v>
      </c>
    </row>
    <row r="801" spans="1:3" x14ac:dyDescent="0.3">
      <c r="A801" s="2" t="s">
        <v>2614</v>
      </c>
      <c r="B801" s="2" t="s">
        <v>2550</v>
      </c>
      <c r="C801" s="2" t="s">
        <v>2550</v>
      </c>
    </row>
    <row r="802" spans="1:3" x14ac:dyDescent="0.3">
      <c r="A802" s="2" t="s">
        <v>2615</v>
      </c>
      <c r="B802" s="2" t="s">
        <v>2550</v>
      </c>
      <c r="C802" s="2" t="s">
        <v>2550</v>
      </c>
    </row>
    <row r="803" spans="1:3" x14ac:dyDescent="0.3">
      <c r="A803" s="2" t="s">
        <v>2616</v>
      </c>
      <c r="B803" s="2" t="s">
        <v>2550</v>
      </c>
      <c r="C803" s="2" t="s">
        <v>2550</v>
      </c>
    </row>
    <row r="804" spans="1:3" x14ac:dyDescent="0.3">
      <c r="A804" s="2" t="s">
        <v>2617</v>
      </c>
      <c r="B804" s="2" t="s">
        <v>2552</v>
      </c>
      <c r="C804" s="2" t="s">
        <v>2552</v>
      </c>
    </row>
    <row r="805" spans="1:3" x14ac:dyDescent="0.3">
      <c r="A805" s="2" t="s">
        <v>2618</v>
      </c>
      <c r="B805" s="2" t="s">
        <v>2552</v>
      </c>
      <c r="C805" s="2" t="s">
        <v>2552</v>
      </c>
    </row>
    <row r="806" spans="1:3" x14ac:dyDescent="0.3">
      <c r="A806" s="2" t="s">
        <v>2619</v>
      </c>
      <c r="B806" s="2" t="s">
        <v>2552</v>
      </c>
      <c r="C806" s="2" t="s">
        <v>2552</v>
      </c>
    </row>
    <row r="807" spans="1:3" x14ac:dyDescent="0.3">
      <c r="A807" s="2" t="s">
        <v>2620</v>
      </c>
      <c r="B807" s="2" t="s">
        <v>2552</v>
      </c>
      <c r="C807" s="2" t="s">
        <v>2552</v>
      </c>
    </row>
    <row r="808" spans="1:3" x14ac:dyDescent="0.3">
      <c r="A808" s="2" t="s">
        <v>2621</v>
      </c>
      <c r="B808" s="2" t="s">
        <v>2552</v>
      </c>
      <c r="C808" s="2" t="s">
        <v>2552</v>
      </c>
    </row>
    <row r="809" spans="1:3" x14ac:dyDescent="0.3">
      <c r="A809" s="2" t="s">
        <v>2622</v>
      </c>
      <c r="B809" s="2" t="s">
        <v>2552</v>
      </c>
      <c r="C809" s="2" t="s">
        <v>2552</v>
      </c>
    </row>
    <row r="810" spans="1:3" x14ac:dyDescent="0.3">
      <c r="A810" s="2" t="s">
        <v>2623</v>
      </c>
      <c r="B810" s="2" t="s">
        <v>2552</v>
      </c>
      <c r="C810" s="2" t="s">
        <v>2552</v>
      </c>
    </row>
    <row r="811" spans="1:3" x14ac:dyDescent="0.3">
      <c r="A811" s="2" t="s">
        <v>2624</v>
      </c>
      <c r="B811" s="2" t="s">
        <v>2552</v>
      </c>
      <c r="C811" s="2" t="s">
        <v>2552</v>
      </c>
    </row>
    <row r="812" spans="1:3" x14ac:dyDescent="0.3">
      <c r="A812" s="2" t="s">
        <v>2625</v>
      </c>
      <c r="B812" s="2" t="s">
        <v>2552</v>
      </c>
      <c r="C812" s="2" t="s">
        <v>2552</v>
      </c>
    </row>
    <row r="813" spans="1:3" x14ac:dyDescent="0.3">
      <c r="A813" s="2" t="s">
        <v>2626</v>
      </c>
      <c r="B813" s="2" t="s">
        <v>2552</v>
      </c>
      <c r="C813" s="2" t="s">
        <v>2552</v>
      </c>
    </row>
    <row r="814" spans="1:3" x14ac:dyDescent="0.3">
      <c r="A814" s="2" t="s">
        <v>2627</v>
      </c>
      <c r="B814" s="2" t="s">
        <v>2552</v>
      </c>
      <c r="C814" s="2" t="s">
        <v>2552</v>
      </c>
    </row>
    <row r="815" spans="1:3" x14ac:dyDescent="0.3">
      <c r="A815" s="2" t="s">
        <v>2628</v>
      </c>
      <c r="B815" s="2" t="s">
        <v>2552</v>
      </c>
      <c r="C815" s="2" t="s">
        <v>2552</v>
      </c>
    </row>
    <row r="816" spans="1:3" x14ac:dyDescent="0.3">
      <c r="A816" s="2" t="s">
        <v>2629</v>
      </c>
      <c r="B816" s="2" t="s">
        <v>2552</v>
      </c>
      <c r="C816" s="2" t="s">
        <v>2552</v>
      </c>
    </row>
    <row r="817" spans="1:3" x14ac:dyDescent="0.3">
      <c r="A817" s="2" t="s">
        <v>2630</v>
      </c>
      <c r="B817" s="2" t="s">
        <v>2551</v>
      </c>
      <c r="C817" s="2" t="s">
        <v>2631</v>
      </c>
    </row>
    <row r="818" spans="1:3" x14ac:dyDescent="0.3">
      <c r="A818" s="2" t="s">
        <v>2632</v>
      </c>
      <c r="B818" s="2" t="s">
        <v>2551</v>
      </c>
      <c r="C818" s="2" t="s">
        <v>2631</v>
      </c>
    </row>
    <row r="819" spans="1:3" x14ac:dyDescent="0.3">
      <c r="A819" s="2" t="s">
        <v>2633</v>
      </c>
      <c r="B819" s="2" t="s">
        <v>2551</v>
      </c>
      <c r="C819" s="2" t="s">
        <v>2631</v>
      </c>
    </row>
    <row r="820" spans="1:3" x14ac:dyDescent="0.3">
      <c r="A820" s="2" t="s">
        <v>2634</v>
      </c>
      <c r="B820" s="2" t="s">
        <v>2551</v>
      </c>
      <c r="C820" s="2" t="s">
        <v>2631</v>
      </c>
    </row>
    <row r="821" spans="1:3" x14ac:dyDescent="0.3">
      <c r="A821" s="2" t="s">
        <v>2635</v>
      </c>
      <c r="B821" s="2" t="s">
        <v>2551</v>
      </c>
      <c r="C821" s="2" t="s">
        <v>2631</v>
      </c>
    </row>
    <row r="822" spans="1:3" x14ac:dyDescent="0.3">
      <c r="A822" s="2" t="s">
        <v>2636</v>
      </c>
      <c r="B822" s="2" t="s">
        <v>2551</v>
      </c>
      <c r="C822" s="2" t="s">
        <v>2631</v>
      </c>
    </row>
    <row r="823" spans="1:3" x14ac:dyDescent="0.3">
      <c r="A823" s="2" t="s">
        <v>2637</v>
      </c>
      <c r="B823" s="2" t="s">
        <v>2551</v>
      </c>
      <c r="C823" s="2" t="s">
        <v>2631</v>
      </c>
    </row>
    <row r="824" spans="1:3" x14ac:dyDescent="0.3">
      <c r="A824" s="2" t="s">
        <v>2638</v>
      </c>
      <c r="B824" s="2" t="s">
        <v>2551</v>
      </c>
      <c r="C824" s="2" t="s">
        <v>2631</v>
      </c>
    </row>
    <row r="825" spans="1:3" x14ac:dyDescent="0.3">
      <c r="A825" s="2" t="s">
        <v>2639</v>
      </c>
      <c r="B825" s="2" t="s">
        <v>2551</v>
      </c>
      <c r="C825" s="2" t="s">
        <v>2631</v>
      </c>
    </row>
    <row r="826" spans="1:3" x14ac:dyDescent="0.3">
      <c r="A826" s="2" t="s">
        <v>2640</v>
      </c>
      <c r="B826" s="2" t="s">
        <v>2551</v>
      </c>
      <c r="C826" s="2" t="s">
        <v>2631</v>
      </c>
    </row>
    <row r="827" spans="1:3" x14ac:dyDescent="0.3">
      <c r="A827" s="2" t="s">
        <v>2641</v>
      </c>
      <c r="B827" s="2" t="s">
        <v>2551</v>
      </c>
      <c r="C827" s="2" t="s">
        <v>2631</v>
      </c>
    </row>
    <row r="828" spans="1:3" x14ac:dyDescent="0.3">
      <c r="A828" s="2" t="s">
        <v>2642</v>
      </c>
      <c r="B828" s="2" t="s">
        <v>2551</v>
      </c>
      <c r="C828" s="2" t="s">
        <v>2631</v>
      </c>
    </row>
    <row r="829" spans="1:3" x14ac:dyDescent="0.3">
      <c r="A829" s="2" t="s">
        <v>2643</v>
      </c>
      <c r="B829" s="2" t="s">
        <v>2553</v>
      </c>
      <c r="C829" s="2" t="s">
        <v>2553</v>
      </c>
    </row>
    <row r="830" spans="1:3" x14ac:dyDescent="0.3">
      <c r="A830" s="2" t="s">
        <v>2644</v>
      </c>
      <c r="B830" s="2" t="s">
        <v>2553</v>
      </c>
      <c r="C830" s="2" t="s">
        <v>2553</v>
      </c>
    </row>
    <row r="831" spans="1:3" x14ac:dyDescent="0.3">
      <c r="A831" s="2" t="s">
        <v>2645</v>
      </c>
      <c r="B831" s="2" t="s">
        <v>2553</v>
      </c>
      <c r="C831" s="2" t="s">
        <v>2553</v>
      </c>
    </row>
    <row r="832" spans="1:3" x14ac:dyDescent="0.3">
      <c r="A832" s="2" t="s">
        <v>2646</v>
      </c>
      <c r="B832" s="2" t="s">
        <v>2553</v>
      </c>
      <c r="C832" s="2" t="s">
        <v>2553</v>
      </c>
    </row>
    <row r="833" spans="1:3" x14ac:dyDescent="0.3">
      <c r="A833" s="2" t="s">
        <v>2647</v>
      </c>
      <c r="B833" s="2" t="s">
        <v>2554</v>
      </c>
      <c r="C833" s="2" t="s">
        <v>2554</v>
      </c>
    </row>
    <row r="834" spans="1:3" x14ac:dyDescent="0.3">
      <c r="A834" s="2" t="s">
        <v>2648</v>
      </c>
      <c r="B834" s="2" t="s">
        <v>2554</v>
      </c>
      <c r="C834" s="2" t="s">
        <v>2554</v>
      </c>
    </row>
    <row r="835" spans="1:3" x14ac:dyDescent="0.3">
      <c r="A835" s="2" t="s">
        <v>2649</v>
      </c>
      <c r="B835" s="2" t="s">
        <v>2554</v>
      </c>
      <c r="C835" s="2" t="s">
        <v>2554</v>
      </c>
    </row>
    <row r="836" spans="1:3" x14ac:dyDescent="0.3">
      <c r="A836" s="2" t="s">
        <v>2650</v>
      </c>
      <c r="B836" s="2" t="s">
        <v>2554</v>
      </c>
      <c r="C836" s="2" t="s">
        <v>2554</v>
      </c>
    </row>
    <row r="837" spans="1:3" x14ac:dyDescent="0.3">
      <c r="A837" s="2" t="s">
        <v>2651</v>
      </c>
      <c r="B837" s="2" t="s">
        <v>2554</v>
      </c>
      <c r="C837" s="2" t="s">
        <v>2554</v>
      </c>
    </row>
    <row r="838" spans="1:3" x14ac:dyDescent="0.3">
      <c r="A838" s="2" t="s">
        <v>2652</v>
      </c>
      <c r="B838" s="2" t="s">
        <v>2554</v>
      </c>
      <c r="C838" s="2" t="s">
        <v>2554</v>
      </c>
    </row>
    <row r="839" spans="1:3" x14ac:dyDescent="0.3">
      <c r="A839" s="2" t="s">
        <v>2653</v>
      </c>
      <c r="B839" s="2" t="s">
        <v>2554</v>
      </c>
      <c r="C839" s="2" t="s">
        <v>2554</v>
      </c>
    </row>
    <row r="840" spans="1:3" x14ac:dyDescent="0.3">
      <c r="A840" s="2" t="s">
        <v>2654</v>
      </c>
      <c r="B840" s="2" t="s">
        <v>2554</v>
      </c>
      <c r="C840" s="2" t="s">
        <v>2554</v>
      </c>
    </row>
    <row r="841" spans="1:3" x14ac:dyDescent="0.3">
      <c r="A841" s="2" t="s">
        <v>2655</v>
      </c>
      <c r="B841" s="2" t="s">
        <v>2554</v>
      </c>
      <c r="C841" s="2" t="s">
        <v>2554</v>
      </c>
    </row>
    <row r="842" spans="1:3" x14ac:dyDescent="0.3">
      <c r="A842" s="2" t="s">
        <v>2656</v>
      </c>
      <c r="B842" s="2" t="s">
        <v>2554</v>
      </c>
      <c r="C842" s="2" t="s">
        <v>2554</v>
      </c>
    </row>
    <row r="843" spans="1:3" x14ac:dyDescent="0.3">
      <c r="A843" s="2" t="s">
        <v>2657</v>
      </c>
      <c r="B843" s="2" t="s">
        <v>2554</v>
      </c>
      <c r="C843" s="2" t="s">
        <v>2554</v>
      </c>
    </row>
    <row r="844" spans="1:3" x14ac:dyDescent="0.3">
      <c r="A844" s="2" t="s">
        <v>2658</v>
      </c>
      <c r="B844" s="2" t="s">
        <v>2554</v>
      </c>
      <c r="C844" s="2" t="s">
        <v>2554</v>
      </c>
    </row>
    <row r="845" spans="1:3" x14ac:dyDescent="0.3">
      <c r="A845" s="2" t="s">
        <v>2659</v>
      </c>
      <c r="B845" s="2" t="s">
        <v>2554</v>
      </c>
      <c r="C845" s="2" t="s">
        <v>2554</v>
      </c>
    </row>
    <row r="846" spans="1:3" x14ac:dyDescent="0.3">
      <c r="A846" s="2" t="s">
        <v>2660</v>
      </c>
      <c r="B846" s="2" t="s">
        <v>2554</v>
      </c>
      <c r="C846" s="2" t="s">
        <v>2554</v>
      </c>
    </row>
    <row r="847" spans="1:3" x14ac:dyDescent="0.3">
      <c r="A847" s="2" t="s">
        <v>2661</v>
      </c>
      <c r="B847" s="2" t="s">
        <v>2554</v>
      </c>
      <c r="C847" s="2" t="s">
        <v>2554</v>
      </c>
    </row>
    <row r="848" spans="1:3" x14ac:dyDescent="0.3">
      <c r="A848" s="2" t="s">
        <v>2662</v>
      </c>
      <c r="B848" s="2" t="s">
        <v>2554</v>
      </c>
      <c r="C848" s="2" t="s">
        <v>2554</v>
      </c>
    </row>
    <row r="849" spans="1:3" x14ac:dyDescent="0.3">
      <c r="A849" s="2" t="s">
        <v>2663</v>
      </c>
      <c r="B849" s="2" t="s">
        <v>2554</v>
      </c>
      <c r="C849" s="2" t="s">
        <v>2554</v>
      </c>
    </row>
    <row r="850" spans="1:3" x14ac:dyDescent="0.3">
      <c r="A850" s="2" t="s">
        <v>2664</v>
      </c>
      <c r="B850" s="2" t="s">
        <v>2554</v>
      </c>
      <c r="C850" s="2" t="s">
        <v>2554</v>
      </c>
    </row>
    <row r="851" spans="1:3" x14ac:dyDescent="0.3">
      <c r="A851" s="2" t="s">
        <v>2665</v>
      </c>
      <c r="B851" s="2" t="s">
        <v>2554</v>
      </c>
      <c r="C851" s="2" t="s">
        <v>2554</v>
      </c>
    </row>
    <row r="852" spans="1:3" x14ac:dyDescent="0.3">
      <c r="A852" s="2" t="s">
        <v>2666</v>
      </c>
      <c r="B852" s="2" t="s">
        <v>2554</v>
      </c>
      <c r="C852" s="2" t="s">
        <v>2554</v>
      </c>
    </row>
    <row r="853" spans="1:3" x14ac:dyDescent="0.3">
      <c r="A853" s="2" t="s">
        <v>2667</v>
      </c>
      <c r="B853" s="2" t="s">
        <v>2554</v>
      </c>
      <c r="C853" s="2" t="s">
        <v>2554</v>
      </c>
    </row>
    <row r="854" spans="1:3" x14ac:dyDescent="0.3">
      <c r="A854" s="2" t="s">
        <v>2668</v>
      </c>
      <c r="B854" s="2" t="s">
        <v>2554</v>
      </c>
      <c r="C854" s="2" t="s">
        <v>2554</v>
      </c>
    </row>
    <row r="855" spans="1:3" x14ac:dyDescent="0.3">
      <c r="A855" s="2" t="s">
        <v>2669</v>
      </c>
      <c r="B855" s="2" t="s">
        <v>2554</v>
      </c>
      <c r="C855" s="2" t="s">
        <v>2554</v>
      </c>
    </row>
    <row r="856" spans="1:3" x14ac:dyDescent="0.3">
      <c r="A856" s="2" t="s">
        <v>2670</v>
      </c>
      <c r="B856" s="2" t="s">
        <v>2554</v>
      </c>
      <c r="C856" s="2" t="s">
        <v>2554</v>
      </c>
    </row>
    <row r="857" spans="1:3" x14ac:dyDescent="0.3">
      <c r="A857" s="2" t="s">
        <v>2671</v>
      </c>
      <c r="B857" s="2" t="s">
        <v>2554</v>
      </c>
      <c r="C857" s="2" t="s">
        <v>2554</v>
      </c>
    </row>
    <row r="858" spans="1:3" x14ac:dyDescent="0.3">
      <c r="A858" s="2" t="s">
        <v>2672</v>
      </c>
      <c r="B858" s="2" t="s">
        <v>2554</v>
      </c>
      <c r="C858" s="2" t="s">
        <v>2554</v>
      </c>
    </row>
    <row r="859" spans="1:3" x14ac:dyDescent="0.3">
      <c r="A859" s="2" t="s">
        <v>2673</v>
      </c>
      <c r="B859" s="2" t="s">
        <v>2554</v>
      </c>
      <c r="C859" s="2" t="s">
        <v>2554</v>
      </c>
    </row>
    <row r="860" spans="1:3" x14ac:dyDescent="0.3">
      <c r="A860" s="2" t="s">
        <v>2674</v>
      </c>
      <c r="B860" s="2" t="s">
        <v>2554</v>
      </c>
      <c r="C860" s="2" t="s">
        <v>2554</v>
      </c>
    </row>
    <row r="861" spans="1:3" x14ac:dyDescent="0.3">
      <c r="A861" s="2" t="s">
        <v>2675</v>
      </c>
      <c r="B861" s="2" t="s">
        <v>2554</v>
      </c>
      <c r="C861" s="2" t="s">
        <v>2554</v>
      </c>
    </row>
    <row r="862" spans="1:3" x14ac:dyDescent="0.3">
      <c r="A862" s="2" t="s">
        <v>2676</v>
      </c>
      <c r="B862" s="2" t="s">
        <v>2554</v>
      </c>
      <c r="C862" s="2" t="s">
        <v>2554</v>
      </c>
    </row>
    <row r="863" spans="1:3" x14ac:dyDescent="0.3">
      <c r="A863" s="2" t="s">
        <v>2677</v>
      </c>
      <c r="B863" s="2" t="s">
        <v>2554</v>
      </c>
      <c r="C863" s="2" t="s">
        <v>2554</v>
      </c>
    </row>
    <row r="864" spans="1:3" x14ac:dyDescent="0.3">
      <c r="A864" s="2" t="s">
        <v>2678</v>
      </c>
      <c r="B864" s="2" t="s">
        <v>2554</v>
      </c>
      <c r="C864" s="2" t="s">
        <v>2554</v>
      </c>
    </row>
    <row r="865" spans="1:3" x14ac:dyDescent="0.3">
      <c r="A865" s="2" t="s">
        <v>2679</v>
      </c>
      <c r="B865" s="2" t="s">
        <v>2554</v>
      </c>
      <c r="C865" s="2" t="s">
        <v>2554</v>
      </c>
    </row>
    <row r="866" spans="1:3" x14ac:dyDescent="0.3">
      <c r="A866" s="2" t="s">
        <v>2680</v>
      </c>
      <c r="B866" s="2" t="s">
        <v>2554</v>
      </c>
      <c r="C866" s="2" t="s">
        <v>2554</v>
      </c>
    </row>
    <row r="867" spans="1:3" x14ac:dyDescent="0.3">
      <c r="A867" s="2" t="s">
        <v>2681</v>
      </c>
      <c r="B867" s="2" t="s">
        <v>2554</v>
      </c>
      <c r="C867" s="2" t="s">
        <v>2554</v>
      </c>
    </row>
    <row r="868" spans="1:3" x14ac:dyDescent="0.3">
      <c r="A868" s="2" t="s">
        <v>2682</v>
      </c>
      <c r="B868" s="2" t="s">
        <v>2554</v>
      </c>
      <c r="C868" s="2" t="s">
        <v>2554</v>
      </c>
    </row>
    <row r="869" spans="1:3" x14ac:dyDescent="0.3">
      <c r="A869" s="2" t="s">
        <v>2683</v>
      </c>
      <c r="B869" s="2" t="s">
        <v>2554</v>
      </c>
      <c r="C869" s="2" t="s">
        <v>2554</v>
      </c>
    </row>
    <row r="870" spans="1:3" x14ac:dyDescent="0.3">
      <c r="A870" s="2" t="s">
        <v>2684</v>
      </c>
      <c r="B870" s="2" t="s">
        <v>2554</v>
      </c>
      <c r="C870" s="2" t="s">
        <v>2554</v>
      </c>
    </row>
    <row r="871" spans="1:3" x14ac:dyDescent="0.3">
      <c r="A871" s="2" t="s">
        <v>2685</v>
      </c>
      <c r="B871" s="2" t="s">
        <v>2554</v>
      </c>
      <c r="C871" s="2" t="s">
        <v>2554</v>
      </c>
    </row>
    <row r="872" spans="1:3" x14ac:dyDescent="0.3">
      <c r="A872" s="2" t="s">
        <v>2686</v>
      </c>
      <c r="B872" s="2" t="s">
        <v>2554</v>
      </c>
      <c r="C872" s="2" t="s">
        <v>2554</v>
      </c>
    </row>
    <row r="873" spans="1:3" x14ac:dyDescent="0.3">
      <c r="A873" s="2" t="s">
        <v>2687</v>
      </c>
      <c r="B873" s="2" t="s">
        <v>2554</v>
      </c>
      <c r="C873" s="2" t="s">
        <v>2554</v>
      </c>
    </row>
    <row r="874" spans="1:3" x14ac:dyDescent="0.3">
      <c r="A874" s="2" t="s">
        <v>2688</v>
      </c>
      <c r="B874" s="2" t="s">
        <v>2554</v>
      </c>
      <c r="C874" s="2" t="s">
        <v>2554</v>
      </c>
    </row>
    <row r="875" spans="1:3" x14ac:dyDescent="0.3">
      <c r="A875" s="2" t="s">
        <v>2689</v>
      </c>
      <c r="B875" s="2" t="s">
        <v>2554</v>
      </c>
      <c r="C875" s="2" t="s">
        <v>2554</v>
      </c>
    </row>
    <row r="876" spans="1:3" x14ac:dyDescent="0.3">
      <c r="A876" s="2" t="s">
        <v>2690</v>
      </c>
      <c r="B876" s="2" t="s">
        <v>2554</v>
      </c>
      <c r="C876" s="2" t="s">
        <v>2554</v>
      </c>
    </row>
    <row r="877" spans="1:3" x14ac:dyDescent="0.3">
      <c r="A877" s="2" t="s">
        <v>2691</v>
      </c>
      <c r="B877" s="2" t="s">
        <v>2554</v>
      </c>
      <c r="C877" s="2" t="s">
        <v>2554</v>
      </c>
    </row>
    <row r="878" spans="1:3" x14ac:dyDescent="0.3">
      <c r="A878" s="2" t="s">
        <v>2692</v>
      </c>
      <c r="B878" s="2" t="s">
        <v>2554</v>
      </c>
      <c r="C878" s="2" t="s">
        <v>2554</v>
      </c>
    </row>
    <row r="879" spans="1:3" x14ac:dyDescent="0.3">
      <c r="A879" s="2" t="s">
        <v>2693</v>
      </c>
      <c r="B879" s="2" t="s">
        <v>2554</v>
      </c>
      <c r="C879" s="2" t="s">
        <v>2554</v>
      </c>
    </row>
    <row r="880" spans="1:3" x14ac:dyDescent="0.3">
      <c r="A880" s="2" t="s">
        <v>2694</v>
      </c>
      <c r="B880" s="2" t="s">
        <v>2554</v>
      </c>
      <c r="C880" s="2" t="s">
        <v>2554</v>
      </c>
    </row>
    <row r="881" spans="1:3" x14ac:dyDescent="0.3">
      <c r="A881" s="2" t="s">
        <v>2695</v>
      </c>
      <c r="B881" s="2" t="s">
        <v>2554</v>
      </c>
      <c r="C881" s="2" t="s">
        <v>2554</v>
      </c>
    </row>
    <row r="882" spans="1:3" x14ac:dyDescent="0.3">
      <c r="A882" s="2" t="s">
        <v>2696</v>
      </c>
      <c r="B882" s="2" t="s">
        <v>2554</v>
      </c>
      <c r="C882" s="2" t="s">
        <v>2554</v>
      </c>
    </row>
    <row r="883" spans="1:3" x14ac:dyDescent="0.3">
      <c r="A883" s="2" t="s">
        <v>2697</v>
      </c>
      <c r="B883" s="2" t="s">
        <v>2554</v>
      </c>
      <c r="C883" s="2" t="s">
        <v>2554</v>
      </c>
    </row>
    <row r="884" spans="1:3" x14ac:dyDescent="0.3">
      <c r="A884" s="2" t="s">
        <v>2698</v>
      </c>
      <c r="B884" s="2" t="s">
        <v>2554</v>
      </c>
      <c r="C884" s="2" t="s">
        <v>2554</v>
      </c>
    </row>
    <row r="885" spans="1:3" x14ac:dyDescent="0.3">
      <c r="A885" s="2" t="s">
        <v>2699</v>
      </c>
      <c r="B885" s="2" t="s">
        <v>2554</v>
      </c>
      <c r="C885" s="2" t="s">
        <v>2554</v>
      </c>
    </row>
    <row r="886" spans="1:3" x14ac:dyDescent="0.3">
      <c r="A886" s="2" t="s">
        <v>2700</v>
      </c>
      <c r="B886" s="2" t="s">
        <v>2554</v>
      </c>
      <c r="C886" s="2" t="s">
        <v>2554</v>
      </c>
    </row>
    <row r="887" spans="1:3" x14ac:dyDescent="0.3">
      <c r="A887" s="2" t="s">
        <v>2701</v>
      </c>
      <c r="B887" s="2" t="s">
        <v>2554</v>
      </c>
      <c r="C887" s="2" t="s">
        <v>2554</v>
      </c>
    </row>
    <row r="888" spans="1:3" x14ac:dyDescent="0.3">
      <c r="A888" s="2" t="s">
        <v>2702</v>
      </c>
      <c r="B888" s="2" t="s">
        <v>2554</v>
      </c>
      <c r="C888" s="2" t="s">
        <v>2554</v>
      </c>
    </row>
    <row r="889" spans="1:3" x14ac:dyDescent="0.3">
      <c r="A889" s="2" t="s">
        <v>2703</v>
      </c>
      <c r="B889" s="2" t="s">
        <v>2554</v>
      </c>
      <c r="C889" s="2" t="s">
        <v>2554</v>
      </c>
    </row>
    <row r="890" spans="1:3" x14ac:dyDescent="0.3">
      <c r="A890" s="2" t="s">
        <v>2704</v>
      </c>
      <c r="B890" s="2" t="s">
        <v>2554</v>
      </c>
      <c r="C890" s="2" t="s">
        <v>2554</v>
      </c>
    </row>
    <row r="891" spans="1:3" x14ac:dyDescent="0.3">
      <c r="A891" s="2" t="s">
        <v>2705</v>
      </c>
      <c r="B891" s="2" t="s">
        <v>2554</v>
      </c>
      <c r="C891" s="2" t="s">
        <v>2554</v>
      </c>
    </row>
    <row r="892" spans="1:3" x14ac:dyDescent="0.3">
      <c r="A892" s="2" t="s">
        <v>2706</v>
      </c>
      <c r="B892" s="2" t="s">
        <v>2554</v>
      </c>
      <c r="C892" s="2" t="s">
        <v>2554</v>
      </c>
    </row>
    <row r="893" spans="1:3" x14ac:dyDescent="0.3">
      <c r="A893" s="2" t="s">
        <v>2707</v>
      </c>
      <c r="B893" s="2" t="s">
        <v>2546</v>
      </c>
      <c r="C893" s="2" t="s">
        <v>2708</v>
      </c>
    </row>
    <row r="894" spans="1:3" x14ac:dyDescent="0.3">
      <c r="A894" s="2" t="s">
        <v>2709</v>
      </c>
      <c r="B894" s="2" t="s">
        <v>2546</v>
      </c>
      <c r="C894" s="2" t="s">
        <v>2708</v>
      </c>
    </row>
    <row r="895" spans="1:3" x14ac:dyDescent="0.3">
      <c r="A895" s="2" t="s">
        <v>2710</v>
      </c>
      <c r="B895" s="2" t="s">
        <v>2546</v>
      </c>
      <c r="C895" s="2" t="s">
        <v>2708</v>
      </c>
    </row>
    <row r="896" spans="1:3" x14ac:dyDescent="0.3">
      <c r="A896" s="2" t="s">
        <v>2711</v>
      </c>
      <c r="B896" s="2" t="s">
        <v>2546</v>
      </c>
      <c r="C896" s="2" t="s">
        <v>2708</v>
      </c>
    </row>
    <row r="897" spans="1:3" x14ac:dyDescent="0.3">
      <c r="A897" s="2" t="s">
        <v>2712</v>
      </c>
      <c r="B897" s="2" t="s">
        <v>2555</v>
      </c>
      <c r="C897" s="2" t="s">
        <v>2713</v>
      </c>
    </row>
    <row r="898" spans="1:3" x14ac:dyDescent="0.3">
      <c r="A898" s="2" t="s">
        <v>2714</v>
      </c>
      <c r="B898" s="2" t="s">
        <v>2555</v>
      </c>
      <c r="C898" s="2" t="s">
        <v>2713</v>
      </c>
    </row>
    <row r="899" spans="1:3" x14ac:dyDescent="0.3">
      <c r="A899" s="2" t="s">
        <v>2715</v>
      </c>
      <c r="B899" s="2" t="s">
        <v>2555</v>
      </c>
      <c r="C899" s="2" t="s">
        <v>2713</v>
      </c>
    </row>
    <row r="900" spans="1:3" x14ac:dyDescent="0.3">
      <c r="A900" s="2" t="s">
        <v>2716</v>
      </c>
      <c r="B900" s="2" t="s">
        <v>2555</v>
      </c>
      <c r="C900" s="2" t="s">
        <v>2713</v>
      </c>
    </row>
    <row r="901" spans="1:3" x14ac:dyDescent="0.3">
      <c r="A901" s="2" t="s">
        <v>2717</v>
      </c>
      <c r="B901" s="2" t="s">
        <v>2555</v>
      </c>
      <c r="C901" s="2" t="s">
        <v>2713</v>
      </c>
    </row>
    <row r="902" spans="1:3" x14ac:dyDescent="0.3">
      <c r="A902" s="2" t="s">
        <v>2718</v>
      </c>
      <c r="B902" s="2" t="s">
        <v>2555</v>
      </c>
      <c r="C902" s="2" t="s">
        <v>2713</v>
      </c>
    </row>
    <row r="903" spans="1:3" x14ac:dyDescent="0.3">
      <c r="A903" s="2" t="s">
        <v>2719</v>
      </c>
      <c r="B903" s="2" t="s">
        <v>2555</v>
      </c>
      <c r="C903" s="2" t="s">
        <v>2713</v>
      </c>
    </row>
    <row r="904" spans="1:3" x14ac:dyDescent="0.3">
      <c r="A904" s="2" t="s">
        <v>2720</v>
      </c>
      <c r="B904" s="2" t="s">
        <v>2555</v>
      </c>
      <c r="C904" s="2" t="s">
        <v>2713</v>
      </c>
    </row>
    <row r="905" spans="1:3" x14ac:dyDescent="0.3">
      <c r="A905" s="2" t="s">
        <v>2721</v>
      </c>
      <c r="B905" s="2" t="s">
        <v>2555</v>
      </c>
      <c r="C905" s="2" t="s">
        <v>2713</v>
      </c>
    </row>
    <row r="906" spans="1:3" x14ac:dyDescent="0.3">
      <c r="A906" s="2" t="s">
        <v>2722</v>
      </c>
      <c r="B906" s="2" t="s">
        <v>2555</v>
      </c>
      <c r="C906" s="2" t="s">
        <v>2713</v>
      </c>
    </row>
    <row r="907" spans="1:3" x14ac:dyDescent="0.3">
      <c r="A907" s="2" t="s">
        <v>2723</v>
      </c>
      <c r="B907" s="2" t="s">
        <v>2555</v>
      </c>
      <c r="C907" s="2" t="s">
        <v>2713</v>
      </c>
    </row>
    <row r="908" spans="1:3" x14ac:dyDescent="0.3">
      <c r="A908" s="2" t="s">
        <v>2724</v>
      </c>
      <c r="B908" s="2" t="s">
        <v>2555</v>
      </c>
      <c r="C908" s="2" t="s">
        <v>2713</v>
      </c>
    </row>
    <row r="909" spans="1:3" x14ac:dyDescent="0.3">
      <c r="A909" s="2" t="s">
        <v>2725</v>
      </c>
      <c r="B909" s="2" t="s">
        <v>2555</v>
      </c>
      <c r="C909" s="2" t="s">
        <v>2713</v>
      </c>
    </row>
    <row r="910" spans="1:3" x14ac:dyDescent="0.3">
      <c r="A910" s="2" t="s">
        <v>2726</v>
      </c>
      <c r="B910" s="2" t="s">
        <v>2555</v>
      </c>
      <c r="C910" s="2" t="s">
        <v>2713</v>
      </c>
    </row>
    <row r="911" spans="1:3" x14ac:dyDescent="0.3">
      <c r="A911" s="2" t="s">
        <v>2727</v>
      </c>
      <c r="B911" s="2" t="s">
        <v>2555</v>
      </c>
      <c r="C911" s="2" t="s">
        <v>2713</v>
      </c>
    </row>
    <row r="912" spans="1:3" x14ac:dyDescent="0.3">
      <c r="A912" s="2" t="s">
        <v>2728</v>
      </c>
      <c r="B912" s="2" t="s">
        <v>2555</v>
      </c>
      <c r="C912" s="2" t="s">
        <v>2713</v>
      </c>
    </row>
    <row r="913" spans="1:3" x14ac:dyDescent="0.3">
      <c r="A913" s="2" t="s">
        <v>2729</v>
      </c>
      <c r="B913" s="2" t="s">
        <v>2556</v>
      </c>
      <c r="C913" s="2" t="s">
        <v>2556</v>
      </c>
    </row>
    <row r="914" spans="1:3" x14ac:dyDescent="0.3">
      <c r="A914" s="2" t="s">
        <v>2730</v>
      </c>
      <c r="B914" s="2" t="s">
        <v>2556</v>
      </c>
      <c r="C914" s="2" t="s">
        <v>2556</v>
      </c>
    </row>
  </sheetData>
  <mergeCells count="26">
    <mergeCell ref="G42:G43"/>
    <mergeCell ref="I36:I37"/>
    <mergeCell ref="F42:F43"/>
    <mergeCell ref="I28:I29"/>
    <mergeCell ref="F32:F33"/>
    <mergeCell ref="G28:G29"/>
    <mergeCell ref="F40:F41"/>
    <mergeCell ref="I32:I33"/>
    <mergeCell ref="I30:I31"/>
    <mergeCell ref="F36:F37"/>
    <mergeCell ref="A1:D1"/>
    <mergeCell ref="G30:G31"/>
    <mergeCell ref="F38:F39"/>
    <mergeCell ref="I42:I43"/>
    <mergeCell ref="F28:F29"/>
    <mergeCell ref="I38:I39"/>
    <mergeCell ref="I34:I35"/>
    <mergeCell ref="G32:G33"/>
    <mergeCell ref="F34:F35"/>
    <mergeCell ref="G40:G41"/>
    <mergeCell ref="G36:G37"/>
    <mergeCell ref="I40:I41"/>
    <mergeCell ref="F6:G6"/>
    <mergeCell ref="G38:G39"/>
    <mergeCell ref="G34:G35"/>
    <mergeCell ref="F30:F3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53"/>
  <sheetViews>
    <sheetView topLeftCell="A477" workbookViewId="0">
      <selection activeCell="A483" sqref="A483:B553"/>
    </sheetView>
  </sheetViews>
  <sheetFormatPr defaultColWidth="8.6640625" defaultRowHeight="14.4" x14ac:dyDescent="0.3"/>
  <cols>
    <col min="1" max="1" width="39.5546875" bestFit="1" customWidth="1"/>
    <col min="2" max="2" width="54.5546875" customWidth="1"/>
    <col min="3" max="3" width="60" customWidth="1"/>
    <col min="4" max="4" width="67" customWidth="1"/>
    <col min="8" max="8" width="27.109375" customWidth="1"/>
    <col min="9" max="10" width="29" customWidth="1"/>
    <col min="11" max="11" width="63.33203125" bestFit="1" customWidth="1"/>
  </cols>
  <sheetData>
    <row r="1" spans="1:9" ht="19.2" customHeight="1" x14ac:dyDescent="0.3">
      <c r="A1" s="27" t="s">
        <v>2541</v>
      </c>
      <c r="B1" s="28"/>
      <c r="C1" s="28"/>
      <c r="D1" s="28"/>
    </row>
    <row r="2" spans="1:9" ht="30" customHeight="1" x14ac:dyDescent="0.3">
      <c r="A2" s="1" t="s">
        <v>1</v>
      </c>
      <c r="B2" s="1" t="s">
        <v>2</v>
      </c>
      <c r="C2" s="1" t="s">
        <v>2542</v>
      </c>
      <c r="D2" s="1" t="s">
        <v>2543</v>
      </c>
    </row>
    <row r="3" spans="1:9" ht="18" customHeight="1" x14ac:dyDescent="0.3">
      <c r="A3" s="2" t="s">
        <v>771</v>
      </c>
      <c r="B3" s="2" t="s">
        <v>6</v>
      </c>
      <c r="C3" s="2" t="s">
        <v>2544</v>
      </c>
      <c r="D3" s="2"/>
    </row>
    <row r="4" spans="1:9" ht="18" customHeight="1" x14ac:dyDescent="0.3">
      <c r="A4" s="2" t="s">
        <v>773</v>
      </c>
      <c r="B4" s="2" t="s">
        <v>6</v>
      </c>
      <c r="C4" s="2" t="s">
        <v>2544</v>
      </c>
      <c r="D4" s="2"/>
    </row>
    <row r="5" spans="1:9" ht="18" customHeight="1" x14ac:dyDescent="0.3">
      <c r="A5" s="2" t="s">
        <v>775</v>
      </c>
      <c r="B5" s="2" t="s">
        <v>6</v>
      </c>
      <c r="C5" s="2" t="s">
        <v>2544</v>
      </c>
      <c r="D5" s="2"/>
    </row>
    <row r="6" spans="1:9" ht="18" customHeight="1" x14ac:dyDescent="0.3">
      <c r="A6" s="2" t="s">
        <v>777</v>
      </c>
      <c r="B6" s="2" t="s">
        <v>6</v>
      </c>
      <c r="C6" s="2" t="s">
        <v>2544</v>
      </c>
      <c r="D6" s="2"/>
      <c r="H6" s="32" t="s">
        <v>2545</v>
      </c>
      <c r="I6" s="33"/>
    </row>
    <row r="7" spans="1:9" ht="18" customHeight="1" x14ac:dyDescent="0.3">
      <c r="A7" s="2" t="s">
        <v>779</v>
      </c>
      <c r="B7" s="2" t="s">
        <v>6</v>
      </c>
      <c r="C7" s="2" t="s">
        <v>2544</v>
      </c>
      <c r="D7" s="2"/>
      <c r="H7" s="3" t="s">
        <v>6</v>
      </c>
      <c r="I7" s="4">
        <f>COUNTIF(B:B,"AHU")</f>
        <v>15</v>
      </c>
    </row>
    <row r="8" spans="1:9" ht="18" customHeight="1" x14ac:dyDescent="0.3">
      <c r="A8" s="2" t="s">
        <v>780</v>
      </c>
      <c r="B8" s="2" t="s">
        <v>6</v>
      </c>
      <c r="C8" s="2" t="s">
        <v>2544</v>
      </c>
      <c r="D8" s="2"/>
      <c r="H8" s="3" t="s">
        <v>35</v>
      </c>
      <c r="I8" s="4">
        <f>COUNTIF(B:B,"FCU")</f>
        <v>137</v>
      </c>
    </row>
    <row r="9" spans="1:9" ht="18" customHeight="1" x14ac:dyDescent="0.3">
      <c r="A9" s="2" t="s">
        <v>781</v>
      </c>
      <c r="B9" s="2" t="s">
        <v>6</v>
      </c>
      <c r="C9" s="2" t="s">
        <v>2544</v>
      </c>
      <c r="D9" s="2"/>
      <c r="H9" s="3" t="s">
        <v>2546</v>
      </c>
      <c r="I9" s="4">
        <f>COUNTIF(B:B,"CHW Pump")</f>
        <v>6</v>
      </c>
    </row>
    <row r="10" spans="1:9" ht="18" customHeight="1" x14ac:dyDescent="0.3">
      <c r="A10" s="2" t="s">
        <v>782</v>
      </c>
      <c r="B10" s="2" t="s">
        <v>6</v>
      </c>
      <c r="C10" s="2" t="s">
        <v>2544</v>
      </c>
      <c r="D10" s="2"/>
      <c r="H10" s="3" t="s">
        <v>2547</v>
      </c>
      <c r="I10" s="4">
        <f>COUNTIF(B:B,"VAV")</f>
        <v>248</v>
      </c>
    </row>
    <row r="11" spans="1:9" ht="18" customHeight="1" x14ac:dyDescent="0.3">
      <c r="A11" s="2" t="s">
        <v>783</v>
      </c>
      <c r="B11" s="2" t="s">
        <v>6</v>
      </c>
      <c r="C11" s="2" t="s">
        <v>2544</v>
      </c>
      <c r="D11" s="2"/>
      <c r="H11" s="3" t="s">
        <v>2731</v>
      </c>
      <c r="I11" s="4">
        <f>COUNTIF(B:B,"CAV")</f>
        <v>51</v>
      </c>
    </row>
    <row r="12" spans="1:9" ht="18" customHeight="1" x14ac:dyDescent="0.3">
      <c r="A12" s="2" t="s">
        <v>784</v>
      </c>
      <c r="B12" s="2" t="s">
        <v>6</v>
      </c>
      <c r="C12" s="2" t="s">
        <v>2544</v>
      </c>
      <c r="D12" s="2"/>
      <c r="H12" s="3" t="s">
        <v>2548</v>
      </c>
      <c r="I12" s="4">
        <f>COUNTIF(B:B,"DX Unit")</f>
        <v>24</v>
      </c>
    </row>
    <row r="13" spans="1:9" ht="18" customHeight="1" x14ac:dyDescent="0.3">
      <c r="A13" s="2" t="s">
        <v>785</v>
      </c>
      <c r="B13" s="2" t="s">
        <v>6</v>
      </c>
      <c r="C13" s="2" t="s">
        <v>2544</v>
      </c>
      <c r="D13" s="2"/>
      <c r="H13" s="3" t="s">
        <v>2549</v>
      </c>
      <c r="I13" s="4">
        <f>COUNTIF(B:B,"HEX")</f>
        <v>5</v>
      </c>
    </row>
    <row r="14" spans="1:9" ht="18" customHeight="1" x14ac:dyDescent="0.3">
      <c r="A14" s="2" t="s">
        <v>786</v>
      </c>
      <c r="B14" s="2" t="s">
        <v>6</v>
      </c>
      <c r="C14" s="2" t="s">
        <v>2544</v>
      </c>
      <c r="D14" s="2"/>
      <c r="H14" s="3" t="s">
        <v>2550</v>
      </c>
      <c r="I14" s="4">
        <f>COUNTIF(B:B,"CCU")</f>
        <v>22</v>
      </c>
    </row>
    <row r="15" spans="1:9" ht="18" customHeight="1" x14ac:dyDescent="0.3">
      <c r="A15" s="2" t="s">
        <v>787</v>
      </c>
      <c r="B15" s="2" t="s">
        <v>6</v>
      </c>
      <c r="C15" s="2" t="s">
        <v>2544</v>
      </c>
      <c r="D15" s="2"/>
      <c r="H15" s="3" t="s">
        <v>2551</v>
      </c>
      <c r="I15" s="4">
        <f>COUNTIF(B:B,"EF")</f>
        <v>18</v>
      </c>
    </row>
    <row r="16" spans="1:9" ht="18" customHeight="1" x14ac:dyDescent="0.3">
      <c r="A16" s="2" t="s">
        <v>788</v>
      </c>
      <c r="B16" s="2" t="s">
        <v>6</v>
      </c>
      <c r="C16" s="2" t="s">
        <v>2544</v>
      </c>
      <c r="D16" s="2"/>
      <c r="H16" s="3" t="s">
        <v>2732</v>
      </c>
      <c r="I16" s="4">
        <f>COUNTIF(B:B,"SEF")</f>
        <v>12</v>
      </c>
    </row>
    <row r="17" spans="1:11" ht="18" customHeight="1" x14ac:dyDescent="0.3">
      <c r="A17" s="2" t="s">
        <v>789</v>
      </c>
      <c r="B17" s="2" t="s">
        <v>6</v>
      </c>
      <c r="C17" s="2" t="s">
        <v>2544</v>
      </c>
      <c r="D17" s="2"/>
      <c r="H17" s="3" t="s">
        <v>2553</v>
      </c>
      <c r="I17" s="4">
        <f>COUNTIF(B:B,"TEF")</f>
        <v>8</v>
      </c>
    </row>
    <row r="18" spans="1:11" ht="18" customHeight="1" x14ac:dyDescent="0.3">
      <c r="A18" s="2" t="s">
        <v>2733</v>
      </c>
      <c r="B18" s="2" t="s">
        <v>2548</v>
      </c>
      <c r="C18" s="2" t="s">
        <v>2548</v>
      </c>
      <c r="D18" s="2"/>
      <c r="H18" s="3" t="s">
        <v>2734</v>
      </c>
      <c r="I18" s="4">
        <f>COUNTIF(B:B,"KEF")</f>
        <v>4</v>
      </c>
    </row>
    <row r="19" spans="1:11" ht="18" customHeight="1" x14ac:dyDescent="0.3">
      <c r="A19" s="2" t="s">
        <v>2735</v>
      </c>
      <c r="B19" s="2" t="s">
        <v>2548</v>
      </c>
      <c r="C19" s="2" t="s">
        <v>2548</v>
      </c>
      <c r="D19" s="2"/>
      <c r="H19" s="3" t="s">
        <v>2556</v>
      </c>
      <c r="I19" s="4">
        <f>COUNTIF(B:B,"Generator")</f>
        <v>1</v>
      </c>
    </row>
    <row r="20" spans="1:11" ht="18" customHeight="1" x14ac:dyDescent="0.3">
      <c r="A20" s="2" t="s">
        <v>2736</v>
      </c>
      <c r="B20" s="2" t="s">
        <v>2548</v>
      </c>
      <c r="C20" s="2" t="s">
        <v>2548</v>
      </c>
      <c r="D20" s="2"/>
      <c r="H20" s="5" t="s">
        <v>2557</v>
      </c>
      <c r="I20" s="5">
        <f>SUM(I7:I18)</f>
        <v>550</v>
      </c>
    </row>
    <row r="21" spans="1:11" ht="18" customHeight="1" x14ac:dyDescent="0.3">
      <c r="A21" s="2" t="s">
        <v>2737</v>
      </c>
      <c r="B21" s="2" t="s">
        <v>2548</v>
      </c>
      <c r="C21" s="2" t="s">
        <v>2548</v>
      </c>
      <c r="D21" s="2"/>
    </row>
    <row r="22" spans="1:11" ht="18" customHeight="1" x14ac:dyDescent="0.3">
      <c r="A22" s="2" t="s">
        <v>2738</v>
      </c>
      <c r="B22" s="2" t="s">
        <v>2548</v>
      </c>
      <c r="C22" s="2" t="s">
        <v>2548</v>
      </c>
      <c r="D22" s="2"/>
    </row>
    <row r="23" spans="1:11" ht="18" customHeight="1" x14ac:dyDescent="0.3">
      <c r="A23" s="2" t="s">
        <v>2739</v>
      </c>
      <c r="B23" s="2" t="s">
        <v>2548</v>
      </c>
      <c r="C23" s="2" t="s">
        <v>2548</v>
      </c>
      <c r="D23" s="2"/>
    </row>
    <row r="24" spans="1:11" ht="18" customHeight="1" x14ac:dyDescent="0.3">
      <c r="A24" s="2" t="s">
        <v>2740</v>
      </c>
      <c r="B24" s="2" t="s">
        <v>2548</v>
      </c>
      <c r="C24" s="2" t="s">
        <v>2548</v>
      </c>
      <c r="D24" s="2"/>
      <c r="H24" s="6" t="s">
        <v>2558</v>
      </c>
      <c r="I24" s="6" t="s">
        <v>2559</v>
      </c>
      <c r="J24" s="6" t="s">
        <v>2560</v>
      </c>
      <c r="K24" s="6" t="s">
        <v>2561</v>
      </c>
    </row>
    <row r="25" spans="1:11" ht="18" customHeight="1" x14ac:dyDescent="0.3">
      <c r="A25" s="2" t="s">
        <v>2741</v>
      </c>
      <c r="B25" s="2" t="s">
        <v>2548</v>
      </c>
      <c r="C25" s="2" t="s">
        <v>2548</v>
      </c>
      <c r="D25" s="2"/>
      <c r="H25" s="2">
        <v>1</v>
      </c>
      <c r="I25" s="2" t="s">
        <v>2551</v>
      </c>
      <c r="J25" s="2" t="s">
        <v>2742</v>
      </c>
      <c r="K25" s="2" t="s">
        <v>2743</v>
      </c>
    </row>
    <row r="26" spans="1:11" ht="18" customHeight="1" x14ac:dyDescent="0.3">
      <c r="A26" s="2" t="s">
        <v>2744</v>
      </c>
      <c r="B26" s="2" t="s">
        <v>2548</v>
      </c>
      <c r="C26" s="2" t="s">
        <v>2548</v>
      </c>
      <c r="D26" s="2"/>
      <c r="H26" s="2">
        <v>2</v>
      </c>
      <c r="I26" s="2" t="s">
        <v>2551</v>
      </c>
      <c r="J26" s="2" t="s">
        <v>2745</v>
      </c>
      <c r="K26" s="2" t="s">
        <v>2746</v>
      </c>
    </row>
    <row r="27" spans="1:11" ht="18" customHeight="1" x14ac:dyDescent="0.3">
      <c r="A27" s="2" t="s">
        <v>2747</v>
      </c>
      <c r="B27" s="2" t="s">
        <v>2548</v>
      </c>
      <c r="C27" s="2" t="s">
        <v>2548</v>
      </c>
      <c r="D27" s="2"/>
      <c r="H27" s="2">
        <v>3</v>
      </c>
      <c r="I27" s="2" t="s">
        <v>2551</v>
      </c>
      <c r="J27" s="2" t="s">
        <v>2748</v>
      </c>
      <c r="K27" s="2" t="s">
        <v>2749</v>
      </c>
    </row>
    <row r="28" spans="1:11" ht="18" customHeight="1" x14ac:dyDescent="0.3">
      <c r="A28" s="2" t="s">
        <v>2750</v>
      </c>
      <c r="B28" s="2" t="s">
        <v>2548</v>
      </c>
      <c r="C28" s="2" t="s">
        <v>2548</v>
      </c>
      <c r="D28" s="2"/>
      <c r="H28" s="2">
        <v>4</v>
      </c>
      <c r="I28" s="2" t="s">
        <v>2551</v>
      </c>
      <c r="J28" s="2" t="s">
        <v>2751</v>
      </c>
      <c r="K28" s="2" t="s">
        <v>2752</v>
      </c>
    </row>
    <row r="29" spans="1:11" ht="18" customHeight="1" x14ac:dyDescent="0.3">
      <c r="A29" s="2" t="s">
        <v>2753</v>
      </c>
      <c r="B29" s="2" t="s">
        <v>2548</v>
      </c>
      <c r="C29" s="2" t="s">
        <v>2548</v>
      </c>
      <c r="D29" s="2"/>
      <c r="H29" s="2">
        <v>5</v>
      </c>
      <c r="I29" s="2" t="s">
        <v>2551</v>
      </c>
      <c r="J29" s="2" t="s">
        <v>2754</v>
      </c>
      <c r="K29" s="2" t="s">
        <v>2755</v>
      </c>
    </row>
    <row r="30" spans="1:11" ht="18" customHeight="1" x14ac:dyDescent="0.3">
      <c r="A30" s="2" t="s">
        <v>2756</v>
      </c>
      <c r="B30" s="2" t="s">
        <v>2548</v>
      </c>
      <c r="C30" s="2" t="s">
        <v>2548</v>
      </c>
      <c r="D30" s="2"/>
      <c r="H30" s="2">
        <v>6</v>
      </c>
      <c r="I30" s="2" t="s">
        <v>2548</v>
      </c>
      <c r="J30" s="2" t="s">
        <v>2578</v>
      </c>
      <c r="K30" s="2" t="s">
        <v>2757</v>
      </c>
    </row>
    <row r="31" spans="1:11" ht="18" customHeight="1" x14ac:dyDescent="0.3">
      <c r="A31" s="2" t="s">
        <v>2758</v>
      </c>
      <c r="B31" s="2" t="s">
        <v>2548</v>
      </c>
      <c r="C31" s="2" t="s">
        <v>2548</v>
      </c>
      <c r="D31" s="2"/>
      <c r="H31" s="2">
        <v>7</v>
      </c>
      <c r="I31" s="2" t="s">
        <v>2548</v>
      </c>
      <c r="J31" s="2" t="s">
        <v>2580</v>
      </c>
      <c r="K31" s="2" t="s">
        <v>2759</v>
      </c>
    </row>
    <row r="32" spans="1:11" ht="18" customHeight="1" x14ac:dyDescent="0.3">
      <c r="A32" s="2" t="s">
        <v>2760</v>
      </c>
      <c r="B32" s="2" t="s">
        <v>2548</v>
      </c>
      <c r="C32" s="2" t="s">
        <v>2548</v>
      </c>
      <c r="D32" s="2"/>
      <c r="H32" s="2">
        <v>8</v>
      </c>
      <c r="I32" s="2" t="s">
        <v>2548</v>
      </c>
      <c r="J32" s="2" t="s">
        <v>2581</v>
      </c>
      <c r="K32" s="2" t="s">
        <v>2761</v>
      </c>
    </row>
    <row r="33" spans="1:11" ht="18" customHeight="1" x14ac:dyDescent="0.3">
      <c r="A33" s="2" t="s">
        <v>2762</v>
      </c>
      <c r="B33" s="2" t="s">
        <v>2548</v>
      </c>
      <c r="C33" s="2" t="s">
        <v>2548</v>
      </c>
      <c r="D33" s="2"/>
      <c r="H33" s="2">
        <v>9</v>
      </c>
      <c r="I33" s="2" t="s">
        <v>2548</v>
      </c>
      <c r="J33" s="2" t="s">
        <v>2763</v>
      </c>
      <c r="K33" s="2" t="s">
        <v>2764</v>
      </c>
    </row>
    <row r="34" spans="1:11" ht="18" customHeight="1" x14ac:dyDescent="0.3">
      <c r="A34" s="2" t="s">
        <v>2765</v>
      </c>
      <c r="B34" s="2" t="s">
        <v>2548</v>
      </c>
      <c r="C34" s="2" t="s">
        <v>2548</v>
      </c>
      <c r="D34" s="2"/>
      <c r="H34" s="2">
        <v>10</v>
      </c>
      <c r="I34" s="2" t="s">
        <v>2548</v>
      </c>
      <c r="J34" s="2" t="s">
        <v>2766</v>
      </c>
      <c r="K34" s="2" t="s">
        <v>2767</v>
      </c>
    </row>
    <row r="35" spans="1:11" ht="18" customHeight="1" x14ac:dyDescent="0.3">
      <c r="A35" s="2" t="s">
        <v>2768</v>
      </c>
      <c r="B35" s="2" t="s">
        <v>2548</v>
      </c>
      <c r="C35" s="2" t="s">
        <v>2548</v>
      </c>
      <c r="D35" s="2"/>
      <c r="H35" s="2">
        <v>11</v>
      </c>
      <c r="I35" s="2" t="s">
        <v>2548</v>
      </c>
      <c r="J35" s="2" t="s">
        <v>2769</v>
      </c>
      <c r="K35" s="2" t="s">
        <v>2770</v>
      </c>
    </row>
    <row r="36" spans="1:11" ht="18" customHeight="1" x14ac:dyDescent="0.3">
      <c r="A36" s="2" t="s">
        <v>2771</v>
      </c>
      <c r="B36" s="2" t="s">
        <v>2548</v>
      </c>
      <c r="C36" s="2" t="s">
        <v>2548</v>
      </c>
      <c r="D36" s="2"/>
      <c r="H36" s="2">
        <v>12</v>
      </c>
      <c r="I36" s="2" t="s">
        <v>2548</v>
      </c>
      <c r="J36" s="2" t="s">
        <v>2772</v>
      </c>
      <c r="K36" s="2" t="s">
        <v>2589</v>
      </c>
    </row>
    <row r="37" spans="1:11" ht="18" customHeight="1" x14ac:dyDescent="0.3">
      <c r="A37" s="2" t="s">
        <v>2773</v>
      </c>
      <c r="B37" s="2" t="s">
        <v>2548</v>
      </c>
      <c r="C37" s="2" t="s">
        <v>2548</v>
      </c>
      <c r="D37" s="2"/>
      <c r="H37" s="2">
        <v>13</v>
      </c>
      <c r="I37" s="2" t="s">
        <v>2548</v>
      </c>
      <c r="J37" s="2" t="s">
        <v>2774</v>
      </c>
      <c r="K37" s="2" t="s">
        <v>2589</v>
      </c>
    </row>
    <row r="38" spans="1:11" ht="18" customHeight="1" x14ac:dyDescent="0.3">
      <c r="A38" s="2" t="s">
        <v>2775</v>
      </c>
      <c r="B38" s="2" t="s">
        <v>2548</v>
      </c>
      <c r="C38" s="2" t="s">
        <v>2548</v>
      </c>
      <c r="D38" s="2"/>
      <c r="H38" s="2">
        <v>14</v>
      </c>
      <c r="I38" s="2" t="s">
        <v>2548</v>
      </c>
      <c r="J38" s="2" t="s">
        <v>2776</v>
      </c>
      <c r="K38" s="2" t="s">
        <v>2589</v>
      </c>
    </row>
    <row r="39" spans="1:11" ht="18" customHeight="1" x14ac:dyDescent="0.3">
      <c r="A39" s="2" t="s">
        <v>2772</v>
      </c>
      <c r="B39" s="2" t="s">
        <v>2548</v>
      </c>
      <c r="C39" s="2" t="s">
        <v>2548</v>
      </c>
      <c r="D39" s="7" t="s">
        <v>2777</v>
      </c>
      <c r="H39" s="2">
        <v>15</v>
      </c>
      <c r="I39" s="2" t="s">
        <v>2601</v>
      </c>
      <c r="J39" s="2" t="s">
        <v>2605</v>
      </c>
      <c r="K39" s="2" t="s">
        <v>2778</v>
      </c>
    </row>
    <row r="40" spans="1:11" ht="18" customHeight="1" x14ac:dyDescent="0.3">
      <c r="A40" s="2" t="s">
        <v>2774</v>
      </c>
      <c r="B40" s="2" t="s">
        <v>2548</v>
      </c>
      <c r="C40" s="2" t="s">
        <v>2548</v>
      </c>
      <c r="D40" s="7" t="s">
        <v>2777</v>
      </c>
      <c r="H40" s="2">
        <v>16</v>
      </c>
      <c r="I40" s="2" t="s">
        <v>2550</v>
      </c>
      <c r="J40" s="2" t="s">
        <v>2779</v>
      </c>
      <c r="K40" s="2" t="s">
        <v>2780</v>
      </c>
    </row>
    <row r="41" spans="1:11" ht="18" customHeight="1" x14ac:dyDescent="0.3">
      <c r="A41" s="2" t="s">
        <v>2776</v>
      </c>
      <c r="B41" s="2" t="s">
        <v>2548</v>
      </c>
      <c r="C41" s="2" t="s">
        <v>2548</v>
      </c>
      <c r="D41" s="7" t="s">
        <v>2777</v>
      </c>
    </row>
    <row r="42" spans="1:11" ht="18" customHeight="1" x14ac:dyDescent="0.3">
      <c r="A42" s="2" t="s">
        <v>790</v>
      </c>
      <c r="B42" s="2" t="s">
        <v>35</v>
      </c>
      <c r="C42" s="2" t="s">
        <v>2598</v>
      </c>
      <c r="D42" s="2"/>
    </row>
    <row r="43" spans="1:11" ht="18" customHeight="1" x14ac:dyDescent="0.3">
      <c r="A43" s="2" t="s">
        <v>791</v>
      </c>
      <c r="B43" s="2" t="s">
        <v>35</v>
      </c>
      <c r="C43" s="2" t="s">
        <v>2598</v>
      </c>
      <c r="D43" s="2"/>
    </row>
    <row r="44" spans="1:11" ht="18" customHeight="1" x14ac:dyDescent="0.3">
      <c r="A44" s="2" t="s">
        <v>793</v>
      </c>
      <c r="B44" s="2" t="s">
        <v>35</v>
      </c>
      <c r="C44" s="2" t="s">
        <v>2598</v>
      </c>
      <c r="D44" s="2"/>
    </row>
    <row r="45" spans="1:11" ht="18" customHeight="1" x14ac:dyDescent="0.3">
      <c r="A45" s="2" t="s">
        <v>795</v>
      </c>
      <c r="B45" s="2" t="s">
        <v>35</v>
      </c>
      <c r="C45" s="2" t="s">
        <v>2598</v>
      </c>
      <c r="D45" s="2"/>
    </row>
    <row r="46" spans="1:11" ht="18" customHeight="1" x14ac:dyDescent="0.3">
      <c r="A46" s="2" t="s">
        <v>796</v>
      </c>
      <c r="B46" s="2" t="s">
        <v>35</v>
      </c>
      <c r="C46" s="2" t="s">
        <v>2598</v>
      </c>
      <c r="D46" s="2"/>
    </row>
    <row r="47" spans="1:11" ht="18" customHeight="1" x14ac:dyDescent="0.3">
      <c r="A47" s="2" t="s">
        <v>797</v>
      </c>
      <c r="B47" s="2" t="s">
        <v>35</v>
      </c>
      <c r="C47" s="2" t="s">
        <v>2598</v>
      </c>
      <c r="D47" s="2"/>
    </row>
    <row r="48" spans="1:11" ht="18" customHeight="1" x14ac:dyDescent="0.3">
      <c r="A48" s="2" t="s">
        <v>798</v>
      </c>
      <c r="B48" s="2" t="s">
        <v>35</v>
      </c>
      <c r="C48" s="2" t="s">
        <v>2598</v>
      </c>
      <c r="D48" s="2"/>
    </row>
    <row r="49" spans="1:4" ht="18" customHeight="1" x14ac:dyDescent="0.3">
      <c r="A49" s="2" t="s">
        <v>799</v>
      </c>
      <c r="B49" s="2" t="s">
        <v>35</v>
      </c>
      <c r="C49" s="2" t="s">
        <v>2598</v>
      </c>
      <c r="D49" s="2"/>
    </row>
    <row r="50" spans="1:4" ht="18" customHeight="1" x14ac:dyDescent="0.3">
      <c r="A50" s="2" t="s">
        <v>800</v>
      </c>
      <c r="B50" s="2" t="s">
        <v>35</v>
      </c>
      <c r="C50" s="2" t="s">
        <v>2598</v>
      </c>
      <c r="D50" s="2"/>
    </row>
    <row r="51" spans="1:4" ht="18" customHeight="1" x14ac:dyDescent="0.3">
      <c r="A51" s="2" t="s">
        <v>801</v>
      </c>
      <c r="B51" s="2" t="s">
        <v>35</v>
      </c>
      <c r="C51" s="2" t="s">
        <v>2598</v>
      </c>
      <c r="D51" s="2"/>
    </row>
    <row r="52" spans="1:4" ht="18" customHeight="1" x14ac:dyDescent="0.3">
      <c r="A52" s="2" t="s">
        <v>802</v>
      </c>
      <c r="B52" s="2" t="s">
        <v>35</v>
      </c>
      <c r="C52" s="2" t="s">
        <v>2598</v>
      </c>
      <c r="D52" s="2"/>
    </row>
    <row r="53" spans="1:4" ht="18" customHeight="1" x14ac:dyDescent="0.3">
      <c r="A53" s="2" t="s">
        <v>803</v>
      </c>
      <c r="B53" s="2" t="s">
        <v>35</v>
      </c>
      <c r="C53" s="2" t="s">
        <v>2598</v>
      </c>
      <c r="D53" s="2"/>
    </row>
    <row r="54" spans="1:4" ht="18" customHeight="1" x14ac:dyDescent="0.3">
      <c r="A54" s="2" t="s">
        <v>804</v>
      </c>
      <c r="B54" s="2" t="s">
        <v>35</v>
      </c>
      <c r="C54" s="2" t="s">
        <v>2598</v>
      </c>
      <c r="D54" s="2"/>
    </row>
    <row r="55" spans="1:4" ht="18" customHeight="1" x14ac:dyDescent="0.3">
      <c r="A55" s="2" t="s">
        <v>805</v>
      </c>
      <c r="B55" s="2" t="s">
        <v>35</v>
      </c>
      <c r="C55" s="2" t="s">
        <v>2598</v>
      </c>
      <c r="D55" s="2"/>
    </row>
    <row r="56" spans="1:4" ht="18" customHeight="1" x14ac:dyDescent="0.3">
      <c r="A56" s="2" t="s">
        <v>806</v>
      </c>
      <c r="B56" s="2" t="s">
        <v>35</v>
      </c>
      <c r="C56" s="2" t="s">
        <v>2598</v>
      </c>
      <c r="D56" s="2"/>
    </row>
    <row r="57" spans="1:4" ht="18" customHeight="1" x14ac:dyDescent="0.3">
      <c r="A57" s="2" t="s">
        <v>807</v>
      </c>
      <c r="B57" s="2" t="s">
        <v>35</v>
      </c>
      <c r="C57" s="2" t="s">
        <v>2598</v>
      </c>
      <c r="D57" s="2"/>
    </row>
    <row r="58" spans="1:4" ht="18" customHeight="1" x14ac:dyDescent="0.3">
      <c r="A58" s="2" t="s">
        <v>808</v>
      </c>
      <c r="B58" s="2" t="s">
        <v>35</v>
      </c>
      <c r="C58" s="2" t="s">
        <v>2598</v>
      </c>
      <c r="D58" s="2"/>
    </row>
    <row r="59" spans="1:4" ht="18" customHeight="1" x14ac:dyDescent="0.3">
      <c r="A59" s="2" t="s">
        <v>809</v>
      </c>
      <c r="B59" s="2" t="s">
        <v>35</v>
      </c>
      <c r="C59" s="2" t="s">
        <v>2598</v>
      </c>
      <c r="D59" s="2"/>
    </row>
    <row r="60" spans="1:4" ht="18" customHeight="1" x14ac:dyDescent="0.3">
      <c r="A60" s="2" t="s">
        <v>810</v>
      </c>
      <c r="B60" s="2" t="s">
        <v>35</v>
      </c>
      <c r="C60" s="2" t="s">
        <v>2598</v>
      </c>
      <c r="D60" s="2"/>
    </row>
    <row r="61" spans="1:4" ht="18" customHeight="1" x14ac:dyDescent="0.3">
      <c r="A61" s="2" t="s">
        <v>811</v>
      </c>
      <c r="B61" s="2" t="s">
        <v>35</v>
      </c>
      <c r="C61" s="2" t="s">
        <v>2598</v>
      </c>
      <c r="D61" s="2"/>
    </row>
    <row r="62" spans="1:4" ht="18" customHeight="1" x14ac:dyDescent="0.3">
      <c r="A62" s="2" t="s">
        <v>812</v>
      </c>
      <c r="B62" s="2" t="s">
        <v>35</v>
      </c>
      <c r="C62" s="2" t="s">
        <v>2598</v>
      </c>
      <c r="D62" s="2"/>
    </row>
    <row r="63" spans="1:4" ht="18" customHeight="1" x14ac:dyDescent="0.3">
      <c r="A63" s="2" t="s">
        <v>813</v>
      </c>
      <c r="B63" s="2" t="s">
        <v>35</v>
      </c>
      <c r="C63" s="2" t="s">
        <v>2598</v>
      </c>
      <c r="D63" s="2"/>
    </row>
    <row r="64" spans="1:4" ht="18" customHeight="1" x14ac:dyDescent="0.3">
      <c r="A64" s="2" t="s">
        <v>814</v>
      </c>
      <c r="B64" s="2" t="s">
        <v>35</v>
      </c>
      <c r="C64" s="2" t="s">
        <v>2598</v>
      </c>
      <c r="D64" s="2"/>
    </row>
    <row r="65" spans="1:4" ht="18" customHeight="1" x14ac:dyDescent="0.3">
      <c r="A65" s="2" t="s">
        <v>815</v>
      </c>
      <c r="B65" s="2" t="s">
        <v>35</v>
      </c>
      <c r="C65" s="2" t="s">
        <v>2598</v>
      </c>
      <c r="D65" s="2"/>
    </row>
    <row r="66" spans="1:4" ht="18" customHeight="1" x14ac:dyDescent="0.3">
      <c r="A66" s="2" t="s">
        <v>816</v>
      </c>
      <c r="B66" s="2" t="s">
        <v>35</v>
      </c>
      <c r="C66" s="2" t="s">
        <v>2598</v>
      </c>
      <c r="D66" s="2"/>
    </row>
    <row r="67" spans="1:4" ht="18" customHeight="1" x14ac:dyDescent="0.3">
      <c r="A67" s="2" t="s">
        <v>817</v>
      </c>
      <c r="B67" s="2" t="s">
        <v>35</v>
      </c>
      <c r="C67" s="2" t="s">
        <v>2598</v>
      </c>
      <c r="D67" s="2"/>
    </row>
    <row r="68" spans="1:4" ht="18" customHeight="1" x14ac:dyDescent="0.3">
      <c r="A68" s="2" t="s">
        <v>818</v>
      </c>
      <c r="B68" s="2" t="s">
        <v>35</v>
      </c>
      <c r="C68" s="2" t="s">
        <v>2598</v>
      </c>
      <c r="D68" s="2"/>
    </row>
    <row r="69" spans="1:4" ht="18" customHeight="1" x14ac:dyDescent="0.3">
      <c r="A69" s="2" t="s">
        <v>819</v>
      </c>
      <c r="B69" s="2" t="s">
        <v>35</v>
      </c>
      <c r="C69" s="2" t="s">
        <v>2598</v>
      </c>
      <c r="D69" s="2"/>
    </row>
    <row r="70" spans="1:4" ht="18" customHeight="1" x14ac:dyDescent="0.3">
      <c r="A70" s="2" t="s">
        <v>820</v>
      </c>
      <c r="B70" s="2" t="s">
        <v>35</v>
      </c>
      <c r="C70" s="2" t="s">
        <v>2598</v>
      </c>
      <c r="D70" s="2"/>
    </row>
    <row r="71" spans="1:4" ht="18" customHeight="1" x14ac:dyDescent="0.3">
      <c r="A71" s="2" t="s">
        <v>821</v>
      </c>
      <c r="B71" s="2" t="s">
        <v>35</v>
      </c>
      <c r="C71" s="2" t="s">
        <v>2598</v>
      </c>
      <c r="D71" s="2"/>
    </row>
    <row r="72" spans="1:4" ht="18" customHeight="1" x14ac:dyDescent="0.3">
      <c r="A72" s="2" t="s">
        <v>822</v>
      </c>
      <c r="B72" s="2" t="s">
        <v>35</v>
      </c>
      <c r="C72" s="2" t="s">
        <v>2598</v>
      </c>
      <c r="D72" s="2"/>
    </row>
    <row r="73" spans="1:4" ht="18" customHeight="1" x14ac:dyDescent="0.3">
      <c r="A73" s="2" t="s">
        <v>823</v>
      </c>
      <c r="B73" s="2" t="s">
        <v>35</v>
      </c>
      <c r="C73" s="2" t="s">
        <v>2598</v>
      </c>
      <c r="D73" s="2"/>
    </row>
    <row r="74" spans="1:4" ht="18" customHeight="1" x14ac:dyDescent="0.3">
      <c r="A74" s="2" t="s">
        <v>824</v>
      </c>
      <c r="B74" s="2" t="s">
        <v>35</v>
      </c>
      <c r="C74" s="2" t="s">
        <v>2598</v>
      </c>
      <c r="D74" s="2"/>
    </row>
    <row r="75" spans="1:4" ht="18" customHeight="1" x14ac:dyDescent="0.3">
      <c r="A75" s="2" t="s">
        <v>825</v>
      </c>
      <c r="B75" s="2" t="s">
        <v>35</v>
      </c>
      <c r="C75" s="2" t="s">
        <v>2598</v>
      </c>
      <c r="D75" s="2"/>
    </row>
    <row r="76" spans="1:4" ht="18" customHeight="1" x14ac:dyDescent="0.3">
      <c r="A76" s="2" t="s">
        <v>826</v>
      </c>
      <c r="B76" s="2" t="s">
        <v>35</v>
      </c>
      <c r="C76" s="2" t="s">
        <v>2598</v>
      </c>
      <c r="D76" s="2"/>
    </row>
    <row r="77" spans="1:4" ht="18" customHeight="1" x14ac:dyDescent="0.3">
      <c r="A77" s="2" t="s">
        <v>827</v>
      </c>
      <c r="B77" s="2" t="s">
        <v>35</v>
      </c>
      <c r="C77" s="2" t="s">
        <v>2598</v>
      </c>
      <c r="D77" s="2"/>
    </row>
    <row r="78" spans="1:4" ht="18" customHeight="1" x14ac:dyDescent="0.3">
      <c r="A78" s="2" t="s">
        <v>828</v>
      </c>
      <c r="B78" s="2" t="s">
        <v>35</v>
      </c>
      <c r="C78" s="2" t="s">
        <v>2598</v>
      </c>
      <c r="D78" s="2"/>
    </row>
    <row r="79" spans="1:4" ht="18" customHeight="1" x14ac:dyDescent="0.3">
      <c r="A79" s="2" t="s">
        <v>829</v>
      </c>
      <c r="B79" s="2" t="s">
        <v>35</v>
      </c>
      <c r="C79" s="2" t="s">
        <v>2598</v>
      </c>
      <c r="D79" s="2"/>
    </row>
    <row r="80" spans="1:4" ht="18" customHeight="1" x14ac:dyDescent="0.3">
      <c r="A80" s="2" t="s">
        <v>830</v>
      </c>
      <c r="B80" s="2" t="s">
        <v>35</v>
      </c>
      <c r="C80" s="2" t="s">
        <v>2598</v>
      </c>
      <c r="D80" s="2"/>
    </row>
    <row r="81" spans="1:4" ht="18" customHeight="1" x14ac:dyDescent="0.3">
      <c r="A81" s="2" t="s">
        <v>831</v>
      </c>
      <c r="B81" s="2" t="s">
        <v>35</v>
      </c>
      <c r="C81" s="2" t="s">
        <v>2598</v>
      </c>
      <c r="D81" s="2"/>
    </row>
    <row r="82" spans="1:4" ht="18" customHeight="1" x14ac:dyDescent="0.3">
      <c r="A82" s="2" t="s">
        <v>832</v>
      </c>
      <c r="B82" s="2" t="s">
        <v>35</v>
      </c>
      <c r="C82" s="2" t="s">
        <v>2598</v>
      </c>
      <c r="D82" s="2"/>
    </row>
    <row r="83" spans="1:4" ht="18" customHeight="1" x14ac:dyDescent="0.3">
      <c r="A83" s="2" t="s">
        <v>833</v>
      </c>
      <c r="B83" s="2" t="s">
        <v>35</v>
      </c>
      <c r="C83" s="2" t="s">
        <v>2598</v>
      </c>
      <c r="D83" s="2"/>
    </row>
    <row r="84" spans="1:4" ht="18" customHeight="1" x14ac:dyDescent="0.3">
      <c r="A84" s="2" t="s">
        <v>834</v>
      </c>
      <c r="B84" s="2" t="s">
        <v>35</v>
      </c>
      <c r="C84" s="2" t="s">
        <v>2598</v>
      </c>
      <c r="D84" s="2"/>
    </row>
    <row r="85" spans="1:4" ht="18" customHeight="1" x14ac:dyDescent="0.3">
      <c r="A85" s="2" t="s">
        <v>835</v>
      </c>
      <c r="B85" s="2" t="s">
        <v>35</v>
      </c>
      <c r="C85" s="2" t="s">
        <v>2598</v>
      </c>
      <c r="D85" s="2"/>
    </row>
    <row r="86" spans="1:4" ht="18" customHeight="1" x14ac:dyDescent="0.3">
      <c r="A86" s="2" t="s">
        <v>836</v>
      </c>
      <c r="B86" s="2" t="s">
        <v>35</v>
      </c>
      <c r="C86" s="2" t="s">
        <v>2598</v>
      </c>
      <c r="D86" s="2"/>
    </row>
    <row r="87" spans="1:4" ht="18" customHeight="1" x14ac:dyDescent="0.3">
      <c r="A87" s="2" t="s">
        <v>837</v>
      </c>
      <c r="B87" s="2" t="s">
        <v>35</v>
      </c>
      <c r="C87" s="2" t="s">
        <v>2598</v>
      </c>
      <c r="D87" s="2"/>
    </row>
    <row r="88" spans="1:4" ht="18" customHeight="1" x14ac:dyDescent="0.3">
      <c r="A88" s="2" t="s">
        <v>838</v>
      </c>
      <c r="B88" s="2" t="s">
        <v>35</v>
      </c>
      <c r="C88" s="2" t="s">
        <v>2598</v>
      </c>
      <c r="D88" s="2"/>
    </row>
    <row r="89" spans="1:4" ht="18" customHeight="1" x14ac:dyDescent="0.3">
      <c r="A89" s="2" t="s">
        <v>839</v>
      </c>
      <c r="B89" s="2" t="s">
        <v>35</v>
      </c>
      <c r="C89" s="2" t="s">
        <v>2598</v>
      </c>
      <c r="D89" s="2"/>
    </row>
    <row r="90" spans="1:4" ht="18" customHeight="1" x14ac:dyDescent="0.3">
      <c r="A90" s="2" t="s">
        <v>840</v>
      </c>
      <c r="B90" s="2" t="s">
        <v>35</v>
      </c>
      <c r="C90" s="2" t="s">
        <v>2598</v>
      </c>
      <c r="D90" s="2"/>
    </row>
    <row r="91" spans="1:4" ht="18" customHeight="1" x14ac:dyDescent="0.3">
      <c r="A91" s="2" t="s">
        <v>841</v>
      </c>
      <c r="B91" s="2" t="s">
        <v>35</v>
      </c>
      <c r="C91" s="2" t="s">
        <v>2598</v>
      </c>
      <c r="D91" s="2"/>
    </row>
    <row r="92" spans="1:4" ht="18" customHeight="1" x14ac:dyDescent="0.3">
      <c r="A92" s="2" t="s">
        <v>842</v>
      </c>
      <c r="B92" s="2" t="s">
        <v>35</v>
      </c>
      <c r="C92" s="2" t="s">
        <v>2598</v>
      </c>
      <c r="D92" s="2"/>
    </row>
    <row r="93" spans="1:4" ht="18" customHeight="1" x14ac:dyDescent="0.3">
      <c r="A93" s="2" t="s">
        <v>843</v>
      </c>
      <c r="B93" s="2" t="s">
        <v>35</v>
      </c>
      <c r="C93" s="2" t="s">
        <v>2598</v>
      </c>
      <c r="D93" s="2"/>
    </row>
    <row r="94" spans="1:4" ht="18" customHeight="1" x14ac:dyDescent="0.3">
      <c r="A94" s="2" t="s">
        <v>844</v>
      </c>
      <c r="B94" s="2" t="s">
        <v>35</v>
      </c>
      <c r="C94" s="2" t="s">
        <v>2598</v>
      </c>
      <c r="D94" s="2"/>
    </row>
    <row r="95" spans="1:4" ht="18" customHeight="1" x14ac:dyDescent="0.3">
      <c r="A95" s="2" t="s">
        <v>845</v>
      </c>
      <c r="B95" s="2" t="s">
        <v>35</v>
      </c>
      <c r="C95" s="2" t="s">
        <v>2598</v>
      </c>
      <c r="D95" s="2"/>
    </row>
    <row r="96" spans="1:4" ht="18" customHeight="1" x14ac:dyDescent="0.3">
      <c r="A96" s="2" t="s">
        <v>846</v>
      </c>
      <c r="B96" s="2" t="s">
        <v>35</v>
      </c>
      <c r="C96" s="2" t="s">
        <v>2598</v>
      </c>
      <c r="D96" s="2"/>
    </row>
    <row r="97" spans="1:4" ht="18" customHeight="1" x14ac:dyDescent="0.3">
      <c r="A97" s="2" t="s">
        <v>848</v>
      </c>
      <c r="B97" s="2" t="s">
        <v>35</v>
      </c>
      <c r="C97" s="2" t="s">
        <v>2598</v>
      </c>
      <c r="D97" s="2"/>
    </row>
    <row r="98" spans="1:4" ht="18" customHeight="1" x14ac:dyDescent="0.3">
      <c r="A98" s="2" t="s">
        <v>850</v>
      </c>
      <c r="B98" s="2" t="s">
        <v>35</v>
      </c>
      <c r="C98" s="2" t="s">
        <v>2598</v>
      </c>
      <c r="D98" s="2"/>
    </row>
    <row r="99" spans="1:4" ht="18" customHeight="1" x14ac:dyDescent="0.3">
      <c r="A99" s="2" t="s">
        <v>851</v>
      </c>
      <c r="B99" s="2" t="s">
        <v>35</v>
      </c>
      <c r="C99" s="2" t="s">
        <v>2598</v>
      </c>
      <c r="D99" s="2"/>
    </row>
    <row r="100" spans="1:4" ht="18" customHeight="1" x14ac:dyDescent="0.3">
      <c r="A100" s="2" t="s">
        <v>852</v>
      </c>
      <c r="B100" s="2" t="s">
        <v>35</v>
      </c>
      <c r="C100" s="2" t="s">
        <v>2598</v>
      </c>
      <c r="D100" s="2"/>
    </row>
    <row r="101" spans="1:4" ht="18" customHeight="1" x14ac:dyDescent="0.3">
      <c r="A101" s="2" t="s">
        <v>854</v>
      </c>
      <c r="B101" s="2" t="s">
        <v>35</v>
      </c>
      <c r="C101" s="2" t="s">
        <v>2598</v>
      </c>
      <c r="D101" s="2"/>
    </row>
    <row r="102" spans="1:4" ht="18" customHeight="1" x14ac:dyDescent="0.3">
      <c r="A102" s="2" t="s">
        <v>855</v>
      </c>
      <c r="B102" s="2" t="s">
        <v>35</v>
      </c>
      <c r="C102" s="2" t="s">
        <v>2598</v>
      </c>
      <c r="D102" s="2"/>
    </row>
    <row r="103" spans="1:4" ht="18" customHeight="1" x14ac:dyDescent="0.3">
      <c r="A103" s="2" t="s">
        <v>856</v>
      </c>
      <c r="B103" s="2" t="s">
        <v>35</v>
      </c>
      <c r="C103" s="2" t="s">
        <v>2598</v>
      </c>
      <c r="D103" s="2"/>
    </row>
    <row r="104" spans="1:4" ht="18" customHeight="1" x14ac:dyDescent="0.3">
      <c r="A104" s="2" t="s">
        <v>857</v>
      </c>
      <c r="B104" s="2" t="s">
        <v>35</v>
      </c>
      <c r="C104" s="2" t="s">
        <v>2598</v>
      </c>
      <c r="D104" s="2"/>
    </row>
    <row r="105" spans="1:4" ht="18" customHeight="1" x14ac:dyDescent="0.3">
      <c r="A105" s="2" t="s">
        <v>858</v>
      </c>
      <c r="B105" s="2" t="s">
        <v>35</v>
      </c>
      <c r="C105" s="2" t="s">
        <v>2598</v>
      </c>
      <c r="D105" s="2"/>
    </row>
    <row r="106" spans="1:4" ht="18" customHeight="1" x14ac:dyDescent="0.3">
      <c r="A106" s="2" t="s">
        <v>859</v>
      </c>
      <c r="B106" s="2" t="s">
        <v>35</v>
      </c>
      <c r="C106" s="2" t="s">
        <v>2598</v>
      </c>
      <c r="D106" s="2"/>
    </row>
    <row r="107" spans="1:4" ht="18" customHeight="1" x14ac:dyDescent="0.3">
      <c r="A107" s="2" t="s">
        <v>860</v>
      </c>
      <c r="B107" s="2" t="s">
        <v>35</v>
      </c>
      <c r="C107" s="2" t="s">
        <v>2598</v>
      </c>
      <c r="D107" s="2"/>
    </row>
    <row r="108" spans="1:4" ht="18" customHeight="1" x14ac:dyDescent="0.3">
      <c r="A108" s="2" t="s">
        <v>861</v>
      </c>
      <c r="B108" s="2" t="s">
        <v>35</v>
      </c>
      <c r="C108" s="2" t="s">
        <v>2598</v>
      </c>
      <c r="D108" s="2"/>
    </row>
    <row r="109" spans="1:4" ht="18" customHeight="1" x14ac:dyDescent="0.3">
      <c r="A109" s="2" t="s">
        <v>862</v>
      </c>
      <c r="B109" s="2" t="s">
        <v>35</v>
      </c>
      <c r="C109" s="2" t="s">
        <v>2598</v>
      </c>
      <c r="D109" s="2"/>
    </row>
    <row r="110" spans="1:4" ht="18" customHeight="1" x14ac:dyDescent="0.3">
      <c r="A110" s="2" t="s">
        <v>863</v>
      </c>
      <c r="B110" s="2" t="s">
        <v>35</v>
      </c>
      <c r="C110" s="2" t="s">
        <v>2598</v>
      </c>
      <c r="D110" s="2"/>
    </row>
    <row r="111" spans="1:4" ht="18" customHeight="1" x14ac:dyDescent="0.3">
      <c r="A111" s="2" t="s">
        <v>864</v>
      </c>
      <c r="B111" s="2" t="s">
        <v>35</v>
      </c>
      <c r="C111" s="2" t="s">
        <v>2598</v>
      </c>
      <c r="D111" s="2"/>
    </row>
    <row r="112" spans="1:4" ht="18" customHeight="1" x14ac:dyDescent="0.3">
      <c r="A112" s="2" t="s">
        <v>866</v>
      </c>
      <c r="B112" s="2" t="s">
        <v>35</v>
      </c>
      <c r="C112" s="2" t="s">
        <v>2598</v>
      </c>
      <c r="D112" s="2"/>
    </row>
    <row r="113" spans="1:4" ht="18" customHeight="1" x14ac:dyDescent="0.3">
      <c r="A113" s="2" t="s">
        <v>868</v>
      </c>
      <c r="B113" s="2" t="s">
        <v>35</v>
      </c>
      <c r="C113" s="2" t="s">
        <v>2598</v>
      </c>
      <c r="D113" s="2"/>
    </row>
    <row r="114" spans="1:4" ht="18" customHeight="1" x14ac:dyDescent="0.3">
      <c r="A114" s="2" t="s">
        <v>869</v>
      </c>
      <c r="B114" s="2" t="s">
        <v>35</v>
      </c>
      <c r="C114" s="2" t="s">
        <v>2598</v>
      </c>
      <c r="D114" s="2"/>
    </row>
    <row r="115" spans="1:4" ht="18" customHeight="1" x14ac:dyDescent="0.3">
      <c r="A115" s="2" t="s">
        <v>870</v>
      </c>
      <c r="B115" s="2" t="s">
        <v>35</v>
      </c>
      <c r="C115" s="2" t="s">
        <v>2598</v>
      </c>
      <c r="D115" s="2"/>
    </row>
    <row r="116" spans="1:4" ht="18" customHeight="1" x14ac:dyDescent="0.3">
      <c r="A116" s="2" t="s">
        <v>871</v>
      </c>
      <c r="B116" s="2" t="s">
        <v>35</v>
      </c>
      <c r="C116" s="2" t="s">
        <v>2598</v>
      </c>
      <c r="D116" s="2"/>
    </row>
    <row r="117" spans="1:4" ht="18" customHeight="1" x14ac:dyDescent="0.3">
      <c r="A117" s="2" t="s">
        <v>873</v>
      </c>
      <c r="B117" s="2" t="s">
        <v>35</v>
      </c>
      <c r="C117" s="2" t="s">
        <v>2598</v>
      </c>
      <c r="D117" s="2"/>
    </row>
    <row r="118" spans="1:4" ht="18" customHeight="1" x14ac:dyDescent="0.3">
      <c r="A118" s="2" t="s">
        <v>874</v>
      </c>
      <c r="B118" s="2" t="s">
        <v>35</v>
      </c>
      <c r="C118" s="2" t="s">
        <v>2598</v>
      </c>
      <c r="D118" s="2"/>
    </row>
    <row r="119" spans="1:4" ht="18" customHeight="1" x14ac:dyDescent="0.3">
      <c r="A119" s="2" t="s">
        <v>875</v>
      </c>
      <c r="B119" s="2" t="s">
        <v>35</v>
      </c>
      <c r="C119" s="2" t="s">
        <v>2598</v>
      </c>
      <c r="D119" s="2"/>
    </row>
    <row r="120" spans="1:4" ht="18" customHeight="1" x14ac:dyDescent="0.3">
      <c r="A120" s="2" t="s">
        <v>877</v>
      </c>
      <c r="B120" s="2" t="s">
        <v>35</v>
      </c>
      <c r="C120" s="2" t="s">
        <v>2598</v>
      </c>
      <c r="D120" s="2"/>
    </row>
    <row r="121" spans="1:4" ht="18" customHeight="1" x14ac:dyDescent="0.3">
      <c r="A121" s="2" t="s">
        <v>879</v>
      </c>
      <c r="B121" s="2" t="s">
        <v>35</v>
      </c>
      <c r="C121" s="2" t="s">
        <v>2598</v>
      </c>
      <c r="D121" s="2"/>
    </row>
    <row r="122" spans="1:4" ht="18" customHeight="1" x14ac:dyDescent="0.3">
      <c r="A122" s="2" t="s">
        <v>881</v>
      </c>
      <c r="B122" s="2" t="s">
        <v>35</v>
      </c>
      <c r="C122" s="2" t="s">
        <v>2598</v>
      </c>
      <c r="D122" s="2"/>
    </row>
    <row r="123" spans="1:4" ht="18" customHeight="1" x14ac:dyDescent="0.3">
      <c r="A123" s="2" t="s">
        <v>882</v>
      </c>
      <c r="B123" s="2" t="s">
        <v>35</v>
      </c>
      <c r="C123" s="2" t="s">
        <v>2598</v>
      </c>
      <c r="D123" s="2"/>
    </row>
    <row r="124" spans="1:4" ht="18" customHeight="1" x14ac:dyDescent="0.3">
      <c r="A124" s="2" t="s">
        <v>884</v>
      </c>
      <c r="B124" s="2" t="s">
        <v>35</v>
      </c>
      <c r="C124" s="2" t="s">
        <v>2598</v>
      </c>
      <c r="D124" s="2"/>
    </row>
    <row r="125" spans="1:4" ht="18" customHeight="1" x14ac:dyDescent="0.3">
      <c r="A125" s="2" t="s">
        <v>886</v>
      </c>
      <c r="B125" s="2" t="s">
        <v>35</v>
      </c>
      <c r="C125" s="2" t="s">
        <v>2598</v>
      </c>
      <c r="D125" s="2"/>
    </row>
    <row r="126" spans="1:4" ht="18" customHeight="1" x14ac:dyDescent="0.3">
      <c r="A126" s="2" t="s">
        <v>887</v>
      </c>
      <c r="B126" s="2" t="s">
        <v>35</v>
      </c>
      <c r="C126" s="2" t="s">
        <v>2598</v>
      </c>
      <c r="D126" s="2"/>
    </row>
    <row r="127" spans="1:4" ht="18" customHeight="1" x14ac:dyDescent="0.3">
      <c r="A127" s="2" t="s">
        <v>889</v>
      </c>
      <c r="B127" s="2" t="s">
        <v>35</v>
      </c>
      <c r="C127" s="2" t="s">
        <v>2598</v>
      </c>
      <c r="D127" s="2"/>
    </row>
    <row r="128" spans="1:4" ht="18" customHeight="1" x14ac:dyDescent="0.3">
      <c r="A128" s="2" t="s">
        <v>890</v>
      </c>
      <c r="B128" s="2" t="s">
        <v>35</v>
      </c>
      <c r="C128" s="2" t="s">
        <v>2598</v>
      </c>
      <c r="D128" s="2"/>
    </row>
    <row r="129" spans="1:4" ht="18" customHeight="1" x14ac:dyDescent="0.3">
      <c r="A129" s="2" t="s">
        <v>891</v>
      </c>
      <c r="B129" s="2" t="s">
        <v>35</v>
      </c>
      <c r="C129" s="2" t="s">
        <v>2598</v>
      </c>
      <c r="D129" s="2"/>
    </row>
    <row r="130" spans="1:4" ht="18" customHeight="1" x14ac:dyDescent="0.3">
      <c r="A130" s="2" t="s">
        <v>893</v>
      </c>
      <c r="B130" s="2" t="s">
        <v>35</v>
      </c>
      <c r="C130" s="2" t="s">
        <v>2598</v>
      </c>
      <c r="D130" s="2"/>
    </row>
    <row r="131" spans="1:4" ht="18" customHeight="1" x14ac:dyDescent="0.3">
      <c r="A131" s="2" t="s">
        <v>894</v>
      </c>
      <c r="B131" s="2" t="s">
        <v>35</v>
      </c>
      <c r="C131" s="2" t="s">
        <v>2598</v>
      </c>
      <c r="D131" s="2"/>
    </row>
    <row r="132" spans="1:4" ht="18" customHeight="1" x14ac:dyDescent="0.3">
      <c r="A132" s="2" t="s">
        <v>895</v>
      </c>
      <c r="B132" s="2" t="s">
        <v>35</v>
      </c>
      <c r="C132" s="2" t="s">
        <v>2598</v>
      </c>
      <c r="D132" s="2"/>
    </row>
    <row r="133" spans="1:4" ht="18" customHeight="1" x14ac:dyDescent="0.3">
      <c r="A133" s="2" t="s">
        <v>896</v>
      </c>
      <c r="B133" s="2" t="s">
        <v>35</v>
      </c>
      <c r="C133" s="2" t="s">
        <v>2598</v>
      </c>
      <c r="D133" s="2"/>
    </row>
    <row r="134" spans="1:4" ht="18" customHeight="1" x14ac:dyDescent="0.3">
      <c r="A134" s="2" t="s">
        <v>897</v>
      </c>
      <c r="B134" s="2" t="s">
        <v>35</v>
      </c>
      <c r="C134" s="2" t="s">
        <v>2598</v>
      </c>
      <c r="D134" s="2"/>
    </row>
    <row r="135" spans="1:4" ht="18" customHeight="1" x14ac:dyDescent="0.3">
      <c r="A135" s="2" t="s">
        <v>898</v>
      </c>
      <c r="B135" s="2" t="s">
        <v>35</v>
      </c>
      <c r="C135" s="2" t="s">
        <v>2598</v>
      </c>
      <c r="D135" s="2"/>
    </row>
    <row r="136" spans="1:4" ht="18" customHeight="1" x14ac:dyDescent="0.3">
      <c r="A136" s="2" t="s">
        <v>900</v>
      </c>
      <c r="B136" s="2" t="s">
        <v>35</v>
      </c>
      <c r="C136" s="2" t="s">
        <v>2598</v>
      </c>
      <c r="D136" s="2"/>
    </row>
    <row r="137" spans="1:4" ht="18" customHeight="1" x14ac:dyDescent="0.3">
      <c r="A137" s="2" t="s">
        <v>901</v>
      </c>
      <c r="B137" s="2" t="s">
        <v>35</v>
      </c>
      <c r="C137" s="2" t="s">
        <v>2598</v>
      </c>
      <c r="D137" s="2"/>
    </row>
    <row r="138" spans="1:4" ht="18" customHeight="1" x14ac:dyDescent="0.3">
      <c r="A138" s="2" t="s">
        <v>902</v>
      </c>
      <c r="B138" s="2" t="s">
        <v>35</v>
      </c>
      <c r="C138" s="2" t="s">
        <v>2598</v>
      </c>
      <c r="D138" s="2"/>
    </row>
    <row r="139" spans="1:4" ht="18" customHeight="1" x14ac:dyDescent="0.3">
      <c r="A139" s="2" t="s">
        <v>904</v>
      </c>
      <c r="B139" s="2" t="s">
        <v>35</v>
      </c>
      <c r="C139" s="2" t="s">
        <v>2598</v>
      </c>
      <c r="D139" s="2"/>
    </row>
    <row r="140" spans="1:4" ht="18" customHeight="1" x14ac:dyDescent="0.3">
      <c r="A140" s="2" t="s">
        <v>905</v>
      </c>
      <c r="B140" s="2" t="s">
        <v>35</v>
      </c>
      <c r="C140" s="2" t="s">
        <v>2598</v>
      </c>
      <c r="D140" s="2"/>
    </row>
    <row r="141" spans="1:4" ht="18" customHeight="1" x14ac:dyDescent="0.3">
      <c r="A141" s="2" t="s">
        <v>906</v>
      </c>
      <c r="B141" s="2" t="s">
        <v>35</v>
      </c>
      <c r="C141" s="2" t="s">
        <v>2598</v>
      </c>
      <c r="D141" s="2"/>
    </row>
    <row r="142" spans="1:4" ht="18" customHeight="1" x14ac:dyDescent="0.3">
      <c r="A142" s="2" t="s">
        <v>908</v>
      </c>
      <c r="B142" s="2" t="s">
        <v>35</v>
      </c>
      <c r="C142" s="2" t="s">
        <v>2598</v>
      </c>
      <c r="D142" s="2"/>
    </row>
    <row r="143" spans="1:4" ht="18" customHeight="1" x14ac:dyDescent="0.3">
      <c r="A143" s="2" t="s">
        <v>910</v>
      </c>
      <c r="B143" s="2" t="s">
        <v>35</v>
      </c>
      <c r="C143" s="2" t="s">
        <v>2598</v>
      </c>
      <c r="D143" s="2"/>
    </row>
    <row r="144" spans="1:4" ht="18" customHeight="1" x14ac:dyDescent="0.3">
      <c r="A144" s="2" t="s">
        <v>912</v>
      </c>
      <c r="B144" s="2" t="s">
        <v>35</v>
      </c>
      <c r="C144" s="2" t="s">
        <v>2598</v>
      </c>
      <c r="D144" s="2"/>
    </row>
    <row r="145" spans="1:4" ht="18" customHeight="1" x14ac:dyDescent="0.3">
      <c r="A145" s="2" t="s">
        <v>914</v>
      </c>
      <c r="B145" s="2" t="s">
        <v>35</v>
      </c>
      <c r="C145" s="2" t="s">
        <v>2598</v>
      </c>
      <c r="D145" s="2"/>
    </row>
    <row r="146" spans="1:4" ht="18" customHeight="1" x14ac:dyDescent="0.3">
      <c r="A146" s="2" t="s">
        <v>916</v>
      </c>
      <c r="B146" s="2" t="s">
        <v>35</v>
      </c>
      <c r="C146" s="2" t="s">
        <v>2598</v>
      </c>
      <c r="D146" s="2"/>
    </row>
    <row r="147" spans="1:4" ht="18" customHeight="1" x14ac:dyDescent="0.3">
      <c r="A147" s="2" t="s">
        <v>918</v>
      </c>
      <c r="B147" s="2" t="s">
        <v>35</v>
      </c>
      <c r="C147" s="2" t="s">
        <v>2598</v>
      </c>
      <c r="D147" s="2"/>
    </row>
    <row r="148" spans="1:4" ht="18" customHeight="1" x14ac:dyDescent="0.3">
      <c r="A148" s="2" t="s">
        <v>920</v>
      </c>
      <c r="B148" s="2" t="s">
        <v>35</v>
      </c>
      <c r="C148" s="2" t="s">
        <v>2598</v>
      </c>
      <c r="D148" s="2"/>
    </row>
    <row r="149" spans="1:4" ht="18" customHeight="1" x14ac:dyDescent="0.3">
      <c r="A149" s="2" t="s">
        <v>922</v>
      </c>
      <c r="B149" s="2" t="s">
        <v>35</v>
      </c>
      <c r="C149" s="2" t="s">
        <v>2598</v>
      </c>
      <c r="D149" s="2"/>
    </row>
    <row r="150" spans="1:4" ht="18" customHeight="1" x14ac:dyDescent="0.3">
      <c r="A150" s="2" t="s">
        <v>924</v>
      </c>
      <c r="B150" s="2" t="s">
        <v>35</v>
      </c>
      <c r="C150" s="2" t="s">
        <v>2598</v>
      </c>
      <c r="D150" s="2"/>
    </row>
    <row r="151" spans="1:4" ht="18" customHeight="1" x14ac:dyDescent="0.3">
      <c r="A151" s="2" t="s">
        <v>926</v>
      </c>
      <c r="B151" s="2" t="s">
        <v>35</v>
      </c>
      <c r="C151" s="2" t="s">
        <v>2598</v>
      </c>
      <c r="D151" s="2"/>
    </row>
    <row r="152" spans="1:4" ht="18" customHeight="1" x14ac:dyDescent="0.3">
      <c r="A152" s="2" t="s">
        <v>928</v>
      </c>
      <c r="B152" s="2" t="s">
        <v>35</v>
      </c>
      <c r="C152" s="2" t="s">
        <v>2598</v>
      </c>
      <c r="D152" s="2"/>
    </row>
    <row r="153" spans="1:4" ht="18" customHeight="1" x14ac:dyDescent="0.3">
      <c r="A153" s="2" t="s">
        <v>929</v>
      </c>
      <c r="B153" s="2" t="s">
        <v>35</v>
      </c>
      <c r="C153" s="2" t="s">
        <v>2598</v>
      </c>
      <c r="D153" s="2"/>
    </row>
    <row r="154" spans="1:4" ht="18" customHeight="1" x14ac:dyDescent="0.3">
      <c r="A154" s="2" t="s">
        <v>931</v>
      </c>
      <c r="B154" s="2" t="s">
        <v>35</v>
      </c>
      <c r="C154" s="2" t="s">
        <v>2598</v>
      </c>
      <c r="D154" s="2"/>
    </row>
    <row r="155" spans="1:4" ht="18" customHeight="1" x14ac:dyDescent="0.3">
      <c r="A155" s="2" t="s">
        <v>932</v>
      </c>
      <c r="B155" s="2" t="s">
        <v>35</v>
      </c>
      <c r="C155" s="2" t="s">
        <v>2598</v>
      </c>
      <c r="D155" s="2"/>
    </row>
    <row r="156" spans="1:4" ht="18" customHeight="1" x14ac:dyDescent="0.3">
      <c r="A156" s="2" t="s">
        <v>934</v>
      </c>
      <c r="B156" s="2" t="s">
        <v>35</v>
      </c>
      <c r="C156" s="2" t="s">
        <v>2598</v>
      </c>
      <c r="D156" s="2"/>
    </row>
    <row r="157" spans="1:4" ht="18" customHeight="1" x14ac:dyDescent="0.3">
      <c r="A157" s="2" t="s">
        <v>935</v>
      </c>
      <c r="B157" s="2" t="s">
        <v>35</v>
      </c>
      <c r="C157" s="2" t="s">
        <v>2598</v>
      </c>
      <c r="D157" s="2"/>
    </row>
    <row r="158" spans="1:4" ht="18" customHeight="1" x14ac:dyDescent="0.3">
      <c r="A158" s="2" t="s">
        <v>936</v>
      </c>
      <c r="B158" s="2" t="s">
        <v>35</v>
      </c>
      <c r="C158" s="2" t="s">
        <v>2598</v>
      </c>
      <c r="D158" s="2"/>
    </row>
    <row r="159" spans="1:4" ht="18" customHeight="1" x14ac:dyDescent="0.3">
      <c r="A159" s="2" t="s">
        <v>938</v>
      </c>
      <c r="B159" s="2" t="s">
        <v>35</v>
      </c>
      <c r="C159" s="2" t="s">
        <v>2598</v>
      </c>
      <c r="D159" s="2"/>
    </row>
    <row r="160" spans="1:4" ht="18" customHeight="1" x14ac:dyDescent="0.3">
      <c r="A160" s="2" t="s">
        <v>939</v>
      </c>
      <c r="B160" s="2" t="s">
        <v>35</v>
      </c>
      <c r="C160" s="2" t="s">
        <v>2598</v>
      </c>
      <c r="D160" s="2"/>
    </row>
    <row r="161" spans="1:4" ht="18" customHeight="1" x14ac:dyDescent="0.3">
      <c r="A161" s="2" t="s">
        <v>940</v>
      </c>
      <c r="B161" s="2" t="s">
        <v>35</v>
      </c>
      <c r="C161" s="2" t="s">
        <v>2598</v>
      </c>
      <c r="D161" s="2"/>
    </row>
    <row r="162" spans="1:4" ht="18" customHeight="1" x14ac:dyDescent="0.3">
      <c r="A162" s="2" t="s">
        <v>941</v>
      </c>
      <c r="B162" s="2" t="s">
        <v>35</v>
      </c>
      <c r="C162" s="2" t="s">
        <v>2598</v>
      </c>
      <c r="D162" s="2"/>
    </row>
    <row r="163" spans="1:4" ht="18" customHeight="1" x14ac:dyDescent="0.3">
      <c r="A163" s="2" t="s">
        <v>943</v>
      </c>
      <c r="B163" s="2" t="s">
        <v>35</v>
      </c>
      <c r="C163" s="2" t="s">
        <v>2598</v>
      </c>
      <c r="D163" s="2"/>
    </row>
    <row r="164" spans="1:4" ht="18" customHeight="1" x14ac:dyDescent="0.3">
      <c r="A164" s="2" t="s">
        <v>944</v>
      </c>
      <c r="B164" s="2" t="s">
        <v>35</v>
      </c>
      <c r="C164" s="2" t="s">
        <v>2598</v>
      </c>
      <c r="D164" s="2"/>
    </row>
    <row r="165" spans="1:4" ht="18" customHeight="1" x14ac:dyDescent="0.3">
      <c r="A165" s="2" t="s">
        <v>946</v>
      </c>
      <c r="B165" s="2" t="s">
        <v>35</v>
      </c>
      <c r="C165" s="2" t="s">
        <v>2598</v>
      </c>
      <c r="D165" s="2"/>
    </row>
    <row r="166" spans="1:4" ht="18" customHeight="1" x14ac:dyDescent="0.3">
      <c r="A166" s="2" t="s">
        <v>948</v>
      </c>
      <c r="B166" s="2" t="s">
        <v>35</v>
      </c>
      <c r="C166" s="2" t="s">
        <v>2598</v>
      </c>
      <c r="D166" s="2"/>
    </row>
    <row r="167" spans="1:4" ht="18" customHeight="1" x14ac:dyDescent="0.3">
      <c r="A167" s="2" t="s">
        <v>949</v>
      </c>
      <c r="B167" s="2" t="s">
        <v>35</v>
      </c>
      <c r="C167" s="2" t="s">
        <v>2598</v>
      </c>
      <c r="D167" s="2"/>
    </row>
    <row r="168" spans="1:4" ht="18" customHeight="1" x14ac:dyDescent="0.3">
      <c r="A168" s="2" t="s">
        <v>951</v>
      </c>
      <c r="B168" s="2" t="s">
        <v>35</v>
      </c>
      <c r="C168" s="2" t="s">
        <v>2598</v>
      </c>
      <c r="D168" s="2"/>
    </row>
    <row r="169" spans="1:4" ht="18" customHeight="1" x14ac:dyDescent="0.3">
      <c r="A169" s="2" t="s">
        <v>952</v>
      </c>
      <c r="B169" s="2" t="s">
        <v>35</v>
      </c>
      <c r="C169" s="2" t="s">
        <v>2598</v>
      </c>
      <c r="D169" s="2"/>
    </row>
    <row r="170" spans="1:4" ht="18" customHeight="1" x14ac:dyDescent="0.3">
      <c r="A170" s="2" t="s">
        <v>954</v>
      </c>
      <c r="B170" s="2" t="s">
        <v>35</v>
      </c>
      <c r="C170" s="2" t="s">
        <v>2598</v>
      </c>
      <c r="D170" s="2"/>
    </row>
    <row r="171" spans="1:4" ht="18" customHeight="1" x14ac:dyDescent="0.3">
      <c r="A171" s="2" t="s">
        <v>955</v>
      </c>
      <c r="B171" s="2" t="s">
        <v>35</v>
      </c>
      <c r="C171" s="2" t="s">
        <v>2598</v>
      </c>
      <c r="D171" s="2"/>
    </row>
    <row r="172" spans="1:4" ht="18" customHeight="1" x14ac:dyDescent="0.3">
      <c r="A172" s="2" t="s">
        <v>957</v>
      </c>
      <c r="B172" s="2" t="s">
        <v>35</v>
      </c>
      <c r="C172" s="2" t="s">
        <v>2598</v>
      </c>
      <c r="D172" s="2"/>
    </row>
    <row r="173" spans="1:4" ht="18" customHeight="1" x14ac:dyDescent="0.3">
      <c r="A173" s="2" t="s">
        <v>959</v>
      </c>
      <c r="B173" s="2" t="s">
        <v>35</v>
      </c>
      <c r="C173" s="2" t="s">
        <v>2598</v>
      </c>
      <c r="D173" s="2"/>
    </row>
    <row r="174" spans="1:4" ht="18" customHeight="1" x14ac:dyDescent="0.3">
      <c r="A174" s="2" t="s">
        <v>960</v>
      </c>
      <c r="B174" s="2" t="s">
        <v>35</v>
      </c>
      <c r="C174" s="2" t="s">
        <v>2598</v>
      </c>
      <c r="D174" s="2"/>
    </row>
    <row r="175" spans="1:4" ht="18" customHeight="1" x14ac:dyDescent="0.3">
      <c r="A175" s="2" t="s">
        <v>961</v>
      </c>
      <c r="B175" s="2" t="s">
        <v>35</v>
      </c>
      <c r="C175" s="2" t="s">
        <v>2598</v>
      </c>
      <c r="D175" s="2"/>
    </row>
    <row r="176" spans="1:4" ht="18" customHeight="1" x14ac:dyDescent="0.3">
      <c r="A176" s="2" t="s">
        <v>962</v>
      </c>
      <c r="B176" s="2" t="s">
        <v>35</v>
      </c>
      <c r="C176" s="2" t="s">
        <v>2598</v>
      </c>
      <c r="D176" s="2"/>
    </row>
    <row r="177" spans="1:4" ht="18" customHeight="1" x14ac:dyDescent="0.3">
      <c r="A177" s="2" t="s">
        <v>964</v>
      </c>
      <c r="B177" s="2" t="s">
        <v>35</v>
      </c>
      <c r="C177" s="2" t="s">
        <v>2598</v>
      </c>
      <c r="D177" s="2"/>
    </row>
    <row r="178" spans="1:4" ht="18" customHeight="1" x14ac:dyDescent="0.3">
      <c r="A178" s="2" t="s">
        <v>966</v>
      </c>
      <c r="B178" s="2" t="s">
        <v>35</v>
      </c>
      <c r="C178" s="2" t="s">
        <v>2598</v>
      </c>
      <c r="D178" s="2"/>
    </row>
    <row r="179" spans="1:4" ht="18" customHeight="1" x14ac:dyDescent="0.3">
      <c r="A179" s="2" t="s">
        <v>2600</v>
      </c>
      <c r="B179" s="2" t="s">
        <v>2601</v>
      </c>
      <c r="C179" s="2" t="s">
        <v>2549</v>
      </c>
      <c r="D179" s="2"/>
    </row>
    <row r="180" spans="1:4" ht="18" customHeight="1" x14ac:dyDescent="0.3">
      <c r="A180" s="2" t="s">
        <v>2602</v>
      </c>
      <c r="B180" s="2" t="s">
        <v>2601</v>
      </c>
      <c r="C180" s="2" t="s">
        <v>2549</v>
      </c>
      <c r="D180" s="2"/>
    </row>
    <row r="181" spans="1:4" ht="18" customHeight="1" x14ac:dyDescent="0.3">
      <c r="A181" s="2" t="s">
        <v>2603</v>
      </c>
      <c r="B181" s="2" t="s">
        <v>2601</v>
      </c>
      <c r="C181" s="2" t="s">
        <v>2549</v>
      </c>
      <c r="D181" s="2"/>
    </row>
    <row r="182" spans="1:4" ht="18" customHeight="1" x14ac:dyDescent="0.3">
      <c r="A182" s="2" t="s">
        <v>2604</v>
      </c>
      <c r="B182" s="2" t="s">
        <v>2601</v>
      </c>
      <c r="C182" s="2" t="s">
        <v>2549</v>
      </c>
      <c r="D182" s="2"/>
    </row>
    <row r="183" spans="1:4" ht="18" customHeight="1" x14ac:dyDescent="0.3">
      <c r="A183" s="2" t="s">
        <v>2605</v>
      </c>
      <c r="B183" s="2" t="s">
        <v>2601</v>
      </c>
      <c r="C183" s="2" t="s">
        <v>2549</v>
      </c>
      <c r="D183" s="7" t="s">
        <v>2777</v>
      </c>
    </row>
    <row r="184" spans="1:4" ht="18" customHeight="1" x14ac:dyDescent="0.3">
      <c r="A184" s="2" t="s">
        <v>167</v>
      </c>
      <c r="B184" s="2" t="s">
        <v>168</v>
      </c>
      <c r="C184" s="2" t="s">
        <v>2547</v>
      </c>
      <c r="D184" s="2"/>
    </row>
    <row r="185" spans="1:4" ht="18" customHeight="1" x14ac:dyDescent="0.3">
      <c r="A185" s="2" t="s">
        <v>968</v>
      </c>
      <c r="B185" s="2" t="s">
        <v>168</v>
      </c>
      <c r="C185" s="2" t="s">
        <v>2547</v>
      </c>
      <c r="D185" s="2"/>
    </row>
    <row r="186" spans="1:4" ht="18" customHeight="1" x14ac:dyDescent="0.3">
      <c r="A186" s="2" t="s">
        <v>970</v>
      </c>
      <c r="B186" s="2" t="s">
        <v>168</v>
      </c>
      <c r="C186" s="2" t="s">
        <v>2547</v>
      </c>
      <c r="D186" s="2"/>
    </row>
    <row r="187" spans="1:4" ht="18" customHeight="1" x14ac:dyDescent="0.3">
      <c r="A187" s="2" t="s">
        <v>972</v>
      </c>
      <c r="B187" s="2" t="s">
        <v>168</v>
      </c>
      <c r="C187" s="2" t="s">
        <v>2547</v>
      </c>
      <c r="D187" s="2"/>
    </row>
    <row r="188" spans="1:4" ht="18" customHeight="1" x14ac:dyDescent="0.3">
      <c r="A188" s="2" t="s">
        <v>974</v>
      </c>
      <c r="B188" s="2" t="s">
        <v>168</v>
      </c>
      <c r="C188" s="2" t="s">
        <v>2547</v>
      </c>
      <c r="D188" s="2"/>
    </row>
    <row r="189" spans="1:4" ht="18" customHeight="1" x14ac:dyDescent="0.3">
      <c r="A189" s="2" t="s">
        <v>976</v>
      </c>
      <c r="B189" s="2" t="s">
        <v>168</v>
      </c>
      <c r="C189" s="2" t="s">
        <v>2547</v>
      </c>
      <c r="D189" s="2"/>
    </row>
    <row r="190" spans="1:4" ht="18" customHeight="1" x14ac:dyDescent="0.3">
      <c r="A190" s="2" t="s">
        <v>977</v>
      </c>
      <c r="B190" s="2" t="s">
        <v>168</v>
      </c>
      <c r="C190" s="2" t="s">
        <v>2547</v>
      </c>
      <c r="D190" s="2"/>
    </row>
    <row r="191" spans="1:4" ht="18" customHeight="1" x14ac:dyDescent="0.3">
      <c r="A191" s="2" t="s">
        <v>979</v>
      </c>
      <c r="B191" s="2" t="s">
        <v>168</v>
      </c>
      <c r="C191" s="2" t="s">
        <v>2547</v>
      </c>
      <c r="D191" s="2"/>
    </row>
    <row r="192" spans="1:4" ht="18" customHeight="1" x14ac:dyDescent="0.3">
      <c r="A192" s="2" t="s">
        <v>980</v>
      </c>
      <c r="B192" s="2" t="s">
        <v>168</v>
      </c>
      <c r="C192" s="2" t="s">
        <v>2547</v>
      </c>
      <c r="D192" s="2"/>
    </row>
    <row r="193" spans="1:4" ht="18" customHeight="1" x14ac:dyDescent="0.3">
      <c r="A193" s="2" t="s">
        <v>981</v>
      </c>
      <c r="B193" s="2" t="s">
        <v>168</v>
      </c>
      <c r="C193" s="2" t="s">
        <v>2547</v>
      </c>
      <c r="D193" s="2"/>
    </row>
    <row r="194" spans="1:4" ht="18" customHeight="1" x14ac:dyDescent="0.3">
      <c r="A194" s="2" t="s">
        <v>982</v>
      </c>
      <c r="B194" s="2" t="s">
        <v>168</v>
      </c>
      <c r="C194" s="2" t="s">
        <v>2547</v>
      </c>
      <c r="D194" s="2"/>
    </row>
    <row r="195" spans="1:4" ht="18" customHeight="1" x14ac:dyDescent="0.3">
      <c r="A195" s="2" t="s">
        <v>983</v>
      </c>
      <c r="B195" s="2" t="s">
        <v>168</v>
      </c>
      <c r="C195" s="2" t="s">
        <v>2547</v>
      </c>
      <c r="D195" s="2"/>
    </row>
    <row r="196" spans="1:4" ht="18" customHeight="1" x14ac:dyDescent="0.3">
      <c r="A196" s="2" t="s">
        <v>984</v>
      </c>
      <c r="B196" s="2" t="s">
        <v>168</v>
      </c>
      <c r="C196" s="2" t="s">
        <v>2547</v>
      </c>
      <c r="D196" s="2"/>
    </row>
    <row r="197" spans="1:4" ht="18" customHeight="1" x14ac:dyDescent="0.3">
      <c r="A197" s="2" t="s">
        <v>985</v>
      </c>
      <c r="B197" s="2" t="s">
        <v>168</v>
      </c>
      <c r="C197" s="2" t="s">
        <v>2547</v>
      </c>
      <c r="D197" s="2"/>
    </row>
    <row r="198" spans="1:4" ht="18" customHeight="1" x14ac:dyDescent="0.3">
      <c r="A198" s="2" t="s">
        <v>986</v>
      </c>
      <c r="B198" s="2" t="s">
        <v>168</v>
      </c>
      <c r="C198" s="2" t="s">
        <v>2547</v>
      </c>
      <c r="D198" s="2"/>
    </row>
    <row r="199" spans="1:4" ht="18" customHeight="1" x14ac:dyDescent="0.3">
      <c r="A199" s="2" t="s">
        <v>988</v>
      </c>
      <c r="B199" s="2" t="s">
        <v>168</v>
      </c>
      <c r="C199" s="2" t="s">
        <v>2547</v>
      </c>
      <c r="D199" s="2"/>
    </row>
    <row r="200" spans="1:4" ht="18" customHeight="1" x14ac:dyDescent="0.3">
      <c r="A200" s="2" t="s">
        <v>989</v>
      </c>
      <c r="B200" s="2" t="s">
        <v>168</v>
      </c>
      <c r="C200" s="2" t="s">
        <v>2547</v>
      </c>
      <c r="D200" s="2"/>
    </row>
    <row r="201" spans="1:4" ht="18" customHeight="1" x14ac:dyDescent="0.3">
      <c r="A201" s="2" t="s">
        <v>990</v>
      </c>
      <c r="B201" s="2" t="s">
        <v>168</v>
      </c>
      <c r="C201" s="2" t="s">
        <v>2547</v>
      </c>
      <c r="D201" s="2"/>
    </row>
    <row r="202" spans="1:4" ht="18" customHeight="1" x14ac:dyDescent="0.3">
      <c r="A202" s="2" t="s">
        <v>991</v>
      </c>
      <c r="B202" s="2" t="s">
        <v>168</v>
      </c>
      <c r="C202" s="2" t="s">
        <v>2547</v>
      </c>
      <c r="D202" s="2"/>
    </row>
    <row r="203" spans="1:4" ht="18" customHeight="1" x14ac:dyDescent="0.3">
      <c r="A203" s="2" t="s">
        <v>992</v>
      </c>
      <c r="B203" s="2" t="s">
        <v>168</v>
      </c>
      <c r="C203" s="2" t="s">
        <v>2547</v>
      </c>
      <c r="D203" s="2"/>
    </row>
    <row r="204" spans="1:4" ht="18" customHeight="1" x14ac:dyDescent="0.3">
      <c r="A204" s="2" t="s">
        <v>993</v>
      </c>
      <c r="B204" s="2" t="s">
        <v>168</v>
      </c>
      <c r="C204" s="2" t="s">
        <v>2547</v>
      </c>
      <c r="D204" s="2"/>
    </row>
    <row r="205" spans="1:4" ht="18" customHeight="1" x14ac:dyDescent="0.3">
      <c r="A205" s="2" t="s">
        <v>994</v>
      </c>
      <c r="B205" s="2" t="s">
        <v>168</v>
      </c>
      <c r="C205" s="2" t="s">
        <v>2547</v>
      </c>
      <c r="D205" s="2"/>
    </row>
    <row r="206" spans="1:4" ht="18" customHeight="1" x14ac:dyDescent="0.3">
      <c r="A206" s="2" t="s">
        <v>995</v>
      </c>
      <c r="B206" s="2" t="s">
        <v>168</v>
      </c>
      <c r="C206" s="2" t="s">
        <v>2547</v>
      </c>
      <c r="D206" s="2"/>
    </row>
    <row r="207" spans="1:4" ht="18" customHeight="1" x14ac:dyDescent="0.3">
      <c r="A207" s="2" t="s">
        <v>997</v>
      </c>
      <c r="B207" s="2" t="s">
        <v>168</v>
      </c>
      <c r="C207" s="2" t="s">
        <v>2547</v>
      </c>
      <c r="D207" s="2"/>
    </row>
    <row r="208" spans="1:4" ht="18" customHeight="1" x14ac:dyDescent="0.3">
      <c r="A208" s="2" t="s">
        <v>999</v>
      </c>
      <c r="B208" s="2" t="s">
        <v>168</v>
      </c>
      <c r="C208" s="2" t="s">
        <v>2547</v>
      </c>
      <c r="D208" s="2"/>
    </row>
    <row r="209" spans="1:4" ht="18" customHeight="1" x14ac:dyDescent="0.3">
      <c r="A209" s="2" t="s">
        <v>1000</v>
      </c>
      <c r="B209" s="2" t="s">
        <v>168</v>
      </c>
      <c r="C209" s="2" t="s">
        <v>2547</v>
      </c>
      <c r="D209" s="2"/>
    </row>
    <row r="210" spans="1:4" ht="18" customHeight="1" x14ac:dyDescent="0.3">
      <c r="A210" s="2" t="s">
        <v>1001</v>
      </c>
      <c r="B210" s="2" t="s">
        <v>168</v>
      </c>
      <c r="C210" s="2" t="s">
        <v>2547</v>
      </c>
      <c r="D210" s="2"/>
    </row>
    <row r="211" spans="1:4" ht="18" customHeight="1" x14ac:dyDescent="0.3">
      <c r="A211" s="2" t="s">
        <v>1002</v>
      </c>
      <c r="B211" s="2" t="s">
        <v>168</v>
      </c>
      <c r="C211" s="2" t="s">
        <v>2547</v>
      </c>
      <c r="D211" s="2"/>
    </row>
    <row r="212" spans="1:4" ht="18" customHeight="1" x14ac:dyDescent="0.3">
      <c r="A212" s="2" t="s">
        <v>1004</v>
      </c>
      <c r="B212" s="2" t="s">
        <v>168</v>
      </c>
      <c r="C212" s="2" t="s">
        <v>2547</v>
      </c>
      <c r="D212" s="2"/>
    </row>
    <row r="213" spans="1:4" ht="18" customHeight="1" x14ac:dyDescent="0.3">
      <c r="A213" s="2" t="s">
        <v>1005</v>
      </c>
      <c r="B213" s="2" t="s">
        <v>168</v>
      </c>
      <c r="C213" s="2" t="s">
        <v>2547</v>
      </c>
      <c r="D213" s="2"/>
    </row>
    <row r="214" spans="1:4" ht="18" customHeight="1" x14ac:dyDescent="0.3">
      <c r="A214" s="2" t="s">
        <v>1007</v>
      </c>
      <c r="B214" s="2" t="s">
        <v>168</v>
      </c>
      <c r="C214" s="2" t="s">
        <v>2547</v>
      </c>
      <c r="D214" s="2"/>
    </row>
    <row r="215" spans="1:4" ht="18" customHeight="1" x14ac:dyDescent="0.3">
      <c r="A215" s="2" t="s">
        <v>1008</v>
      </c>
      <c r="B215" s="2" t="s">
        <v>168</v>
      </c>
      <c r="C215" s="2" t="s">
        <v>2547</v>
      </c>
      <c r="D215" s="2"/>
    </row>
    <row r="216" spans="1:4" ht="18" customHeight="1" x14ac:dyDescent="0.3">
      <c r="A216" s="2" t="s">
        <v>1010</v>
      </c>
      <c r="B216" s="2" t="s">
        <v>168</v>
      </c>
      <c r="C216" s="2" t="s">
        <v>2547</v>
      </c>
      <c r="D216" s="2"/>
    </row>
    <row r="217" spans="1:4" ht="18" customHeight="1" x14ac:dyDescent="0.3">
      <c r="A217" s="2" t="s">
        <v>1012</v>
      </c>
      <c r="B217" s="2" t="s">
        <v>168</v>
      </c>
      <c r="C217" s="2" t="s">
        <v>2547</v>
      </c>
      <c r="D217" s="2"/>
    </row>
    <row r="218" spans="1:4" ht="18" customHeight="1" x14ac:dyDescent="0.3">
      <c r="A218" s="2" t="s">
        <v>1013</v>
      </c>
      <c r="B218" s="2" t="s">
        <v>168</v>
      </c>
      <c r="C218" s="2" t="s">
        <v>2547</v>
      </c>
      <c r="D218" s="2"/>
    </row>
    <row r="219" spans="1:4" ht="18" customHeight="1" x14ac:dyDescent="0.3">
      <c r="A219" s="2" t="s">
        <v>1014</v>
      </c>
      <c r="B219" s="2" t="s">
        <v>168</v>
      </c>
      <c r="C219" s="2" t="s">
        <v>2547</v>
      </c>
      <c r="D219" s="2"/>
    </row>
    <row r="220" spans="1:4" ht="18" customHeight="1" x14ac:dyDescent="0.3">
      <c r="A220" s="2" t="s">
        <v>1016</v>
      </c>
      <c r="B220" s="2" t="s">
        <v>168</v>
      </c>
      <c r="C220" s="2" t="s">
        <v>2547</v>
      </c>
      <c r="D220" s="2"/>
    </row>
    <row r="221" spans="1:4" ht="18" customHeight="1" x14ac:dyDescent="0.3">
      <c r="A221" s="2" t="s">
        <v>1017</v>
      </c>
      <c r="B221" s="2" t="s">
        <v>168</v>
      </c>
      <c r="C221" s="2" t="s">
        <v>2547</v>
      </c>
      <c r="D221" s="2"/>
    </row>
    <row r="222" spans="1:4" ht="18" customHeight="1" x14ac:dyDescent="0.3">
      <c r="A222" s="2" t="s">
        <v>1018</v>
      </c>
      <c r="B222" s="2" t="s">
        <v>168</v>
      </c>
      <c r="C222" s="2" t="s">
        <v>2547</v>
      </c>
      <c r="D222" s="2"/>
    </row>
    <row r="223" spans="1:4" ht="18" customHeight="1" x14ac:dyDescent="0.3">
      <c r="A223" s="2" t="s">
        <v>1020</v>
      </c>
      <c r="B223" s="2" t="s">
        <v>168</v>
      </c>
      <c r="C223" s="2" t="s">
        <v>2547</v>
      </c>
      <c r="D223" s="2"/>
    </row>
    <row r="224" spans="1:4" ht="18" customHeight="1" x14ac:dyDescent="0.3">
      <c r="A224" s="2" t="s">
        <v>1022</v>
      </c>
      <c r="B224" s="2" t="s">
        <v>168</v>
      </c>
      <c r="C224" s="2" t="s">
        <v>2547</v>
      </c>
      <c r="D224" s="2"/>
    </row>
    <row r="225" spans="1:4" ht="18" customHeight="1" x14ac:dyDescent="0.3">
      <c r="A225" s="2" t="s">
        <v>1023</v>
      </c>
      <c r="B225" s="2" t="s">
        <v>168</v>
      </c>
      <c r="C225" s="2" t="s">
        <v>2547</v>
      </c>
      <c r="D225" s="2"/>
    </row>
    <row r="226" spans="1:4" ht="18" customHeight="1" x14ac:dyDescent="0.3">
      <c r="A226" s="2" t="s">
        <v>1025</v>
      </c>
      <c r="B226" s="2" t="s">
        <v>168</v>
      </c>
      <c r="C226" s="2" t="s">
        <v>2547</v>
      </c>
      <c r="D226" s="2"/>
    </row>
    <row r="227" spans="1:4" ht="18" customHeight="1" x14ac:dyDescent="0.3">
      <c r="A227" s="2" t="s">
        <v>1026</v>
      </c>
      <c r="B227" s="2" t="s">
        <v>168</v>
      </c>
      <c r="C227" s="2" t="s">
        <v>2547</v>
      </c>
      <c r="D227" s="2"/>
    </row>
    <row r="228" spans="1:4" ht="18" customHeight="1" x14ac:dyDescent="0.3">
      <c r="A228" s="2" t="s">
        <v>1028</v>
      </c>
      <c r="B228" s="2" t="s">
        <v>168</v>
      </c>
      <c r="C228" s="2" t="s">
        <v>2547</v>
      </c>
      <c r="D228" s="2"/>
    </row>
    <row r="229" spans="1:4" ht="18" customHeight="1" x14ac:dyDescent="0.3">
      <c r="A229" s="2" t="s">
        <v>1030</v>
      </c>
      <c r="B229" s="2" t="s">
        <v>168</v>
      </c>
      <c r="C229" s="2" t="s">
        <v>2547</v>
      </c>
      <c r="D229" s="2"/>
    </row>
    <row r="230" spans="1:4" ht="18" customHeight="1" x14ac:dyDescent="0.3">
      <c r="A230" s="2" t="s">
        <v>1032</v>
      </c>
      <c r="B230" s="2" t="s">
        <v>168</v>
      </c>
      <c r="C230" s="2" t="s">
        <v>2547</v>
      </c>
      <c r="D230" s="2"/>
    </row>
    <row r="231" spans="1:4" ht="18" customHeight="1" x14ac:dyDescent="0.3">
      <c r="A231" s="2" t="s">
        <v>1033</v>
      </c>
      <c r="B231" s="2" t="s">
        <v>168</v>
      </c>
      <c r="C231" s="2" t="s">
        <v>2547</v>
      </c>
      <c r="D231" s="2"/>
    </row>
    <row r="232" spans="1:4" ht="18" customHeight="1" x14ac:dyDescent="0.3">
      <c r="A232" s="2" t="s">
        <v>1034</v>
      </c>
      <c r="B232" s="2" t="s">
        <v>168</v>
      </c>
      <c r="C232" s="2" t="s">
        <v>2547</v>
      </c>
      <c r="D232" s="2"/>
    </row>
    <row r="233" spans="1:4" ht="18" customHeight="1" x14ac:dyDescent="0.3">
      <c r="A233" s="2" t="s">
        <v>1036</v>
      </c>
      <c r="B233" s="2" t="s">
        <v>168</v>
      </c>
      <c r="C233" s="2" t="s">
        <v>2547</v>
      </c>
      <c r="D233" s="2"/>
    </row>
    <row r="234" spans="1:4" ht="18" customHeight="1" x14ac:dyDescent="0.3">
      <c r="A234" s="2" t="s">
        <v>1037</v>
      </c>
      <c r="B234" s="2" t="s">
        <v>168</v>
      </c>
      <c r="C234" s="2" t="s">
        <v>2547</v>
      </c>
      <c r="D234" s="2"/>
    </row>
    <row r="235" spans="1:4" ht="18" customHeight="1" x14ac:dyDescent="0.3">
      <c r="A235" s="2" t="s">
        <v>1038</v>
      </c>
      <c r="B235" s="2" t="s">
        <v>168</v>
      </c>
      <c r="C235" s="2" t="s">
        <v>2547</v>
      </c>
      <c r="D235" s="2"/>
    </row>
    <row r="236" spans="1:4" ht="18" customHeight="1" x14ac:dyDescent="0.3">
      <c r="A236" s="2" t="s">
        <v>1039</v>
      </c>
      <c r="B236" s="2" t="s">
        <v>168</v>
      </c>
      <c r="C236" s="2" t="s">
        <v>2547</v>
      </c>
      <c r="D236" s="2"/>
    </row>
    <row r="237" spans="1:4" ht="18" customHeight="1" x14ac:dyDescent="0.3">
      <c r="A237" s="2" t="s">
        <v>1040</v>
      </c>
      <c r="B237" s="2" t="s">
        <v>168</v>
      </c>
      <c r="C237" s="2" t="s">
        <v>2547</v>
      </c>
      <c r="D237" s="2"/>
    </row>
    <row r="238" spans="1:4" ht="18" customHeight="1" x14ac:dyDescent="0.3">
      <c r="A238" s="2" t="s">
        <v>1041</v>
      </c>
      <c r="B238" s="2" t="s">
        <v>168</v>
      </c>
      <c r="C238" s="2" t="s">
        <v>2547</v>
      </c>
      <c r="D238" s="2"/>
    </row>
    <row r="239" spans="1:4" ht="18" customHeight="1" x14ac:dyDescent="0.3">
      <c r="A239" s="2" t="s">
        <v>1042</v>
      </c>
      <c r="B239" s="2" t="s">
        <v>168</v>
      </c>
      <c r="C239" s="2" t="s">
        <v>2547</v>
      </c>
      <c r="D239" s="2"/>
    </row>
    <row r="240" spans="1:4" ht="18" customHeight="1" x14ac:dyDescent="0.3">
      <c r="A240" s="2" t="s">
        <v>1043</v>
      </c>
      <c r="B240" s="2" t="s">
        <v>168</v>
      </c>
      <c r="C240" s="2" t="s">
        <v>2547</v>
      </c>
      <c r="D240" s="2"/>
    </row>
    <row r="241" spans="1:4" ht="18" customHeight="1" x14ac:dyDescent="0.3">
      <c r="A241" s="2" t="s">
        <v>1044</v>
      </c>
      <c r="B241" s="2" t="s">
        <v>168</v>
      </c>
      <c r="C241" s="2" t="s">
        <v>2547</v>
      </c>
      <c r="D241" s="2"/>
    </row>
    <row r="242" spans="1:4" ht="18" customHeight="1" x14ac:dyDescent="0.3">
      <c r="A242" s="2" t="s">
        <v>1046</v>
      </c>
      <c r="B242" s="2" t="s">
        <v>168</v>
      </c>
      <c r="C242" s="2" t="s">
        <v>2547</v>
      </c>
      <c r="D242" s="2"/>
    </row>
    <row r="243" spans="1:4" ht="18" customHeight="1" x14ac:dyDescent="0.3">
      <c r="A243" s="2" t="s">
        <v>1047</v>
      </c>
      <c r="B243" s="2" t="s">
        <v>168</v>
      </c>
      <c r="C243" s="2" t="s">
        <v>2547</v>
      </c>
      <c r="D243" s="2"/>
    </row>
    <row r="244" spans="1:4" ht="18" customHeight="1" x14ac:dyDescent="0.3">
      <c r="A244" s="2" t="s">
        <v>1048</v>
      </c>
      <c r="B244" s="2" t="s">
        <v>168</v>
      </c>
      <c r="C244" s="2" t="s">
        <v>2547</v>
      </c>
      <c r="D244" s="2"/>
    </row>
    <row r="245" spans="1:4" ht="18" customHeight="1" x14ac:dyDescent="0.3">
      <c r="A245" s="2" t="s">
        <v>1049</v>
      </c>
      <c r="B245" s="2" t="s">
        <v>168</v>
      </c>
      <c r="C245" s="2" t="s">
        <v>2547</v>
      </c>
      <c r="D245" s="2"/>
    </row>
    <row r="246" spans="1:4" ht="18" customHeight="1" x14ac:dyDescent="0.3">
      <c r="A246" s="2" t="s">
        <v>1050</v>
      </c>
      <c r="B246" s="2" t="s">
        <v>168</v>
      </c>
      <c r="C246" s="2" t="s">
        <v>2547</v>
      </c>
      <c r="D246" s="2"/>
    </row>
    <row r="247" spans="1:4" ht="18" customHeight="1" x14ac:dyDescent="0.3">
      <c r="A247" s="2" t="s">
        <v>1051</v>
      </c>
      <c r="B247" s="2" t="s">
        <v>168</v>
      </c>
      <c r="C247" s="2" t="s">
        <v>2547</v>
      </c>
      <c r="D247" s="2"/>
    </row>
    <row r="248" spans="1:4" ht="18" customHeight="1" x14ac:dyDescent="0.3">
      <c r="A248" s="2" t="s">
        <v>1052</v>
      </c>
      <c r="B248" s="2" t="s">
        <v>168</v>
      </c>
      <c r="C248" s="2" t="s">
        <v>2547</v>
      </c>
      <c r="D248" s="2"/>
    </row>
    <row r="249" spans="1:4" ht="18" customHeight="1" x14ac:dyDescent="0.3">
      <c r="A249" s="2" t="s">
        <v>1053</v>
      </c>
      <c r="B249" s="2" t="s">
        <v>168</v>
      </c>
      <c r="C249" s="2" t="s">
        <v>2547</v>
      </c>
      <c r="D249" s="2"/>
    </row>
    <row r="250" spans="1:4" ht="18" customHeight="1" x14ac:dyDescent="0.3">
      <c r="A250" s="2" t="s">
        <v>1054</v>
      </c>
      <c r="B250" s="2" t="s">
        <v>168</v>
      </c>
      <c r="C250" s="2" t="s">
        <v>2547</v>
      </c>
      <c r="D250" s="2"/>
    </row>
    <row r="251" spans="1:4" ht="18" customHeight="1" x14ac:dyDescent="0.3">
      <c r="A251" s="2" t="s">
        <v>1056</v>
      </c>
      <c r="B251" s="2" t="s">
        <v>168</v>
      </c>
      <c r="C251" s="2" t="s">
        <v>2547</v>
      </c>
      <c r="D251" s="2"/>
    </row>
    <row r="252" spans="1:4" ht="18" customHeight="1" x14ac:dyDescent="0.3">
      <c r="A252" s="2" t="s">
        <v>1057</v>
      </c>
      <c r="B252" s="2" t="s">
        <v>168</v>
      </c>
      <c r="C252" s="2" t="s">
        <v>2547</v>
      </c>
      <c r="D252" s="2"/>
    </row>
    <row r="253" spans="1:4" ht="18" customHeight="1" x14ac:dyDescent="0.3">
      <c r="A253" s="2" t="s">
        <v>1059</v>
      </c>
      <c r="B253" s="2" t="s">
        <v>168</v>
      </c>
      <c r="C253" s="2" t="s">
        <v>2547</v>
      </c>
      <c r="D253" s="2"/>
    </row>
    <row r="254" spans="1:4" ht="18" customHeight="1" x14ac:dyDescent="0.3">
      <c r="A254" s="2" t="s">
        <v>1061</v>
      </c>
      <c r="B254" s="2" t="s">
        <v>168</v>
      </c>
      <c r="C254" s="2" t="s">
        <v>2547</v>
      </c>
      <c r="D254" s="2"/>
    </row>
    <row r="255" spans="1:4" ht="18" customHeight="1" x14ac:dyDescent="0.3">
      <c r="A255" s="2" t="s">
        <v>1063</v>
      </c>
      <c r="B255" s="2" t="s">
        <v>168</v>
      </c>
      <c r="C255" s="2" t="s">
        <v>2547</v>
      </c>
      <c r="D255" s="2"/>
    </row>
    <row r="256" spans="1:4" ht="18" customHeight="1" x14ac:dyDescent="0.3">
      <c r="A256" s="2" t="s">
        <v>1065</v>
      </c>
      <c r="B256" s="2" t="s">
        <v>168</v>
      </c>
      <c r="C256" s="2" t="s">
        <v>2547</v>
      </c>
      <c r="D256" s="2"/>
    </row>
    <row r="257" spans="1:4" ht="18" customHeight="1" x14ac:dyDescent="0.3">
      <c r="A257" s="2" t="s">
        <v>1067</v>
      </c>
      <c r="B257" s="2" t="s">
        <v>168</v>
      </c>
      <c r="C257" s="2" t="s">
        <v>2547</v>
      </c>
      <c r="D257" s="2"/>
    </row>
    <row r="258" spans="1:4" ht="18" customHeight="1" x14ac:dyDescent="0.3">
      <c r="A258" s="2" t="s">
        <v>1068</v>
      </c>
      <c r="B258" s="2" t="s">
        <v>168</v>
      </c>
      <c r="C258" s="2" t="s">
        <v>2547</v>
      </c>
      <c r="D258" s="2"/>
    </row>
    <row r="259" spans="1:4" ht="18" customHeight="1" x14ac:dyDescent="0.3">
      <c r="A259" s="2" t="s">
        <v>1069</v>
      </c>
      <c r="B259" s="2" t="s">
        <v>168</v>
      </c>
      <c r="C259" s="2" t="s">
        <v>2547</v>
      </c>
      <c r="D259" s="2"/>
    </row>
    <row r="260" spans="1:4" ht="18" customHeight="1" x14ac:dyDescent="0.3">
      <c r="A260" s="2" t="s">
        <v>1070</v>
      </c>
      <c r="B260" s="2" t="s">
        <v>168</v>
      </c>
      <c r="C260" s="2" t="s">
        <v>2547</v>
      </c>
      <c r="D260" s="2"/>
    </row>
    <row r="261" spans="1:4" ht="18" customHeight="1" x14ac:dyDescent="0.3">
      <c r="A261" s="2" t="s">
        <v>1071</v>
      </c>
      <c r="B261" s="2" t="s">
        <v>168</v>
      </c>
      <c r="C261" s="2" t="s">
        <v>2547</v>
      </c>
      <c r="D261" s="2"/>
    </row>
    <row r="262" spans="1:4" ht="18" customHeight="1" x14ac:dyDescent="0.3">
      <c r="A262" s="2" t="s">
        <v>1073</v>
      </c>
      <c r="B262" s="2" t="s">
        <v>168</v>
      </c>
      <c r="C262" s="2" t="s">
        <v>2547</v>
      </c>
      <c r="D262" s="2"/>
    </row>
    <row r="263" spans="1:4" ht="18" customHeight="1" x14ac:dyDescent="0.3">
      <c r="A263" s="2" t="s">
        <v>1075</v>
      </c>
      <c r="B263" s="2" t="s">
        <v>168</v>
      </c>
      <c r="C263" s="2" t="s">
        <v>2547</v>
      </c>
      <c r="D263" s="2"/>
    </row>
    <row r="264" spans="1:4" ht="18" customHeight="1" x14ac:dyDescent="0.3">
      <c r="A264" s="2" t="s">
        <v>1077</v>
      </c>
      <c r="B264" s="2" t="s">
        <v>168</v>
      </c>
      <c r="C264" s="2" t="s">
        <v>2547</v>
      </c>
      <c r="D264" s="2"/>
    </row>
    <row r="265" spans="1:4" ht="18" customHeight="1" x14ac:dyDescent="0.3">
      <c r="A265" s="2" t="s">
        <v>1079</v>
      </c>
      <c r="B265" s="2" t="s">
        <v>168</v>
      </c>
      <c r="C265" s="2" t="s">
        <v>2547</v>
      </c>
      <c r="D265" s="2"/>
    </row>
    <row r="266" spans="1:4" ht="18" customHeight="1" x14ac:dyDescent="0.3">
      <c r="A266" s="2" t="s">
        <v>1081</v>
      </c>
      <c r="B266" s="2" t="s">
        <v>168</v>
      </c>
      <c r="C266" s="2" t="s">
        <v>2547</v>
      </c>
      <c r="D266" s="2"/>
    </row>
    <row r="267" spans="1:4" ht="18" customHeight="1" x14ac:dyDescent="0.3">
      <c r="A267" s="2" t="s">
        <v>1082</v>
      </c>
      <c r="B267" s="2" t="s">
        <v>168</v>
      </c>
      <c r="C267" s="2" t="s">
        <v>2547</v>
      </c>
      <c r="D267" s="2"/>
    </row>
    <row r="268" spans="1:4" ht="18" customHeight="1" x14ac:dyDescent="0.3">
      <c r="A268" s="2" t="s">
        <v>1084</v>
      </c>
      <c r="B268" s="2" t="s">
        <v>168</v>
      </c>
      <c r="C268" s="2" t="s">
        <v>2547</v>
      </c>
      <c r="D268" s="2"/>
    </row>
    <row r="269" spans="1:4" ht="18" customHeight="1" x14ac:dyDescent="0.3">
      <c r="A269" s="2" t="s">
        <v>1086</v>
      </c>
      <c r="B269" s="2" t="s">
        <v>168</v>
      </c>
      <c r="C269" s="2" t="s">
        <v>2547</v>
      </c>
      <c r="D269" s="2"/>
    </row>
    <row r="270" spans="1:4" ht="18" customHeight="1" x14ac:dyDescent="0.3">
      <c r="A270" s="2" t="s">
        <v>1087</v>
      </c>
      <c r="B270" s="2" t="s">
        <v>168</v>
      </c>
      <c r="C270" s="2" t="s">
        <v>2547</v>
      </c>
      <c r="D270" s="2"/>
    </row>
    <row r="271" spans="1:4" ht="18" customHeight="1" x14ac:dyDescent="0.3">
      <c r="A271" s="2" t="s">
        <v>1089</v>
      </c>
      <c r="B271" s="2" t="s">
        <v>168</v>
      </c>
      <c r="C271" s="2" t="s">
        <v>2547</v>
      </c>
      <c r="D271" s="2"/>
    </row>
    <row r="272" spans="1:4" ht="18" customHeight="1" x14ac:dyDescent="0.3">
      <c r="A272" s="2" t="s">
        <v>1091</v>
      </c>
      <c r="B272" s="2" t="s">
        <v>168</v>
      </c>
      <c r="C272" s="2" t="s">
        <v>2547</v>
      </c>
      <c r="D272" s="2"/>
    </row>
    <row r="273" spans="1:4" ht="18" customHeight="1" x14ac:dyDescent="0.3">
      <c r="A273" s="2" t="s">
        <v>1092</v>
      </c>
      <c r="B273" s="2" t="s">
        <v>168</v>
      </c>
      <c r="C273" s="2" t="s">
        <v>2547</v>
      </c>
      <c r="D273" s="2"/>
    </row>
    <row r="274" spans="1:4" ht="18" customHeight="1" x14ac:dyDescent="0.3">
      <c r="A274" s="2" t="s">
        <v>1094</v>
      </c>
      <c r="B274" s="2" t="s">
        <v>168</v>
      </c>
      <c r="C274" s="2" t="s">
        <v>2547</v>
      </c>
      <c r="D274" s="2"/>
    </row>
    <row r="275" spans="1:4" ht="18" customHeight="1" x14ac:dyDescent="0.3">
      <c r="A275" s="2" t="s">
        <v>1096</v>
      </c>
      <c r="B275" s="2" t="s">
        <v>168</v>
      </c>
      <c r="C275" s="2" t="s">
        <v>2547</v>
      </c>
      <c r="D275" s="2"/>
    </row>
    <row r="276" spans="1:4" ht="18" customHeight="1" x14ac:dyDescent="0.3">
      <c r="A276" s="2" t="s">
        <v>1097</v>
      </c>
      <c r="B276" s="2" t="s">
        <v>168</v>
      </c>
      <c r="C276" s="2" t="s">
        <v>2547</v>
      </c>
      <c r="D276" s="2"/>
    </row>
    <row r="277" spans="1:4" ht="18" customHeight="1" x14ac:dyDescent="0.3">
      <c r="A277" s="2" t="s">
        <v>1099</v>
      </c>
      <c r="B277" s="2" t="s">
        <v>168</v>
      </c>
      <c r="C277" s="2" t="s">
        <v>2547</v>
      </c>
      <c r="D277" s="2"/>
    </row>
    <row r="278" spans="1:4" ht="18" customHeight="1" x14ac:dyDescent="0.3">
      <c r="A278" s="2" t="s">
        <v>1101</v>
      </c>
      <c r="B278" s="2" t="s">
        <v>168</v>
      </c>
      <c r="C278" s="2" t="s">
        <v>2547</v>
      </c>
      <c r="D278" s="2"/>
    </row>
    <row r="279" spans="1:4" ht="18" customHeight="1" x14ac:dyDescent="0.3">
      <c r="A279" s="2" t="s">
        <v>1103</v>
      </c>
      <c r="B279" s="2" t="s">
        <v>168</v>
      </c>
      <c r="C279" s="2" t="s">
        <v>2547</v>
      </c>
      <c r="D279" s="2"/>
    </row>
    <row r="280" spans="1:4" ht="18" customHeight="1" x14ac:dyDescent="0.3">
      <c r="A280" s="2" t="s">
        <v>1104</v>
      </c>
      <c r="B280" s="2" t="s">
        <v>168</v>
      </c>
      <c r="C280" s="2" t="s">
        <v>2547</v>
      </c>
      <c r="D280" s="2"/>
    </row>
    <row r="281" spans="1:4" ht="18" customHeight="1" x14ac:dyDescent="0.3">
      <c r="A281" s="2" t="s">
        <v>1105</v>
      </c>
      <c r="B281" s="2" t="s">
        <v>168</v>
      </c>
      <c r="C281" s="2" t="s">
        <v>2547</v>
      </c>
      <c r="D281" s="2"/>
    </row>
    <row r="282" spans="1:4" ht="18" customHeight="1" x14ac:dyDescent="0.3">
      <c r="A282" s="2" t="s">
        <v>1106</v>
      </c>
      <c r="B282" s="2" t="s">
        <v>168</v>
      </c>
      <c r="C282" s="2" t="s">
        <v>2547</v>
      </c>
      <c r="D282" s="2"/>
    </row>
    <row r="283" spans="1:4" ht="18" customHeight="1" x14ac:dyDescent="0.3">
      <c r="A283" s="2" t="s">
        <v>1107</v>
      </c>
      <c r="B283" s="2" t="s">
        <v>168</v>
      </c>
      <c r="C283" s="2" t="s">
        <v>2547</v>
      </c>
      <c r="D283" s="2"/>
    </row>
    <row r="284" spans="1:4" ht="18" customHeight="1" x14ac:dyDescent="0.3">
      <c r="A284" s="2" t="s">
        <v>1108</v>
      </c>
      <c r="B284" s="2" t="s">
        <v>168</v>
      </c>
      <c r="C284" s="2" t="s">
        <v>2547</v>
      </c>
      <c r="D284" s="2"/>
    </row>
    <row r="285" spans="1:4" ht="18" customHeight="1" x14ac:dyDescent="0.3">
      <c r="A285" s="2" t="s">
        <v>1109</v>
      </c>
      <c r="B285" s="2" t="s">
        <v>168</v>
      </c>
      <c r="C285" s="2" t="s">
        <v>2547</v>
      </c>
      <c r="D285" s="2"/>
    </row>
    <row r="286" spans="1:4" ht="18" customHeight="1" x14ac:dyDescent="0.3">
      <c r="A286" s="2" t="s">
        <v>1110</v>
      </c>
      <c r="B286" s="2" t="s">
        <v>168</v>
      </c>
      <c r="C286" s="2" t="s">
        <v>2547</v>
      </c>
      <c r="D286" s="2"/>
    </row>
    <row r="287" spans="1:4" ht="18" customHeight="1" x14ac:dyDescent="0.3">
      <c r="A287" s="2" t="s">
        <v>1112</v>
      </c>
      <c r="B287" s="2" t="s">
        <v>168</v>
      </c>
      <c r="C287" s="2" t="s">
        <v>2547</v>
      </c>
      <c r="D287" s="2"/>
    </row>
    <row r="288" spans="1:4" ht="18" customHeight="1" x14ac:dyDescent="0.3">
      <c r="A288" s="2" t="s">
        <v>1114</v>
      </c>
      <c r="B288" s="2" t="s">
        <v>168</v>
      </c>
      <c r="C288" s="2" t="s">
        <v>2547</v>
      </c>
      <c r="D288" s="2"/>
    </row>
    <row r="289" spans="1:4" ht="18" customHeight="1" x14ac:dyDescent="0.3">
      <c r="A289" s="2" t="s">
        <v>1115</v>
      </c>
      <c r="B289" s="2" t="s">
        <v>168</v>
      </c>
      <c r="C289" s="2" t="s">
        <v>2547</v>
      </c>
      <c r="D289" s="2"/>
    </row>
    <row r="290" spans="1:4" ht="18" customHeight="1" x14ac:dyDescent="0.3">
      <c r="A290" s="2" t="s">
        <v>1116</v>
      </c>
      <c r="B290" s="2" t="s">
        <v>168</v>
      </c>
      <c r="C290" s="2" t="s">
        <v>2547</v>
      </c>
      <c r="D290" s="2"/>
    </row>
    <row r="291" spans="1:4" ht="18" customHeight="1" x14ac:dyDescent="0.3">
      <c r="A291" s="2" t="s">
        <v>1117</v>
      </c>
      <c r="B291" s="2" t="s">
        <v>168</v>
      </c>
      <c r="C291" s="2" t="s">
        <v>2547</v>
      </c>
      <c r="D291" s="2"/>
    </row>
    <row r="292" spans="1:4" ht="18" customHeight="1" x14ac:dyDescent="0.3">
      <c r="A292" s="2" t="s">
        <v>1118</v>
      </c>
      <c r="B292" s="2" t="s">
        <v>168</v>
      </c>
      <c r="C292" s="2" t="s">
        <v>2547</v>
      </c>
      <c r="D292" s="2"/>
    </row>
    <row r="293" spans="1:4" ht="18" customHeight="1" x14ac:dyDescent="0.3">
      <c r="A293" s="2" t="s">
        <v>1119</v>
      </c>
      <c r="B293" s="2" t="s">
        <v>168</v>
      </c>
      <c r="C293" s="2" t="s">
        <v>2547</v>
      </c>
      <c r="D293" s="2"/>
    </row>
    <row r="294" spans="1:4" ht="18" customHeight="1" x14ac:dyDescent="0.3">
      <c r="A294" s="2" t="s">
        <v>1121</v>
      </c>
      <c r="B294" s="2" t="s">
        <v>168</v>
      </c>
      <c r="C294" s="2" t="s">
        <v>2547</v>
      </c>
      <c r="D294" s="2"/>
    </row>
    <row r="295" spans="1:4" ht="18" customHeight="1" x14ac:dyDescent="0.3">
      <c r="A295" s="2" t="s">
        <v>1123</v>
      </c>
      <c r="B295" s="2" t="s">
        <v>168</v>
      </c>
      <c r="C295" s="2" t="s">
        <v>2547</v>
      </c>
      <c r="D295" s="2"/>
    </row>
    <row r="296" spans="1:4" ht="18" customHeight="1" x14ac:dyDescent="0.3">
      <c r="A296" s="2" t="s">
        <v>1125</v>
      </c>
      <c r="B296" s="2" t="s">
        <v>168</v>
      </c>
      <c r="C296" s="2" t="s">
        <v>2547</v>
      </c>
      <c r="D296" s="2"/>
    </row>
    <row r="297" spans="1:4" ht="18" customHeight="1" x14ac:dyDescent="0.3">
      <c r="A297" s="2" t="s">
        <v>1127</v>
      </c>
      <c r="B297" s="2" t="s">
        <v>168</v>
      </c>
      <c r="C297" s="2" t="s">
        <v>2547</v>
      </c>
      <c r="D297" s="2"/>
    </row>
    <row r="298" spans="1:4" ht="18" customHeight="1" x14ac:dyDescent="0.3">
      <c r="A298" s="2" t="s">
        <v>1129</v>
      </c>
      <c r="B298" s="2" t="s">
        <v>168</v>
      </c>
      <c r="C298" s="2" t="s">
        <v>2547</v>
      </c>
      <c r="D298" s="2"/>
    </row>
    <row r="299" spans="1:4" ht="18" customHeight="1" x14ac:dyDescent="0.3">
      <c r="A299" s="2" t="s">
        <v>1131</v>
      </c>
      <c r="B299" s="2" t="s">
        <v>168</v>
      </c>
      <c r="C299" s="2" t="s">
        <v>2547</v>
      </c>
      <c r="D299" s="2"/>
    </row>
    <row r="300" spans="1:4" ht="18" customHeight="1" x14ac:dyDescent="0.3">
      <c r="A300" s="2" t="s">
        <v>1133</v>
      </c>
      <c r="B300" s="2" t="s">
        <v>168</v>
      </c>
      <c r="C300" s="2" t="s">
        <v>2547</v>
      </c>
      <c r="D300" s="2"/>
    </row>
    <row r="301" spans="1:4" x14ac:dyDescent="0.3">
      <c r="A301" s="2" t="s">
        <v>1135</v>
      </c>
      <c r="B301" s="2" t="s">
        <v>168</v>
      </c>
      <c r="C301" s="2" t="s">
        <v>2547</v>
      </c>
      <c r="D301" s="2"/>
    </row>
    <row r="302" spans="1:4" x14ac:dyDescent="0.3">
      <c r="A302" s="2" t="s">
        <v>1137</v>
      </c>
      <c r="B302" s="2" t="s">
        <v>168</v>
      </c>
      <c r="C302" s="2" t="s">
        <v>2547</v>
      </c>
      <c r="D302" s="2"/>
    </row>
    <row r="303" spans="1:4" x14ac:dyDescent="0.3">
      <c r="A303" s="2" t="s">
        <v>1139</v>
      </c>
      <c r="B303" s="2" t="s">
        <v>168</v>
      </c>
      <c r="C303" s="2" t="s">
        <v>2547</v>
      </c>
      <c r="D303" s="2"/>
    </row>
    <row r="304" spans="1:4" x14ac:dyDescent="0.3">
      <c r="A304" s="2" t="s">
        <v>1141</v>
      </c>
      <c r="B304" s="2" t="s">
        <v>168</v>
      </c>
      <c r="C304" s="2" t="s">
        <v>2547</v>
      </c>
      <c r="D304" s="2"/>
    </row>
    <row r="305" spans="1:4" x14ac:dyDescent="0.3">
      <c r="A305" s="2" t="s">
        <v>1143</v>
      </c>
      <c r="B305" s="2" t="s">
        <v>168</v>
      </c>
      <c r="C305" s="2" t="s">
        <v>2547</v>
      </c>
      <c r="D305" s="2"/>
    </row>
    <row r="306" spans="1:4" x14ac:dyDescent="0.3">
      <c r="A306" s="2" t="s">
        <v>1145</v>
      </c>
      <c r="B306" s="2" t="s">
        <v>168</v>
      </c>
      <c r="C306" s="2" t="s">
        <v>2547</v>
      </c>
      <c r="D306" s="2"/>
    </row>
    <row r="307" spans="1:4" x14ac:dyDescent="0.3">
      <c r="A307" s="2" t="s">
        <v>1147</v>
      </c>
      <c r="B307" s="2" t="s">
        <v>168</v>
      </c>
      <c r="C307" s="2" t="s">
        <v>2547</v>
      </c>
      <c r="D307" s="2"/>
    </row>
    <row r="308" spans="1:4" x14ac:dyDescent="0.3">
      <c r="A308" s="2" t="s">
        <v>1149</v>
      </c>
      <c r="B308" s="2" t="s">
        <v>168</v>
      </c>
      <c r="C308" s="2" t="s">
        <v>2547</v>
      </c>
      <c r="D308" s="2"/>
    </row>
    <row r="309" spans="1:4" x14ac:dyDescent="0.3">
      <c r="A309" s="2" t="s">
        <v>1151</v>
      </c>
      <c r="B309" s="2" t="s">
        <v>168</v>
      </c>
      <c r="C309" s="2" t="s">
        <v>2547</v>
      </c>
      <c r="D309" s="2"/>
    </row>
    <row r="310" spans="1:4" x14ac:dyDescent="0.3">
      <c r="A310" s="2" t="s">
        <v>1152</v>
      </c>
      <c r="B310" s="2" t="s">
        <v>168</v>
      </c>
      <c r="C310" s="2" t="s">
        <v>2547</v>
      </c>
      <c r="D310" s="2"/>
    </row>
    <row r="311" spans="1:4" x14ac:dyDescent="0.3">
      <c r="A311" s="2" t="s">
        <v>1153</v>
      </c>
      <c r="B311" s="2" t="s">
        <v>168</v>
      </c>
      <c r="C311" s="2" t="s">
        <v>2547</v>
      </c>
      <c r="D311" s="2"/>
    </row>
    <row r="312" spans="1:4" x14ac:dyDescent="0.3">
      <c r="A312" s="2" t="s">
        <v>1154</v>
      </c>
      <c r="B312" s="2" t="s">
        <v>168</v>
      </c>
      <c r="C312" s="2" t="s">
        <v>2547</v>
      </c>
      <c r="D312" s="2"/>
    </row>
    <row r="313" spans="1:4" x14ac:dyDescent="0.3">
      <c r="A313" s="2" t="s">
        <v>1156</v>
      </c>
      <c r="B313" s="2" t="s">
        <v>168</v>
      </c>
      <c r="C313" s="2" t="s">
        <v>2547</v>
      </c>
      <c r="D313" s="2"/>
    </row>
    <row r="314" spans="1:4" x14ac:dyDescent="0.3">
      <c r="A314" s="2" t="s">
        <v>1158</v>
      </c>
      <c r="B314" s="2" t="s">
        <v>168</v>
      </c>
      <c r="C314" s="2" t="s">
        <v>2547</v>
      </c>
      <c r="D314" s="2"/>
    </row>
    <row r="315" spans="1:4" x14ac:dyDescent="0.3">
      <c r="A315" s="2" t="s">
        <v>1159</v>
      </c>
      <c r="B315" s="2" t="s">
        <v>168</v>
      </c>
      <c r="C315" s="2" t="s">
        <v>2547</v>
      </c>
      <c r="D315" s="2"/>
    </row>
    <row r="316" spans="1:4" x14ac:dyDescent="0.3">
      <c r="A316" s="2" t="s">
        <v>1160</v>
      </c>
      <c r="B316" s="2" t="s">
        <v>168</v>
      </c>
      <c r="C316" s="2" t="s">
        <v>2547</v>
      </c>
      <c r="D316" s="2"/>
    </row>
    <row r="317" spans="1:4" x14ac:dyDescent="0.3">
      <c r="A317" s="2" t="s">
        <v>1161</v>
      </c>
      <c r="B317" s="2" t="s">
        <v>168</v>
      </c>
      <c r="C317" s="2" t="s">
        <v>2547</v>
      </c>
      <c r="D317" s="2"/>
    </row>
    <row r="318" spans="1:4" x14ac:dyDescent="0.3">
      <c r="A318" s="2" t="s">
        <v>1162</v>
      </c>
      <c r="B318" s="2" t="s">
        <v>168</v>
      </c>
      <c r="C318" s="2" t="s">
        <v>2547</v>
      </c>
      <c r="D318" s="2"/>
    </row>
    <row r="319" spans="1:4" x14ac:dyDescent="0.3">
      <c r="A319" s="2" t="s">
        <v>1163</v>
      </c>
      <c r="B319" s="2" t="s">
        <v>168</v>
      </c>
      <c r="C319" s="2" t="s">
        <v>2547</v>
      </c>
      <c r="D319" s="2"/>
    </row>
    <row r="320" spans="1:4" x14ac:dyDescent="0.3">
      <c r="A320" s="2" t="s">
        <v>1164</v>
      </c>
      <c r="B320" s="2" t="s">
        <v>168</v>
      </c>
      <c r="C320" s="2" t="s">
        <v>2547</v>
      </c>
      <c r="D320" s="2"/>
    </row>
    <row r="321" spans="1:4" x14ac:dyDescent="0.3">
      <c r="A321" s="2" t="s">
        <v>1165</v>
      </c>
      <c r="B321" s="2" t="s">
        <v>168</v>
      </c>
      <c r="C321" s="2" t="s">
        <v>2547</v>
      </c>
      <c r="D321" s="2"/>
    </row>
    <row r="322" spans="1:4" x14ac:dyDescent="0.3">
      <c r="A322" s="2" t="s">
        <v>1166</v>
      </c>
      <c r="B322" s="2" t="s">
        <v>168</v>
      </c>
      <c r="C322" s="2" t="s">
        <v>2547</v>
      </c>
      <c r="D322" s="2"/>
    </row>
    <row r="323" spans="1:4" x14ac:dyDescent="0.3">
      <c r="A323" s="2" t="s">
        <v>1168</v>
      </c>
      <c r="B323" s="2" t="s">
        <v>168</v>
      </c>
      <c r="C323" s="2" t="s">
        <v>2547</v>
      </c>
      <c r="D323" s="2"/>
    </row>
    <row r="324" spans="1:4" x14ac:dyDescent="0.3">
      <c r="A324" s="2" t="s">
        <v>1169</v>
      </c>
      <c r="B324" s="2" t="s">
        <v>168</v>
      </c>
      <c r="C324" s="2" t="s">
        <v>2547</v>
      </c>
      <c r="D324" s="2"/>
    </row>
    <row r="325" spans="1:4" x14ac:dyDescent="0.3">
      <c r="A325" s="2" t="s">
        <v>1171</v>
      </c>
      <c r="B325" s="2" t="s">
        <v>168</v>
      </c>
      <c r="C325" s="2" t="s">
        <v>2547</v>
      </c>
      <c r="D325" s="2"/>
    </row>
    <row r="326" spans="1:4" x14ac:dyDescent="0.3">
      <c r="A326" s="2" t="s">
        <v>1172</v>
      </c>
      <c r="B326" s="2" t="s">
        <v>168</v>
      </c>
      <c r="C326" s="2" t="s">
        <v>2547</v>
      </c>
      <c r="D326" s="2"/>
    </row>
    <row r="327" spans="1:4" x14ac:dyDescent="0.3">
      <c r="A327" s="2" t="s">
        <v>1173</v>
      </c>
      <c r="B327" s="2" t="s">
        <v>168</v>
      </c>
      <c r="C327" s="2" t="s">
        <v>2547</v>
      </c>
      <c r="D327" s="2"/>
    </row>
    <row r="328" spans="1:4" x14ac:dyDescent="0.3">
      <c r="A328" s="2" t="s">
        <v>1175</v>
      </c>
      <c r="B328" s="2" t="s">
        <v>168</v>
      </c>
      <c r="C328" s="2" t="s">
        <v>2547</v>
      </c>
      <c r="D328" s="2"/>
    </row>
    <row r="329" spans="1:4" x14ac:dyDescent="0.3">
      <c r="A329" s="2" t="s">
        <v>1177</v>
      </c>
      <c r="B329" s="2" t="s">
        <v>168</v>
      </c>
      <c r="C329" s="2" t="s">
        <v>2547</v>
      </c>
      <c r="D329" s="2"/>
    </row>
    <row r="330" spans="1:4" x14ac:dyDescent="0.3">
      <c r="A330" s="2" t="s">
        <v>1178</v>
      </c>
      <c r="B330" s="2" t="s">
        <v>168</v>
      </c>
      <c r="C330" s="2" t="s">
        <v>2547</v>
      </c>
      <c r="D330" s="2"/>
    </row>
    <row r="331" spans="1:4" x14ac:dyDescent="0.3">
      <c r="A331" s="2" t="s">
        <v>1179</v>
      </c>
      <c r="B331" s="2" t="s">
        <v>168</v>
      </c>
      <c r="C331" s="2" t="s">
        <v>2547</v>
      </c>
      <c r="D331" s="2"/>
    </row>
    <row r="332" spans="1:4" x14ac:dyDescent="0.3">
      <c r="A332" s="2" t="s">
        <v>1181</v>
      </c>
      <c r="B332" s="2" t="s">
        <v>168</v>
      </c>
      <c r="C332" s="2" t="s">
        <v>2547</v>
      </c>
      <c r="D332" s="2"/>
    </row>
    <row r="333" spans="1:4" x14ac:dyDescent="0.3">
      <c r="A333" s="2" t="s">
        <v>1183</v>
      </c>
      <c r="B333" s="2" t="s">
        <v>168</v>
      </c>
      <c r="C333" s="2" t="s">
        <v>2547</v>
      </c>
      <c r="D333" s="2"/>
    </row>
    <row r="334" spans="1:4" x14ac:dyDescent="0.3">
      <c r="A334" s="2" t="s">
        <v>1184</v>
      </c>
      <c r="B334" s="2" t="s">
        <v>168</v>
      </c>
      <c r="C334" s="2" t="s">
        <v>2547</v>
      </c>
      <c r="D334" s="2"/>
    </row>
    <row r="335" spans="1:4" x14ac:dyDescent="0.3">
      <c r="A335" s="2" t="s">
        <v>1185</v>
      </c>
      <c r="B335" s="2" t="s">
        <v>168</v>
      </c>
      <c r="C335" s="2" t="s">
        <v>2547</v>
      </c>
      <c r="D335" s="2"/>
    </row>
    <row r="336" spans="1:4" x14ac:dyDescent="0.3">
      <c r="A336" s="2" t="s">
        <v>1186</v>
      </c>
      <c r="B336" s="2" t="s">
        <v>168</v>
      </c>
      <c r="C336" s="2" t="s">
        <v>2547</v>
      </c>
      <c r="D336" s="2"/>
    </row>
    <row r="337" spans="1:4" x14ac:dyDescent="0.3">
      <c r="A337" s="2" t="s">
        <v>1187</v>
      </c>
      <c r="B337" s="2" t="s">
        <v>168</v>
      </c>
      <c r="C337" s="2" t="s">
        <v>2547</v>
      </c>
      <c r="D337" s="2"/>
    </row>
    <row r="338" spans="1:4" x14ac:dyDescent="0.3">
      <c r="A338" s="2" t="s">
        <v>1189</v>
      </c>
      <c r="B338" s="2" t="s">
        <v>168</v>
      </c>
      <c r="C338" s="2" t="s">
        <v>2547</v>
      </c>
      <c r="D338" s="2"/>
    </row>
    <row r="339" spans="1:4" x14ac:dyDescent="0.3">
      <c r="A339" s="2" t="s">
        <v>1190</v>
      </c>
      <c r="B339" s="2" t="s">
        <v>168</v>
      </c>
      <c r="C339" s="2" t="s">
        <v>2547</v>
      </c>
      <c r="D339" s="2"/>
    </row>
    <row r="340" spans="1:4" x14ac:dyDescent="0.3">
      <c r="A340" s="2" t="s">
        <v>1192</v>
      </c>
      <c r="B340" s="2" t="s">
        <v>168</v>
      </c>
      <c r="C340" s="2" t="s">
        <v>2547</v>
      </c>
      <c r="D340" s="2"/>
    </row>
    <row r="341" spans="1:4" x14ac:dyDescent="0.3">
      <c r="A341" s="2" t="s">
        <v>1193</v>
      </c>
      <c r="B341" s="2" t="s">
        <v>168</v>
      </c>
      <c r="C341" s="2" t="s">
        <v>2547</v>
      </c>
      <c r="D341" s="2"/>
    </row>
    <row r="342" spans="1:4" x14ac:dyDescent="0.3">
      <c r="A342" s="2" t="s">
        <v>1194</v>
      </c>
      <c r="B342" s="2" t="s">
        <v>168</v>
      </c>
      <c r="C342" s="2" t="s">
        <v>2547</v>
      </c>
      <c r="D342" s="2"/>
    </row>
    <row r="343" spans="1:4" x14ac:dyDescent="0.3">
      <c r="A343" s="2" t="s">
        <v>1195</v>
      </c>
      <c r="B343" s="2" t="s">
        <v>168</v>
      </c>
      <c r="C343" s="2" t="s">
        <v>2547</v>
      </c>
      <c r="D343" s="2"/>
    </row>
    <row r="344" spans="1:4" x14ac:dyDescent="0.3">
      <c r="A344" s="2" t="s">
        <v>1196</v>
      </c>
      <c r="B344" s="2" t="s">
        <v>168</v>
      </c>
      <c r="C344" s="2" t="s">
        <v>2547</v>
      </c>
      <c r="D344" s="2"/>
    </row>
    <row r="345" spans="1:4" x14ac:dyDescent="0.3">
      <c r="A345" s="2" t="s">
        <v>1197</v>
      </c>
      <c r="B345" s="2" t="s">
        <v>168</v>
      </c>
      <c r="C345" s="2" t="s">
        <v>2547</v>
      </c>
      <c r="D345" s="2"/>
    </row>
    <row r="346" spans="1:4" x14ac:dyDescent="0.3">
      <c r="A346" s="2" t="s">
        <v>1198</v>
      </c>
      <c r="B346" s="2" t="s">
        <v>168</v>
      </c>
      <c r="C346" s="2" t="s">
        <v>2547</v>
      </c>
      <c r="D346" s="2"/>
    </row>
    <row r="347" spans="1:4" x14ac:dyDescent="0.3">
      <c r="A347" s="2" t="s">
        <v>1199</v>
      </c>
      <c r="B347" s="2" t="s">
        <v>168</v>
      </c>
      <c r="C347" s="2" t="s">
        <v>2547</v>
      </c>
      <c r="D347" s="2"/>
    </row>
    <row r="348" spans="1:4" x14ac:dyDescent="0.3">
      <c r="A348" s="2" t="s">
        <v>1200</v>
      </c>
      <c r="B348" s="2" t="s">
        <v>168</v>
      </c>
      <c r="C348" s="2" t="s">
        <v>2547</v>
      </c>
      <c r="D348" s="2"/>
    </row>
    <row r="349" spans="1:4" x14ac:dyDescent="0.3">
      <c r="A349" s="2" t="s">
        <v>1201</v>
      </c>
      <c r="B349" s="2" t="s">
        <v>168</v>
      </c>
      <c r="C349" s="2" t="s">
        <v>2547</v>
      </c>
      <c r="D349" s="2"/>
    </row>
    <row r="350" spans="1:4" x14ac:dyDescent="0.3">
      <c r="A350" s="2" t="s">
        <v>1202</v>
      </c>
      <c r="B350" s="2" t="s">
        <v>168</v>
      </c>
      <c r="C350" s="2" t="s">
        <v>2547</v>
      </c>
      <c r="D350" s="2"/>
    </row>
    <row r="351" spans="1:4" x14ac:dyDescent="0.3">
      <c r="A351" s="2" t="s">
        <v>1203</v>
      </c>
      <c r="B351" s="2" t="s">
        <v>168</v>
      </c>
      <c r="C351" s="2" t="s">
        <v>2547</v>
      </c>
      <c r="D351" s="2"/>
    </row>
    <row r="352" spans="1:4" x14ac:dyDescent="0.3">
      <c r="A352" s="2" t="s">
        <v>1204</v>
      </c>
      <c r="B352" s="2" t="s">
        <v>168</v>
      </c>
      <c r="C352" s="2" t="s">
        <v>2547</v>
      </c>
      <c r="D352" s="2"/>
    </row>
    <row r="353" spans="1:4" x14ac:dyDescent="0.3">
      <c r="A353" s="2" t="s">
        <v>1205</v>
      </c>
      <c r="B353" s="2" t="s">
        <v>168</v>
      </c>
      <c r="C353" s="2" t="s">
        <v>2547</v>
      </c>
      <c r="D353" s="2"/>
    </row>
    <row r="354" spans="1:4" x14ac:dyDescent="0.3">
      <c r="A354" s="2" t="s">
        <v>1206</v>
      </c>
      <c r="B354" s="2" t="s">
        <v>168</v>
      </c>
      <c r="C354" s="2" t="s">
        <v>2547</v>
      </c>
      <c r="D354" s="2"/>
    </row>
    <row r="355" spans="1:4" x14ac:dyDescent="0.3">
      <c r="A355" s="2" t="s">
        <v>1207</v>
      </c>
      <c r="B355" s="2" t="s">
        <v>168</v>
      </c>
      <c r="C355" s="2" t="s">
        <v>2547</v>
      </c>
      <c r="D355" s="2"/>
    </row>
    <row r="356" spans="1:4" x14ac:dyDescent="0.3">
      <c r="A356" s="2" t="s">
        <v>1208</v>
      </c>
      <c r="B356" s="2" t="s">
        <v>168</v>
      </c>
      <c r="C356" s="2" t="s">
        <v>2547</v>
      </c>
      <c r="D356" s="2"/>
    </row>
    <row r="357" spans="1:4" x14ac:dyDescent="0.3">
      <c r="A357" s="2" t="s">
        <v>1209</v>
      </c>
      <c r="B357" s="2" t="s">
        <v>168</v>
      </c>
      <c r="C357" s="2" t="s">
        <v>2547</v>
      </c>
      <c r="D357" s="2"/>
    </row>
    <row r="358" spans="1:4" x14ac:dyDescent="0.3">
      <c r="A358" s="2" t="s">
        <v>1211</v>
      </c>
      <c r="B358" s="2" t="s">
        <v>168</v>
      </c>
      <c r="C358" s="2" t="s">
        <v>2547</v>
      </c>
      <c r="D358" s="2"/>
    </row>
    <row r="359" spans="1:4" x14ac:dyDescent="0.3">
      <c r="A359" s="2" t="s">
        <v>1213</v>
      </c>
      <c r="B359" s="2" t="s">
        <v>168</v>
      </c>
      <c r="C359" s="2" t="s">
        <v>2547</v>
      </c>
      <c r="D359" s="2"/>
    </row>
    <row r="360" spans="1:4" x14ac:dyDescent="0.3">
      <c r="A360" s="2" t="s">
        <v>1214</v>
      </c>
      <c r="B360" s="2" t="s">
        <v>168</v>
      </c>
      <c r="C360" s="2" t="s">
        <v>2547</v>
      </c>
      <c r="D360" s="2"/>
    </row>
    <row r="361" spans="1:4" x14ac:dyDescent="0.3">
      <c r="A361" s="2" t="s">
        <v>1216</v>
      </c>
      <c r="B361" s="2" t="s">
        <v>168</v>
      </c>
      <c r="C361" s="2" t="s">
        <v>2547</v>
      </c>
      <c r="D361" s="2"/>
    </row>
    <row r="362" spans="1:4" x14ac:dyDescent="0.3">
      <c r="A362" s="2" t="s">
        <v>1218</v>
      </c>
      <c r="B362" s="2" t="s">
        <v>168</v>
      </c>
      <c r="C362" s="2" t="s">
        <v>2547</v>
      </c>
      <c r="D362" s="2"/>
    </row>
    <row r="363" spans="1:4" x14ac:dyDescent="0.3">
      <c r="A363" s="2" t="s">
        <v>1220</v>
      </c>
      <c r="B363" s="2" t="s">
        <v>168</v>
      </c>
      <c r="C363" s="2" t="s">
        <v>2547</v>
      </c>
      <c r="D363" s="2"/>
    </row>
    <row r="364" spans="1:4" x14ac:dyDescent="0.3">
      <c r="A364" s="2" t="s">
        <v>1221</v>
      </c>
      <c r="B364" s="2" t="s">
        <v>168</v>
      </c>
      <c r="C364" s="2" t="s">
        <v>2547</v>
      </c>
      <c r="D364" s="2"/>
    </row>
    <row r="365" spans="1:4" x14ac:dyDescent="0.3">
      <c r="A365" s="2" t="s">
        <v>1223</v>
      </c>
      <c r="B365" s="2" t="s">
        <v>168</v>
      </c>
      <c r="C365" s="2" t="s">
        <v>2547</v>
      </c>
      <c r="D365" s="2"/>
    </row>
    <row r="366" spans="1:4" x14ac:dyDescent="0.3">
      <c r="A366" s="2" t="s">
        <v>1225</v>
      </c>
      <c r="B366" s="2" t="s">
        <v>168</v>
      </c>
      <c r="C366" s="2" t="s">
        <v>2547</v>
      </c>
      <c r="D366" s="2"/>
    </row>
    <row r="367" spans="1:4" x14ac:dyDescent="0.3">
      <c r="A367" s="2" t="s">
        <v>1227</v>
      </c>
      <c r="B367" s="2" t="s">
        <v>168</v>
      </c>
      <c r="C367" s="2" t="s">
        <v>2547</v>
      </c>
      <c r="D367" s="2"/>
    </row>
    <row r="368" spans="1:4" x14ac:dyDescent="0.3">
      <c r="A368" s="2" t="s">
        <v>1229</v>
      </c>
      <c r="B368" s="2" t="s">
        <v>168</v>
      </c>
      <c r="C368" s="2" t="s">
        <v>2547</v>
      </c>
      <c r="D368" s="2"/>
    </row>
    <row r="369" spans="1:4" x14ac:dyDescent="0.3">
      <c r="A369" s="2" t="s">
        <v>1231</v>
      </c>
      <c r="B369" s="2" t="s">
        <v>168</v>
      </c>
      <c r="C369" s="2" t="s">
        <v>2547</v>
      </c>
      <c r="D369" s="2"/>
    </row>
    <row r="370" spans="1:4" x14ac:dyDescent="0.3">
      <c r="A370" s="2" t="s">
        <v>1232</v>
      </c>
      <c r="B370" s="2" t="s">
        <v>168</v>
      </c>
      <c r="C370" s="2" t="s">
        <v>2547</v>
      </c>
      <c r="D370" s="2"/>
    </row>
    <row r="371" spans="1:4" x14ac:dyDescent="0.3">
      <c r="A371" s="2" t="s">
        <v>1234</v>
      </c>
      <c r="B371" s="2" t="s">
        <v>168</v>
      </c>
      <c r="C371" s="2" t="s">
        <v>2547</v>
      </c>
      <c r="D371" s="2"/>
    </row>
    <row r="372" spans="1:4" x14ac:dyDescent="0.3">
      <c r="A372" s="2" t="s">
        <v>1236</v>
      </c>
      <c r="B372" s="2" t="s">
        <v>168</v>
      </c>
      <c r="C372" s="2" t="s">
        <v>2547</v>
      </c>
      <c r="D372" s="2"/>
    </row>
    <row r="373" spans="1:4" x14ac:dyDescent="0.3">
      <c r="A373" s="2" t="s">
        <v>1238</v>
      </c>
      <c r="B373" s="2" t="s">
        <v>168</v>
      </c>
      <c r="C373" s="2" t="s">
        <v>2547</v>
      </c>
      <c r="D373" s="2"/>
    </row>
    <row r="374" spans="1:4" x14ac:dyDescent="0.3">
      <c r="A374" s="2" t="s">
        <v>1240</v>
      </c>
      <c r="B374" s="2" t="s">
        <v>168</v>
      </c>
      <c r="C374" s="2" t="s">
        <v>2547</v>
      </c>
      <c r="D374" s="2"/>
    </row>
    <row r="375" spans="1:4" x14ac:dyDescent="0.3">
      <c r="A375" s="2" t="s">
        <v>1241</v>
      </c>
      <c r="B375" s="2" t="s">
        <v>168</v>
      </c>
      <c r="C375" s="2" t="s">
        <v>2547</v>
      </c>
      <c r="D375" s="2"/>
    </row>
    <row r="376" spans="1:4" x14ac:dyDescent="0.3">
      <c r="A376" s="2" t="s">
        <v>1243</v>
      </c>
      <c r="B376" s="2" t="s">
        <v>168</v>
      </c>
      <c r="C376" s="2" t="s">
        <v>2547</v>
      </c>
      <c r="D376" s="2"/>
    </row>
    <row r="377" spans="1:4" x14ac:dyDescent="0.3">
      <c r="A377" s="2" t="s">
        <v>1245</v>
      </c>
      <c r="B377" s="2" t="s">
        <v>168</v>
      </c>
      <c r="C377" s="2" t="s">
        <v>2547</v>
      </c>
      <c r="D377" s="2"/>
    </row>
    <row r="378" spans="1:4" x14ac:dyDescent="0.3">
      <c r="A378" s="2" t="s">
        <v>1247</v>
      </c>
      <c r="B378" s="2" t="s">
        <v>168</v>
      </c>
      <c r="C378" s="2" t="s">
        <v>2547</v>
      </c>
      <c r="D378" s="2"/>
    </row>
    <row r="379" spans="1:4" x14ac:dyDescent="0.3">
      <c r="A379" s="2" t="s">
        <v>1249</v>
      </c>
      <c r="B379" s="2" t="s">
        <v>168</v>
      </c>
      <c r="C379" s="2" t="s">
        <v>2547</v>
      </c>
      <c r="D379" s="2"/>
    </row>
    <row r="380" spans="1:4" x14ac:dyDescent="0.3">
      <c r="A380" s="2" t="s">
        <v>1251</v>
      </c>
      <c r="B380" s="2" t="s">
        <v>168</v>
      </c>
      <c r="C380" s="2" t="s">
        <v>2547</v>
      </c>
      <c r="D380" s="2"/>
    </row>
    <row r="381" spans="1:4" x14ac:dyDescent="0.3">
      <c r="A381" s="2" t="s">
        <v>1252</v>
      </c>
      <c r="B381" s="2" t="s">
        <v>168</v>
      </c>
      <c r="C381" s="2" t="s">
        <v>2547</v>
      </c>
      <c r="D381" s="2"/>
    </row>
    <row r="382" spans="1:4" x14ac:dyDescent="0.3">
      <c r="A382" s="2" t="s">
        <v>1253</v>
      </c>
      <c r="B382" s="2" t="s">
        <v>168</v>
      </c>
      <c r="C382" s="2" t="s">
        <v>2547</v>
      </c>
      <c r="D382" s="2"/>
    </row>
    <row r="383" spans="1:4" x14ac:dyDescent="0.3">
      <c r="A383" s="2" t="s">
        <v>1254</v>
      </c>
      <c r="B383" s="2" t="s">
        <v>168</v>
      </c>
      <c r="C383" s="2" t="s">
        <v>2547</v>
      </c>
      <c r="D383" s="2"/>
    </row>
    <row r="384" spans="1:4" x14ac:dyDescent="0.3">
      <c r="A384" s="2" t="s">
        <v>1256</v>
      </c>
      <c r="B384" s="2" t="s">
        <v>168</v>
      </c>
      <c r="C384" s="2" t="s">
        <v>2547</v>
      </c>
      <c r="D384" s="2"/>
    </row>
    <row r="385" spans="1:4" x14ac:dyDescent="0.3">
      <c r="A385" s="2" t="s">
        <v>1257</v>
      </c>
      <c r="B385" s="2" t="s">
        <v>168</v>
      </c>
      <c r="C385" s="2" t="s">
        <v>2547</v>
      </c>
      <c r="D385" s="2"/>
    </row>
    <row r="386" spans="1:4" x14ac:dyDescent="0.3">
      <c r="A386" s="2" t="s">
        <v>1259</v>
      </c>
      <c r="B386" s="2" t="s">
        <v>168</v>
      </c>
      <c r="C386" s="2" t="s">
        <v>2547</v>
      </c>
      <c r="D386" s="2"/>
    </row>
    <row r="387" spans="1:4" x14ac:dyDescent="0.3">
      <c r="A387" s="2" t="s">
        <v>1260</v>
      </c>
      <c r="B387" s="2" t="s">
        <v>168</v>
      </c>
      <c r="C387" s="2" t="s">
        <v>2547</v>
      </c>
      <c r="D387" s="2"/>
    </row>
    <row r="388" spans="1:4" x14ac:dyDescent="0.3">
      <c r="A388" s="2" t="s">
        <v>1261</v>
      </c>
      <c r="B388" s="2" t="s">
        <v>168</v>
      </c>
      <c r="C388" s="2" t="s">
        <v>2547</v>
      </c>
      <c r="D388" s="2"/>
    </row>
    <row r="389" spans="1:4" x14ac:dyDescent="0.3">
      <c r="A389" s="2" t="s">
        <v>1263</v>
      </c>
      <c r="B389" s="2" t="s">
        <v>168</v>
      </c>
      <c r="C389" s="2" t="s">
        <v>2547</v>
      </c>
      <c r="D389" s="2"/>
    </row>
    <row r="390" spans="1:4" x14ac:dyDescent="0.3">
      <c r="A390" s="2" t="s">
        <v>1265</v>
      </c>
      <c r="B390" s="2" t="s">
        <v>168</v>
      </c>
      <c r="C390" s="2" t="s">
        <v>2547</v>
      </c>
      <c r="D390" s="2"/>
    </row>
    <row r="391" spans="1:4" x14ac:dyDescent="0.3">
      <c r="A391" s="2" t="s">
        <v>1267</v>
      </c>
      <c r="B391" s="2" t="s">
        <v>168</v>
      </c>
      <c r="C391" s="2" t="s">
        <v>2547</v>
      </c>
      <c r="D391" s="2"/>
    </row>
    <row r="392" spans="1:4" x14ac:dyDescent="0.3">
      <c r="A392" s="2" t="s">
        <v>1269</v>
      </c>
      <c r="B392" s="2" t="s">
        <v>168</v>
      </c>
      <c r="C392" s="2" t="s">
        <v>2547</v>
      </c>
      <c r="D392" s="2"/>
    </row>
    <row r="393" spans="1:4" x14ac:dyDescent="0.3">
      <c r="A393" s="2" t="s">
        <v>1271</v>
      </c>
      <c r="B393" s="2" t="s">
        <v>168</v>
      </c>
      <c r="C393" s="2" t="s">
        <v>2547</v>
      </c>
      <c r="D393" s="2"/>
    </row>
    <row r="394" spans="1:4" x14ac:dyDescent="0.3">
      <c r="A394" s="2" t="s">
        <v>1273</v>
      </c>
      <c r="B394" s="2" t="s">
        <v>168</v>
      </c>
      <c r="C394" s="2" t="s">
        <v>2547</v>
      </c>
      <c r="D394" s="2"/>
    </row>
    <row r="395" spans="1:4" x14ac:dyDescent="0.3">
      <c r="A395" s="2" t="s">
        <v>1275</v>
      </c>
      <c r="B395" s="2" t="s">
        <v>168</v>
      </c>
      <c r="C395" s="2" t="s">
        <v>2547</v>
      </c>
      <c r="D395" s="2"/>
    </row>
    <row r="396" spans="1:4" x14ac:dyDescent="0.3">
      <c r="A396" s="2" t="s">
        <v>1276</v>
      </c>
      <c r="B396" s="2" t="s">
        <v>168</v>
      </c>
      <c r="C396" s="2" t="s">
        <v>2547</v>
      </c>
      <c r="D396" s="2"/>
    </row>
    <row r="397" spans="1:4" x14ac:dyDescent="0.3">
      <c r="A397" s="2" t="s">
        <v>1277</v>
      </c>
      <c r="B397" s="2" t="s">
        <v>168</v>
      </c>
      <c r="C397" s="2" t="s">
        <v>2547</v>
      </c>
      <c r="D397" s="2"/>
    </row>
    <row r="398" spans="1:4" x14ac:dyDescent="0.3">
      <c r="A398" s="2" t="s">
        <v>1279</v>
      </c>
      <c r="B398" s="2" t="s">
        <v>168</v>
      </c>
      <c r="C398" s="2" t="s">
        <v>2547</v>
      </c>
      <c r="D398" s="2"/>
    </row>
    <row r="399" spans="1:4" x14ac:dyDescent="0.3">
      <c r="A399" s="2" t="s">
        <v>1281</v>
      </c>
      <c r="B399" s="2" t="s">
        <v>168</v>
      </c>
      <c r="C399" s="2" t="s">
        <v>2547</v>
      </c>
      <c r="D399" s="2"/>
    </row>
    <row r="400" spans="1:4" x14ac:dyDescent="0.3">
      <c r="A400" s="2" t="s">
        <v>1282</v>
      </c>
      <c r="B400" s="2" t="s">
        <v>168</v>
      </c>
      <c r="C400" s="2" t="s">
        <v>2547</v>
      </c>
      <c r="D400" s="2"/>
    </row>
    <row r="401" spans="1:4" x14ac:dyDescent="0.3">
      <c r="A401" s="2" t="s">
        <v>1283</v>
      </c>
      <c r="B401" s="2" t="s">
        <v>168</v>
      </c>
      <c r="C401" s="2" t="s">
        <v>2547</v>
      </c>
      <c r="D401" s="2"/>
    </row>
    <row r="402" spans="1:4" x14ac:dyDescent="0.3">
      <c r="A402" s="2" t="s">
        <v>1284</v>
      </c>
      <c r="B402" s="2" t="s">
        <v>168</v>
      </c>
      <c r="C402" s="2" t="s">
        <v>2547</v>
      </c>
      <c r="D402" s="2"/>
    </row>
    <row r="403" spans="1:4" x14ac:dyDescent="0.3">
      <c r="A403" s="2" t="s">
        <v>1285</v>
      </c>
      <c r="B403" s="2" t="s">
        <v>168</v>
      </c>
      <c r="C403" s="2" t="s">
        <v>2547</v>
      </c>
      <c r="D403" s="2"/>
    </row>
    <row r="404" spans="1:4" x14ac:dyDescent="0.3">
      <c r="A404" s="2" t="s">
        <v>1286</v>
      </c>
      <c r="B404" s="2" t="s">
        <v>168</v>
      </c>
      <c r="C404" s="2" t="s">
        <v>2547</v>
      </c>
      <c r="D404" s="2"/>
    </row>
    <row r="405" spans="1:4" x14ac:dyDescent="0.3">
      <c r="A405" s="2" t="s">
        <v>1287</v>
      </c>
      <c r="B405" s="2" t="s">
        <v>168</v>
      </c>
      <c r="C405" s="2" t="s">
        <v>2547</v>
      </c>
      <c r="D405" s="2"/>
    </row>
    <row r="406" spans="1:4" x14ac:dyDescent="0.3">
      <c r="A406" s="2" t="s">
        <v>1288</v>
      </c>
      <c r="B406" s="2" t="s">
        <v>168</v>
      </c>
      <c r="C406" s="2" t="s">
        <v>2547</v>
      </c>
      <c r="D406" s="2"/>
    </row>
    <row r="407" spans="1:4" x14ac:dyDescent="0.3">
      <c r="A407" s="2" t="s">
        <v>1289</v>
      </c>
      <c r="B407" s="2" t="s">
        <v>168</v>
      </c>
      <c r="C407" s="2" t="s">
        <v>2547</v>
      </c>
      <c r="D407" s="2"/>
    </row>
    <row r="408" spans="1:4" x14ac:dyDescent="0.3">
      <c r="A408" s="2" t="s">
        <v>1291</v>
      </c>
      <c r="B408" s="2" t="s">
        <v>168</v>
      </c>
      <c r="C408" s="2" t="s">
        <v>2547</v>
      </c>
      <c r="D408" s="2"/>
    </row>
    <row r="409" spans="1:4" x14ac:dyDescent="0.3">
      <c r="A409" s="2" t="s">
        <v>1293</v>
      </c>
      <c r="B409" s="2" t="s">
        <v>168</v>
      </c>
      <c r="C409" s="2" t="s">
        <v>2547</v>
      </c>
      <c r="D409" s="2"/>
    </row>
    <row r="410" spans="1:4" x14ac:dyDescent="0.3">
      <c r="A410" s="2" t="s">
        <v>1295</v>
      </c>
      <c r="B410" s="2" t="s">
        <v>168</v>
      </c>
      <c r="C410" s="2" t="s">
        <v>2547</v>
      </c>
      <c r="D410" s="2"/>
    </row>
    <row r="411" spans="1:4" x14ac:dyDescent="0.3">
      <c r="A411" s="2" t="s">
        <v>1296</v>
      </c>
      <c r="B411" s="2" t="s">
        <v>168</v>
      </c>
      <c r="C411" s="2" t="s">
        <v>2547</v>
      </c>
      <c r="D411" s="2"/>
    </row>
    <row r="412" spans="1:4" x14ac:dyDescent="0.3">
      <c r="A412" s="2" t="s">
        <v>1297</v>
      </c>
      <c r="B412" s="2" t="s">
        <v>168</v>
      </c>
      <c r="C412" s="2" t="s">
        <v>2547</v>
      </c>
      <c r="D412" s="2"/>
    </row>
    <row r="413" spans="1:4" x14ac:dyDescent="0.3">
      <c r="A413" s="2" t="s">
        <v>1298</v>
      </c>
      <c r="B413" s="2" t="s">
        <v>168</v>
      </c>
      <c r="C413" s="2" t="s">
        <v>2547</v>
      </c>
      <c r="D413" s="2"/>
    </row>
    <row r="414" spans="1:4" x14ac:dyDescent="0.3">
      <c r="A414" s="2" t="s">
        <v>1299</v>
      </c>
      <c r="B414" s="2" t="s">
        <v>168</v>
      </c>
      <c r="C414" s="2" t="s">
        <v>2547</v>
      </c>
      <c r="D414" s="2"/>
    </row>
    <row r="415" spans="1:4" x14ac:dyDescent="0.3">
      <c r="A415" s="2" t="s">
        <v>1301</v>
      </c>
      <c r="B415" s="2" t="s">
        <v>168</v>
      </c>
      <c r="C415" s="2" t="s">
        <v>2547</v>
      </c>
      <c r="D415" s="2"/>
    </row>
    <row r="416" spans="1:4" x14ac:dyDescent="0.3">
      <c r="A416" s="2" t="s">
        <v>1302</v>
      </c>
      <c r="B416" s="2" t="s">
        <v>168</v>
      </c>
      <c r="C416" s="2" t="s">
        <v>2547</v>
      </c>
      <c r="D416" s="2"/>
    </row>
    <row r="417" spans="1:4" x14ac:dyDescent="0.3">
      <c r="A417" s="2" t="s">
        <v>1303</v>
      </c>
      <c r="B417" s="2" t="s">
        <v>168</v>
      </c>
      <c r="C417" s="2" t="s">
        <v>2547</v>
      </c>
      <c r="D417" s="2"/>
    </row>
    <row r="418" spans="1:4" x14ac:dyDescent="0.3">
      <c r="A418" s="2" t="s">
        <v>1304</v>
      </c>
      <c r="B418" s="2" t="s">
        <v>168</v>
      </c>
      <c r="C418" s="2" t="s">
        <v>2547</v>
      </c>
      <c r="D418" s="2"/>
    </row>
    <row r="419" spans="1:4" x14ac:dyDescent="0.3">
      <c r="A419" s="2" t="s">
        <v>1305</v>
      </c>
      <c r="B419" s="2" t="s">
        <v>168</v>
      </c>
      <c r="C419" s="2" t="s">
        <v>2547</v>
      </c>
      <c r="D419" s="2"/>
    </row>
    <row r="420" spans="1:4" x14ac:dyDescent="0.3">
      <c r="A420" s="2" t="s">
        <v>1307</v>
      </c>
      <c r="B420" s="2" t="s">
        <v>168</v>
      </c>
      <c r="C420" s="2" t="s">
        <v>2547</v>
      </c>
      <c r="D420" s="2"/>
    </row>
    <row r="421" spans="1:4" x14ac:dyDescent="0.3">
      <c r="A421" s="2" t="s">
        <v>1309</v>
      </c>
      <c r="B421" s="2" t="s">
        <v>168</v>
      </c>
      <c r="C421" s="2" t="s">
        <v>2547</v>
      </c>
      <c r="D421" s="2"/>
    </row>
    <row r="422" spans="1:4" x14ac:dyDescent="0.3">
      <c r="A422" s="2" t="s">
        <v>1310</v>
      </c>
      <c r="B422" s="2" t="s">
        <v>168</v>
      </c>
      <c r="C422" s="2" t="s">
        <v>2547</v>
      </c>
      <c r="D422" s="2"/>
    </row>
    <row r="423" spans="1:4" x14ac:dyDescent="0.3">
      <c r="A423" s="2" t="s">
        <v>1311</v>
      </c>
      <c r="B423" s="2" t="s">
        <v>168</v>
      </c>
      <c r="C423" s="2" t="s">
        <v>2547</v>
      </c>
      <c r="D423" s="2"/>
    </row>
    <row r="424" spans="1:4" x14ac:dyDescent="0.3">
      <c r="A424" s="2" t="s">
        <v>1312</v>
      </c>
      <c r="B424" s="2" t="s">
        <v>168</v>
      </c>
      <c r="C424" s="2" t="s">
        <v>2547</v>
      </c>
      <c r="D424" s="2"/>
    </row>
    <row r="425" spans="1:4" x14ac:dyDescent="0.3">
      <c r="A425" s="2" t="s">
        <v>1313</v>
      </c>
      <c r="B425" s="2" t="s">
        <v>168</v>
      </c>
      <c r="C425" s="2" t="s">
        <v>2547</v>
      </c>
      <c r="D425" s="2"/>
    </row>
    <row r="426" spans="1:4" x14ac:dyDescent="0.3">
      <c r="A426" s="2" t="s">
        <v>1315</v>
      </c>
      <c r="B426" s="2" t="s">
        <v>168</v>
      </c>
      <c r="C426" s="2" t="s">
        <v>2547</v>
      </c>
      <c r="D426" s="2"/>
    </row>
    <row r="427" spans="1:4" x14ac:dyDescent="0.3">
      <c r="A427" s="2" t="s">
        <v>1317</v>
      </c>
      <c r="B427" s="2" t="s">
        <v>168</v>
      </c>
      <c r="C427" s="2" t="s">
        <v>2547</v>
      </c>
      <c r="D427" s="2"/>
    </row>
    <row r="428" spans="1:4" x14ac:dyDescent="0.3">
      <c r="A428" s="2" t="s">
        <v>1319</v>
      </c>
      <c r="B428" s="2" t="s">
        <v>168</v>
      </c>
      <c r="C428" s="2" t="s">
        <v>2547</v>
      </c>
      <c r="D428" s="2"/>
    </row>
    <row r="429" spans="1:4" x14ac:dyDescent="0.3">
      <c r="A429" s="2" t="s">
        <v>1320</v>
      </c>
      <c r="B429" s="2" t="s">
        <v>168</v>
      </c>
      <c r="C429" s="2" t="s">
        <v>2547</v>
      </c>
      <c r="D429" s="2"/>
    </row>
    <row r="430" spans="1:4" x14ac:dyDescent="0.3">
      <c r="A430" s="2" t="s">
        <v>1322</v>
      </c>
      <c r="B430" s="2" t="s">
        <v>168</v>
      </c>
      <c r="C430" s="2" t="s">
        <v>2547</v>
      </c>
      <c r="D430" s="2"/>
    </row>
    <row r="431" spans="1:4" x14ac:dyDescent="0.3">
      <c r="A431" s="2" t="s">
        <v>1323</v>
      </c>
      <c r="B431" s="2" t="s">
        <v>168</v>
      </c>
      <c r="C431" s="2" t="s">
        <v>2547</v>
      </c>
      <c r="D431" s="2"/>
    </row>
    <row r="432" spans="1:4" x14ac:dyDescent="0.3">
      <c r="A432" s="2" t="s">
        <v>1324</v>
      </c>
      <c r="B432" s="2" t="s">
        <v>1325</v>
      </c>
      <c r="C432" s="2" t="s">
        <v>2731</v>
      </c>
      <c r="D432" s="2"/>
    </row>
    <row r="433" spans="1:4" x14ac:dyDescent="0.3">
      <c r="A433" s="2" t="s">
        <v>1327</v>
      </c>
      <c r="B433" s="2" t="s">
        <v>1325</v>
      </c>
      <c r="C433" s="2" t="s">
        <v>2731</v>
      </c>
      <c r="D433" s="2"/>
    </row>
    <row r="434" spans="1:4" x14ac:dyDescent="0.3">
      <c r="A434" s="2" t="s">
        <v>1328</v>
      </c>
      <c r="B434" s="2" t="s">
        <v>1325</v>
      </c>
      <c r="C434" s="2" t="s">
        <v>2731</v>
      </c>
      <c r="D434" s="2"/>
    </row>
    <row r="435" spans="1:4" x14ac:dyDescent="0.3">
      <c r="A435" s="2" t="s">
        <v>1330</v>
      </c>
      <c r="B435" s="2" t="s">
        <v>1325</v>
      </c>
      <c r="C435" s="2" t="s">
        <v>2731</v>
      </c>
      <c r="D435" s="2"/>
    </row>
    <row r="436" spans="1:4" x14ac:dyDescent="0.3">
      <c r="A436" s="2" t="s">
        <v>1331</v>
      </c>
      <c r="B436" s="2" t="s">
        <v>1325</v>
      </c>
      <c r="C436" s="2" t="s">
        <v>2731</v>
      </c>
      <c r="D436" s="2"/>
    </row>
    <row r="437" spans="1:4" x14ac:dyDescent="0.3">
      <c r="A437" s="2" t="s">
        <v>1332</v>
      </c>
      <c r="B437" s="2" t="s">
        <v>1325</v>
      </c>
      <c r="C437" s="2" t="s">
        <v>2731</v>
      </c>
      <c r="D437" s="2"/>
    </row>
    <row r="438" spans="1:4" x14ac:dyDescent="0.3">
      <c r="A438" s="2" t="s">
        <v>2781</v>
      </c>
      <c r="B438" s="2" t="s">
        <v>1325</v>
      </c>
      <c r="C438" s="2" t="s">
        <v>2731</v>
      </c>
      <c r="D438" s="2"/>
    </row>
    <row r="439" spans="1:4" x14ac:dyDescent="0.3">
      <c r="A439" s="2" t="s">
        <v>1333</v>
      </c>
      <c r="B439" s="2" t="s">
        <v>1325</v>
      </c>
      <c r="C439" s="2" t="s">
        <v>2731</v>
      </c>
      <c r="D439" s="2"/>
    </row>
    <row r="440" spans="1:4" x14ac:dyDescent="0.3">
      <c r="A440" s="2" t="s">
        <v>1334</v>
      </c>
      <c r="B440" s="2" t="s">
        <v>1325</v>
      </c>
      <c r="C440" s="2" t="s">
        <v>2731</v>
      </c>
      <c r="D440" s="2"/>
    </row>
    <row r="441" spans="1:4" x14ac:dyDescent="0.3">
      <c r="A441" s="2" t="s">
        <v>1336</v>
      </c>
      <c r="B441" s="2" t="s">
        <v>1325</v>
      </c>
      <c r="C441" s="2" t="s">
        <v>2731</v>
      </c>
      <c r="D441" s="2"/>
    </row>
    <row r="442" spans="1:4" x14ac:dyDescent="0.3">
      <c r="A442" s="2" t="s">
        <v>1337</v>
      </c>
      <c r="B442" s="2" t="s">
        <v>1325</v>
      </c>
      <c r="C442" s="2" t="s">
        <v>2731</v>
      </c>
      <c r="D442" s="2"/>
    </row>
    <row r="443" spans="1:4" x14ac:dyDescent="0.3">
      <c r="A443" s="2" t="s">
        <v>1338</v>
      </c>
      <c r="B443" s="2" t="s">
        <v>1325</v>
      </c>
      <c r="C443" s="2" t="s">
        <v>2731</v>
      </c>
      <c r="D443" s="2"/>
    </row>
    <row r="444" spans="1:4" x14ac:dyDescent="0.3">
      <c r="A444" s="2" t="s">
        <v>1339</v>
      </c>
      <c r="B444" s="2" t="s">
        <v>1325</v>
      </c>
      <c r="C444" s="2" t="s">
        <v>2731</v>
      </c>
      <c r="D444" s="2"/>
    </row>
    <row r="445" spans="1:4" x14ac:dyDescent="0.3">
      <c r="A445" s="2" t="s">
        <v>1340</v>
      </c>
      <c r="B445" s="2" t="s">
        <v>1325</v>
      </c>
      <c r="C445" s="2" t="s">
        <v>2731</v>
      </c>
      <c r="D445" s="2"/>
    </row>
    <row r="446" spans="1:4" x14ac:dyDescent="0.3">
      <c r="A446" s="2" t="s">
        <v>1341</v>
      </c>
      <c r="B446" s="2" t="s">
        <v>1325</v>
      </c>
      <c r="C446" s="2" t="s">
        <v>2731</v>
      </c>
      <c r="D446" s="2"/>
    </row>
    <row r="447" spans="1:4" x14ac:dyDescent="0.3">
      <c r="A447" s="2" t="s">
        <v>1342</v>
      </c>
      <c r="B447" s="2" t="s">
        <v>1325</v>
      </c>
      <c r="C447" s="2" t="s">
        <v>2731</v>
      </c>
      <c r="D447" s="2"/>
    </row>
    <row r="448" spans="1:4" x14ac:dyDescent="0.3">
      <c r="A448" s="2" t="s">
        <v>1343</v>
      </c>
      <c r="B448" s="2" t="s">
        <v>1325</v>
      </c>
      <c r="C448" s="2" t="s">
        <v>2731</v>
      </c>
      <c r="D448" s="2"/>
    </row>
    <row r="449" spans="1:4" x14ac:dyDescent="0.3">
      <c r="A449" s="2" t="s">
        <v>1344</v>
      </c>
      <c r="B449" s="2" t="s">
        <v>1325</v>
      </c>
      <c r="C449" s="2" t="s">
        <v>2731</v>
      </c>
      <c r="D449" s="2"/>
    </row>
    <row r="450" spans="1:4" x14ac:dyDescent="0.3">
      <c r="A450" s="2" t="s">
        <v>1345</v>
      </c>
      <c r="B450" s="2" t="s">
        <v>1325</v>
      </c>
      <c r="C450" s="2" t="s">
        <v>2731</v>
      </c>
      <c r="D450" s="2"/>
    </row>
    <row r="451" spans="1:4" x14ac:dyDescent="0.3">
      <c r="A451" s="2" t="s">
        <v>1346</v>
      </c>
      <c r="B451" s="2" t="s">
        <v>1325</v>
      </c>
      <c r="C451" s="2" t="s">
        <v>2731</v>
      </c>
      <c r="D451" s="2"/>
    </row>
    <row r="452" spans="1:4" x14ac:dyDescent="0.3">
      <c r="A452" s="2" t="s">
        <v>1348</v>
      </c>
      <c r="B452" s="2" t="s">
        <v>1325</v>
      </c>
      <c r="C452" s="2" t="s">
        <v>2731</v>
      </c>
      <c r="D452" s="2"/>
    </row>
    <row r="453" spans="1:4" x14ac:dyDescent="0.3">
      <c r="A453" s="2" t="s">
        <v>1350</v>
      </c>
      <c r="B453" s="2" t="s">
        <v>1325</v>
      </c>
      <c r="C453" s="2" t="s">
        <v>2731</v>
      </c>
      <c r="D453" s="2"/>
    </row>
    <row r="454" spans="1:4" x14ac:dyDescent="0.3">
      <c r="A454" s="2" t="s">
        <v>1351</v>
      </c>
      <c r="B454" s="2" t="s">
        <v>1325</v>
      </c>
      <c r="C454" s="2" t="s">
        <v>2731</v>
      </c>
      <c r="D454" s="2"/>
    </row>
    <row r="455" spans="1:4" x14ac:dyDescent="0.3">
      <c r="A455" s="2" t="s">
        <v>1352</v>
      </c>
      <c r="B455" s="2" t="s">
        <v>1325</v>
      </c>
      <c r="C455" s="2" t="s">
        <v>2731</v>
      </c>
      <c r="D455" s="2"/>
    </row>
    <row r="456" spans="1:4" x14ac:dyDescent="0.3">
      <c r="A456" s="2" t="s">
        <v>1353</v>
      </c>
      <c r="B456" s="2" t="s">
        <v>1325</v>
      </c>
      <c r="C456" s="2" t="s">
        <v>2731</v>
      </c>
      <c r="D456" s="2"/>
    </row>
    <row r="457" spans="1:4" x14ac:dyDescent="0.3">
      <c r="A457" s="2" t="s">
        <v>1355</v>
      </c>
      <c r="B457" s="2" t="s">
        <v>1325</v>
      </c>
      <c r="C457" s="2" t="s">
        <v>2731</v>
      </c>
      <c r="D457" s="2"/>
    </row>
    <row r="458" spans="1:4" x14ac:dyDescent="0.3">
      <c r="A458" s="2" t="s">
        <v>1356</v>
      </c>
      <c r="B458" s="2" t="s">
        <v>1325</v>
      </c>
      <c r="C458" s="2" t="s">
        <v>2731</v>
      </c>
      <c r="D458" s="2"/>
    </row>
    <row r="459" spans="1:4" x14ac:dyDescent="0.3">
      <c r="A459" s="2" t="s">
        <v>1357</v>
      </c>
      <c r="B459" s="2" t="s">
        <v>1325</v>
      </c>
      <c r="C459" s="2" t="s">
        <v>2731</v>
      </c>
      <c r="D459" s="2"/>
    </row>
    <row r="460" spans="1:4" x14ac:dyDescent="0.3">
      <c r="A460" s="2" t="s">
        <v>1358</v>
      </c>
      <c r="B460" s="2" t="s">
        <v>1325</v>
      </c>
      <c r="C460" s="2" t="s">
        <v>2731</v>
      </c>
      <c r="D460" s="2"/>
    </row>
    <row r="461" spans="1:4" x14ac:dyDescent="0.3">
      <c r="A461" s="2" t="s">
        <v>1359</v>
      </c>
      <c r="B461" s="2" t="s">
        <v>1325</v>
      </c>
      <c r="C461" s="2" t="s">
        <v>2731</v>
      </c>
      <c r="D461" s="2"/>
    </row>
    <row r="462" spans="1:4" x14ac:dyDescent="0.3">
      <c r="A462" s="2" t="s">
        <v>1361</v>
      </c>
      <c r="B462" s="2" t="s">
        <v>1325</v>
      </c>
      <c r="C462" s="2" t="s">
        <v>2731</v>
      </c>
      <c r="D462" s="2"/>
    </row>
    <row r="463" spans="1:4" x14ac:dyDescent="0.3">
      <c r="A463" s="2" t="s">
        <v>1362</v>
      </c>
      <c r="B463" s="2" t="s">
        <v>1325</v>
      </c>
      <c r="C463" s="2" t="s">
        <v>2731</v>
      </c>
      <c r="D463" s="2"/>
    </row>
    <row r="464" spans="1:4" x14ac:dyDescent="0.3">
      <c r="A464" s="2" t="s">
        <v>1363</v>
      </c>
      <c r="B464" s="2" t="s">
        <v>1325</v>
      </c>
      <c r="C464" s="2" t="s">
        <v>2731</v>
      </c>
      <c r="D464" s="2"/>
    </row>
    <row r="465" spans="1:4" x14ac:dyDescent="0.3">
      <c r="A465" s="2" t="s">
        <v>1365</v>
      </c>
      <c r="B465" s="2" t="s">
        <v>1325</v>
      </c>
      <c r="C465" s="2" t="s">
        <v>2731</v>
      </c>
      <c r="D465" s="2"/>
    </row>
    <row r="466" spans="1:4" x14ac:dyDescent="0.3">
      <c r="A466" s="2" t="s">
        <v>1366</v>
      </c>
      <c r="B466" s="2" t="s">
        <v>1325</v>
      </c>
      <c r="C466" s="2" t="s">
        <v>2731</v>
      </c>
      <c r="D466" s="2"/>
    </row>
    <row r="467" spans="1:4" x14ac:dyDescent="0.3">
      <c r="A467" s="2" t="s">
        <v>1367</v>
      </c>
      <c r="B467" s="2" t="s">
        <v>1325</v>
      </c>
      <c r="C467" s="2" t="s">
        <v>2731</v>
      </c>
      <c r="D467" s="2"/>
    </row>
    <row r="468" spans="1:4" x14ac:dyDescent="0.3">
      <c r="A468" s="2" t="s">
        <v>1369</v>
      </c>
      <c r="B468" s="2" t="s">
        <v>1325</v>
      </c>
      <c r="C468" s="2" t="s">
        <v>2731</v>
      </c>
      <c r="D468" s="2"/>
    </row>
    <row r="469" spans="1:4" x14ac:dyDescent="0.3">
      <c r="A469" s="2" t="s">
        <v>1371</v>
      </c>
      <c r="B469" s="2" t="s">
        <v>1325</v>
      </c>
      <c r="C469" s="2" t="s">
        <v>2731</v>
      </c>
      <c r="D469" s="2"/>
    </row>
    <row r="470" spans="1:4" x14ac:dyDescent="0.3">
      <c r="A470" s="2" t="s">
        <v>1372</v>
      </c>
      <c r="B470" s="2" t="s">
        <v>1325</v>
      </c>
      <c r="C470" s="2" t="s">
        <v>2731</v>
      </c>
      <c r="D470" s="2"/>
    </row>
    <row r="471" spans="1:4" x14ac:dyDescent="0.3">
      <c r="A471" s="2" t="s">
        <v>1374</v>
      </c>
      <c r="B471" s="2" t="s">
        <v>1325</v>
      </c>
      <c r="C471" s="2" t="s">
        <v>2731</v>
      </c>
      <c r="D471" s="2"/>
    </row>
    <row r="472" spans="1:4" x14ac:dyDescent="0.3">
      <c r="A472" s="2" t="s">
        <v>1376</v>
      </c>
      <c r="B472" s="2" t="s">
        <v>1325</v>
      </c>
      <c r="C472" s="2" t="s">
        <v>2731</v>
      </c>
      <c r="D472" s="2"/>
    </row>
    <row r="473" spans="1:4" x14ac:dyDescent="0.3">
      <c r="A473" s="2" t="s">
        <v>1380</v>
      </c>
      <c r="B473" s="2" t="s">
        <v>1325</v>
      </c>
      <c r="C473" s="2" t="s">
        <v>2731</v>
      </c>
      <c r="D473" s="2"/>
    </row>
    <row r="474" spans="1:4" x14ac:dyDescent="0.3">
      <c r="A474" s="2" t="s">
        <v>1381</v>
      </c>
      <c r="B474" s="2" t="s">
        <v>1325</v>
      </c>
      <c r="C474" s="2" t="s">
        <v>2731</v>
      </c>
      <c r="D474" s="2"/>
    </row>
    <row r="475" spans="1:4" x14ac:dyDescent="0.3">
      <c r="A475" s="2" t="s">
        <v>1383</v>
      </c>
      <c r="B475" s="2" t="s">
        <v>1325</v>
      </c>
      <c r="C475" s="2" t="s">
        <v>2731</v>
      </c>
      <c r="D475" s="2"/>
    </row>
    <row r="476" spans="1:4" x14ac:dyDescent="0.3">
      <c r="A476" s="2" t="s">
        <v>1385</v>
      </c>
      <c r="B476" s="2" t="s">
        <v>1325</v>
      </c>
      <c r="C476" s="2" t="s">
        <v>2731</v>
      </c>
      <c r="D476" s="2"/>
    </row>
    <row r="477" spans="1:4" x14ac:dyDescent="0.3">
      <c r="A477" s="2" t="s">
        <v>1386</v>
      </c>
      <c r="B477" s="2" t="s">
        <v>1325</v>
      </c>
      <c r="C477" s="2" t="s">
        <v>2731</v>
      </c>
      <c r="D477" s="2"/>
    </row>
    <row r="478" spans="1:4" x14ac:dyDescent="0.3">
      <c r="A478" s="2" t="s">
        <v>1387</v>
      </c>
      <c r="B478" s="2" t="s">
        <v>1325</v>
      </c>
      <c r="C478" s="2" t="s">
        <v>2731</v>
      </c>
      <c r="D478" s="2"/>
    </row>
    <row r="479" spans="1:4" x14ac:dyDescent="0.3">
      <c r="A479" s="2" t="s">
        <v>1389</v>
      </c>
      <c r="B479" s="2" t="s">
        <v>1325</v>
      </c>
      <c r="C479" s="2" t="s">
        <v>2731</v>
      </c>
      <c r="D479" s="2"/>
    </row>
    <row r="480" spans="1:4" x14ac:dyDescent="0.3">
      <c r="A480" s="2" t="s">
        <v>1391</v>
      </c>
      <c r="B480" s="2" t="s">
        <v>1325</v>
      </c>
      <c r="C480" s="2" t="s">
        <v>2731</v>
      </c>
      <c r="D480" s="2"/>
    </row>
    <row r="481" spans="1:4" x14ac:dyDescent="0.3">
      <c r="A481" s="2" t="s">
        <v>1393</v>
      </c>
      <c r="B481" s="2" t="s">
        <v>1325</v>
      </c>
      <c r="C481" s="2" t="s">
        <v>2731</v>
      </c>
      <c r="D481" s="2"/>
    </row>
    <row r="482" spans="1:4" x14ac:dyDescent="0.3">
      <c r="A482" s="2" t="s">
        <v>1394</v>
      </c>
      <c r="B482" s="2" t="s">
        <v>1325</v>
      </c>
      <c r="C482" s="2" t="s">
        <v>2731</v>
      </c>
      <c r="D482" s="2"/>
    </row>
    <row r="483" spans="1:4" x14ac:dyDescent="0.3">
      <c r="A483" s="2" t="s">
        <v>2782</v>
      </c>
      <c r="B483" s="2" t="s">
        <v>2551</v>
      </c>
      <c r="C483" s="2" t="s">
        <v>2551</v>
      </c>
      <c r="D483" s="2"/>
    </row>
    <row r="484" spans="1:4" x14ac:dyDescent="0.3">
      <c r="A484" s="2" t="s">
        <v>2783</v>
      </c>
      <c r="B484" s="2" t="s">
        <v>2551</v>
      </c>
      <c r="C484" s="2" t="s">
        <v>2551</v>
      </c>
      <c r="D484" s="2"/>
    </row>
    <row r="485" spans="1:4" x14ac:dyDescent="0.3">
      <c r="A485" s="2" t="s">
        <v>2784</v>
      </c>
      <c r="B485" s="2" t="s">
        <v>2551</v>
      </c>
      <c r="C485" s="2" t="s">
        <v>2551</v>
      </c>
      <c r="D485" s="2"/>
    </row>
    <row r="486" spans="1:4" x14ac:dyDescent="0.3">
      <c r="A486" s="2" t="s">
        <v>2785</v>
      </c>
      <c r="B486" s="2" t="s">
        <v>2551</v>
      </c>
      <c r="C486" s="2" t="s">
        <v>2551</v>
      </c>
      <c r="D486" s="2"/>
    </row>
    <row r="487" spans="1:4" x14ac:dyDescent="0.3">
      <c r="A487" s="2" t="s">
        <v>2786</v>
      </c>
      <c r="B487" s="2" t="s">
        <v>2551</v>
      </c>
      <c r="C487" s="2" t="s">
        <v>2551</v>
      </c>
      <c r="D487" s="2"/>
    </row>
    <row r="488" spans="1:4" x14ac:dyDescent="0.3">
      <c r="A488" s="2" t="s">
        <v>2787</v>
      </c>
      <c r="B488" s="2" t="s">
        <v>2551</v>
      </c>
      <c r="C488" s="2" t="s">
        <v>2551</v>
      </c>
      <c r="D488" s="2"/>
    </row>
    <row r="489" spans="1:4" x14ac:dyDescent="0.3">
      <c r="A489" s="2" t="s">
        <v>2788</v>
      </c>
      <c r="B489" s="2" t="s">
        <v>2551</v>
      </c>
      <c r="C489" s="2" t="s">
        <v>2551</v>
      </c>
      <c r="D489" s="2"/>
    </row>
    <row r="490" spans="1:4" x14ac:dyDescent="0.3">
      <c r="A490" s="2" t="s">
        <v>2789</v>
      </c>
      <c r="B490" s="2" t="s">
        <v>2551</v>
      </c>
      <c r="C490" s="2" t="s">
        <v>2551</v>
      </c>
      <c r="D490" s="2"/>
    </row>
    <row r="491" spans="1:4" x14ac:dyDescent="0.3">
      <c r="A491" s="2" t="s">
        <v>2790</v>
      </c>
      <c r="B491" s="2" t="s">
        <v>2551</v>
      </c>
      <c r="C491" s="2" t="s">
        <v>2551</v>
      </c>
      <c r="D491" s="2"/>
    </row>
    <row r="492" spans="1:4" x14ac:dyDescent="0.3">
      <c r="A492" s="2" t="s">
        <v>2791</v>
      </c>
      <c r="B492" s="2" t="s">
        <v>2551</v>
      </c>
      <c r="C492" s="2" t="s">
        <v>2551</v>
      </c>
      <c r="D492" s="2"/>
    </row>
    <row r="493" spans="1:4" x14ac:dyDescent="0.3">
      <c r="A493" s="2" t="s">
        <v>2792</v>
      </c>
      <c r="B493" s="2" t="s">
        <v>2551</v>
      </c>
      <c r="C493" s="2" t="s">
        <v>2551</v>
      </c>
      <c r="D493" s="2"/>
    </row>
    <row r="494" spans="1:4" x14ac:dyDescent="0.3">
      <c r="A494" s="2" t="s">
        <v>2793</v>
      </c>
      <c r="B494" s="2" t="s">
        <v>2551</v>
      </c>
      <c r="C494" s="2" t="s">
        <v>2551</v>
      </c>
      <c r="D494" s="2"/>
    </row>
    <row r="495" spans="1:4" x14ac:dyDescent="0.3">
      <c r="A495" s="2" t="s">
        <v>2794</v>
      </c>
      <c r="B495" s="2" t="s">
        <v>2551</v>
      </c>
      <c r="C495" s="2" t="s">
        <v>2551</v>
      </c>
      <c r="D495" s="2"/>
    </row>
    <row r="496" spans="1:4" x14ac:dyDescent="0.3">
      <c r="A496" s="2" t="s">
        <v>2795</v>
      </c>
      <c r="B496" s="2" t="s">
        <v>2551</v>
      </c>
      <c r="C496" s="2" t="s">
        <v>2551</v>
      </c>
      <c r="D496" s="2"/>
    </row>
    <row r="497" spans="1:4" x14ac:dyDescent="0.3">
      <c r="A497" s="2" t="s">
        <v>2796</v>
      </c>
      <c r="B497" s="2" t="s">
        <v>2551</v>
      </c>
      <c r="C497" s="2" t="s">
        <v>2551</v>
      </c>
      <c r="D497" s="2"/>
    </row>
    <row r="498" spans="1:4" x14ac:dyDescent="0.3">
      <c r="A498" s="2" t="s">
        <v>2797</v>
      </c>
      <c r="B498" s="2" t="s">
        <v>2551</v>
      </c>
      <c r="C498" s="2" t="s">
        <v>2551</v>
      </c>
      <c r="D498" s="2"/>
    </row>
    <row r="499" spans="1:4" x14ac:dyDescent="0.3">
      <c r="A499" s="2" t="s">
        <v>2798</v>
      </c>
      <c r="B499" s="2" t="s">
        <v>2551</v>
      </c>
      <c r="C499" s="2" t="s">
        <v>2551</v>
      </c>
      <c r="D499" s="2"/>
    </row>
    <row r="500" spans="1:4" x14ac:dyDescent="0.3">
      <c r="A500" s="2" t="s">
        <v>2799</v>
      </c>
      <c r="B500" s="2" t="s">
        <v>2551</v>
      </c>
      <c r="C500" s="2" t="s">
        <v>2551</v>
      </c>
      <c r="D500" s="2"/>
    </row>
    <row r="501" spans="1:4" x14ac:dyDescent="0.3">
      <c r="A501" s="2" t="s">
        <v>2800</v>
      </c>
      <c r="B501" s="2" t="s">
        <v>2734</v>
      </c>
      <c r="C501" s="2" t="s">
        <v>2734</v>
      </c>
      <c r="D501" s="2"/>
    </row>
    <row r="502" spans="1:4" x14ac:dyDescent="0.3">
      <c r="A502" s="2" t="s">
        <v>2801</v>
      </c>
      <c r="B502" s="2" t="s">
        <v>2734</v>
      </c>
      <c r="C502" s="2" t="s">
        <v>2734</v>
      </c>
      <c r="D502" s="2"/>
    </row>
    <row r="503" spans="1:4" x14ac:dyDescent="0.3">
      <c r="A503" s="2" t="s">
        <v>2802</v>
      </c>
      <c r="B503" s="2" t="s">
        <v>2734</v>
      </c>
      <c r="C503" s="2" t="s">
        <v>2734</v>
      </c>
      <c r="D503" s="2"/>
    </row>
    <row r="504" spans="1:4" x14ac:dyDescent="0.3">
      <c r="A504" s="2" t="s">
        <v>2803</v>
      </c>
      <c r="B504" s="2" t="s">
        <v>2734</v>
      </c>
      <c r="C504" s="2" t="s">
        <v>2734</v>
      </c>
      <c r="D504" s="2"/>
    </row>
    <row r="505" spans="1:4" x14ac:dyDescent="0.3">
      <c r="A505" s="2" t="s">
        <v>2804</v>
      </c>
      <c r="B505" s="2" t="s">
        <v>2732</v>
      </c>
      <c r="C505" s="2" t="s">
        <v>2732</v>
      </c>
      <c r="D505" s="2"/>
    </row>
    <row r="506" spans="1:4" x14ac:dyDescent="0.3">
      <c r="A506" s="2" t="s">
        <v>2805</v>
      </c>
      <c r="B506" s="2" t="s">
        <v>2732</v>
      </c>
      <c r="C506" s="2" t="s">
        <v>2732</v>
      </c>
      <c r="D506" s="2"/>
    </row>
    <row r="507" spans="1:4" x14ac:dyDescent="0.3">
      <c r="A507" s="2" t="s">
        <v>2806</v>
      </c>
      <c r="B507" s="2" t="s">
        <v>2732</v>
      </c>
      <c r="C507" s="2" t="s">
        <v>2732</v>
      </c>
      <c r="D507" s="2"/>
    </row>
    <row r="508" spans="1:4" x14ac:dyDescent="0.3">
      <c r="A508" s="2" t="s">
        <v>2807</v>
      </c>
      <c r="B508" s="2" t="s">
        <v>2732</v>
      </c>
      <c r="C508" s="2" t="s">
        <v>2732</v>
      </c>
      <c r="D508" s="2"/>
    </row>
    <row r="509" spans="1:4" x14ac:dyDescent="0.3">
      <c r="A509" s="2" t="s">
        <v>2808</v>
      </c>
      <c r="B509" s="2" t="s">
        <v>2732</v>
      </c>
      <c r="C509" s="2" t="s">
        <v>2732</v>
      </c>
      <c r="D509" s="2"/>
    </row>
    <row r="510" spans="1:4" x14ac:dyDescent="0.3">
      <c r="A510" s="2" t="s">
        <v>2809</v>
      </c>
      <c r="B510" s="2" t="s">
        <v>2732</v>
      </c>
      <c r="C510" s="2" t="s">
        <v>2732</v>
      </c>
      <c r="D510" s="2"/>
    </row>
    <row r="511" spans="1:4" x14ac:dyDescent="0.3">
      <c r="A511" s="2" t="s">
        <v>2810</v>
      </c>
      <c r="B511" s="2" t="s">
        <v>2732</v>
      </c>
      <c r="C511" s="2" t="s">
        <v>2732</v>
      </c>
      <c r="D511" s="2"/>
    </row>
    <row r="512" spans="1:4" x14ac:dyDescent="0.3">
      <c r="A512" s="2" t="s">
        <v>2811</v>
      </c>
      <c r="B512" s="2" t="s">
        <v>2732</v>
      </c>
      <c r="C512" s="2" t="s">
        <v>2732</v>
      </c>
      <c r="D512" s="2"/>
    </row>
    <row r="513" spans="1:4" x14ac:dyDescent="0.3">
      <c r="A513" s="2" t="s">
        <v>2812</v>
      </c>
      <c r="B513" s="2" t="s">
        <v>2732</v>
      </c>
      <c r="C513" s="2" t="s">
        <v>2732</v>
      </c>
      <c r="D513" s="2"/>
    </row>
    <row r="514" spans="1:4" x14ac:dyDescent="0.3">
      <c r="A514" s="2" t="s">
        <v>2813</v>
      </c>
      <c r="B514" s="2" t="s">
        <v>2732</v>
      </c>
      <c r="C514" s="2" t="s">
        <v>2732</v>
      </c>
      <c r="D514" s="2"/>
    </row>
    <row r="515" spans="1:4" x14ac:dyDescent="0.3">
      <c r="A515" s="2" t="s">
        <v>2814</v>
      </c>
      <c r="B515" s="2" t="s">
        <v>2732</v>
      </c>
      <c r="C515" s="2" t="s">
        <v>2732</v>
      </c>
      <c r="D515" s="2"/>
    </row>
    <row r="516" spans="1:4" x14ac:dyDescent="0.3">
      <c r="A516" s="2" t="s">
        <v>2815</v>
      </c>
      <c r="B516" s="2" t="s">
        <v>2732</v>
      </c>
      <c r="C516" s="2" t="s">
        <v>2732</v>
      </c>
      <c r="D516" s="2"/>
    </row>
    <row r="517" spans="1:4" x14ac:dyDescent="0.3">
      <c r="A517" s="2" t="s">
        <v>2816</v>
      </c>
      <c r="B517" s="2" t="s">
        <v>2553</v>
      </c>
      <c r="C517" s="2" t="s">
        <v>2553</v>
      </c>
      <c r="D517" s="2"/>
    </row>
    <row r="518" spans="1:4" x14ac:dyDescent="0.3">
      <c r="A518" s="2" t="s">
        <v>2817</v>
      </c>
      <c r="B518" s="2" t="s">
        <v>2553</v>
      </c>
      <c r="C518" s="2" t="s">
        <v>2553</v>
      </c>
      <c r="D518" s="2"/>
    </row>
    <row r="519" spans="1:4" x14ac:dyDescent="0.3">
      <c r="A519" s="2" t="s">
        <v>2818</v>
      </c>
      <c r="B519" s="2" t="s">
        <v>2553</v>
      </c>
      <c r="C519" s="2" t="s">
        <v>2553</v>
      </c>
      <c r="D519" s="2"/>
    </row>
    <row r="520" spans="1:4" x14ac:dyDescent="0.3">
      <c r="A520" s="2" t="s">
        <v>2819</v>
      </c>
      <c r="B520" s="2" t="s">
        <v>2553</v>
      </c>
      <c r="C520" s="2" t="s">
        <v>2553</v>
      </c>
      <c r="D520" s="2"/>
    </row>
    <row r="521" spans="1:4" x14ac:dyDescent="0.3">
      <c r="A521" s="2" t="s">
        <v>2820</v>
      </c>
      <c r="B521" s="2" t="s">
        <v>2553</v>
      </c>
      <c r="C521" s="2" t="s">
        <v>2553</v>
      </c>
      <c r="D521" s="2"/>
    </row>
    <row r="522" spans="1:4" x14ac:dyDescent="0.3">
      <c r="A522" s="2" t="s">
        <v>2821</v>
      </c>
      <c r="B522" s="2" t="s">
        <v>2553</v>
      </c>
      <c r="C522" s="2" t="s">
        <v>2553</v>
      </c>
      <c r="D522" s="2"/>
    </row>
    <row r="523" spans="1:4" x14ac:dyDescent="0.3">
      <c r="A523" s="2" t="s">
        <v>2822</v>
      </c>
      <c r="B523" s="2" t="s">
        <v>2553</v>
      </c>
      <c r="C523" s="2" t="s">
        <v>2553</v>
      </c>
      <c r="D523" s="2"/>
    </row>
    <row r="524" spans="1:4" x14ac:dyDescent="0.3">
      <c r="A524" s="2" t="s">
        <v>2823</v>
      </c>
      <c r="B524" s="2" t="s">
        <v>2553</v>
      </c>
      <c r="C524" s="2" t="s">
        <v>2553</v>
      </c>
      <c r="D524" s="2"/>
    </row>
    <row r="525" spans="1:4" x14ac:dyDescent="0.3">
      <c r="A525" s="2" t="s">
        <v>2824</v>
      </c>
      <c r="B525" s="2" t="s">
        <v>2550</v>
      </c>
      <c r="C525" s="2" t="s">
        <v>2550</v>
      </c>
      <c r="D525" s="2"/>
    </row>
    <row r="526" spans="1:4" x14ac:dyDescent="0.3">
      <c r="A526" s="2" t="s">
        <v>2825</v>
      </c>
      <c r="B526" s="2" t="s">
        <v>2550</v>
      </c>
      <c r="C526" s="2" t="s">
        <v>2550</v>
      </c>
      <c r="D526" s="2"/>
    </row>
    <row r="527" spans="1:4" x14ac:dyDescent="0.3">
      <c r="A527" s="2" t="s">
        <v>2826</v>
      </c>
      <c r="B527" s="2" t="s">
        <v>2550</v>
      </c>
      <c r="C527" s="2" t="s">
        <v>2550</v>
      </c>
      <c r="D527" s="2"/>
    </row>
    <row r="528" spans="1:4" x14ac:dyDescent="0.3">
      <c r="A528" s="2" t="s">
        <v>2827</v>
      </c>
      <c r="B528" s="2" t="s">
        <v>2550</v>
      </c>
      <c r="C528" s="2" t="s">
        <v>2550</v>
      </c>
      <c r="D528" s="2"/>
    </row>
    <row r="529" spans="1:4" x14ac:dyDescent="0.3">
      <c r="A529" s="2" t="s">
        <v>2828</v>
      </c>
      <c r="B529" s="2" t="s">
        <v>2550</v>
      </c>
      <c r="C529" s="2" t="s">
        <v>2550</v>
      </c>
      <c r="D529" s="2"/>
    </row>
    <row r="530" spans="1:4" x14ac:dyDescent="0.3">
      <c r="A530" s="2" t="s">
        <v>2829</v>
      </c>
      <c r="B530" s="2" t="s">
        <v>2550</v>
      </c>
      <c r="C530" s="2" t="s">
        <v>2550</v>
      </c>
      <c r="D530" s="2"/>
    </row>
    <row r="531" spans="1:4" x14ac:dyDescent="0.3">
      <c r="A531" s="2" t="s">
        <v>2830</v>
      </c>
      <c r="B531" s="2" t="s">
        <v>2550</v>
      </c>
      <c r="C531" s="2" t="s">
        <v>2550</v>
      </c>
      <c r="D531" s="2"/>
    </row>
    <row r="532" spans="1:4" x14ac:dyDescent="0.3">
      <c r="A532" s="2" t="s">
        <v>2831</v>
      </c>
      <c r="B532" s="2" t="s">
        <v>2550</v>
      </c>
      <c r="C532" s="2" t="s">
        <v>2550</v>
      </c>
      <c r="D532" s="2"/>
    </row>
    <row r="533" spans="1:4" x14ac:dyDescent="0.3">
      <c r="A533" s="2" t="s">
        <v>2832</v>
      </c>
      <c r="B533" s="2" t="s">
        <v>2550</v>
      </c>
      <c r="C533" s="2" t="s">
        <v>2550</v>
      </c>
      <c r="D533" s="2"/>
    </row>
    <row r="534" spans="1:4" x14ac:dyDescent="0.3">
      <c r="A534" s="2" t="s">
        <v>2833</v>
      </c>
      <c r="B534" s="2" t="s">
        <v>2550</v>
      </c>
      <c r="C534" s="2" t="s">
        <v>2550</v>
      </c>
      <c r="D534" s="2"/>
    </row>
    <row r="535" spans="1:4" x14ac:dyDescent="0.3">
      <c r="A535" s="2" t="s">
        <v>2834</v>
      </c>
      <c r="B535" s="2" t="s">
        <v>2550</v>
      </c>
      <c r="C535" s="2" t="s">
        <v>2550</v>
      </c>
      <c r="D535" s="2"/>
    </row>
    <row r="536" spans="1:4" x14ac:dyDescent="0.3">
      <c r="A536" s="2" t="s">
        <v>2835</v>
      </c>
      <c r="B536" s="2" t="s">
        <v>2550</v>
      </c>
      <c r="C536" s="2" t="s">
        <v>2550</v>
      </c>
      <c r="D536" s="2"/>
    </row>
    <row r="537" spans="1:4" x14ac:dyDescent="0.3">
      <c r="A537" s="2" t="s">
        <v>2836</v>
      </c>
      <c r="B537" s="2" t="s">
        <v>2550</v>
      </c>
      <c r="C537" s="2" t="s">
        <v>2550</v>
      </c>
      <c r="D537" s="2"/>
    </row>
    <row r="538" spans="1:4" x14ac:dyDescent="0.3">
      <c r="A538" s="2" t="s">
        <v>2837</v>
      </c>
      <c r="B538" s="2" t="s">
        <v>2550</v>
      </c>
      <c r="C538" s="2" t="s">
        <v>2550</v>
      </c>
      <c r="D538" s="2"/>
    </row>
    <row r="539" spans="1:4" x14ac:dyDescent="0.3">
      <c r="A539" s="2" t="s">
        <v>2838</v>
      </c>
      <c r="B539" s="2" t="s">
        <v>2550</v>
      </c>
      <c r="C539" s="2" t="s">
        <v>2550</v>
      </c>
      <c r="D539" s="2"/>
    </row>
    <row r="540" spans="1:4" x14ac:dyDescent="0.3">
      <c r="A540" s="2" t="s">
        <v>2839</v>
      </c>
      <c r="B540" s="2" t="s">
        <v>2550</v>
      </c>
      <c r="C540" s="2" t="s">
        <v>2550</v>
      </c>
      <c r="D540" s="2"/>
    </row>
    <row r="541" spans="1:4" x14ac:dyDescent="0.3">
      <c r="A541" s="2" t="s">
        <v>2840</v>
      </c>
      <c r="B541" s="2" t="s">
        <v>2550</v>
      </c>
      <c r="C541" s="2" t="s">
        <v>2550</v>
      </c>
      <c r="D541" s="2"/>
    </row>
    <row r="542" spans="1:4" x14ac:dyDescent="0.3">
      <c r="A542" s="2" t="s">
        <v>2841</v>
      </c>
      <c r="B542" s="2" t="s">
        <v>2550</v>
      </c>
      <c r="C542" s="2" t="s">
        <v>2550</v>
      </c>
      <c r="D542" s="2"/>
    </row>
    <row r="543" spans="1:4" x14ac:dyDescent="0.3">
      <c r="A543" s="2" t="s">
        <v>2842</v>
      </c>
      <c r="B543" s="2" t="s">
        <v>2550</v>
      </c>
      <c r="C543" s="2" t="s">
        <v>2550</v>
      </c>
      <c r="D543" s="2"/>
    </row>
    <row r="544" spans="1:4" x14ac:dyDescent="0.3">
      <c r="A544" s="2" t="s">
        <v>2843</v>
      </c>
      <c r="B544" s="2" t="s">
        <v>2550</v>
      </c>
      <c r="C544" s="2" t="s">
        <v>2550</v>
      </c>
      <c r="D544" s="2"/>
    </row>
    <row r="545" spans="1:4" x14ac:dyDescent="0.3">
      <c r="A545" s="2" t="s">
        <v>2779</v>
      </c>
      <c r="B545" s="2" t="s">
        <v>2550</v>
      </c>
      <c r="C545" s="2" t="s">
        <v>2550</v>
      </c>
      <c r="D545" s="2" t="s">
        <v>2844</v>
      </c>
    </row>
    <row r="546" spans="1:4" x14ac:dyDescent="0.3">
      <c r="A546" s="2" t="s">
        <v>2845</v>
      </c>
      <c r="B546" s="2" t="s">
        <v>2550</v>
      </c>
      <c r="C546" s="2" t="s">
        <v>2550</v>
      </c>
      <c r="D546" s="2"/>
    </row>
    <row r="547" spans="1:4" x14ac:dyDescent="0.3">
      <c r="A547" s="2" t="s">
        <v>2846</v>
      </c>
      <c r="B547" s="2" t="s">
        <v>2546</v>
      </c>
      <c r="C547" s="2" t="s">
        <v>2847</v>
      </c>
      <c r="D547" s="2"/>
    </row>
    <row r="548" spans="1:4" x14ac:dyDescent="0.3">
      <c r="A548" s="2" t="s">
        <v>2848</v>
      </c>
      <c r="B548" s="2" t="s">
        <v>2546</v>
      </c>
      <c r="C548" s="2" t="s">
        <v>2847</v>
      </c>
      <c r="D548" s="2"/>
    </row>
    <row r="549" spans="1:4" x14ac:dyDescent="0.3">
      <c r="A549" s="2" t="s">
        <v>2849</v>
      </c>
      <c r="B549" s="2" t="s">
        <v>2546</v>
      </c>
      <c r="C549" s="2" t="s">
        <v>2847</v>
      </c>
      <c r="D549" s="2"/>
    </row>
    <row r="550" spans="1:4" x14ac:dyDescent="0.3">
      <c r="A550" s="2" t="s">
        <v>2850</v>
      </c>
      <c r="B550" s="2" t="s">
        <v>2546</v>
      </c>
      <c r="C550" s="2" t="s">
        <v>2847</v>
      </c>
      <c r="D550" s="2"/>
    </row>
    <row r="551" spans="1:4" x14ac:dyDescent="0.3">
      <c r="A551" s="2" t="s">
        <v>2851</v>
      </c>
      <c r="B551" s="2" t="s">
        <v>2546</v>
      </c>
      <c r="C551" s="2" t="s">
        <v>2852</v>
      </c>
      <c r="D551" s="2"/>
    </row>
    <row r="552" spans="1:4" x14ac:dyDescent="0.3">
      <c r="A552" s="2" t="s">
        <v>2853</v>
      </c>
      <c r="B552" s="2" t="s">
        <v>2546</v>
      </c>
      <c r="C552" s="2" t="s">
        <v>2852</v>
      </c>
      <c r="D552" s="2"/>
    </row>
    <row r="553" spans="1:4" x14ac:dyDescent="0.3">
      <c r="A553" s="2" t="s">
        <v>2854</v>
      </c>
      <c r="B553" s="2" t="s">
        <v>2556</v>
      </c>
      <c r="C553" s="2" t="s">
        <v>2556</v>
      </c>
      <c r="D553" s="2"/>
    </row>
  </sheetData>
  <mergeCells count="2">
    <mergeCell ref="A1:D1"/>
    <mergeCell ref="H6:I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72"/>
  <sheetViews>
    <sheetView workbookViewId="0">
      <selection sqref="A1:D1"/>
    </sheetView>
  </sheetViews>
  <sheetFormatPr defaultColWidth="8.6640625" defaultRowHeight="14.4" x14ac:dyDescent="0.3"/>
  <cols>
    <col min="1" max="1" width="23.5546875" customWidth="1"/>
    <col min="2" max="2" width="54.5546875" customWidth="1"/>
    <col min="3" max="3" width="24.6640625" bestFit="1" customWidth="1"/>
    <col min="4" max="4" width="78" bestFit="1" customWidth="1"/>
    <col min="6" max="6" width="20.109375" bestFit="1" customWidth="1"/>
    <col min="7" max="7" width="15.6640625" bestFit="1" customWidth="1"/>
    <col min="8" max="8" width="25.33203125" bestFit="1" customWidth="1"/>
    <col min="9" max="9" width="67.6640625" bestFit="1" customWidth="1"/>
  </cols>
  <sheetData>
    <row r="1" spans="1:7" ht="19.2" customHeight="1" x14ac:dyDescent="0.3">
      <c r="A1" s="27" t="s">
        <v>2541</v>
      </c>
      <c r="B1" s="28"/>
      <c r="C1" s="28"/>
      <c r="D1" s="28"/>
    </row>
    <row r="2" spans="1:7" ht="30" customHeight="1" x14ac:dyDescent="0.3">
      <c r="A2" s="1" t="s">
        <v>1</v>
      </c>
      <c r="B2" s="1" t="s">
        <v>2</v>
      </c>
      <c r="C2" s="1" t="s">
        <v>2542</v>
      </c>
      <c r="D2" s="1" t="s">
        <v>2543</v>
      </c>
    </row>
    <row r="3" spans="1:7" ht="18" customHeight="1" x14ac:dyDescent="0.3">
      <c r="A3" s="2" t="s">
        <v>23</v>
      </c>
      <c r="B3" s="2" t="s">
        <v>6</v>
      </c>
      <c r="C3" s="2" t="s">
        <v>2544</v>
      </c>
      <c r="D3" s="2"/>
    </row>
    <row r="4" spans="1:7" ht="18" customHeight="1" x14ac:dyDescent="0.3">
      <c r="A4" s="2" t="s">
        <v>24</v>
      </c>
      <c r="B4" s="2" t="s">
        <v>6</v>
      </c>
      <c r="C4" s="2" t="s">
        <v>2544</v>
      </c>
      <c r="D4" s="2"/>
    </row>
    <row r="5" spans="1:7" ht="18" customHeight="1" x14ac:dyDescent="0.3">
      <c r="A5" s="2" t="s">
        <v>25</v>
      </c>
      <c r="B5" s="2" t="s">
        <v>6</v>
      </c>
      <c r="C5" s="2" t="s">
        <v>2544</v>
      </c>
      <c r="D5" s="2"/>
    </row>
    <row r="6" spans="1:7" ht="18" customHeight="1" x14ac:dyDescent="0.3">
      <c r="A6" s="2" t="s">
        <v>26</v>
      </c>
      <c r="B6" s="2" t="s">
        <v>6</v>
      </c>
      <c r="C6" s="2" t="s">
        <v>2544</v>
      </c>
      <c r="D6" s="2"/>
      <c r="F6" s="32" t="s">
        <v>2545</v>
      </c>
      <c r="G6" s="33"/>
    </row>
    <row r="7" spans="1:7" ht="18" customHeight="1" x14ac:dyDescent="0.3">
      <c r="A7" s="2" t="s">
        <v>27</v>
      </c>
      <c r="B7" s="2" t="s">
        <v>6</v>
      </c>
      <c r="C7" s="2" t="s">
        <v>2544</v>
      </c>
      <c r="D7" s="2"/>
      <c r="F7" s="3" t="s">
        <v>6</v>
      </c>
      <c r="G7" s="4">
        <f>COUNTIF(B:B,"AHU")</f>
        <v>5</v>
      </c>
    </row>
    <row r="8" spans="1:7" ht="18" customHeight="1" x14ac:dyDescent="0.3">
      <c r="A8" s="2" t="s">
        <v>34</v>
      </c>
      <c r="B8" s="2" t="s">
        <v>35</v>
      </c>
      <c r="C8" s="2" t="s">
        <v>2598</v>
      </c>
      <c r="D8" s="2"/>
      <c r="F8" s="3" t="s">
        <v>35</v>
      </c>
      <c r="G8" s="4">
        <f>COUNTIF(B:B,"FCU")</f>
        <v>11</v>
      </c>
    </row>
    <row r="9" spans="1:7" ht="18" customHeight="1" x14ac:dyDescent="0.3">
      <c r="A9" s="2" t="s">
        <v>36</v>
      </c>
      <c r="B9" s="2" t="s">
        <v>35</v>
      </c>
      <c r="C9" s="2" t="s">
        <v>2598</v>
      </c>
      <c r="D9" s="2"/>
      <c r="F9" s="3" t="s">
        <v>2546</v>
      </c>
      <c r="G9" s="4">
        <f>COUNTIF(B:B,"CHW Pump")</f>
        <v>8</v>
      </c>
    </row>
    <row r="10" spans="1:7" ht="18" customHeight="1" x14ac:dyDescent="0.3">
      <c r="A10" s="2" t="s">
        <v>37</v>
      </c>
      <c r="B10" s="2" t="s">
        <v>35</v>
      </c>
      <c r="C10" s="2" t="s">
        <v>2598</v>
      </c>
      <c r="D10" s="2"/>
      <c r="F10" s="3" t="s">
        <v>2547</v>
      </c>
      <c r="G10" s="4">
        <f>COUNTIF(B:B,"VAV")</f>
        <v>108</v>
      </c>
    </row>
    <row r="11" spans="1:7" ht="18" customHeight="1" x14ac:dyDescent="0.3">
      <c r="A11" s="2" t="s">
        <v>38</v>
      </c>
      <c r="B11" s="2" t="s">
        <v>35</v>
      </c>
      <c r="C11" s="2" t="s">
        <v>2598</v>
      </c>
      <c r="D11" s="2"/>
      <c r="F11" s="3" t="s">
        <v>2548</v>
      </c>
      <c r="G11" s="4">
        <f>COUNTIF(B:B,"DX Unit")</f>
        <v>10</v>
      </c>
    </row>
    <row r="12" spans="1:7" ht="18" customHeight="1" x14ac:dyDescent="0.3">
      <c r="A12" s="2" t="s">
        <v>39</v>
      </c>
      <c r="B12" s="2" t="s">
        <v>35</v>
      </c>
      <c r="C12" s="2" t="s">
        <v>2598</v>
      </c>
      <c r="D12" s="2"/>
      <c r="F12" s="3" t="s">
        <v>2549</v>
      </c>
      <c r="G12" s="4">
        <f>COUNTIF(B:B,"HEX")</f>
        <v>5</v>
      </c>
    </row>
    <row r="13" spans="1:7" ht="18" customHeight="1" x14ac:dyDescent="0.3">
      <c r="A13" s="2" t="s">
        <v>40</v>
      </c>
      <c r="B13" s="2" t="s">
        <v>35</v>
      </c>
      <c r="C13" s="2" t="s">
        <v>2598</v>
      </c>
      <c r="D13" s="2"/>
      <c r="F13" s="3" t="s">
        <v>2550</v>
      </c>
      <c r="G13" s="4">
        <f>COUNTIF(B:B,"CCU")</f>
        <v>14</v>
      </c>
    </row>
    <row r="14" spans="1:7" ht="18" customHeight="1" x14ac:dyDescent="0.3">
      <c r="A14" s="2" t="s">
        <v>41</v>
      </c>
      <c r="B14" s="2" t="s">
        <v>35</v>
      </c>
      <c r="C14" s="2" t="s">
        <v>2598</v>
      </c>
      <c r="D14" s="2"/>
      <c r="F14" s="3" t="s">
        <v>2551</v>
      </c>
      <c r="G14" s="4">
        <f>COUNTIF(B:B,"EF")</f>
        <v>1</v>
      </c>
    </row>
    <row r="15" spans="1:7" ht="18" customHeight="1" x14ac:dyDescent="0.3">
      <c r="A15" s="2" t="s">
        <v>42</v>
      </c>
      <c r="B15" s="2" t="s">
        <v>35</v>
      </c>
      <c r="C15" s="2" t="s">
        <v>2598</v>
      </c>
      <c r="D15" s="2"/>
      <c r="F15" s="3" t="s">
        <v>2734</v>
      </c>
      <c r="G15" s="4">
        <f>COUNTIF(B:B,"KEF")</f>
        <v>2</v>
      </c>
    </row>
    <row r="16" spans="1:7" ht="18" customHeight="1" x14ac:dyDescent="0.3">
      <c r="A16" s="2" t="s">
        <v>43</v>
      </c>
      <c r="B16" s="2" t="s">
        <v>35</v>
      </c>
      <c r="C16" s="2" t="s">
        <v>2598</v>
      </c>
      <c r="D16" s="2"/>
      <c r="F16" s="3" t="s">
        <v>2553</v>
      </c>
      <c r="G16" s="4">
        <f>COUNTIF(B:B,"TEF")</f>
        <v>4</v>
      </c>
    </row>
    <row r="17" spans="1:9" ht="18" customHeight="1" x14ac:dyDescent="0.3">
      <c r="A17" s="2" t="s">
        <v>44</v>
      </c>
      <c r="B17" s="2" t="s">
        <v>35</v>
      </c>
      <c r="C17" s="2" t="s">
        <v>2598</v>
      </c>
      <c r="D17" s="2"/>
      <c r="F17" s="3" t="s">
        <v>2552</v>
      </c>
      <c r="G17" s="4">
        <f>COUNTIF(B:B,"GEF")</f>
        <v>1</v>
      </c>
    </row>
    <row r="18" spans="1:9" ht="18" customHeight="1" x14ac:dyDescent="0.3">
      <c r="A18" s="2" t="s">
        <v>45</v>
      </c>
      <c r="B18" s="2" t="s">
        <v>35</v>
      </c>
      <c r="C18" s="2" t="s">
        <v>2598</v>
      </c>
      <c r="D18" s="2"/>
      <c r="F18" s="3" t="s">
        <v>2556</v>
      </c>
      <c r="G18" s="4">
        <f>COUNTIF(B:B,"Generator")</f>
        <v>1</v>
      </c>
    </row>
    <row r="19" spans="1:9" ht="18" customHeight="1" x14ac:dyDescent="0.3">
      <c r="A19" s="2" t="s">
        <v>167</v>
      </c>
      <c r="B19" s="2" t="s">
        <v>168</v>
      </c>
      <c r="C19" s="2" t="s">
        <v>2547</v>
      </c>
      <c r="D19" s="2"/>
      <c r="F19" s="5" t="s">
        <v>2557</v>
      </c>
      <c r="G19" s="5">
        <f>SUM(G7:G18)</f>
        <v>170</v>
      </c>
    </row>
    <row r="20" spans="1:9" ht="18" customHeight="1" x14ac:dyDescent="0.3">
      <c r="A20" s="2" t="s">
        <v>169</v>
      </c>
      <c r="B20" s="2" t="s">
        <v>168</v>
      </c>
      <c r="C20" s="2" t="s">
        <v>2547</v>
      </c>
      <c r="D20" s="2"/>
    </row>
    <row r="21" spans="1:9" ht="18" customHeight="1" x14ac:dyDescent="0.3">
      <c r="A21" s="2" t="s">
        <v>170</v>
      </c>
      <c r="B21" s="2" t="s">
        <v>168</v>
      </c>
      <c r="C21" s="2" t="s">
        <v>2547</v>
      </c>
      <c r="D21" s="2"/>
    </row>
    <row r="22" spans="1:9" ht="18" customHeight="1" x14ac:dyDescent="0.3">
      <c r="A22" s="2" t="s">
        <v>171</v>
      </c>
      <c r="B22" s="2" t="s">
        <v>168</v>
      </c>
      <c r="C22" s="2" t="s">
        <v>2547</v>
      </c>
      <c r="D22" s="2"/>
    </row>
    <row r="23" spans="1:9" ht="18" customHeight="1" x14ac:dyDescent="0.3">
      <c r="A23" s="2" t="s">
        <v>172</v>
      </c>
      <c r="B23" s="2" t="s">
        <v>168</v>
      </c>
      <c r="C23" s="2" t="s">
        <v>2547</v>
      </c>
      <c r="D23" s="2"/>
    </row>
    <row r="24" spans="1:9" ht="18" customHeight="1" x14ac:dyDescent="0.3">
      <c r="A24" s="2" t="s">
        <v>173</v>
      </c>
      <c r="B24" s="2" t="s">
        <v>168</v>
      </c>
      <c r="C24" s="2" t="s">
        <v>2547</v>
      </c>
      <c r="D24" s="2"/>
    </row>
    <row r="25" spans="1:9" ht="18" customHeight="1" x14ac:dyDescent="0.3">
      <c r="A25" s="2" t="s">
        <v>174</v>
      </c>
      <c r="B25" s="2" t="s">
        <v>168</v>
      </c>
      <c r="C25" s="2" t="s">
        <v>2547</v>
      </c>
      <c r="D25" s="2"/>
    </row>
    <row r="26" spans="1:9" ht="18" customHeight="1" x14ac:dyDescent="0.3">
      <c r="A26" s="2" t="s">
        <v>175</v>
      </c>
      <c r="B26" s="2" t="s">
        <v>168</v>
      </c>
      <c r="C26" s="2" t="s">
        <v>2547</v>
      </c>
      <c r="D26" s="2"/>
      <c r="F26" s="6" t="s">
        <v>2558</v>
      </c>
      <c r="G26" s="6" t="s">
        <v>2559</v>
      </c>
      <c r="H26" s="6" t="s">
        <v>2560</v>
      </c>
      <c r="I26" s="6" t="s">
        <v>2561</v>
      </c>
    </row>
    <row r="27" spans="1:9" ht="18" customHeight="1" x14ac:dyDescent="0.3">
      <c r="A27" s="2" t="s">
        <v>176</v>
      </c>
      <c r="B27" s="2" t="s">
        <v>168</v>
      </c>
      <c r="C27" s="2" t="s">
        <v>2547</v>
      </c>
      <c r="D27" s="2"/>
      <c r="F27" s="2">
        <v>1</v>
      </c>
      <c r="G27" s="2" t="s">
        <v>2548</v>
      </c>
      <c r="H27" s="2" t="s">
        <v>2855</v>
      </c>
      <c r="I27" s="2" t="s">
        <v>2856</v>
      </c>
    </row>
    <row r="28" spans="1:9" ht="18" customHeight="1" x14ac:dyDescent="0.3">
      <c r="A28" s="2" t="s">
        <v>1411</v>
      </c>
      <c r="B28" s="2" t="s">
        <v>168</v>
      </c>
      <c r="C28" s="2" t="s">
        <v>2547</v>
      </c>
      <c r="D28" s="2"/>
      <c r="F28" s="2">
        <v>2</v>
      </c>
      <c r="G28" s="2" t="s">
        <v>2548</v>
      </c>
      <c r="H28" s="2" t="s">
        <v>2857</v>
      </c>
      <c r="I28" s="2" t="s">
        <v>2856</v>
      </c>
    </row>
    <row r="29" spans="1:9" ht="18" customHeight="1" x14ac:dyDescent="0.3">
      <c r="A29" s="2" t="s">
        <v>177</v>
      </c>
      <c r="B29" s="2" t="s">
        <v>168</v>
      </c>
      <c r="C29" s="2" t="s">
        <v>2547</v>
      </c>
      <c r="D29" s="2"/>
      <c r="F29" s="2">
        <v>3</v>
      </c>
      <c r="G29" s="2" t="s">
        <v>2548</v>
      </c>
      <c r="H29" s="2" t="s">
        <v>2858</v>
      </c>
      <c r="I29" s="2" t="s">
        <v>2856</v>
      </c>
    </row>
    <row r="30" spans="1:9" ht="18" customHeight="1" x14ac:dyDescent="0.3">
      <c r="A30" s="2" t="s">
        <v>178</v>
      </c>
      <c r="B30" s="2" t="s">
        <v>168</v>
      </c>
      <c r="C30" s="2" t="s">
        <v>2547</v>
      </c>
      <c r="D30" s="2"/>
      <c r="F30" s="2">
        <v>4</v>
      </c>
      <c r="G30" s="2" t="s">
        <v>2548</v>
      </c>
      <c r="H30" s="2" t="s">
        <v>2859</v>
      </c>
      <c r="I30" s="2" t="s">
        <v>2856</v>
      </c>
    </row>
    <row r="31" spans="1:9" ht="18" customHeight="1" x14ac:dyDescent="0.3">
      <c r="A31" s="2" t="s">
        <v>179</v>
      </c>
      <c r="B31" s="2" t="s">
        <v>168</v>
      </c>
      <c r="C31" s="2" t="s">
        <v>2547</v>
      </c>
      <c r="D31" s="2"/>
      <c r="F31" s="2">
        <v>5</v>
      </c>
      <c r="G31" s="2" t="s">
        <v>2548</v>
      </c>
      <c r="H31" s="2" t="s">
        <v>2860</v>
      </c>
      <c r="I31" s="2" t="s">
        <v>2856</v>
      </c>
    </row>
    <row r="32" spans="1:9" ht="18" customHeight="1" x14ac:dyDescent="0.3">
      <c r="A32" s="2" t="s">
        <v>180</v>
      </c>
      <c r="B32" s="2" t="s">
        <v>168</v>
      </c>
      <c r="C32" s="2" t="s">
        <v>2547</v>
      </c>
      <c r="D32" s="2"/>
      <c r="F32" s="2">
        <v>6</v>
      </c>
      <c r="G32" s="2" t="s">
        <v>2548</v>
      </c>
      <c r="H32" s="2" t="s">
        <v>2861</v>
      </c>
      <c r="I32" s="2" t="s">
        <v>2856</v>
      </c>
    </row>
    <row r="33" spans="1:9" ht="18" customHeight="1" x14ac:dyDescent="0.3">
      <c r="A33" s="2" t="s">
        <v>181</v>
      </c>
      <c r="B33" s="2" t="s">
        <v>168</v>
      </c>
      <c r="C33" s="2" t="s">
        <v>2547</v>
      </c>
      <c r="D33" s="2"/>
      <c r="F33" s="2">
        <v>7</v>
      </c>
      <c r="G33" s="2" t="s">
        <v>2548</v>
      </c>
      <c r="H33" s="2" t="s">
        <v>2862</v>
      </c>
      <c r="I33" s="2" t="s">
        <v>2856</v>
      </c>
    </row>
    <row r="34" spans="1:9" ht="18" customHeight="1" x14ac:dyDescent="0.3">
      <c r="A34" s="2" t="s">
        <v>182</v>
      </c>
      <c r="B34" s="2" t="s">
        <v>168</v>
      </c>
      <c r="C34" s="2" t="s">
        <v>2547</v>
      </c>
      <c r="D34" s="2"/>
      <c r="F34" s="2">
        <v>8</v>
      </c>
      <c r="G34" s="2" t="s">
        <v>2548</v>
      </c>
      <c r="H34" s="2" t="s">
        <v>2863</v>
      </c>
      <c r="I34" s="2" t="s">
        <v>2856</v>
      </c>
    </row>
    <row r="35" spans="1:9" ht="18" customHeight="1" x14ac:dyDescent="0.3">
      <c r="A35" s="2" t="s">
        <v>183</v>
      </c>
      <c r="B35" s="2" t="s">
        <v>168</v>
      </c>
      <c r="C35" s="2" t="s">
        <v>2547</v>
      </c>
      <c r="D35" s="2"/>
      <c r="F35" s="2">
        <v>9</v>
      </c>
      <c r="G35" s="2" t="s">
        <v>2548</v>
      </c>
      <c r="H35" s="2" t="s">
        <v>2864</v>
      </c>
      <c r="I35" s="2" t="s">
        <v>2856</v>
      </c>
    </row>
    <row r="36" spans="1:9" ht="18" customHeight="1" x14ac:dyDescent="0.3">
      <c r="A36" s="2" t="s">
        <v>184</v>
      </c>
      <c r="B36" s="2" t="s">
        <v>168</v>
      </c>
      <c r="C36" s="2" t="s">
        <v>2547</v>
      </c>
      <c r="D36" s="2"/>
    </row>
    <row r="37" spans="1:9" ht="18" customHeight="1" x14ac:dyDescent="0.3">
      <c r="A37" s="2" t="s">
        <v>185</v>
      </c>
      <c r="B37" s="2" t="s">
        <v>168</v>
      </c>
      <c r="C37" s="2" t="s">
        <v>2547</v>
      </c>
      <c r="D37" s="2"/>
    </row>
    <row r="38" spans="1:9" ht="18" customHeight="1" x14ac:dyDescent="0.3">
      <c r="A38" s="2" t="s">
        <v>186</v>
      </c>
      <c r="B38" s="2" t="s">
        <v>168</v>
      </c>
      <c r="C38" s="2" t="s">
        <v>2547</v>
      </c>
      <c r="D38" s="2"/>
    </row>
    <row r="39" spans="1:9" ht="18" customHeight="1" x14ac:dyDescent="0.3">
      <c r="A39" s="2" t="s">
        <v>187</v>
      </c>
      <c r="B39" s="2" t="s">
        <v>168</v>
      </c>
      <c r="C39" s="2" t="s">
        <v>2547</v>
      </c>
      <c r="D39" s="2"/>
    </row>
    <row r="40" spans="1:9" ht="18" customHeight="1" x14ac:dyDescent="0.3">
      <c r="A40" s="2" t="s">
        <v>188</v>
      </c>
      <c r="B40" s="2" t="s">
        <v>168</v>
      </c>
      <c r="C40" s="2" t="s">
        <v>2547</v>
      </c>
      <c r="D40" s="2"/>
    </row>
    <row r="41" spans="1:9" ht="18" customHeight="1" x14ac:dyDescent="0.3">
      <c r="A41" s="2" t="s">
        <v>189</v>
      </c>
      <c r="B41" s="2" t="s">
        <v>168</v>
      </c>
      <c r="C41" s="2" t="s">
        <v>2547</v>
      </c>
      <c r="D41" s="2"/>
    </row>
    <row r="42" spans="1:9" ht="18" customHeight="1" x14ac:dyDescent="0.3">
      <c r="A42" s="2" t="s">
        <v>190</v>
      </c>
      <c r="B42" s="2" t="s">
        <v>168</v>
      </c>
      <c r="C42" s="2" t="s">
        <v>2547</v>
      </c>
      <c r="D42" s="2"/>
    </row>
    <row r="43" spans="1:9" ht="18" customHeight="1" x14ac:dyDescent="0.3">
      <c r="A43" s="2" t="s">
        <v>191</v>
      </c>
      <c r="B43" s="2" t="s">
        <v>168</v>
      </c>
      <c r="C43" s="2" t="s">
        <v>2547</v>
      </c>
      <c r="D43" s="2"/>
    </row>
    <row r="44" spans="1:9" ht="18" customHeight="1" x14ac:dyDescent="0.3">
      <c r="A44" s="2" t="s">
        <v>192</v>
      </c>
      <c r="B44" s="2" t="s">
        <v>168</v>
      </c>
      <c r="C44" s="2" t="s">
        <v>2547</v>
      </c>
      <c r="D44" s="2"/>
    </row>
    <row r="45" spans="1:9" ht="18" customHeight="1" x14ac:dyDescent="0.3">
      <c r="A45" s="2" t="s">
        <v>193</v>
      </c>
      <c r="B45" s="2" t="s">
        <v>168</v>
      </c>
      <c r="C45" s="2" t="s">
        <v>2547</v>
      </c>
      <c r="D45" s="2"/>
    </row>
    <row r="46" spans="1:9" ht="18" customHeight="1" x14ac:dyDescent="0.3">
      <c r="A46" s="2" t="s">
        <v>194</v>
      </c>
      <c r="B46" s="2" t="s">
        <v>168</v>
      </c>
      <c r="C46" s="2" t="s">
        <v>2547</v>
      </c>
      <c r="D46" s="2"/>
    </row>
    <row r="47" spans="1:9" ht="18" customHeight="1" x14ac:dyDescent="0.3">
      <c r="A47" s="2" t="s">
        <v>195</v>
      </c>
      <c r="B47" s="2" t="s">
        <v>168</v>
      </c>
      <c r="C47" s="2" t="s">
        <v>2547</v>
      </c>
      <c r="D47" s="2"/>
    </row>
    <row r="48" spans="1:9" ht="18" customHeight="1" x14ac:dyDescent="0.3">
      <c r="A48" s="2" t="s">
        <v>196</v>
      </c>
      <c r="B48" s="2" t="s">
        <v>168</v>
      </c>
      <c r="C48" s="2" t="s">
        <v>2547</v>
      </c>
      <c r="D48" s="2"/>
    </row>
    <row r="49" spans="1:4" ht="18" customHeight="1" x14ac:dyDescent="0.3">
      <c r="A49" s="2" t="s">
        <v>197</v>
      </c>
      <c r="B49" s="2" t="s">
        <v>168</v>
      </c>
      <c r="C49" s="2" t="s">
        <v>2547</v>
      </c>
      <c r="D49" s="2"/>
    </row>
    <row r="50" spans="1:4" ht="18" customHeight="1" x14ac:dyDescent="0.3">
      <c r="A50" s="2" t="s">
        <v>198</v>
      </c>
      <c r="B50" s="2" t="s">
        <v>168</v>
      </c>
      <c r="C50" s="2" t="s">
        <v>2547</v>
      </c>
      <c r="D50" s="2"/>
    </row>
    <row r="51" spans="1:4" ht="18" customHeight="1" x14ac:dyDescent="0.3">
      <c r="A51" s="2" t="s">
        <v>199</v>
      </c>
      <c r="B51" s="2" t="s">
        <v>168</v>
      </c>
      <c r="C51" s="2" t="s">
        <v>2547</v>
      </c>
      <c r="D51" s="2"/>
    </row>
    <row r="52" spans="1:4" ht="18" customHeight="1" x14ac:dyDescent="0.3">
      <c r="A52" s="2" t="s">
        <v>200</v>
      </c>
      <c r="B52" s="2" t="s">
        <v>168</v>
      </c>
      <c r="C52" s="2" t="s">
        <v>2547</v>
      </c>
      <c r="D52" s="2"/>
    </row>
    <row r="53" spans="1:4" ht="18" customHeight="1" x14ac:dyDescent="0.3">
      <c r="A53" s="2" t="s">
        <v>201</v>
      </c>
      <c r="B53" s="2" t="s">
        <v>168</v>
      </c>
      <c r="C53" s="2" t="s">
        <v>2547</v>
      </c>
      <c r="D53" s="2"/>
    </row>
    <row r="54" spans="1:4" ht="18" customHeight="1" x14ac:dyDescent="0.3">
      <c r="A54" s="2" t="s">
        <v>202</v>
      </c>
      <c r="B54" s="2" t="s">
        <v>168</v>
      </c>
      <c r="C54" s="2" t="s">
        <v>2547</v>
      </c>
      <c r="D54" s="2"/>
    </row>
    <row r="55" spans="1:4" ht="18" customHeight="1" x14ac:dyDescent="0.3">
      <c r="A55" s="2" t="s">
        <v>203</v>
      </c>
      <c r="B55" s="2" t="s">
        <v>168</v>
      </c>
      <c r="C55" s="2" t="s">
        <v>2547</v>
      </c>
      <c r="D55" s="2"/>
    </row>
    <row r="56" spans="1:4" ht="18" customHeight="1" x14ac:dyDescent="0.3">
      <c r="A56" s="2" t="s">
        <v>204</v>
      </c>
      <c r="B56" s="2" t="s">
        <v>168</v>
      </c>
      <c r="C56" s="2" t="s">
        <v>2547</v>
      </c>
      <c r="D56" s="2"/>
    </row>
    <row r="57" spans="1:4" ht="18" customHeight="1" x14ac:dyDescent="0.3">
      <c r="A57" s="2" t="s">
        <v>205</v>
      </c>
      <c r="B57" s="2" t="s">
        <v>168</v>
      </c>
      <c r="C57" s="2" t="s">
        <v>2547</v>
      </c>
      <c r="D57" s="2"/>
    </row>
    <row r="58" spans="1:4" ht="18" customHeight="1" x14ac:dyDescent="0.3">
      <c r="A58" s="2" t="s">
        <v>206</v>
      </c>
      <c r="B58" s="2" t="s">
        <v>168</v>
      </c>
      <c r="C58" s="2" t="s">
        <v>2547</v>
      </c>
      <c r="D58" s="2"/>
    </row>
    <row r="59" spans="1:4" ht="18" customHeight="1" x14ac:dyDescent="0.3">
      <c r="A59" s="2" t="s">
        <v>207</v>
      </c>
      <c r="B59" s="2" t="s">
        <v>168</v>
      </c>
      <c r="C59" s="2" t="s">
        <v>2547</v>
      </c>
      <c r="D59" s="2"/>
    </row>
    <row r="60" spans="1:4" ht="18" customHeight="1" x14ac:dyDescent="0.3">
      <c r="A60" s="2" t="s">
        <v>208</v>
      </c>
      <c r="B60" s="2" t="s">
        <v>168</v>
      </c>
      <c r="C60" s="2" t="s">
        <v>2547</v>
      </c>
      <c r="D60" s="2"/>
    </row>
    <row r="61" spans="1:4" ht="18" customHeight="1" x14ac:dyDescent="0.3">
      <c r="A61" s="2" t="s">
        <v>209</v>
      </c>
      <c r="B61" s="2" t="s">
        <v>168</v>
      </c>
      <c r="C61" s="2" t="s">
        <v>2547</v>
      </c>
      <c r="D61" s="2"/>
    </row>
    <row r="62" spans="1:4" ht="18" customHeight="1" x14ac:dyDescent="0.3">
      <c r="A62" s="2" t="s">
        <v>210</v>
      </c>
      <c r="B62" s="2" t="s">
        <v>168</v>
      </c>
      <c r="C62" s="2" t="s">
        <v>2547</v>
      </c>
      <c r="D62" s="2"/>
    </row>
    <row r="63" spans="1:4" ht="18" customHeight="1" x14ac:dyDescent="0.3">
      <c r="A63" s="2" t="s">
        <v>211</v>
      </c>
      <c r="B63" s="2" t="s">
        <v>168</v>
      </c>
      <c r="C63" s="2" t="s">
        <v>2547</v>
      </c>
      <c r="D63" s="2"/>
    </row>
    <row r="64" spans="1:4" ht="18" customHeight="1" x14ac:dyDescent="0.3">
      <c r="A64" s="2" t="s">
        <v>212</v>
      </c>
      <c r="B64" s="2" t="s">
        <v>168</v>
      </c>
      <c r="C64" s="2" t="s">
        <v>2547</v>
      </c>
      <c r="D64" s="2"/>
    </row>
    <row r="65" spans="1:4" ht="18" customHeight="1" x14ac:dyDescent="0.3">
      <c r="A65" s="2" t="s">
        <v>213</v>
      </c>
      <c r="B65" s="2" t="s">
        <v>168</v>
      </c>
      <c r="C65" s="2" t="s">
        <v>2547</v>
      </c>
      <c r="D65" s="2"/>
    </row>
    <row r="66" spans="1:4" ht="18" customHeight="1" x14ac:dyDescent="0.3">
      <c r="A66" s="2" t="s">
        <v>214</v>
      </c>
      <c r="B66" s="2" t="s">
        <v>168</v>
      </c>
      <c r="C66" s="2" t="s">
        <v>2547</v>
      </c>
      <c r="D66" s="2"/>
    </row>
    <row r="67" spans="1:4" ht="18" customHeight="1" x14ac:dyDescent="0.3">
      <c r="A67" s="2" t="s">
        <v>215</v>
      </c>
      <c r="B67" s="2" t="s">
        <v>168</v>
      </c>
      <c r="C67" s="2" t="s">
        <v>2547</v>
      </c>
      <c r="D67" s="2"/>
    </row>
    <row r="68" spans="1:4" ht="18" customHeight="1" x14ac:dyDescent="0.3">
      <c r="A68" s="2" t="s">
        <v>216</v>
      </c>
      <c r="B68" s="2" t="s">
        <v>168</v>
      </c>
      <c r="C68" s="2" t="s">
        <v>2547</v>
      </c>
      <c r="D68" s="2"/>
    </row>
    <row r="69" spans="1:4" ht="18" customHeight="1" x14ac:dyDescent="0.3">
      <c r="A69" s="2" t="s">
        <v>217</v>
      </c>
      <c r="B69" s="2" t="s">
        <v>168</v>
      </c>
      <c r="C69" s="2" t="s">
        <v>2547</v>
      </c>
      <c r="D69" s="2"/>
    </row>
    <row r="70" spans="1:4" ht="18" customHeight="1" x14ac:dyDescent="0.3">
      <c r="A70" s="2" t="s">
        <v>218</v>
      </c>
      <c r="B70" s="2" t="s">
        <v>168</v>
      </c>
      <c r="C70" s="2" t="s">
        <v>2547</v>
      </c>
      <c r="D70" s="2"/>
    </row>
    <row r="71" spans="1:4" ht="18" customHeight="1" x14ac:dyDescent="0.3">
      <c r="A71" s="2" t="s">
        <v>219</v>
      </c>
      <c r="B71" s="2" t="s">
        <v>168</v>
      </c>
      <c r="C71" s="2" t="s">
        <v>2547</v>
      </c>
      <c r="D71" s="2"/>
    </row>
    <row r="72" spans="1:4" ht="18" customHeight="1" x14ac:dyDescent="0.3">
      <c r="A72" s="2" t="s">
        <v>220</v>
      </c>
      <c r="B72" s="2" t="s">
        <v>168</v>
      </c>
      <c r="C72" s="2" t="s">
        <v>2547</v>
      </c>
      <c r="D72" s="2"/>
    </row>
    <row r="73" spans="1:4" ht="18" customHeight="1" x14ac:dyDescent="0.3">
      <c r="A73" s="2" t="s">
        <v>221</v>
      </c>
      <c r="B73" s="2" t="s">
        <v>168</v>
      </c>
      <c r="C73" s="2" t="s">
        <v>2547</v>
      </c>
      <c r="D73" s="2"/>
    </row>
    <row r="74" spans="1:4" ht="18" customHeight="1" x14ac:dyDescent="0.3">
      <c r="A74" s="2" t="s">
        <v>222</v>
      </c>
      <c r="B74" s="2" t="s">
        <v>168</v>
      </c>
      <c r="C74" s="2" t="s">
        <v>2547</v>
      </c>
      <c r="D74" s="2"/>
    </row>
    <row r="75" spans="1:4" ht="18" customHeight="1" x14ac:dyDescent="0.3">
      <c r="A75" s="2" t="s">
        <v>223</v>
      </c>
      <c r="B75" s="2" t="s">
        <v>168</v>
      </c>
      <c r="C75" s="2" t="s">
        <v>2547</v>
      </c>
      <c r="D75" s="2"/>
    </row>
    <row r="76" spans="1:4" ht="18" customHeight="1" x14ac:dyDescent="0.3">
      <c r="A76" s="2" t="s">
        <v>224</v>
      </c>
      <c r="B76" s="2" t="s">
        <v>168</v>
      </c>
      <c r="C76" s="2" t="s">
        <v>2547</v>
      </c>
      <c r="D76" s="2"/>
    </row>
    <row r="77" spans="1:4" ht="18" customHeight="1" x14ac:dyDescent="0.3">
      <c r="A77" s="2" t="s">
        <v>225</v>
      </c>
      <c r="B77" s="2" t="s">
        <v>168</v>
      </c>
      <c r="C77" s="2" t="s">
        <v>2547</v>
      </c>
      <c r="D77" s="2"/>
    </row>
    <row r="78" spans="1:4" ht="18" customHeight="1" x14ac:dyDescent="0.3">
      <c r="A78" s="2" t="s">
        <v>226</v>
      </c>
      <c r="B78" s="2" t="s">
        <v>168</v>
      </c>
      <c r="C78" s="2" t="s">
        <v>2547</v>
      </c>
      <c r="D78" s="2"/>
    </row>
    <row r="79" spans="1:4" ht="18" customHeight="1" x14ac:dyDescent="0.3">
      <c r="A79" s="2" t="s">
        <v>227</v>
      </c>
      <c r="B79" s="2" t="s">
        <v>168</v>
      </c>
      <c r="C79" s="2" t="s">
        <v>2547</v>
      </c>
      <c r="D79" s="2"/>
    </row>
    <row r="80" spans="1:4" ht="18" customHeight="1" x14ac:dyDescent="0.3">
      <c r="A80" s="2" t="s">
        <v>228</v>
      </c>
      <c r="B80" s="2" t="s">
        <v>168</v>
      </c>
      <c r="C80" s="2" t="s">
        <v>2547</v>
      </c>
      <c r="D80" s="2"/>
    </row>
    <row r="81" spans="1:4" ht="18" customHeight="1" x14ac:dyDescent="0.3">
      <c r="A81" s="2" t="s">
        <v>229</v>
      </c>
      <c r="B81" s="2" t="s">
        <v>168</v>
      </c>
      <c r="C81" s="2" t="s">
        <v>2547</v>
      </c>
      <c r="D81" s="2"/>
    </row>
    <row r="82" spans="1:4" ht="18" customHeight="1" x14ac:dyDescent="0.3">
      <c r="A82" s="2" t="s">
        <v>230</v>
      </c>
      <c r="B82" s="2" t="s">
        <v>168</v>
      </c>
      <c r="C82" s="2" t="s">
        <v>2547</v>
      </c>
      <c r="D82" s="2"/>
    </row>
    <row r="83" spans="1:4" ht="18" customHeight="1" x14ac:dyDescent="0.3">
      <c r="A83" s="2" t="s">
        <v>231</v>
      </c>
      <c r="B83" s="2" t="s">
        <v>168</v>
      </c>
      <c r="C83" s="2" t="s">
        <v>2547</v>
      </c>
      <c r="D83" s="2"/>
    </row>
    <row r="84" spans="1:4" ht="18" customHeight="1" x14ac:dyDescent="0.3">
      <c r="A84" s="2" t="s">
        <v>232</v>
      </c>
      <c r="B84" s="2" t="s">
        <v>168</v>
      </c>
      <c r="C84" s="2" t="s">
        <v>2547</v>
      </c>
      <c r="D84" s="2"/>
    </row>
    <row r="85" spans="1:4" ht="18" customHeight="1" x14ac:dyDescent="0.3">
      <c r="A85" s="2" t="s">
        <v>233</v>
      </c>
      <c r="B85" s="2" t="s">
        <v>168</v>
      </c>
      <c r="C85" s="2" t="s">
        <v>2547</v>
      </c>
      <c r="D85" s="2"/>
    </row>
    <row r="86" spans="1:4" ht="18" customHeight="1" x14ac:dyDescent="0.3">
      <c r="A86" s="2" t="s">
        <v>234</v>
      </c>
      <c r="B86" s="2" t="s">
        <v>168</v>
      </c>
      <c r="C86" s="2" t="s">
        <v>2547</v>
      </c>
      <c r="D86" s="2"/>
    </row>
    <row r="87" spans="1:4" ht="18" customHeight="1" x14ac:dyDescent="0.3">
      <c r="A87" s="2" t="s">
        <v>235</v>
      </c>
      <c r="B87" s="2" t="s">
        <v>168</v>
      </c>
      <c r="C87" s="2" t="s">
        <v>2547</v>
      </c>
      <c r="D87" s="2"/>
    </row>
    <row r="88" spans="1:4" ht="18" customHeight="1" x14ac:dyDescent="0.3">
      <c r="A88" s="2" t="s">
        <v>236</v>
      </c>
      <c r="B88" s="2" t="s">
        <v>168</v>
      </c>
      <c r="C88" s="2" t="s">
        <v>2547</v>
      </c>
      <c r="D88" s="2"/>
    </row>
    <row r="89" spans="1:4" ht="18" customHeight="1" x14ac:dyDescent="0.3">
      <c r="A89" s="2" t="s">
        <v>237</v>
      </c>
      <c r="B89" s="2" t="s">
        <v>168</v>
      </c>
      <c r="C89" s="2" t="s">
        <v>2547</v>
      </c>
      <c r="D89" s="2"/>
    </row>
    <row r="90" spans="1:4" ht="18" customHeight="1" x14ac:dyDescent="0.3">
      <c r="A90" s="2" t="s">
        <v>238</v>
      </c>
      <c r="B90" s="2" t="s">
        <v>168</v>
      </c>
      <c r="C90" s="2" t="s">
        <v>2547</v>
      </c>
      <c r="D90" s="2"/>
    </row>
    <row r="91" spans="1:4" ht="18" customHeight="1" x14ac:dyDescent="0.3">
      <c r="A91" s="2" t="s">
        <v>239</v>
      </c>
      <c r="B91" s="2" t="s">
        <v>168</v>
      </c>
      <c r="C91" s="2" t="s">
        <v>2547</v>
      </c>
      <c r="D91" s="2"/>
    </row>
    <row r="92" spans="1:4" ht="18" customHeight="1" x14ac:dyDescent="0.3">
      <c r="A92" s="2" t="s">
        <v>240</v>
      </c>
      <c r="B92" s="2" t="s">
        <v>168</v>
      </c>
      <c r="C92" s="2" t="s">
        <v>2547</v>
      </c>
      <c r="D92" s="2"/>
    </row>
    <row r="93" spans="1:4" ht="18" customHeight="1" x14ac:dyDescent="0.3">
      <c r="A93" s="2" t="s">
        <v>241</v>
      </c>
      <c r="B93" s="2" t="s">
        <v>168</v>
      </c>
      <c r="C93" s="2" t="s">
        <v>2547</v>
      </c>
      <c r="D93" s="2"/>
    </row>
    <row r="94" spans="1:4" ht="18" customHeight="1" x14ac:dyDescent="0.3">
      <c r="A94" s="2" t="s">
        <v>242</v>
      </c>
      <c r="B94" s="2" t="s">
        <v>168</v>
      </c>
      <c r="C94" s="2" t="s">
        <v>2547</v>
      </c>
      <c r="D94" s="2"/>
    </row>
    <row r="95" spans="1:4" ht="18" customHeight="1" x14ac:dyDescent="0.3">
      <c r="A95" s="2" t="s">
        <v>243</v>
      </c>
      <c r="B95" s="2" t="s">
        <v>168</v>
      </c>
      <c r="C95" s="2" t="s">
        <v>2547</v>
      </c>
      <c r="D95" s="2"/>
    </row>
    <row r="96" spans="1:4" ht="18" customHeight="1" x14ac:dyDescent="0.3">
      <c r="A96" s="2" t="s">
        <v>244</v>
      </c>
      <c r="B96" s="2" t="s">
        <v>168</v>
      </c>
      <c r="C96" s="2" t="s">
        <v>2547</v>
      </c>
      <c r="D96" s="2"/>
    </row>
    <row r="97" spans="1:4" ht="18" customHeight="1" x14ac:dyDescent="0.3">
      <c r="A97" s="2" t="s">
        <v>245</v>
      </c>
      <c r="B97" s="2" t="s">
        <v>168</v>
      </c>
      <c r="C97" s="2" t="s">
        <v>2547</v>
      </c>
      <c r="D97" s="2"/>
    </row>
    <row r="98" spans="1:4" ht="18" customHeight="1" x14ac:dyDescent="0.3">
      <c r="A98" s="2" t="s">
        <v>246</v>
      </c>
      <c r="B98" s="2" t="s">
        <v>168</v>
      </c>
      <c r="C98" s="2" t="s">
        <v>2547</v>
      </c>
      <c r="D98" s="2"/>
    </row>
    <row r="99" spans="1:4" ht="18" customHeight="1" x14ac:dyDescent="0.3">
      <c r="A99" s="2" t="s">
        <v>247</v>
      </c>
      <c r="B99" s="2" t="s">
        <v>168</v>
      </c>
      <c r="C99" s="2" t="s">
        <v>2547</v>
      </c>
      <c r="D99" s="2"/>
    </row>
    <row r="100" spans="1:4" ht="18" customHeight="1" x14ac:dyDescent="0.3">
      <c r="A100" s="2" t="s">
        <v>248</v>
      </c>
      <c r="B100" s="2" t="s">
        <v>168</v>
      </c>
      <c r="C100" s="2" t="s">
        <v>2547</v>
      </c>
      <c r="D100" s="2"/>
    </row>
    <row r="101" spans="1:4" ht="18" customHeight="1" x14ac:dyDescent="0.3">
      <c r="A101" s="2" t="s">
        <v>249</v>
      </c>
      <c r="B101" s="2" t="s">
        <v>168</v>
      </c>
      <c r="C101" s="2" t="s">
        <v>2547</v>
      </c>
      <c r="D101" s="2"/>
    </row>
    <row r="102" spans="1:4" ht="18" customHeight="1" x14ac:dyDescent="0.3">
      <c r="A102" s="2" t="s">
        <v>250</v>
      </c>
      <c r="B102" s="2" t="s">
        <v>168</v>
      </c>
      <c r="C102" s="2" t="s">
        <v>2547</v>
      </c>
      <c r="D102" s="2"/>
    </row>
    <row r="103" spans="1:4" ht="18" customHeight="1" x14ac:dyDescent="0.3">
      <c r="A103" s="2" t="s">
        <v>251</v>
      </c>
      <c r="B103" s="2" t="s">
        <v>168</v>
      </c>
      <c r="C103" s="2" t="s">
        <v>2547</v>
      </c>
      <c r="D103" s="2"/>
    </row>
    <row r="104" spans="1:4" ht="18" customHeight="1" x14ac:dyDescent="0.3">
      <c r="A104" s="2" t="s">
        <v>252</v>
      </c>
      <c r="B104" s="2" t="s">
        <v>168</v>
      </c>
      <c r="C104" s="2" t="s">
        <v>2547</v>
      </c>
      <c r="D104" s="2"/>
    </row>
    <row r="105" spans="1:4" ht="18" customHeight="1" x14ac:dyDescent="0.3">
      <c r="A105" s="2" t="s">
        <v>253</v>
      </c>
      <c r="B105" s="2" t="s">
        <v>168</v>
      </c>
      <c r="C105" s="2" t="s">
        <v>2547</v>
      </c>
      <c r="D105" s="2"/>
    </row>
    <row r="106" spans="1:4" ht="18" customHeight="1" x14ac:dyDescent="0.3">
      <c r="A106" s="2" t="s">
        <v>254</v>
      </c>
      <c r="B106" s="2" t="s">
        <v>168</v>
      </c>
      <c r="C106" s="2" t="s">
        <v>2547</v>
      </c>
      <c r="D106" s="2"/>
    </row>
    <row r="107" spans="1:4" ht="18" customHeight="1" x14ac:dyDescent="0.3">
      <c r="A107" s="2" t="s">
        <v>255</v>
      </c>
      <c r="B107" s="2" t="s">
        <v>168</v>
      </c>
      <c r="C107" s="2" t="s">
        <v>2547</v>
      </c>
      <c r="D107" s="2"/>
    </row>
    <row r="108" spans="1:4" ht="18" customHeight="1" x14ac:dyDescent="0.3">
      <c r="A108" s="2" t="s">
        <v>256</v>
      </c>
      <c r="B108" s="2" t="s">
        <v>168</v>
      </c>
      <c r="C108" s="2" t="s">
        <v>2547</v>
      </c>
      <c r="D108" s="2"/>
    </row>
    <row r="109" spans="1:4" ht="18" customHeight="1" x14ac:dyDescent="0.3">
      <c r="A109" s="2" t="s">
        <v>257</v>
      </c>
      <c r="B109" s="2" t="s">
        <v>168</v>
      </c>
      <c r="C109" s="2" t="s">
        <v>2547</v>
      </c>
      <c r="D109" s="2"/>
    </row>
    <row r="110" spans="1:4" ht="18" customHeight="1" x14ac:dyDescent="0.3">
      <c r="A110" s="2" t="s">
        <v>258</v>
      </c>
      <c r="B110" s="2" t="s">
        <v>168</v>
      </c>
      <c r="C110" s="2" t="s">
        <v>2547</v>
      </c>
      <c r="D110" s="2"/>
    </row>
    <row r="111" spans="1:4" ht="18" customHeight="1" x14ac:dyDescent="0.3">
      <c r="A111" s="2" t="s">
        <v>259</v>
      </c>
      <c r="B111" s="2" t="s">
        <v>168</v>
      </c>
      <c r="C111" s="2" t="s">
        <v>2547</v>
      </c>
      <c r="D111" s="2"/>
    </row>
    <row r="112" spans="1:4" ht="18" customHeight="1" x14ac:dyDescent="0.3">
      <c r="A112" s="2" t="s">
        <v>260</v>
      </c>
      <c r="B112" s="2" t="s">
        <v>168</v>
      </c>
      <c r="C112" s="2" t="s">
        <v>2547</v>
      </c>
      <c r="D112" s="2"/>
    </row>
    <row r="113" spans="1:4" ht="18" customHeight="1" x14ac:dyDescent="0.3">
      <c r="A113" s="2" t="s">
        <v>261</v>
      </c>
      <c r="B113" s="2" t="s">
        <v>168</v>
      </c>
      <c r="C113" s="2" t="s">
        <v>2547</v>
      </c>
      <c r="D113" s="2"/>
    </row>
    <row r="114" spans="1:4" ht="18" customHeight="1" x14ac:dyDescent="0.3">
      <c r="A114" s="2" t="s">
        <v>262</v>
      </c>
      <c r="B114" s="2" t="s">
        <v>168</v>
      </c>
      <c r="C114" s="2" t="s">
        <v>2547</v>
      </c>
      <c r="D114" s="2"/>
    </row>
    <row r="115" spans="1:4" ht="18" customHeight="1" x14ac:dyDescent="0.3">
      <c r="A115" s="2" t="s">
        <v>263</v>
      </c>
      <c r="B115" s="2" t="s">
        <v>168</v>
      </c>
      <c r="C115" s="2" t="s">
        <v>2547</v>
      </c>
      <c r="D115" s="2"/>
    </row>
    <row r="116" spans="1:4" ht="18" customHeight="1" x14ac:dyDescent="0.3">
      <c r="A116" s="2" t="s">
        <v>264</v>
      </c>
      <c r="B116" s="2" t="s">
        <v>168</v>
      </c>
      <c r="C116" s="2" t="s">
        <v>2547</v>
      </c>
      <c r="D116" s="2"/>
    </row>
    <row r="117" spans="1:4" ht="18" customHeight="1" x14ac:dyDescent="0.3">
      <c r="A117" s="2" t="s">
        <v>265</v>
      </c>
      <c r="B117" s="2" t="s">
        <v>168</v>
      </c>
      <c r="C117" s="2" t="s">
        <v>2547</v>
      </c>
      <c r="D117" s="2"/>
    </row>
    <row r="118" spans="1:4" ht="18" customHeight="1" x14ac:dyDescent="0.3">
      <c r="A118" s="2" t="s">
        <v>266</v>
      </c>
      <c r="B118" s="2" t="s">
        <v>168</v>
      </c>
      <c r="C118" s="2" t="s">
        <v>2547</v>
      </c>
      <c r="D118" s="2"/>
    </row>
    <row r="119" spans="1:4" ht="18" customHeight="1" x14ac:dyDescent="0.3">
      <c r="A119" s="2" t="s">
        <v>267</v>
      </c>
      <c r="B119" s="2" t="s">
        <v>168</v>
      </c>
      <c r="C119" s="2" t="s">
        <v>2547</v>
      </c>
      <c r="D119" s="2"/>
    </row>
    <row r="120" spans="1:4" ht="18" customHeight="1" x14ac:dyDescent="0.3">
      <c r="A120" s="2" t="s">
        <v>268</v>
      </c>
      <c r="B120" s="2" t="s">
        <v>168</v>
      </c>
      <c r="C120" s="2" t="s">
        <v>2547</v>
      </c>
      <c r="D120" s="2"/>
    </row>
    <row r="121" spans="1:4" ht="18" customHeight="1" x14ac:dyDescent="0.3">
      <c r="A121" s="2" t="s">
        <v>269</v>
      </c>
      <c r="B121" s="2" t="s">
        <v>168</v>
      </c>
      <c r="C121" s="2" t="s">
        <v>2547</v>
      </c>
      <c r="D121" s="2"/>
    </row>
    <row r="122" spans="1:4" ht="18" customHeight="1" x14ac:dyDescent="0.3">
      <c r="A122" s="2" t="s">
        <v>270</v>
      </c>
      <c r="B122" s="2" t="s">
        <v>168</v>
      </c>
      <c r="C122" s="2" t="s">
        <v>2547</v>
      </c>
      <c r="D122" s="2"/>
    </row>
    <row r="123" spans="1:4" ht="18" customHeight="1" x14ac:dyDescent="0.3">
      <c r="A123" s="2" t="s">
        <v>271</v>
      </c>
      <c r="B123" s="2" t="s">
        <v>168</v>
      </c>
      <c r="C123" s="2" t="s">
        <v>2547</v>
      </c>
      <c r="D123" s="2"/>
    </row>
    <row r="124" spans="1:4" ht="18" customHeight="1" x14ac:dyDescent="0.3">
      <c r="A124" s="2" t="s">
        <v>272</v>
      </c>
      <c r="B124" s="2" t="s">
        <v>168</v>
      </c>
      <c r="C124" s="2" t="s">
        <v>2547</v>
      </c>
      <c r="D124" s="2"/>
    </row>
    <row r="125" spans="1:4" ht="18" customHeight="1" x14ac:dyDescent="0.3">
      <c r="A125" s="2" t="s">
        <v>273</v>
      </c>
      <c r="B125" s="2" t="s">
        <v>168</v>
      </c>
      <c r="C125" s="2" t="s">
        <v>2547</v>
      </c>
      <c r="D125" s="2"/>
    </row>
    <row r="126" spans="1:4" ht="18" customHeight="1" x14ac:dyDescent="0.3">
      <c r="A126" s="2" t="s">
        <v>274</v>
      </c>
      <c r="B126" s="2" t="s">
        <v>168</v>
      </c>
      <c r="C126" s="2" t="s">
        <v>2547</v>
      </c>
      <c r="D126" s="2"/>
    </row>
    <row r="127" spans="1:4" ht="18" customHeight="1" x14ac:dyDescent="0.3">
      <c r="A127" s="2" t="s">
        <v>2865</v>
      </c>
      <c r="B127" s="2" t="s">
        <v>2550</v>
      </c>
      <c r="C127" s="2" t="s">
        <v>2550</v>
      </c>
      <c r="D127" s="2"/>
    </row>
    <row r="128" spans="1:4" ht="18" customHeight="1" x14ac:dyDescent="0.3">
      <c r="A128" s="2" t="s">
        <v>2866</v>
      </c>
      <c r="B128" s="2" t="s">
        <v>2550</v>
      </c>
      <c r="C128" s="2" t="s">
        <v>2550</v>
      </c>
      <c r="D128" s="2"/>
    </row>
    <row r="129" spans="1:4" ht="18" customHeight="1" x14ac:dyDescent="0.3">
      <c r="A129" s="2" t="s">
        <v>2867</v>
      </c>
      <c r="B129" s="2" t="s">
        <v>2550</v>
      </c>
      <c r="C129" s="2" t="s">
        <v>2550</v>
      </c>
      <c r="D129" s="2"/>
    </row>
    <row r="130" spans="1:4" ht="18" customHeight="1" x14ac:dyDescent="0.3">
      <c r="A130" s="2" t="s">
        <v>2868</v>
      </c>
      <c r="B130" s="2" t="s">
        <v>2550</v>
      </c>
      <c r="C130" s="2" t="s">
        <v>2550</v>
      </c>
      <c r="D130" s="2"/>
    </row>
    <row r="131" spans="1:4" ht="18" customHeight="1" x14ac:dyDescent="0.3">
      <c r="A131" s="2" t="s">
        <v>2869</v>
      </c>
      <c r="B131" s="2" t="s">
        <v>2550</v>
      </c>
      <c r="C131" s="2" t="s">
        <v>2550</v>
      </c>
      <c r="D131" s="2"/>
    </row>
    <row r="132" spans="1:4" ht="18" customHeight="1" x14ac:dyDescent="0.3">
      <c r="A132" s="2" t="s">
        <v>2870</v>
      </c>
      <c r="B132" s="2" t="s">
        <v>2550</v>
      </c>
      <c r="C132" s="2" t="s">
        <v>2550</v>
      </c>
      <c r="D132" s="2"/>
    </row>
    <row r="133" spans="1:4" ht="18" customHeight="1" x14ac:dyDescent="0.3">
      <c r="A133" s="2" t="s">
        <v>2871</v>
      </c>
      <c r="B133" s="2" t="s">
        <v>2550</v>
      </c>
      <c r="C133" s="2" t="s">
        <v>2550</v>
      </c>
      <c r="D133" s="2"/>
    </row>
    <row r="134" spans="1:4" ht="18" customHeight="1" x14ac:dyDescent="0.3">
      <c r="A134" s="2" t="s">
        <v>2872</v>
      </c>
      <c r="B134" s="2" t="s">
        <v>2550</v>
      </c>
      <c r="C134" s="2" t="s">
        <v>2550</v>
      </c>
      <c r="D134" s="2"/>
    </row>
    <row r="135" spans="1:4" ht="18" customHeight="1" x14ac:dyDescent="0.3">
      <c r="A135" s="2" t="s">
        <v>2873</v>
      </c>
      <c r="B135" s="2" t="s">
        <v>2550</v>
      </c>
      <c r="C135" s="2" t="s">
        <v>2550</v>
      </c>
      <c r="D135" s="2"/>
    </row>
    <row r="136" spans="1:4" ht="18" customHeight="1" x14ac:dyDescent="0.3">
      <c r="A136" s="2" t="s">
        <v>2874</v>
      </c>
      <c r="B136" s="2" t="s">
        <v>2550</v>
      </c>
      <c r="C136" s="2" t="s">
        <v>2550</v>
      </c>
      <c r="D136" s="2"/>
    </row>
    <row r="137" spans="1:4" ht="18" customHeight="1" x14ac:dyDescent="0.3">
      <c r="A137" s="2" t="s">
        <v>2875</v>
      </c>
      <c r="B137" s="2" t="s">
        <v>2550</v>
      </c>
      <c r="C137" s="2" t="s">
        <v>2550</v>
      </c>
      <c r="D137" s="2"/>
    </row>
    <row r="138" spans="1:4" ht="18" customHeight="1" x14ac:dyDescent="0.3">
      <c r="A138" s="2" t="s">
        <v>2876</v>
      </c>
      <c r="B138" s="2" t="s">
        <v>2550</v>
      </c>
      <c r="C138" s="2" t="s">
        <v>2550</v>
      </c>
      <c r="D138" s="2"/>
    </row>
    <row r="139" spans="1:4" ht="18" customHeight="1" x14ac:dyDescent="0.3">
      <c r="A139" s="2" t="s">
        <v>2877</v>
      </c>
      <c r="B139" s="2" t="s">
        <v>2550</v>
      </c>
      <c r="C139" s="2" t="s">
        <v>2550</v>
      </c>
      <c r="D139" s="2"/>
    </row>
    <row r="140" spans="1:4" ht="18" customHeight="1" x14ac:dyDescent="0.3">
      <c r="A140" s="2" t="s">
        <v>2878</v>
      </c>
      <c r="B140" s="2" t="s">
        <v>2550</v>
      </c>
      <c r="C140" s="2" t="s">
        <v>2550</v>
      </c>
      <c r="D140" s="2"/>
    </row>
    <row r="141" spans="1:4" ht="18" customHeight="1" x14ac:dyDescent="0.3">
      <c r="A141" s="2" t="s">
        <v>2879</v>
      </c>
      <c r="B141" s="2" t="s">
        <v>2553</v>
      </c>
      <c r="C141" s="2" t="s">
        <v>2553</v>
      </c>
      <c r="D141" s="2"/>
    </row>
    <row r="142" spans="1:4" ht="18" customHeight="1" x14ac:dyDescent="0.3">
      <c r="A142" s="2" t="s">
        <v>2880</v>
      </c>
      <c r="B142" s="2" t="s">
        <v>2553</v>
      </c>
      <c r="C142" s="2" t="s">
        <v>2553</v>
      </c>
      <c r="D142" s="2"/>
    </row>
    <row r="143" spans="1:4" ht="18" customHeight="1" x14ac:dyDescent="0.3">
      <c r="A143" s="2" t="s">
        <v>2881</v>
      </c>
      <c r="B143" s="2" t="s">
        <v>2553</v>
      </c>
      <c r="C143" s="2" t="s">
        <v>2553</v>
      </c>
      <c r="D143" s="2"/>
    </row>
    <row r="144" spans="1:4" ht="18" customHeight="1" x14ac:dyDescent="0.3">
      <c r="A144" s="2" t="s">
        <v>2882</v>
      </c>
      <c r="B144" s="2" t="s">
        <v>2553</v>
      </c>
      <c r="C144" s="2" t="s">
        <v>2553</v>
      </c>
      <c r="D144" s="2"/>
    </row>
    <row r="145" spans="1:4" ht="18" customHeight="1" x14ac:dyDescent="0.3">
      <c r="A145" s="2" t="s">
        <v>2883</v>
      </c>
      <c r="B145" s="2" t="s">
        <v>2601</v>
      </c>
      <c r="C145" s="2" t="s">
        <v>2549</v>
      </c>
      <c r="D145" s="2"/>
    </row>
    <row r="146" spans="1:4" ht="18" customHeight="1" x14ac:dyDescent="0.3">
      <c r="A146" s="2" t="s">
        <v>2884</v>
      </c>
      <c r="B146" s="2" t="s">
        <v>2601</v>
      </c>
      <c r="C146" s="2" t="s">
        <v>2549</v>
      </c>
      <c r="D146" s="2"/>
    </row>
    <row r="147" spans="1:4" ht="18" customHeight="1" x14ac:dyDescent="0.3">
      <c r="A147" s="2" t="s">
        <v>2885</v>
      </c>
      <c r="B147" s="2" t="s">
        <v>2601</v>
      </c>
      <c r="C147" s="2" t="s">
        <v>2549</v>
      </c>
      <c r="D147" s="2"/>
    </row>
    <row r="148" spans="1:4" ht="18" customHeight="1" x14ac:dyDescent="0.3">
      <c r="A148" s="2" t="s">
        <v>2886</v>
      </c>
      <c r="B148" s="2" t="s">
        <v>2601</v>
      </c>
      <c r="C148" s="2" t="s">
        <v>2549</v>
      </c>
      <c r="D148" s="2"/>
    </row>
    <row r="149" spans="1:4" ht="18" customHeight="1" x14ac:dyDescent="0.3">
      <c r="A149" s="2" t="s">
        <v>2887</v>
      </c>
      <c r="B149" s="2" t="s">
        <v>2601</v>
      </c>
      <c r="C149" s="2" t="s">
        <v>2549</v>
      </c>
      <c r="D149" s="2"/>
    </row>
    <row r="150" spans="1:4" ht="18" customHeight="1" x14ac:dyDescent="0.3">
      <c r="A150" s="2" t="s">
        <v>2888</v>
      </c>
      <c r="B150" s="2" t="s">
        <v>2548</v>
      </c>
      <c r="C150" s="2" t="s">
        <v>2889</v>
      </c>
      <c r="D150" s="2"/>
    </row>
    <row r="151" spans="1:4" ht="18" customHeight="1" x14ac:dyDescent="0.3">
      <c r="A151" s="2" t="s">
        <v>2890</v>
      </c>
      <c r="B151" s="2" t="s">
        <v>2548</v>
      </c>
      <c r="C151" s="2" t="s">
        <v>2889</v>
      </c>
      <c r="D151" s="2"/>
    </row>
    <row r="152" spans="1:4" ht="18" customHeight="1" x14ac:dyDescent="0.3">
      <c r="A152" s="2" t="s">
        <v>2891</v>
      </c>
      <c r="B152" s="2" t="s">
        <v>2548</v>
      </c>
      <c r="C152" s="2" t="s">
        <v>2889</v>
      </c>
      <c r="D152" s="2"/>
    </row>
    <row r="153" spans="1:4" ht="18" customHeight="1" x14ac:dyDescent="0.3">
      <c r="A153" s="2" t="s">
        <v>2892</v>
      </c>
      <c r="B153" s="2" t="s">
        <v>2548</v>
      </c>
      <c r="C153" s="2" t="s">
        <v>2889</v>
      </c>
      <c r="D153" s="2"/>
    </row>
    <row r="154" spans="1:4" ht="18" customHeight="1" x14ac:dyDescent="0.3">
      <c r="A154" s="2" t="s">
        <v>2893</v>
      </c>
      <c r="B154" s="2" t="s">
        <v>2548</v>
      </c>
      <c r="C154" s="2" t="s">
        <v>2889</v>
      </c>
      <c r="D154" s="2"/>
    </row>
    <row r="155" spans="1:4" x14ac:dyDescent="0.3">
      <c r="A155" s="2" t="s">
        <v>2894</v>
      </c>
      <c r="B155" s="2" t="s">
        <v>2548</v>
      </c>
      <c r="C155" s="2" t="s">
        <v>2895</v>
      </c>
      <c r="D155" s="2"/>
    </row>
    <row r="156" spans="1:4" x14ac:dyDescent="0.3">
      <c r="A156" s="2" t="s">
        <v>2896</v>
      </c>
      <c r="B156" s="2" t="s">
        <v>2548</v>
      </c>
      <c r="C156" s="2" t="s">
        <v>2895</v>
      </c>
      <c r="D156" s="2"/>
    </row>
    <row r="157" spans="1:4" x14ac:dyDescent="0.3">
      <c r="A157" s="2" t="s">
        <v>2897</v>
      </c>
      <c r="B157" s="2" t="s">
        <v>2548</v>
      </c>
      <c r="C157" s="2" t="s">
        <v>2895</v>
      </c>
      <c r="D157" s="2"/>
    </row>
    <row r="158" spans="1:4" x14ac:dyDescent="0.3">
      <c r="A158" s="2" t="s">
        <v>2898</v>
      </c>
      <c r="B158" s="2" t="s">
        <v>2548</v>
      </c>
      <c r="C158" s="2" t="s">
        <v>2889</v>
      </c>
      <c r="D158" s="2"/>
    </row>
    <row r="159" spans="1:4" x14ac:dyDescent="0.3">
      <c r="A159" s="2" t="s">
        <v>2899</v>
      </c>
      <c r="B159" s="2" t="s">
        <v>2548</v>
      </c>
      <c r="C159" s="2" t="s">
        <v>2889</v>
      </c>
      <c r="D159" s="2"/>
    </row>
    <row r="160" spans="1:4" x14ac:dyDescent="0.3">
      <c r="A160" s="2" t="s">
        <v>2900</v>
      </c>
      <c r="B160" s="2" t="s">
        <v>2556</v>
      </c>
      <c r="C160" s="2" t="s">
        <v>2556</v>
      </c>
      <c r="D160" s="2"/>
    </row>
    <row r="161" spans="1:4" x14ac:dyDescent="0.3">
      <c r="A161" s="2" t="s">
        <v>2901</v>
      </c>
      <c r="B161" s="2" t="s">
        <v>2734</v>
      </c>
      <c r="C161" s="2" t="s">
        <v>2734</v>
      </c>
      <c r="D161" s="2"/>
    </row>
    <row r="162" spans="1:4" x14ac:dyDescent="0.3">
      <c r="A162" s="2" t="s">
        <v>2902</v>
      </c>
      <c r="B162" s="2" t="s">
        <v>2734</v>
      </c>
      <c r="C162" s="2" t="s">
        <v>2734</v>
      </c>
      <c r="D162" s="2"/>
    </row>
    <row r="163" spans="1:4" x14ac:dyDescent="0.3">
      <c r="A163" s="2" t="s">
        <v>2903</v>
      </c>
      <c r="B163" s="2" t="s">
        <v>2546</v>
      </c>
      <c r="C163" s="2" t="s">
        <v>2708</v>
      </c>
      <c r="D163" s="2"/>
    </row>
    <row r="164" spans="1:4" x14ac:dyDescent="0.3">
      <c r="A164" s="2" t="s">
        <v>2904</v>
      </c>
      <c r="B164" s="2" t="s">
        <v>2546</v>
      </c>
      <c r="C164" s="2" t="s">
        <v>2708</v>
      </c>
      <c r="D164" s="2"/>
    </row>
    <row r="165" spans="1:4" x14ac:dyDescent="0.3">
      <c r="A165" s="2" t="s">
        <v>2905</v>
      </c>
      <c r="B165" s="2" t="s">
        <v>2546</v>
      </c>
      <c r="C165" s="2" t="s">
        <v>2708</v>
      </c>
      <c r="D165" s="2"/>
    </row>
    <row r="166" spans="1:4" x14ac:dyDescent="0.3">
      <c r="A166" s="2" t="s">
        <v>2906</v>
      </c>
      <c r="B166" s="2" t="s">
        <v>2546</v>
      </c>
      <c r="C166" s="2" t="s">
        <v>2708</v>
      </c>
      <c r="D166" s="2"/>
    </row>
    <row r="167" spans="1:4" x14ac:dyDescent="0.3">
      <c r="A167" s="2" t="s">
        <v>2907</v>
      </c>
      <c r="B167" s="2" t="s">
        <v>2546</v>
      </c>
      <c r="C167" s="2" t="s">
        <v>2708</v>
      </c>
      <c r="D167" s="2"/>
    </row>
    <row r="168" spans="1:4" x14ac:dyDescent="0.3">
      <c r="A168" s="2" t="s">
        <v>2908</v>
      </c>
      <c r="B168" s="2" t="s">
        <v>2546</v>
      </c>
      <c r="C168" s="2" t="s">
        <v>2708</v>
      </c>
      <c r="D168" s="2"/>
    </row>
    <row r="169" spans="1:4" x14ac:dyDescent="0.3">
      <c r="A169" s="2" t="s">
        <v>2909</v>
      </c>
      <c r="B169" s="2" t="s">
        <v>2546</v>
      </c>
      <c r="C169" s="2" t="s">
        <v>2708</v>
      </c>
      <c r="D169" s="2"/>
    </row>
    <row r="170" spans="1:4" x14ac:dyDescent="0.3">
      <c r="A170" s="2" t="s">
        <v>2910</v>
      </c>
      <c r="B170" s="2" t="s">
        <v>2546</v>
      </c>
      <c r="C170" s="2" t="s">
        <v>2708</v>
      </c>
      <c r="D170" s="2"/>
    </row>
    <row r="171" spans="1:4" x14ac:dyDescent="0.3">
      <c r="A171" s="2" t="s">
        <v>2911</v>
      </c>
      <c r="B171" s="2" t="s">
        <v>2552</v>
      </c>
      <c r="C171" s="2" t="s">
        <v>2912</v>
      </c>
      <c r="D171" s="2"/>
    </row>
    <row r="172" spans="1:4" x14ac:dyDescent="0.3">
      <c r="A172" s="2" t="s">
        <v>2913</v>
      </c>
      <c r="B172" s="2" t="s">
        <v>2551</v>
      </c>
      <c r="C172" s="2" t="s">
        <v>2914</v>
      </c>
      <c r="D172" s="2"/>
    </row>
  </sheetData>
  <mergeCells count="2">
    <mergeCell ref="A1:D1"/>
    <mergeCell ref="F6:G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30"/>
  <sheetViews>
    <sheetView workbookViewId="0">
      <selection sqref="A1:D1"/>
    </sheetView>
  </sheetViews>
  <sheetFormatPr defaultColWidth="8.6640625" defaultRowHeight="14.4" x14ac:dyDescent="0.3"/>
  <cols>
    <col min="1" max="1" width="32.5546875" bestFit="1" customWidth="1"/>
    <col min="2" max="2" width="54.5546875" customWidth="1"/>
    <col min="3" max="3" width="60" customWidth="1"/>
    <col min="4" max="4" width="40.5546875" customWidth="1"/>
    <col min="8" max="8" width="27.109375" customWidth="1"/>
    <col min="9" max="9" width="29" customWidth="1"/>
    <col min="10" max="10" width="34.109375" bestFit="1" customWidth="1"/>
    <col min="11" max="11" width="73.33203125" bestFit="1" customWidth="1"/>
  </cols>
  <sheetData>
    <row r="1" spans="1:9" ht="19.2" customHeight="1" x14ac:dyDescent="0.3">
      <c r="A1" s="27" t="s">
        <v>2541</v>
      </c>
      <c r="B1" s="28"/>
      <c r="C1" s="28"/>
      <c r="D1" s="28"/>
    </row>
    <row r="2" spans="1:9" ht="30" customHeight="1" x14ac:dyDescent="0.3">
      <c r="A2" s="1" t="s">
        <v>1</v>
      </c>
      <c r="B2" s="1" t="s">
        <v>2</v>
      </c>
      <c r="C2" s="1" t="s">
        <v>2542</v>
      </c>
      <c r="D2" s="1" t="s">
        <v>2543</v>
      </c>
    </row>
    <row r="3" spans="1:9" ht="18" customHeight="1" x14ac:dyDescent="0.3">
      <c r="A3" s="2" t="s">
        <v>2915</v>
      </c>
      <c r="B3" s="2" t="s">
        <v>6</v>
      </c>
      <c r="C3" s="2" t="s">
        <v>2544</v>
      </c>
      <c r="D3" s="2"/>
    </row>
    <row r="4" spans="1:9" ht="18" customHeight="1" x14ac:dyDescent="0.3">
      <c r="A4" s="2" t="s">
        <v>2916</v>
      </c>
      <c r="B4" s="2" t="s">
        <v>6</v>
      </c>
      <c r="C4" s="2" t="s">
        <v>2544</v>
      </c>
      <c r="D4" s="2"/>
    </row>
    <row r="5" spans="1:9" ht="18" customHeight="1" x14ac:dyDescent="0.3">
      <c r="A5" s="2" t="s">
        <v>2917</v>
      </c>
      <c r="B5" s="2" t="s">
        <v>6</v>
      </c>
      <c r="C5" s="2" t="s">
        <v>2544</v>
      </c>
      <c r="D5" s="2"/>
    </row>
    <row r="6" spans="1:9" ht="18" customHeight="1" x14ac:dyDescent="0.3">
      <c r="A6" s="2" t="s">
        <v>2918</v>
      </c>
      <c r="B6" s="2" t="s">
        <v>6</v>
      </c>
      <c r="C6" s="2" t="s">
        <v>2544</v>
      </c>
      <c r="D6" s="2"/>
      <c r="H6" s="32" t="s">
        <v>2545</v>
      </c>
      <c r="I6" s="33"/>
    </row>
    <row r="7" spans="1:9" ht="18" customHeight="1" x14ac:dyDescent="0.3">
      <c r="A7" s="2" t="s">
        <v>2919</v>
      </c>
      <c r="B7" s="2" t="s">
        <v>6</v>
      </c>
      <c r="C7" s="2" t="s">
        <v>2544</v>
      </c>
      <c r="D7" s="2"/>
      <c r="H7" s="3" t="s">
        <v>6</v>
      </c>
      <c r="I7" s="4">
        <f>COUNTIF(B:B,"AHU")</f>
        <v>37</v>
      </c>
    </row>
    <row r="8" spans="1:9" ht="18" customHeight="1" x14ac:dyDescent="0.3">
      <c r="A8" s="2" t="s">
        <v>2920</v>
      </c>
      <c r="B8" s="2" t="s">
        <v>6</v>
      </c>
      <c r="C8" s="2" t="s">
        <v>2544</v>
      </c>
      <c r="D8" s="2"/>
      <c r="H8" s="8" t="s">
        <v>2921</v>
      </c>
      <c r="I8" s="4">
        <f>COUNTIF(B:B,"ERU")</f>
        <v>11</v>
      </c>
    </row>
    <row r="9" spans="1:9" ht="18" customHeight="1" x14ac:dyDescent="0.3">
      <c r="A9" s="2" t="s">
        <v>2922</v>
      </c>
      <c r="B9" s="2" t="s">
        <v>6</v>
      </c>
      <c r="C9" s="2" t="s">
        <v>2544</v>
      </c>
      <c r="D9" s="2"/>
      <c r="H9" s="3" t="s">
        <v>35</v>
      </c>
      <c r="I9" s="4">
        <f>COUNTIF(B:B,"FCU")</f>
        <v>135</v>
      </c>
    </row>
    <row r="10" spans="1:9" ht="18" customHeight="1" x14ac:dyDescent="0.3">
      <c r="A10" s="2" t="s">
        <v>2923</v>
      </c>
      <c r="B10" s="2" t="s">
        <v>6</v>
      </c>
      <c r="C10" s="2" t="s">
        <v>2544</v>
      </c>
      <c r="D10" s="2"/>
      <c r="H10" s="3" t="s">
        <v>2546</v>
      </c>
      <c r="I10" s="4">
        <f>COUNTIF(B:B,"CHW Pump")</f>
        <v>9</v>
      </c>
    </row>
    <row r="11" spans="1:9" ht="18" customHeight="1" x14ac:dyDescent="0.3">
      <c r="A11" s="2" t="s">
        <v>2924</v>
      </c>
      <c r="B11" s="2" t="s">
        <v>6</v>
      </c>
      <c r="C11" s="2" t="s">
        <v>2544</v>
      </c>
      <c r="D11" s="2"/>
      <c r="H11" s="3" t="s">
        <v>2547</v>
      </c>
      <c r="I11" s="4">
        <f>COUNTIF(B:B,"VAV")</f>
        <v>739</v>
      </c>
    </row>
    <row r="12" spans="1:9" ht="18" customHeight="1" x14ac:dyDescent="0.3">
      <c r="A12" s="2" t="s">
        <v>2925</v>
      </c>
      <c r="B12" s="2" t="s">
        <v>6</v>
      </c>
      <c r="C12" s="2" t="s">
        <v>2544</v>
      </c>
      <c r="D12" s="2"/>
      <c r="H12" s="3" t="s">
        <v>2731</v>
      </c>
      <c r="I12" s="4">
        <f>COUNTIF(B:B,"CAV")</f>
        <v>78</v>
      </c>
    </row>
    <row r="13" spans="1:9" ht="18" customHeight="1" x14ac:dyDescent="0.3">
      <c r="A13" s="2" t="s">
        <v>2926</v>
      </c>
      <c r="B13" s="2" t="s">
        <v>6</v>
      </c>
      <c r="C13" s="2" t="s">
        <v>2544</v>
      </c>
      <c r="D13" s="2"/>
      <c r="H13" s="3" t="s">
        <v>2342</v>
      </c>
      <c r="I13" s="4">
        <f>COUNTIF(B:B,"FEV")</f>
        <v>76</v>
      </c>
    </row>
    <row r="14" spans="1:9" ht="18" customHeight="1" x14ac:dyDescent="0.3">
      <c r="A14" s="2" t="s">
        <v>2927</v>
      </c>
      <c r="B14" s="2" t="s">
        <v>2921</v>
      </c>
      <c r="C14" s="2" t="s">
        <v>2921</v>
      </c>
      <c r="D14" s="2"/>
      <c r="H14" s="3" t="s">
        <v>2341</v>
      </c>
      <c r="I14" s="4">
        <f>COUNTIF(B:B,"VEV")</f>
        <v>44</v>
      </c>
    </row>
    <row r="15" spans="1:9" x14ac:dyDescent="0.3">
      <c r="A15" s="2" t="s">
        <v>2928</v>
      </c>
      <c r="B15" s="2" t="s">
        <v>2921</v>
      </c>
      <c r="C15" s="2" t="s">
        <v>2921</v>
      </c>
      <c r="D15" s="2"/>
      <c r="H15" s="3" t="s">
        <v>2929</v>
      </c>
      <c r="I15" s="4">
        <f>COUNTIF(B:B,"EAV")</f>
        <v>51</v>
      </c>
    </row>
    <row r="16" spans="1:9" ht="18" customHeight="1" x14ac:dyDescent="0.3">
      <c r="A16" s="2" t="s">
        <v>2930</v>
      </c>
      <c r="B16" s="2" t="s">
        <v>2921</v>
      </c>
      <c r="C16" s="2" t="s">
        <v>2921</v>
      </c>
      <c r="D16" s="2"/>
      <c r="H16" s="3" t="s">
        <v>2549</v>
      </c>
      <c r="I16" s="4">
        <f>COUNTIF(B:B,"HEX")</f>
        <v>7</v>
      </c>
    </row>
    <row r="17" spans="1:11" ht="18" customHeight="1" x14ac:dyDescent="0.3">
      <c r="A17" s="2" t="s">
        <v>2931</v>
      </c>
      <c r="B17" s="2" t="s">
        <v>2921</v>
      </c>
      <c r="C17" s="2" t="s">
        <v>2921</v>
      </c>
      <c r="D17" s="2"/>
      <c r="H17" s="3" t="s">
        <v>2551</v>
      </c>
      <c r="I17" s="4">
        <f>COUNTIF(B:B,"EF")</f>
        <v>38</v>
      </c>
    </row>
    <row r="18" spans="1:11" ht="18" customHeight="1" x14ac:dyDescent="0.3">
      <c r="A18" s="2" t="s">
        <v>2932</v>
      </c>
      <c r="B18" s="2" t="s">
        <v>2921</v>
      </c>
      <c r="C18" s="2" t="s">
        <v>2921</v>
      </c>
      <c r="D18" s="2"/>
      <c r="H18" s="3" t="s">
        <v>2556</v>
      </c>
      <c r="I18" s="4">
        <f>COUNTIF(B:B,"Generator")</f>
        <v>3</v>
      </c>
    </row>
    <row r="19" spans="1:11" ht="18" customHeight="1" x14ac:dyDescent="0.3">
      <c r="A19" s="2" t="s">
        <v>2933</v>
      </c>
      <c r="B19" s="2" t="s">
        <v>2921</v>
      </c>
      <c r="C19" s="2" t="s">
        <v>2921</v>
      </c>
      <c r="D19" s="2"/>
      <c r="H19" s="5" t="s">
        <v>2557</v>
      </c>
      <c r="I19" s="5">
        <f>SUM(I7:I18)</f>
        <v>1228</v>
      </c>
    </row>
    <row r="20" spans="1:11" ht="18" customHeight="1" x14ac:dyDescent="0.3">
      <c r="A20" s="2" t="s">
        <v>2934</v>
      </c>
      <c r="B20" s="2" t="s">
        <v>2921</v>
      </c>
      <c r="C20" s="2" t="s">
        <v>2921</v>
      </c>
      <c r="D20" s="2"/>
    </row>
    <row r="21" spans="1:11" ht="18" customHeight="1" x14ac:dyDescent="0.3">
      <c r="A21" s="2" t="s">
        <v>2935</v>
      </c>
      <c r="B21" s="2" t="s">
        <v>2921</v>
      </c>
      <c r="C21" s="2" t="s">
        <v>2921</v>
      </c>
      <c r="D21" s="2"/>
    </row>
    <row r="22" spans="1:11" ht="18" customHeight="1" x14ac:dyDescent="0.3">
      <c r="A22" s="2" t="s">
        <v>2936</v>
      </c>
      <c r="B22" s="2" t="s">
        <v>2921</v>
      </c>
      <c r="C22" s="2" t="s">
        <v>2921</v>
      </c>
      <c r="D22" s="2"/>
    </row>
    <row r="23" spans="1:11" ht="18" customHeight="1" x14ac:dyDescent="0.3">
      <c r="A23" s="2" t="s">
        <v>2937</v>
      </c>
      <c r="B23" s="2" t="s">
        <v>2921</v>
      </c>
      <c r="C23" s="2" t="s">
        <v>2921</v>
      </c>
      <c r="D23" s="2"/>
    </row>
    <row r="24" spans="1:11" ht="18" customHeight="1" x14ac:dyDescent="0.3">
      <c r="A24" s="2" t="s">
        <v>2938</v>
      </c>
      <c r="B24" s="2" t="s">
        <v>2921</v>
      </c>
      <c r="C24" s="2" t="s">
        <v>2921</v>
      </c>
      <c r="D24" s="2"/>
    </row>
    <row r="25" spans="1:11" ht="18" customHeight="1" x14ac:dyDescent="0.3">
      <c r="A25" s="2" t="s">
        <v>2939</v>
      </c>
      <c r="B25" s="2" t="s">
        <v>6</v>
      </c>
      <c r="C25" s="2" t="s">
        <v>2544</v>
      </c>
      <c r="D25" s="2"/>
    </row>
    <row r="26" spans="1:11" ht="18" customHeight="1" x14ac:dyDescent="0.3">
      <c r="A26" s="2" t="s">
        <v>2940</v>
      </c>
      <c r="B26" s="2" t="s">
        <v>6</v>
      </c>
      <c r="C26" s="2" t="s">
        <v>2544</v>
      </c>
      <c r="D26" s="2"/>
    </row>
    <row r="27" spans="1:11" ht="18" customHeight="1" x14ac:dyDescent="0.3">
      <c r="A27" s="2" t="s">
        <v>2941</v>
      </c>
      <c r="B27" s="2" t="s">
        <v>6</v>
      </c>
      <c r="C27" s="2" t="s">
        <v>2544</v>
      </c>
      <c r="D27" s="2"/>
    </row>
    <row r="28" spans="1:11" ht="18" customHeight="1" x14ac:dyDescent="0.3">
      <c r="A28" s="2" t="s">
        <v>2942</v>
      </c>
      <c r="B28" s="2" t="s">
        <v>6</v>
      </c>
      <c r="C28" s="2" t="s">
        <v>2544</v>
      </c>
      <c r="D28" s="2"/>
    </row>
    <row r="29" spans="1:11" ht="18" customHeight="1" x14ac:dyDescent="0.3">
      <c r="A29" s="2" t="s">
        <v>2943</v>
      </c>
      <c r="B29" s="2" t="s">
        <v>6</v>
      </c>
      <c r="C29" s="2" t="s">
        <v>2544</v>
      </c>
      <c r="D29" s="2"/>
      <c r="H29" s="6" t="s">
        <v>2558</v>
      </c>
      <c r="I29" s="6" t="s">
        <v>2559</v>
      </c>
      <c r="J29" s="6" t="s">
        <v>2560</v>
      </c>
      <c r="K29" s="6" t="s">
        <v>2561</v>
      </c>
    </row>
    <row r="30" spans="1:11" ht="18" customHeight="1" x14ac:dyDescent="0.3">
      <c r="A30" s="2" t="s">
        <v>2944</v>
      </c>
      <c r="B30" s="2" t="s">
        <v>6</v>
      </c>
      <c r="C30" s="2" t="s">
        <v>2544</v>
      </c>
      <c r="D30" s="2"/>
      <c r="H30" s="2">
        <v>1</v>
      </c>
      <c r="I30" s="2" t="s">
        <v>2548</v>
      </c>
      <c r="J30" s="2" t="s">
        <v>2945</v>
      </c>
      <c r="K30" s="2" t="s">
        <v>2946</v>
      </c>
    </row>
    <row r="31" spans="1:11" ht="18" customHeight="1" x14ac:dyDescent="0.3">
      <c r="A31" s="2" t="s">
        <v>2947</v>
      </c>
      <c r="B31" s="2" t="s">
        <v>6</v>
      </c>
      <c r="C31" s="2" t="s">
        <v>2544</v>
      </c>
      <c r="D31" s="2"/>
      <c r="H31" s="2">
        <v>2</v>
      </c>
      <c r="I31" s="2" t="s">
        <v>2548</v>
      </c>
      <c r="J31" s="2" t="s">
        <v>2948</v>
      </c>
      <c r="K31" s="2" t="s">
        <v>2949</v>
      </c>
    </row>
    <row r="32" spans="1:11" ht="18" customHeight="1" x14ac:dyDescent="0.3">
      <c r="A32" s="2" t="s">
        <v>2950</v>
      </c>
      <c r="B32" s="2" t="s">
        <v>6</v>
      </c>
      <c r="C32" s="2" t="s">
        <v>2544</v>
      </c>
      <c r="D32" s="2"/>
      <c r="H32" s="2">
        <v>3</v>
      </c>
      <c r="I32" s="2" t="s">
        <v>2548</v>
      </c>
      <c r="J32" s="2" t="s">
        <v>2951</v>
      </c>
      <c r="K32" s="2" t="s">
        <v>2952</v>
      </c>
    </row>
    <row r="33" spans="1:11" ht="18" customHeight="1" x14ac:dyDescent="0.3">
      <c r="A33" s="2" t="s">
        <v>2953</v>
      </c>
      <c r="B33" s="2" t="s">
        <v>6</v>
      </c>
      <c r="C33" s="2" t="s">
        <v>2544</v>
      </c>
      <c r="D33" s="2"/>
      <c r="H33" s="2">
        <v>4</v>
      </c>
      <c r="I33" s="2" t="s">
        <v>2548</v>
      </c>
      <c r="J33" s="2" t="s">
        <v>2954</v>
      </c>
      <c r="K33" s="2" t="s">
        <v>2955</v>
      </c>
    </row>
    <row r="34" spans="1:11" ht="18" customHeight="1" x14ac:dyDescent="0.3">
      <c r="A34" s="2" t="s">
        <v>2956</v>
      </c>
      <c r="B34" s="2" t="s">
        <v>6</v>
      </c>
      <c r="C34" s="2" t="s">
        <v>2544</v>
      </c>
      <c r="D34" s="2"/>
      <c r="H34" s="2">
        <v>5</v>
      </c>
      <c r="I34" s="2" t="s">
        <v>2548</v>
      </c>
      <c r="J34" s="2" t="s">
        <v>2957</v>
      </c>
      <c r="K34" s="2" t="s">
        <v>2958</v>
      </c>
    </row>
    <row r="35" spans="1:11" ht="18" customHeight="1" x14ac:dyDescent="0.3">
      <c r="A35" s="2" t="s">
        <v>2959</v>
      </c>
      <c r="B35" s="2" t="s">
        <v>6</v>
      </c>
      <c r="C35" s="2" t="s">
        <v>2544</v>
      </c>
      <c r="D35" s="2"/>
      <c r="H35" s="2">
        <v>6</v>
      </c>
      <c r="I35" s="2" t="s">
        <v>2548</v>
      </c>
      <c r="J35" s="2" t="s">
        <v>2960</v>
      </c>
      <c r="K35" s="2" t="s">
        <v>2961</v>
      </c>
    </row>
    <row r="36" spans="1:11" ht="18" customHeight="1" x14ac:dyDescent="0.3">
      <c r="A36" s="2" t="s">
        <v>2962</v>
      </c>
      <c r="B36" s="2" t="s">
        <v>6</v>
      </c>
      <c r="C36" s="2" t="s">
        <v>2544</v>
      </c>
      <c r="D36" s="2"/>
      <c r="H36" s="2">
        <v>7</v>
      </c>
      <c r="I36" s="2" t="s">
        <v>2548</v>
      </c>
      <c r="J36" s="2" t="s">
        <v>2963</v>
      </c>
      <c r="K36" s="2" t="s">
        <v>2964</v>
      </c>
    </row>
    <row r="37" spans="1:11" ht="18" customHeight="1" x14ac:dyDescent="0.3">
      <c r="A37" s="2" t="s">
        <v>2965</v>
      </c>
      <c r="B37" s="2" t="s">
        <v>6</v>
      </c>
      <c r="C37" s="2" t="s">
        <v>2544</v>
      </c>
      <c r="D37" s="2"/>
      <c r="H37" s="2">
        <v>8</v>
      </c>
      <c r="I37" s="2" t="s">
        <v>2551</v>
      </c>
      <c r="J37" s="2" t="s">
        <v>2966</v>
      </c>
      <c r="K37" s="2" t="s">
        <v>2967</v>
      </c>
    </row>
    <row r="38" spans="1:11" ht="18" customHeight="1" x14ac:dyDescent="0.3">
      <c r="A38" s="2" t="s">
        <v>2968</v>
      </c>
      <c r="B38" s="2" t="s">
        <v>6</v>
      </c>
      <c r="C38" s="2" t="s">
        <v>2544</v>
      </c>
      <c r="D38" s="2"/>
      <c r="H38" s="2">
        <v>9</v>
      </c>
      <c r="I38" s="2" t="s">
        <v>2551</v>
      </c>
      <c r="J38" s="2" t="s">
        <v>2969</v>
      </c>
      <c r="K38" s="2" t="s">
        <v>2967</v>
      </c>
    </row>
    <row r="39" spans="1:11" ht="18" customHeight="1" x14ac:dyDescent="0.3">
      <c r="A39" s="2" t="s">
        <v>2970</v>
      </c>
      <c r="B39" s="2" t="s">
        <v>6</v>
      </c>
      <c r="C39" s="2" t="s">
        <v>2544</v>
      </c>
      <c r="D39" s="2"/>
      <c r="H39" s="2">
        <v>10</v>
      </c>
      <c r="I39" s="2" t="s">
        <v>2551</v>
      </c>
      <c r="J39" s="2" t="s">
        <v>2971</v>
      </c>
      <c r="K39" s="2" t="s">
        <v>2967</v>
      </c>
    </row>
    <row r="40" spans="1:11" ht="18" customHeight="1" x14ac:dyDescent="0.3">
      <c r="A40" s="2" t="s">
        <v>2972</v>
      </c>
      <c r="B40" s="2" t="s">
        <v>6</v>
      </c>
      <c r="C40" s="2" t="s">
        <v>2544</v>
      </c>
      <c r="D40" s="2"/>
      <c r="H40" s="2">
        <v>11</v>
      </c>
      <c r="I40" s="2" t="s">
        <v>2551</v>
      </c>
      <c r="J40" s="2" t="s">
        <v>2973</v>
      </c>
      <c r="K40" s="2" t="s">
        <v>2967</v>
      </c>
    </row>
    <row r="41" spans="1:11" ht="18" customHeight="1" x14ac:dyDescent="0.3">
      <c r="A41" s="2" t="s">
        <v>2974</v>
      </c>
      <c r="B41" s="2" t="s">
        <v>6</v>
      </c>
      <c r="C41" s="2" t="s">
        <v>2544</v>
      </c>
      <c r="D41" s="2"/>
      <c r="H41" s="2">
        <v>12</v>
      </c>
      <c r="I41" s="2" t="s">
        <v>2551</v>
      </c>
      <c r="J41" s="2" t="s">
        <v>2975</v>
      </c>
      <c r="K41" s="2" t="s">
        <v>2967</v>
      </c>
    </row>
    <row r="42" spans="1:11" ht="18" customHeight="1" x14ac:dyDescent="0.3">
      <c r="A42" s="2" t="s">
        <v>1461</v>
      </c>
      <c r="B42" s="2" t="s">
        <v>6</v>
      </c>
      <c r="C42" s="2" t="s">
        <v>2544</v>
      </c>
      <c r="D42" s="2"/>
      <c r="H42" s="2">
        <v>13</v>
      </c>
      <c r="I42" s="2" t="s">
        <v>2551</v>
      </c>
      <c r="J42" s="2" t="s">
        <v>2976</v>
      </c>
      <c r="K42" s="2" t="s">
        <v>2967</v>
      </c>
    </row>
    <row r="43" spans="1:11" ht="18" customHeight="1" x14ac:dyDescent="0.3">
      <c r="A43" s="2" t="s">
        <v>1462</v>
      </c>
      <c r="B43" s="2" t="s">
        <v>6</v>
      </c>
      <c r="C43" s="2" t="s">
        <v>2544</v>
      </c>
      <c r="D43" s="2"/>
      <c r="H43" s="2">
        <v>14</v>
      </c>
      <c r="I43" s="2" t="s">
        <v>2551</v>
      </c>
      <c r="J43" s="2" t="s">
        <v>2977</v>
      </c>
      <c r="K43" s="2" t="s">
        <v>2967</v>
      </c>
    </row>
    <row r="44" spans="1:11" ht="18" customHeight="1" x14ac:dyDescent="0.3">
      <c r="A44" s="2" t="s">
        <v>1463</v>
      </c>
      <c r="B44" s="2" t="s">
        <v>6</v>
      </c>
      <c r="C44" s="2" t="s">
        <v>2544</v>
      </c>
      <c r="D44" s="2"/>
      <c r="H44" s="2">
        <v>15</v>
      </c>
      <c r="I44" s="2" t="s">
        <v>2551</v>
      </c>
      <c r="J44" s="2" t="s">
        <v>2978</v>
      </c>
      <c r="K44" s="2" t="s">
        <v>2967</v>
      </c>
    </row>
    <row r="45" spans="1:11" ht="18" customHeight="1" x14ac:dyDescent="0.3">
      <c r="A45" s="2" t="s">
        <v>1464</v>
      </c>
      <c r="B45" s="2" t="s">
        <v>6</v>
      </c>
      <c r="C45" s="2" t="s">
        <v>2544</v>
      </c>
      <c r="D45" s="2"/>
      <c r="H45" s="2">
        <v>16</v>
      </c>
      <c r="I45" s="2" t="s">
        <v>2551</v>
      </c>
      <c r="J45" s="2" t="s">
        <v>2979</v>
      </c>
      <c r="K45" s="2" t="s">
        <v>2967</v>
      </c>
    </row>
    <row r="46" spans="1:11" ht="18" customHeight="1" x14ac:dyDescent="0.3">
      <c r="A46" s="2" t="s">
        <v>1465</v>
      </c>
      <c r="B46" s="2" t="s">
        <v>6</v>
      </c>
      <c r="C46" s="2" t="s">
        <v>2544</v>
      </c>
      <c r="D46" s="2"/>
      <c r="H46" s="2">
        <v>17</v>
      </c>
      <c r="I46" s="2" t="s">
        <v>2551</v>
      </c>
      <c r="J46" s="2" t="s">
        <v>2980</v>
      </c>
      <c r="K46" s="2" t="s">
        <v>2967</v>
      </c>
    </row>
    <row r="47" spans="1:11" ht="18" customHeight="1" x14ac:dyDescent="0.3">
      <c r="A47" s="2" t="s">
        <v>1466</v>
      </c>
      <c r="B47" s="2" t="s">
        <v>6</v>
      </c>
      <c r="C47" s="2" t="s">
        <v>2544</v>
      </c>
      <c r="D47" s="2"/>
      <c r="H47" s="2">
        <v>18</v>
      </c>
      <c r="I47" s="2" t="s">
        <v>2551</v>
      </c>
      <c r="J47" s="2" t="s">
        <v>2981</v>
      </c>
      <c r="K47" s="2" t="s">
        <v>2967</v>
      </c>
    </row>
    <row r="48" spans="1:11" ht="18" customHeight="1" x14ac:dyDescent="0.3">
      <c r="A48" s="2" t="s">
        <v>1467</v>
      </c>
      <c r="B48" s="2" t="s">
        <v>6</v>
      </c>
      <c r="C48" s="2" t="s">
        <v>2544</v>
      </c>
      <c r="D48" s="2"/>
      <c r="H48" s="2">
        <v>19</v>
      </c>
      <c r="I48" s="2" t="s">
        <v>2551</v>
      </c>
      <c r="J48" s="2" t="s">
        <v>2982</v>
      </c>
      <c r="K48" s="2" t="s">
        <v>2967</v>
      </c>
    </row>
    <row r="49" spans="1:11" ht="18" customHeight="1" x14ac:dyDescent="0.3">
      <c r="A49" s="2" t="s">
        <v>1468</v>
      </c>
      <c r="B49" s="2" t="s">
        <v>6</v>
      </c>
      <c r="C49" s="2" t="s">
        <v>2544</v>
      </c>
      <c r="D49" s="2"/>
      <c r="H49" s="2">
        <v>20</v>
      </c>
      <c r="I49" s="2" t="s">
        <v>2551</v>
      </c>
      <c r="J49" s="2" t="s">
        <v>2983</v>
      </c>
      <c r="K49" s="2" t="s">
        <v>2967</v>
      </c>
    </row>
    <row r="50" spans="1:11" ht="18" customHeight="1" x14ac:dyDescent="0.3">
      <c r="A50" s="2" t="s">
        <v>1469</v>
      </c>
      <c r="B50" s="2" t="s">
        <v>6</v>
      </c>
      <c r="C50" s="2" t="s">
        <v>2544</v>
      </c>
      <c r="D50" s="2"/>
      <c r="H50" s="2">
        <v>21</v>
      </c>
      <c r="I50" s="2" t="s">
        <v>2551</v>
      </c>
      <c r="J50" s="2" t="s">
        <v>2984</v>
      </c>
      <c r="K50" s="2" t="s">
        <v>2967</v>
      </c>
    </row>
    <row r="51" spans="1:11" ht="18" customHeight="1" x14ac:dyDescent="0.3">
      <c r="A51" s="2" t="s">
        <v>2985</v>
      </c>
      <c r="B51" s="2" t="s">
        <v>2551</v>
      </c>
      <c r="C51" s="2" t="s">
        <v>2551</v>
      </c>
      <c r="D51" s="2"/>
      <c r="H51" s="2">
        <v>22</v>
      </c>
      <c r="I51" s="2" t="s">
        <v>2551</v>
      </c>
      <c r="J51" s="2" t="s">
        <v>2986</v>
      </c>
      <c r="K51" s="2" t="s">
        <v>2967</v>
      </c>
    </row>
    <row r="52" spans="1:11" ht="18" customHeight="1" x14ac:dyDescent="0.3">
      <c r="A52" s="2" t="s">
        <v>2987</v>
      </c>
      <c r="B52" s="2" t="s">
        <v>2551</v>
      </c>
      <c r="C52" s="2" t="s">
        <v>2551</v>
      </c>
      <c r="D52" s="2"/>
      <c r="H52" s="2">
        <v>23</v>
      </c>
      <c r="I52" s="2" t="s">
        <v>2551</v>
      </c>
      <c r="J52" s="2" t="s">
        <v>2988</v>
      </c>
      <c r="K52" s="2" t="s">
        <v>2967</v>
      </c>
    </row>
    <row r="53" spans="1:11" ht="18" customHeight="1" x14ac:dyDescent="0.3">
      <c r="A53" s="2" t="s">
        <v>2989</v>
      </c>
      <c r="B53" s="2" t="s">
        <v>2551</v>
      </c>
      <c r="C53" s="2" t="s">
        <v>2551</v>
      </c>
      <c r="D53" s="2"/>
      <c r="H53" s="2">
        <v>24</v>
      </c>
      <c r="I53" s="2" t="s">
        <v>2551</v>
      </c>
      <c r="J53" s="2" t="s">
        <v>2990</v>
      </c>
      <c r="K53" s="2" t="s">
        <v>2967</v>
      </c>
    </row>
    <row r="54" spans="1:11" ht="18" customHeight="1" x14ac:dyDescent="0.3">
      <c r="A54" s="2" t="s">
        <v>2991</v>
      </c>
      <c r="B54" s="2" t="s">
        <v>2551</v>
      </c>
      <c r="C54" s="2" t="s">
        <v>2551</v>
      </c>
      <c r="D54" s="2"/>
      <c r="H54" s="2">
        <v>25</v>
      </c>
      <c r="I54" s="2" t="s">
        <v>2551</v>
      </c>
      <c r="J54" s="2" t="s">
        <v>2992</v>
      </c>
      <c r="K54" s="2" t="s">
        <v>2967</v>
      </c>
    </row>
    <row r="55" spans="1:11" ht="18" customHeight="1" x14ac:dyDescent="0.3">
      <c r="A55" s="2" t="s">
        <v>2993</v>
      </c>
      <c r="B55" s="2" t="s">
        <v>2551</v>
      </c>
      <c r="C55" s="2" t="s">
        <v>2551</v>
      </c>
      <c r="D55" s="2"/>
      <c r="H55" s="2">
        <v>26</v>
      </c>
      <c r="I55" s="2" t="s">
        <v>2551</v>
      </c>
      <c r="J55" s="2" t="s">
        <v>2994</v>
      </c>
      <c r="K55" s="2" t="s">
        <v>2967</v>
      </c>
    </row>
    <row r="56" spans="1:11" ht="18" customHeight="1" x14ac:dyDescent="0.3">
      <c r="A56" s="2" t="s">
        <v>2995</v>
      </c>
      <c r="B56" s="2" t="s">
        <v>2551</v>
      </c>
      <c r="C56" s="2" t="s">
        <v>2551</v>
      </c>
      <c r="D56" s="2"/>
      <c r="H56" s="2">
        <v>27</v>
      </c>
      <c r="I56" s="2" t="s">
        <v>2551</v>
      </c>
      <c r="J56" s="2" t="s">
        <v>2996</v>
      </c>
      <c r="K56" s="2" t="s">
        <v>2967</v>
      </c>
    </row>
    <row r="57" spans="1:11" ht="18" customHeight="1" x14ac:dyDescent="0.3">
      <c r="A57" s="2" t="s">
        <v>2997</v>
      </c>
      <c r="B57" s="2" t="s">
        <v>2551</v>
      </c>
      <c r="C57" s="2" t="s">
        <v>2551</v>
      </c>
      <c r="D57" s="2"/>
    </row>
    <row r="58" spans="1:11" ht="18" customHeight="1" x14ac:dyDescent="0.3">
      <c r="A58" s="2" t="s">
        <v>2998</v>
      </c>
      <c r="B58" s="2" t="s">
        <v>2551</v>
      </c>
      <c r="C58" s="2" t="s">
        <v>2551</v>
      </c>
      <c r="D58" s="2"/>
    </row>
    <row r="59" spans="1:11" ht="18" customHeight="1" x14ac:dyDescent="0.3">
      <c r="A59" s="2" t="s">
        <v>2999</v>
      </c>
      <c r="B59" s="2" t="s">
        <v>2551</v>
      </c>
      <c r="C59" s="2" t="s">
        <v>2551</v>
      </c>
      <c r="D59" s="2"/>
    </row>
    <row r="60" spans="1:11" ht="18" customHeight="1" x14ac:dyDescent="0.3">
      <c r="A60" s="2" t="s">
        <v>3000</v>
      </c>
      <c r="B60" s="2" t="s">
        <v>2551</v>
      </c>
      <c r="C60" s="2" t="s">
        <v>2551</v>
      </c>
      <c r="D60" s="2"/>
    </row>
    <row r="61" spans="1:11" ht="18" customHeight="1" x14ac:dyDescent="0.3">
      <c r="A61" s="2" t="s">
        <v>3001</v>
      </c>
      <c r="B61" s="2" t="s">
        <v>2551</v>
      </c>
      <c r="C61" s="2" t="s">
        <v>2551</v>
      </c>
      <c r="D61" s="2"/>
    </row>
    <row r="62" spans="1:11" ht="18" customHeight="1" x14ac:dyDescent="0.3">
      <c r="A62" s="2" t="s">
        <v>3002</v>
      </c>
      <c r="B62" s="2" t="s">
        <v>2551</v>
      </c>
      <c r="C62" s="2" t="s">
        <v>2551</v>
      </c>
      <c r="D62" s="2"/>
    </row>
    <row r="63" spans="1:11" ht="18" customHeight="1" x14ac:dyDescent="0.3">
      <c r="A63" s="2" t="s">
        <v>2966</v>
      </c>
      <c r="B63" s="2" t="s">
        <v>2551</v>
      </c>
      <c r="C63" s="2" t="s">
        <v>2551</v>
      </c>
      <c r="D63" s="2"/>
    </row>
    <row r="64" spans="1:11" ht="18" customHeight="1" x14ac:dyDescent="0.3">
      <c r="A64" s="2" t="s">
        <v>2969</v>
      </c>
      <c r="B64" s="2" t="s">
        <v>2551</v>
      </c>
      <c r="C64" s="2" t="s">
        <v>2551</v>
      </c>
      <c r="D64" s="2"/>
    </row>
    <row r="65" spans="1:4" ht="18" customHeight="1" x14ac:dyDescent="0.3">
      <c r="A65" s="2" t="s">
        <v>2971</v>
      </c>
      <c r="B65" s="2" t="s">
        <v>2551</v>
      </c>
      <c r="C65" s="2" t="s">
        <v>2551</v>
      </c>
      <c r="D65" s="2"/>
    </row>
    <row r="66" spans="1:4" ht="18" customHeight="1" x14ac:dyDescent="0.3">
      <c r="A66" s="2" t="s">
        <v>2973</v>
      </c>
      <c r="B66" s="2" t="s">
        <v>2551</v>
      </c>
      <c r="C66" s="2" t="s">
        <v>2551</v>
      </c>
      <c r="D66" s="2"/>
    </row>
    <row r="67" spans="1:4" ht="18" customHeight="1" x14ac:dyDescent="0.3">
      <c r="A67" s="2" t="s">
        <v>2975</v>
      </c>
      <c r="B67" s="2" t="s">
        <v>2551</v>
      </c>
      <c r="C67" s="2" t="s">
        <v>2551</v>
      </c>
      <c r="D67" s="2"/>
    </row>
    <row r="68" spans="1:4" ht="18" customHeight="1" x14ac:dyDescent="0.3">
      <c r="A68" s="2" t="s">
        <v>2976</v>
      </c>
      <c r="B68" s="2" t="s">
        <v>2551</v>
      </c>
      <c r="C68" s="2" t="s">
        <v>2551</v>
      </c>
      <c r="D68" s="2"/>
    </row>
    <row r="69" spans="1:4" ht="18" customHeight="1" x14ac:dyDescent="0.3">
      <c r="A69" s="2" t="s">
        <v>2977</v>
      </c>
      <c r="B69" s="2" t="s">
        <v>2551</v>
      </c>
      <c r="C69" s="2" t="s">
        <v>2551</v>
      </c>
      <c r="D69" s="2"/>
    </row>
    <row r="70" spans="1:4" ht="18" customHeight="1" x14ac:dyDescent="0.3">
      <c r="A70" s="2" t="s">
        <v>2978</v>
      </c>
      <c r="B70" s="2" t="s">
        <v>2551</v>
      </c>
      <c r="C70" s="2" t="s">
        <v>2551</v>
      </c>
      <c r="D70" s="2"/>
    </row>
    <row r="71" spans="1:4" ht="18" customHeight="1" x14ac:dyDescent="0.3">
      <c r="A71" s="2" t="s">
        <v>2979</v>
      </c>
      <c r="B71" s="2" t="s">
        <v>2551</v>
      </c>
      <c r="C71" s="2" t="s">
        <v>2551</v>
      </c>
      <c r="D71" s="2"/>
    </row>
    <row r="72" spans="1:4" ht="18" customHeight="1" x14ac:dyDescent="0.3">
      <c r="A72" s="2" t="s">
        <v>2980</v>
      </c>
      <c r="B72" s="2" t="s">
        <v>2551</v>
      </c>
      <c r="C72" s="2" t="s">
        <v>2551</v>
      </c>
      <c r="D72" s="2"/>
    </row>
    <row r="73" spans="1:4" ht="18" customHeight="1" x14ac:dyDescent="0.3">
      <c r="A73" s="2" t="s">
        <v>2981</v>
      </c>
      <c r="B73" s="2" t="s">
        <v>2551</v>
      </c>
      <c r="C73" s="2" t="s">
        <v>2551</v>
      </c>
      <c r="D73" s="2"/>
    </row>
    <row r="74" spans="1:4" ht="18" customHeight="1" x14ac:dyDescent="0.3">
      <c r="A74" s="2" t="s">
        <v>2982</v>
      </c>
      <c r="B74" s="2" t="s">
        <v>2551</v>
      </c>
      <c r="C74" s="2" t="s">
        <v>2551</v>
      </c>
      <c r="D74" s="2"/>
    </row>
    <row r="75" spans="1:4" ht="18" customHeight="1" x14ac:dyDescent="0.3">
      <c r="A75" s="2" t="s">
        <v>2983</v>
      </c>
      <c r="B75" s="2" t="s">
        <v>2551</v>
      </c>
      <c r="C75" s="2" t="s">
        <v>2551</v>
      </c>
      <c r="D75" s="2"/>
    </row>
    <row r="76" spans="1:4" ht="18" customHeight="1" x14ac:dyDescent="0.3">
      <c r="A76" s="2" t="s">
        <v>2984</v>
      </c>
      <c r="B76" s="2" t="s">
        <v>2551</v>
      </c>
      <c r="C76" s="2" t="s">
        <v>2551</v>
      </c>
      <c r="D76" s="2"/>
    </row>
    <row r="77" spans="1:4" ht="18" customHeight="1" x14ac:dyDescent="0.3">
      <c r="A77" s="2" t="s">
        <v>2986</v>
      </c>
      <c r="B77" s="2" t="s">
        <v>2551</v>
      </c>
      <c r="C77" s="2" t="s">
        <v>2551</v>
      </c>
      <c r="D77" s="2"/>
    </row>
    <row r="78" spans="1:4" ht="18" customHeight="1" x14ac:dyDescent="0.3">
      <c r="A78" s="2" t="s">
        <v>2988</v>
      </c>
      <c r="B78" s="2" t="s">
        <v>2551</v>
      </c>
      <c r="C78" s="2" t="s">
        <v>2551</v>
      </c>
      <c r="D78" s="2"/>
    </row>
    <row r="79" spans="1:4" ht="18" customHeight="1" x14ac:dyDescent="0.3">
      <c r="A79" s="2" t="s">
        <v>2990</v>
      </c>
      <c r="B79" s="2" t="s">
        <v>2551</v>
      </c>
      <c r="C79" s="2" t="s">
        <v>2551</v>
      </c>
      <c r="D79" s="2"/>
    </row>
    <row r="80" spans="1:4" ht="18" customHeight="1" x14ac:dyDescent="0.3">
      <c r="A80" s="2" t="s">
        <v>2992</v>
      </c>
      <c r="B80" s="2" t="s">
        <v>2551</v>
      </c>
      <c r="C80" s="2" t="s">
        <v>2551</v>
      </c>
      <c r="D80" s="2"/>
    </row>
    <row r="81" spans="1:4" ht="18" customHeight="1" x14ac:dyDescent="0.3">
      <c r="A81" s="2" t="s">
        <v>2994</v>
      </c>
      <c r="B81" s="2" t="s">
        <v>2551</v>
      </c>
      <c r="C81" s="2" t="s">
        <v>2551</v>
      </c>
      <c r="D81" s="2"/>
    </row>
    <row r="82" spans="1:4" ht="18" customHeight="1" x14ac:dyDescent="0.3">
      <c r="A82" s="2" t="s">
        <v>2996</v>
      </c>
      <c r="B82" s="2" t="s">
        <v>2551</v>
      </c>
      <c r="C82" s="2" t="s">
        <v>2551</v>
      </c>
      <c r="D82" s="2"/>
    </row>
    <row r="83" spans="1:4" ht="18" customHeight="1" x14ac:dyDescent="0.3">
      <c r="A83" s="2" t="s">
        <v>3003</v>
      </c>
      <c r="B83" s="2" t="s">
        <v>2551</v>
      </c>
      <c r="C83" s="2" t="s">
        <v>2551</v>
      </c>
      <c r="D83" s="2"/>
    </row>
    <row r="84" spans="1:4" ht="18" customHeight="1" x14ac:dyDescent="0.3">
      <c r="A84" s="2" t="s">
        <v>3004</v>
      </c>
      <c r="B84" s="2" t="s">
        <v>2551</v>
      </c>
      <c r="C84" s="2" t="s">
        <v>2551</v>
      </c>
      <c r="D84" s="2"/>
    </row>
    <row r="85" spans="1:4" ht="18" customHeight="1" x14ac:dyDescent="0.3">
      <c r="A85" s="2" t="s">
        <v>3005</v>
      </c>
      <c r="B85" s="2" t="s">
        <v>2551</v>
      </c>
      <c r="C85" s="2" t="s">
        <v>2551</v>
      </c>
      <c r="D85" s="2"/>
    </row>
    <row r="86" spans="1:4" ht="18" customHeight="1" x14ac:dyDescent="0.3">
      <c r="A86" s="2" t="s">
        <v>3006</v>
      </c>
      <c r="B86" s="2" t="s">
        <v>2551</v>
      </c>
      <c r="C86" s="2" t="s">
        <v>2551</v>
      </c>
      <c r="D86" s="2"/>
    </row>
    <row r="87" spans="1:4" ht="18" customHeight="1" x14ac:dyDescent="0.3">
      <c r="A87" s="2" t="s">
        <v>3007</v>
      </c>
      <c r="B87" s="2" t="s">
        <v>2551</v>
      </c>
      <c r="C87" s="2" t="s">
        <v>2551</v>
      </c>
      <c r="D87" s="2"/>
    </row>
    <row r="88" spans="1:4" ht="18" customHeight="1" x14ac:dyDescent="0.3">
      <c r="A88" s="2" t="s">
        <v>3008</v>
      </c>
      <c r="B88" s="2" t="s">
        <v>2551</v>
      </c>
      <c r="C88" s="2" t="s">
        <v>2551</v>
      </c>
      <c r="D88" s="2"/>
    </row>
    <row r="89" spans="1:4" ht="18" customHeight="1" x14ac:dyDescent="0.3">
      <c r="A89" s="2" t="s">
        <v>1470</v>
      </c>
      <c r="B89" s="2" t="s">
        <v>168</v>
      </c>
      <c r="C89" s="2" t="s">
        <v>2547</v>
      </c>
      <c r="D89" s="2"/>
    </row>
    <row r="90" spans="1:4" ht="18" customHeight="1" x14ac:dyDescent="0.3">
      <c r="A90" s="2" t="s">
        <v>1471</v>
      </c>
      <c r="B90" s="2" t="s">
        <v>168</v>
      </c>
      <c r="C90" s="2" t="s">
        <v>2547</v>
      </c>
      <c r="D90" s="2"/>
    </row>
    <row r="91" spans="1:4" ht="18" customHeight="1" x14ac:dyDescent="0.3">
      <c r="A91" s="2" t="s">
        <v>1472</v>
      </c>
      <c r="B91" s="2" t="s">
        <v>168</v>
      </c>
      <c r="C91" s="2" t="s">
        <v>2547</v>
      </c>
      <c r="D91" s="2"/>
    </row>
    <row r="92" spans="1:4" ht="18" customHeight="1" x14ac:dyDescent="0.3">
      <c r="A92" s="2" t="s">
        <v>1473</v>
      </c>
      <c r="B92" s="2" t="s">
        <v>168</v>
      </c>
      <c r="C92" s="2" t="s">
        <v>2547</v>
      </c>
      <c r="D92" s="2"/>
    </row>
    <row r="93" spans="1:4" ht="18" customHeight="1" x14ac:dyDescent="0.3">
      <c r="A93" s="2" t="s">
        <v>1474</v>
      </c>
      <c r="B93" s="2" t="s">
        <v>168</v>
      </c>
      <c r="C93" s="2" t="s">
        <v>2547</v>
      </c>
      <c r="D93" s="2"/>
    </row>
    <row r="94" spans="1:4" ht="18" customHeight="1" x14ac:dyDescent="0.3">
      <c r="A94" s="2" t="s">
        <v>1475</v>
      </c>
      <c r="B94" s="2" t="s">
        <v>168</v>
      </c>
      <c r="C94" s="2" t="s">
        <v>2547</v>
      </c>
      <c r="D94" s="2"/>
    </row>
    <row r="95" spans="1:4" ht="18" customHeight="1" x14ac:dyDescent="0.3">
      <c r="A95" s="2" t="s">
        <v>1476</v>
      </c>
      <c r="B95" s="2" t="s">
        <v>168</v>
      </c>
      <c r="C95" s="2" t="s">
        <v>2547</v>
      </c>
      <c r="D95" s="2"/>
    </row>
    <row r="96" spans="1:4" ht="18" customHeight="1" x14ac:dyDescent="0.3">
      <c r="A96" s="2" t="s">
        <v>1477</v>
      </c>
      <c r="B96" s="2" t="s">
        <v>168</v>
      </c>
      <c r="C96" s="2" t="s">
        <v>2547</v>
      </c>
      <c r="D96" s="2"/>
    </row>
    <row r="97" spans="1:4" ht="18" customHeight="1" x14ac:dyDescent="0.3">
      <c r="A97" s="2" t="s">
        <v>1478</v>
      </c>
      <c r="B97" s="2" t="s">
        <v>168</v>
      </c>
      <c r="C97" s="2" t="s">
        <v>2547</v>
      </c>
      <c r="D97" s="2"/>
    </row>
    <row r="98" spans="1:4" ht="18" customHeight="1" x14ac:dyDescent="0.3">
      <c r="A98" s="2" t="s">
        <v>1479</v>
      </c>
      <c r="B98" s="2" t="s">
        <v>168</v>
      </c>
      <c r="C98" s="2" t="s">
        <v>2547</v>
      </c>
      <c r="D98" s="2"/>
    </row>
    <row r="99" spans="1:4" ht="18" customHeight="1" x14ac:dyDescent="0.3">
      <c r="A99" s="2" t="s">
        <v>1480</v>
      </c>
      <c r="B99" s="2" t="s">
        <v>168</v>
      </c>
      <c r="C99" s="2" t="s">
        <v>2547</v>
      </c>
      <c r="D99" s="2"/>
    </row>
    <row r="100" spans="1:4" ht="18" customHeight="1" x14ac:dyDescent="0.3">
      <c r="A100" s="2" t="s">
        <v>1481</v>
      </c>
      <c r="B100" s="2" t="s">
        <v>168</v>
      </c>
      <c r="C100" s="2" t="s">
        <v>2547</v>
      </c>
      <c r="D100" s="2"/>
    </row>
    <row r="101" spans="1:4" ht="18" customHeight="1" x14ac:dyDescent="0.3">
      <c r="A101" s="2" t="s">
        <v>1482</v>
      </c>
      <c r="B101" s="2" t="s">
        <v>168</v>
      </c>
      <c r="C101" s="2" t="s">
        <v>2547</v>
      </c>
      <c r="D101" s="2"/>
    </row>
    <row r="102" spans="1:4" ht="18" customHeight="1" x14ac:dyDescent="0.3">
      <c r="A102" s="2" t="s">
        <v>1483</v>
      </c>
      <c r="B102" s="2" t="s">
        <v>168</v>
      </c>
      <c r="C102" s="2" t="s">
        <v>2547</v>
      </c>
      <c r="D102" s="2"/>
    </row>
    <row r="103" spans="1:4" ht="18" customHeight="1" x14ac:dyDescent="0.3">
      <c r="A103" s="2" t="s">
        <v>1484</v>
      </c>
      <c r="B103" s="2" t="s">
        <v>168</v>
      </c>
      <c r="C103" s="2" t="s">
        <v>2547</v>
      </c>
      <c r="D103" s="2"/>
    </row>
    <row r="104" spans="1:4" ht="18" customHeight="1" x14ac:dyDescent="0.3">
      <c r="A104" s="2" t="s">
        <v>1485</v>
      </c>
      <c r="B104" s="2" t="s">
        <v>168</v>
      </c>
      <c r="C104" s="2" t="s">
        <v>2547</v>
      </c>
      <c r="D104" s="2"/>
    </row>
    <row r="105" spans="1:4" ht="18" customHeight="1" x14ac:dyDescent="0.3">
      <c r="A105" s="2" t="s">
        <v>1486</v>
      </c>
      <c r="B105" s="2" t="s">
        <v>168</v>
      </c>
      <c r="C105" s="2" t="s">
        <v>2547</v>
      </c>
      <c r="D105" s="2"/>
    </row>
    <row r="106" spans="1:4" ht="18" customHeight="1" x14ac:dyDescent="0.3">
      <c r="A106" s="2" t="s">
        <v>1487</v>
      </c>
      <c r="B106" s="2" t="s">
        <v>168</v>
      </c>
      <c r="C106" s="2" t="s">
        <v>2547</v>
      </c>
      <c r="D106" s="2"/>
    </row>
    <row r="107" spans="1:4" ht="18" customHeight="1" x14ac:dyDescent="0.3">
      <c r="A107" s="2" t="s">
        <v>1488</v>
      </c>
      <c r="B107" s="2" t="s">
        <v>168</v>
      </c>
      <c r="C107" s="2" t="s">
        <v>2547</v>
      </c>
      <c r="D107" s="2"/>
    </row>
    <row r="108" spans="1:4" ht="18" customHeight="1" x14ac:dyDescent="0.3">
      <c r="A108" s="2" t="s">
        <v>1489</v>
      </c>
      <c r="B108" s="2" t="s">
        <v>168</v>
      </c>
      <c r="C108" s="2" t="s">
        <v>2547</v>
      </c>
      <c r="D108" s="2"/>
    </row>
    <row r="109" spans="1:4" ht="18" customHeight="1" x14ac:dyDescent="0.3">
      <c r="A109" s="2" t="s">
        <v>1490</v>
      </c>
      <c r="B109" s="2" t="s">
        <v>168</v>
      </c>
      <c r="C109" s="2" t="s">
        <v>2547</v>
      </c>
      <c r="D109" s="2"/>
    </row>
    <row r="110" spans="1:4" ht="18" customHeight="1" x14ac:dyDescent="0.3">
      <c r="A110" s="2" t="s">
        <v>1491</v>
      </c>
      <c r="B110" s="2" t="s">
        <v>168</v>
      </c>
      <c r="C110" s="2" t="s">
        <v>2547</v>
      </c>
      <c r="D110" s="2"/>
    </row>
    <row r="111" spans="1:4" ht="18" customHeight="1" x14ac:dyDescent="0.3">
      <c r="A111" s="2" t="s">
        <v>1492</v>
      </c>
      <c r="B111" s="2" t="s">
        <v>168</v>
      </c>
      <c r="C111" s="2" t="s">
        <v>2547</v>
      </c>
      <c r="D111" s="2"/>
    </row>
    <row r="112" spans="1:4" ht="18" customHeight="1" x14ac:dyDescent="0.3">
      <c r="A112" s="2" t="s">
        <v>1493</v>
      </c>
      <c r="B112" s="2" t="s">
        <v>168</v>
      </c>
      <c r="C112" s="2" t="s">
        <v>2547</v>
      </c>
      <c r="D112" s="2"/>
    </row>
    <row r="113" spans="1:4" ht="18" customHeight="1" x14ac:dyDescent="0.3">
      <c r="A113" s="2" t="s">
        <v>1494</v>
      </c>
      <c r="B113" s="2" t="s">
        <v>168</v>
      </c>
      <c r="C113" s="2" t="s">
        <v>2547</v>
      </c>
      <c r="D113" s="2"/>
    </row>
    <row r="114" spans="1:4" ht="18" customHeight="1" x14ac:dyDescent="0.3">
      <c r="A114" s="2" t="s">
        <v>1495</v>
      </c>
      <c r="B114" s="2" t="s">
        <v>168</v>
      </c>
      <c r="C114" s="2" t="s">
        <v>2547</v>
      </c>
      <c r="D114" s="2"/>
    </row>
    <row r="115" spans="1:4" ht="18" customHeight="1" x14ac:dyDescent="0.3">
      <c r="A115" s="2" t="s">
        <v>1496</v>
      </c>
      <c r="B115" s="2" t="s">
        <v>168</v>
      </c>
      <c r="C115" s="2" t="s">
        <v>2547</v>
      </c>
      <c r="D115" s="2"/>
    </row>
    <row r="116" spans="1:4" ht="18" customHeight="1" x14ac:dyDescent="0.3">
      <c r="A116" s="2" t="s">
        <v>1497</v>
      </c>
      <c r="B116" s="2" t="s">
        <v>168</v>
      </c>
      <c r="C116" s="2" t="s">
        <v>2547</v>
      </c>
      <c r="D116" s="2"/>
    </row>
    <row r="117" spans="1:4" ht="18" customHeight="1" x14ac:dyDescent="0.3">
      <c r="A117" s="2" t="s">
        <v>1498</v>
      </c>
      <c r="B117" s="2" t="s">
        <v>168</v>
      </c>
      <c r="C117" s="2" t="s">
        <v>2547</v>
      </c>
      <c r="D117" s="2"/>
    </row>
    <row r="118" spans="1:4" ht="18" customHeight="1" x14ac:dyDescent="0.3">
      <c r="A118" s="2" t="s">
        <v>1499</v>
      </c>
      <c r="B118" s="2" t="s">
        <v>168</v>
      </c>
      <c r="C118" s="2" t="s">
        <v>2547</v>
      </c>
      <c r="D118" s="2"/>
    </row>
    <row r="119" spans="1:4" ht="18" customHeight="1" x14ac:dyDescent="0.3">
      <c r="A119" s="2" t="s">
        <v>1500</v>
      </c>
      <c r="B119" s="2" t="s">
        <v>168</v>
      </c>
      <c r="C119" s="2" t="s">
        <v>2547</v>
      </c>
      <c r="D119" s="2"/>
    </row>
    <row r="120" spans="1:4" ht="18" customHeight="1" x14ac:dyDescent="0.3">
      <c r="A120" s="2" t="s">
        <v>1501</v>
      </c>
      <c r="B120" s="2" t="s">
        <v>168</v>
      </c>
      <c r="C120" s="2" t="s">
        <v>2547</v>
      </c>
      <c r="D120" s="2"/>
    </row>
    <row r="121" spans="1:4" ht="18" customHeight="1" x14ac:dyDescent="0.3">
      <c r="A121" s="2" t="s">
        <v>1502</v>
      </c>
      <c r="B121" s="2" t="s">
        <v>168</v>
      </c>
      <c r="C121" s="2" t="s">
        <v>2547</v>
      </c>
      <c r="D121" s="2"/>
    </row>
    <row r="122" spans="1:4" ht="18" customHeight="1" x14ac:dyDescent="0.3">
      <c r="A122" s="2" t="s">
        <v>1503</v>
      </c>
      <c r="B122" s="2" t="s">
        <v>168</v>
      </c>
      <c r="C122" s="2" t="s">
        <v>2547</v>
      </c>
      <c r="D122" s="2"/>
    </row>
    <row r="123" spans="1:4" ht="18" customHeight="1" x14ac:dyDescent="0.3">
      <c r="A123" s="2" t="s">
        <v>1504</v>
      </c>
      <c r="B123" s="2" t="s">
        <v>168</v>
      </c>
      <c r="C123" s="2" t="s">
        <v>2547</v>
      </c>
      <c r="D123" s="2"/>
    </row>
    <row r="124" spans="1:4" ht="18" customHeight="1" x14ac:dyDescent="0.3">
      <c r="A124" s="2" t="s">
        <v>1505</v>
      </c>
      <c r="B124" s="2" t="s">
        <v>168</v>
      </c>
      <c r="C124" s="2" t="s">
        <v>2547</v>
      </c>
      <c r="D124" s="2"/>
    </row>
    <row r="125" spans="1:4" ht="18" customHeight="1" x14ac:dyDescent="0.3">
      <c r="A125" s="2" t="s">
        <v>1506</v>
      </c>
      <c r="B125" s="2" t="s">
        <v>168</v>
      </c>
      <c r="C125" s="2" t="s">
        <v>2547</v>
      </c>
      <c r="D125" s="2"/>
    </row>
    <row r="126" spans="1:4" ht="18" customHeight="1" x14ac:dyDescent="0.3">
      <c r="A126" s="2" t="s">
        <v>1507</v>
      </c>
      <c r="B126" s="2" t="s">
        <v>168</v>
      </c>
      <c r="C126" s="2" t="s">
        <v>2547</v>
      </c>
      <c r="D126" s="2"/>
    </row>
    <row r="127" spans="1:4" ht="18" customHeight="1" x14ac:dyDescent="0.3">
      <c r="A127" s="2" t="s">
        <v>1508</v>
      </c>
      <c r="B127" s="2" t="s">
        <v>168</v>
      </c>
      <c r="C127" s="2" t="s">
        <v>2547</v>
      </c>
      <c r="D127" s="2"/>
    </row>
    <row r="128" spans="1:4" ht="18" customHeight="1" x14ac:dyDescent="0.3">
      <c r="A128" s="2" t="s">
        <v>1509</v>
      </c>
      <c r="B128" s="2" t="s">
        <v>168</v>
      </c>
      <c r="C128" s="2" t="s">
        <v>2547</v>
      </c>
      <c r="D128" s="2"/>
    </row>
    <row r="129" spans="1:4" ht="18" customHeight="1" x14ac:dyDescent="0.3">
      <c r="A129" s="2" t="s">
        <v>1510</v>
      </c>
      <c r="B129" s="2" t="s">
        <v>168</v>
      </c>
      <c r="C129" s="2" t="s">
        <v>2547</v>
      </c>
      <c r="D129" s="2"/>
    </row>
    <row r="130" spans="1:4" ht="18" customHeight="1" x14ac:dyDescent="0.3">
      <c r="A130" s="2" t="s">
        <v>1511</v>
      </c>
      <c r="B130" s="2" t="s">
        <v>168</v>
      </c>
      <c r="C130" s="2" t="s">
        <v>2547</v>
      </c>
      <c r="D130" s="2"/>
    </row>
    <row r="131" spans="1:4" ht="18" customHeight="1" x14ac:dyDescent="0.3">
      <c r="A131" s="2" t="s">
        <v>1512</v>
      </c>
      <c r="B131" s="2" t="s">
        <v>168</v>
      </c>
      <c r="C131" s="2" t="s">
        <v>2547</v>
      </c>
      <c r="D131" s="2"/>
    </row>
    <row r="132" spans="1:4" ht="18" customHeight="1" x14ac:dyDescent="0.3">
      <c r="A132" s="2" t="s">
        <v>1513</v>
      </c>
      <c r="B132" s="2" t="s">
        <v>168</v>
      </c>
      <c r="C132" s="2" t="s">
        <v>2547</v>
      </c>
      <c r="D132" s="2"/>
    </row>
    <row r="133" spans="1:4" ht="18" customHeight="1" x14ac:dyDescent="0.3">
      <c r="A133" s="2" t="s">
        <v>1514</v>
      </c>
      <c r="B133" s="2" t="s">
        <v>168</v>
      </c>
      <c r="C133" s="2" t="s">
        <v>2547</v>
      </c>
      <c r="D133" s="2"/>
    </row>
    <row r="134" spans="1:4" ht="18" customHeight="1" x14ac:dyDescent="0.3">
      <c r="A134" s="2" t="s">
        <v>1515</v>
      </c>
      <c r="B134" s="2" t="s">
        <v>168</v>
      </c>
      <c r="C134" s="2" t="s">
        <v>2547</v>
      </c>
      <c r="D134" s="2"/>
    </row>
    <row r="135" spans="1:4" ht="18" customHeight="1" x14ac:dyDescent="0.3">
      <c r="A135" s="2" t="s">
        <v>1516</v>
      </c>
      <c r="B135" s="2" t="s">
        <v>168</v>
      </c>
      <c r="C135" s="2" t="s">
        <v>2547</v>
      </c>
      <c r="D135" s="2"/>
    </row>
    <row r="136" spans="1:4" ht="18" customHeight="1" x14ac:dyDescent="0.3">
      <c r="A136" s="2" t="s">
        <v>1517</v>
      </c>
      <c r="B136" s="2" t="s">
        <v>168</v>
      </c>
      <c r="C136" s="2" t="s">
        <v>2547</v>
      </c>
      <c r="D136" s="2"/>
    </row>
    <row r="137" spans="1:4" ht="18" customHeight="1" x14ac:dyDescent="0.3">
      <c r="A137" s="2" t="s">
        <v>1518</v>
      </c>
      <c r="B137" s="2" t="s">
        <v>168</v>
      </c>
      <c r="C137" s="2" t="s">
        <v>2547</v>
      </c>
      <c r="D137" s="2"/>
    </row>
    <row r="138" spans="1:4" ht="18" customHeight="1" x14ac:dyDescent="0.3">
      <c r="A138" s="2" t="s">
        <v>1519</v>
      </c>
      <c r="B138" s="2" t="s">
        <v>168</v>
      </c>
      <c r="C138" s="2" t="s">
        <v>2547</v>
      </c>
      <c r="D138" s="2"/>
    </row>
    <row r="139" spans="1:4" ht="18" customHeight="1" x14ac:dyDescent="0.3">
      <c r="A139" s="2" t="s">
        <v>1520</v>
      </c>
      <c r="B139" s="2" t="s">
        <v>168</v>
      </c>
      <c r="C139" s="2" t="s">
        <v>2547</v>
      </c>
      <c r="D139" s="2"/>
    </row>
    <row r="140" spans="1:4" ht="18" customHeight="1" x14ac:dyDescent="0.3">
      <c r="A140" s="2" t="s">
        <v>1521</v>
      </c>
      <c r="B140" s="2" t="s">
        <v>168</v>
      </c>
      <c r="C140" s="2" t="s">
        <v>2547</v>
      </c>
      <c r="D140" s="2"/>
    </row>
    <row r="141" spans="1:4" ht="18" customHeight="1" x14ac:dyDescent="0.3">
      <c r="A141" s="2" t="s">
        <v>1522</v>
      </c>
      <c r="B141" s="2" t="s">
        <v>168</v>
      </c>
      <c r="C141" s="2" t="s">
        <v>2547</v>
      </c>
      <c r="D141" s="2"/>
    </row>
    <row r="142" spans="1:4" ht="18" customHeight="1" x14ac:dyDescent="0.3">
      <c r="A142" s="2" t="s">
        <v>1523</v>
      </c>
      <c r="B142" s="2" t="s">
        <v>168</v>
      </c>
      <c r="C142" s="2" t="s">
        <v>2547</v>
      </c>
      <c r="D142" s="2"/>
    </row>
    <row r="143" spans="1:4" ht="18" customHeight="1" x14ac:dyDescent="0.3">
      <c r="A143" s="2" t="s">
        <v>1524</v>
      </c>
      <c r="B143" s="2" t="s">
        <v>168</v>
      </c>
      <c r="C143" s="2" t="s">
        <v>2547</v>
      </c>
      <c r="D143" s="2"/>
    </row>
    <row r="144" spans="1:4" ht="18" customHeight="1" x14ac:dyDescent="0.3">
      <c r="A144" s="2" t="s">
        <v>1525</v>
      </c>
      <c r="B144" s="2" t="s">
        <v>168</v>
      </c>
      <c r="C144" s="2" t="s">
        <v>2547</v>
      </c>
      <c r="D144" s="2"/>
    </row>
    <row r="145" spans="1:4" ht="18" customHeight="1" x14ac:dyDescent="0.3">
      <c r="A145" s="2" t="s">
        <v>1526</v>
      </c>
      <c r="B145" s="2" t="s">
        <v>168</v>
      </c>
      <c r="C145" s="2" t="s">
        <v>2547</v>
      </c>
      <c r="D145" s="2"/>
    </row>
    <row r="146" spans="1:4" ht="18" customHeight="1" x14ac:dyDescent="0.3">
      <c r="A146" s="2" t="s">
        <v>1527</v>
      </c>
      <c r="B146" s="2" t="s">
        <v>168</v>
      </c>
      <c r="C146" s="2" t="s">
        <v>2547</v>
      </c>
      <c r="D146" s="2"/>
    </row>
    <row r="147" spans="1:4" ht="18" customHeight="1" x14ac:dyDescent="0.3">
      <c r="A147" s="2" t="s">
        <v>1528</v>
      </c>
      <c r="B147" s="2" t="s">
        <v>168</v>
      </c>
      <c r="C147" s="2" t="s">
        <v>2547</v>
      </c>
      <c r="D147" s="2"/>
    </row>
    <row r="148" spans="1:4" ht="18" customHeight="1" x14ac:dyDescent="0.3">
      <c r="A148" s="2" t="s">
        <v>1529</v>
      </c>
      <c r="B148" s="2" t="s">
        <v>168</v>
      </c>
      <c r="C148" s="2" t="s">
        <v>2547</v>
      </c>
      <c r="D148" s="2"/>
    </row>
    <row r="149" spans="1:4" ht="18" customHeight="1" x14ac:dyDescent="0.3">
      <c r="A149" s="2" t="s">
        <v>1530</v>
      </c>
      <c r="B149" s="2" t="s">
        <v>168</v>
      </c>
      <c r="C149" s="2" t="s">
        <v>2547</v>
      </c>
      <c r="D149" s="2"/>
    </row>
    <row r="150" spans="1:4" ht="18" customHeight="1" x14ac:dyDescent="0.3">
      <c r="A150" s="2" t="s">
        <v>1531</v>
      </c>
      <c r="B150" s="2" t="s">
        <v>168</v>
      </c>
      <c r="C150" s="2" t="s">
        <v>2547</v>
      </c>
      <c r="D150" s="2"/>
    </row>
    <row r="151" spans="1:4" ht="18" customHeight="1" x14ac:dyDescent="0.3">
      <c r="A151" s="2" t="s">
        <v>1532</v>
      </c>
      <c r="B151" s="2" t="s">
        <v>168</v>
      </c>
      <c r="C151" s="2" t="s">
        <v>2547</v>
      </c>
      <c r="D151" s="2"/>
    </row>
    <row r="152" spans="1:4" ht="18" customHeight="1" x14ac:dyDescent="0.3">
      <c r="A152" s="2" t="s">
        <v>1533</v>
      </c>
      <c r="B152" s="2" t="s">
        <v>168</v>
      </c>
      <c r="C152" s="2" t="s">
        <v>2547</v>
      </c>
      <c r="D152" s="2"/>
    </row>
    <row r="153" spans="1:4" ht="18" customHeight="1" x14ac:dyDescent="0.3">
      <c r="A153" s="2" t="s">
        <v>1534</v>
      </c>
      <c r="B153" s="2" t="s">
        <v>168</v>
      </c>
      <c r="C153" s="2" t="s">
        <v>2547</v>
      </c>
      <c r="D153" s="2"/>
    </row>
    <row r="154" spans="1:4" ht="18" customHeight="1" x14ac:dyDescent="0.3">
      <c r="A154" s="2" t="s">
        <v>1535</v>
      </c>
      <c r="B154" s="2" t="s">
        <v>168</v>
      </c>
      <c r="C154" s="2" t="s">
        <v>2547</v>
      </c>
      <c r="D154" s="2"/>
    </row>
    <row r="155" spans="1:4" ht="18" customHeight="1" x14ac:dyDescent="0.3">
      <c r="A155" s="2" t="s">
        <v>1536</v>
      </c>
      <c r="B155" s="2" t="s">
        <v>168</v>
      </c>
      <c r="C155" s="2" t="s">
        <v>2547</v>
      </c>
      <c r="D155" s="2"/>
    </row>
    <row r="156" spans="1:4" ht="18" customHeight="1" x14ac:dyDescent="0.3">
      <c r="A156" s="2" t="s">
        <v>1537</v>
      </c>
      <c r="B156" s="2" t="s">
        <v>168</v>
      </c>
      <c r="C156" s="2" t="s">
        <v>2547</v>
      </c>
      <c r="D156" s="2"/>
    </row>
    <row r="157" spans="1:4" ht="18" customHeight="1" x14ac:dyDescent="0.3">
      <c r="A157" s="2" t="s">
        <v>1538</v>
      </c>
      <c r="B157" s="2" t="s">
        <v>168</v>
      </c>
      <c r="C157" s="2" t="s">
        <v>2547</v>
      </c>
      <c r="D157" s="2"/>
    </row>
    <row r="158" spans="1:4" ht="18" customHeight="1" x14ac:dyDescent="0.3">
      <c r="A158" s="2" t="s">
        <v>1539</v>
      </c>
      <c r="B158" s="2" t="s">
        <v>168</v>
      </c>
      <c r="C158" s="2" t="s">
        <v>2547</v>
      </c>
      <c r="D158" s="2"/>
    </row>
    <row r="159" spans="1:4" ht="18" customHeight="1" x14ac:dyDescent="0.3">
      <c r="A159" s="2" t="s">
        <v>1540</v>
      </c>
      <c r="B159" s="2" t="s">
        <v>168</v>
      </c>
      <c r="C159" s="2" t="s">
        <v>2547</v>
      </c>
      <c r="D159" s="2"/>
    </row>
    <row r="160" spans="1:4" ht="18" customHeight="1" x14ac:dyDescent="0.3">
      <c r="A160" s="2" t="s">
        <v>1541</v>
      </c>
      <c r="B160" s="2" t="s">
        <v>168</v>
      </c>
      <c r="C160" s="2" t="s">
        <v>2547</v>
      </c>
      <c r="D160" s="2"/>
    </row>
    <row r="161" spans="1:4" ht="18" customHeight="1" x14ac:dyDescent="0.3">
      <c r="A161" s="2" t="s">
        <v>1542</v>
      </c>
      <c r="B161" s="2" t="s">
        <v>168</v>
      </c>
      <c r="C161" s="2" t="s">
        <v>2547</v>
      </c>
      <c r="D161" s="2"/>
    </row>
    <row r="162" spans="1:4" ht="18" customHeight="1" x14ac:dyDescent="0.3">
      <c r="A162" s="2" t="s">
        <v>1543</v>
      </c>
      <c r="B162" s="2" t="s">
        <v>168</v>
      </c>
      <c r="C162" s="2" t="s">
        <v>2547</v>
      </c>
      <c r="D162" s="2"/>
    </row>
    <row r="163" spans="1:4" ht="18" customHeight="1" x14ac:dyDescent="0.3">
      <c r="A163" s="2" t="s">
        <v>1544</v>
      </c>
      <c r="B163" s="2" t="s">
        <v>168</v>
      </c>
      <c r="C163" s="2" t="s">
        <v>2547</v>
      </c>
      <c r="D163" s="2"/>
    </row>
    <row r="164" spans="1:4" ht="18" customHeight="1" x14ac:dyDescent="0.3">
      <c r="A164" s="2" t="s">
        <v>1545</v>
      </c>
      <c r="B164" s="2" t="s">
        <v>168</v>
      </c>
      <c r="C164" s="2" t="s">
        <v>2547</v>
      </c>
      <c r="D164" s="2"/>
    </row>
    <row r="165" spans="1:4" ht="18" customHeight="1" x14ac:dyDescent="0.3">
      <c r="A165" s="2" t="s">
        <v>1546</v>
      </c>
      <c r="B165" s="2" t="s">
        <v>168</v>
      </c>
      <c r="C165" s="2" t="s">
        <v>2547</v>
      </c>
      <c r="D165" s="2"/>
    </row>
    <row r="166" spans="1:4" ht="18" customHeight="1" x14ac:dyDescent="0.3">
      <c r="A166" s="2" t="s">
        <v>1547</v>
      </c>
      <c r="B166" s="2" t="s">
        <v>168</v>
      </c>
      <c r="C166" s="2" t="s">
        <v>2547</v>
      </c>
      <c r="D166" s="2"/>
    </row>
    <row r="167" spans="1:4" ht="18" customHeight="1" x14ac:dyDescent="0.3">
      <c r="A167" s="2" t="s">
        <v>1548</v>
      </c>
      <c r="B167" s="2" t="s">
        <v>168</v>
      </c>
      <c r="C167" s="2" t="s">
        <v>2547</v>
      </c>
      <c r="D167" s="2"/>
    </row>
    <row r="168" spans="1:4" ht="18" customHeight="1" x14ac:dyDescent="0.3">
      <c r="A168" s="2" t="s">
        <v>1549</v>
      </c>
      <c r="B168" s="2" t="s">
        <v>168</v>
      </c>
      <c r="C168" s="2" t="s">
        <v>2547</v>
      </c>
      <c r="D168" s="2"/>
    </row>
    <row r="169" spans="1:4" ht="18" customHeight="1" x14ac:dyDescent="0.3">
      <c r="A169" s="2" t="s">
        <v>1550</v>
      </c>
      <c r="B169" s="2" t="s">
        <v>168</v>
      </c>
      <c r="C169" s="2" t="s">
        <v>2547</v>
      </c>
      <c r="D169" s="2"/>
    </row>
    <row r="170" spans="1:4" ht="18" customHeight="1" x14ac:dyDescent="0.3">
      <c r="A170" s="2" t="s">
        <v>1551</v>
      </c>
      <c r="B170" s="2" t="s">
        <v>168</v>
      </c>
      <c r="C170" s="2" t="s">
        <v>2547</v>
      </c>
      <c r="D170" s="2"/>
    </row>
    <row r="171" spans="1:4" ht="18" customHeight="1" x14ac:dyDescent="0.3">
      <c r="A171" s="2" t="s">
        <v>1552</v>
      </c>
      <c r="B171" s="2" t="s">
        <v>168</v>
      </c>
      <c r="C171" s="2" t="s">
        <v>2547</v>
      </c>
      <c r="D171" s="2"/>
    </row>
    <row r="172" spans="1:4" ht="18" customHeight="1" x14ac:dyDescent="0.3">
      <c r="A172" s="2" t="s">
        <v>1553</v>
      </c>
      <c r="B172" s="2" t="s">
        <v>168</v>
      </c>
      <c r="C172" s="2" t="s">
        <v>2547</v>
      </c>
      <c r="D172" s="2"/>
    </row>
    <row r="173" spans="1:4" ht="18" customHeight="1" x14ac:dyDescent="0.3">
      <c r="A173" s="2" t="s">
        <v>1554</v>
      </c>
      <c r="B173" s="2" t="s">
        <v>168</v>
      </c>
      <c r="C173" s="2" t="s">
        <v>2547</v>
      </c>
      <c r="D173" s="2"/>
    </row>
    <row r="174" spans="1:4" ht="18" customHeight="1" x14ac:dyDescent="0.3">
      <c r="A174" s="2" t="s">
        <v>1555</v>
      </c>
      <c r="B174" s="2" t="s">
        <v>168</v>
      </c>
      <c r="C174" s="2" t="s">
        <v>2547</v>
      </c>
      <c r="D174" s="2"/>
    </row>
    <row r="175" spans="1:4" ht="18" customHeight="1" x14ac:dyDescent="0.3">
      <c r="A175" s="2" t="s">
        <v>1556</v>
      </c>
      <c r="B175" s="2" t="s">
        <v>168</v>
      </c>
      <c r="C175" s="2" t="s">
        <v>2547</v>
      </c>
      <c r="D175" s="2"/>
    </row>
    <row r="176" spans="1:4" ht="18" customHeight="1" x14ac:dyDescent="0.3">
      <c r="A176" s="2" t="s">
        <v>1557</v>
      </c>
      <c r="B176" s="2" t="s">
        <v>168</v>
      </c>
      <c r="C176" s="2" t="s">
        <v>2547</v>
      </c>
      <c r="D176" s="2"/>
    </row>
    <row r="177" spans="1:4" ht="18" customHeight="1" x14ac:dyDescent="0.3">
      <c r="A177" s="2" t="s">
        <v>1558</v>
      </c>
      <c r="B177" s="2" t="s">
        <v>168</v>
      </c>
      <c r="C177" s="2" t="s">
        <v>2547</v>
      </c>
      <c r="D177" s="2"/>
    </row>
    <row r="178" spans="1:4" ht="18" customHeight="1" x14ac:dyDescent="0.3">
      <c r="A178" s="2" t="s">
        <v>1559</v>
      </c>
      <c r="B178" s="2" t="s">
        <v>168</v>
      </c>
      <c r="C178" s="2" t="s">
        <v>2547</v>
      </c>
      <c r="D178" s="2"/>
    </row>
    <row r="179" spans="1:4" ht="18" customHeight="1" x14ac:dyDescent="0.3">
      <c r="A179" s="2" t="s">
        <v>1560</v>
      </c>
      <c r="B179" s="2" t="s">
        <v>168</v>
      </c>
      <c r="C179" s="2" t="s">
        <v>2547</v>
      </c>
      <c r="D179" s="2"/>
    </row>
    <row r="180" spans="1:4" ht="18" customHeight="1" x14ac:dyDescent="0.3">
      <c r="A180" s="2" t="s">
        <v>1561</v>
      </c>
      <c r="B180" s="2" t="s">
        <v>168</v>
      </c>
      <c r="C180" s="2" t="s">
        <v>2547</v>
      </c>
      <c r="D180" s="2"/>
    </row>
    <row r="181" spans="1:4" ht="18" customHeight="1" x14ac:dyDescent="0.3">
      <c r="A181" s="2" t="s">
        <v>1562</v>
      </c>
      <c r="B181" s="2" t="s">
        <v>168</v>
      </c>
      <c r="C181" s="2" t="s">
        <v>2547</v>
      </c>
      <c r="D181" s="2"/>
    </row>
    <row r="182" spans="1:4" ht="18" customHeight="1" x14ac:dyDescent="0.3">
      <c r="A182" s="2" t="s">
        <v>1563</v>
      </c>
      <c r="B182" s="2" t="s">
        <v>168</v>
      </c>
      <c r="C182" s="2" t="s">
        <v>2547</v>
      </c>
      <c r="D182" s="2"/>
    </row>
    <row r="183" spans="1:4" ht="18" customHeight="1" x14ac:dyDescent="0.3">
      <c r="A183" s="2" t="s">
        <v>1564</v>
      </c>
      <c r="B183" s="2" t="s">
        <v>168</v>
      </c>
      <c r="C183" s="2" t="s">
        <v>2547</v>
      </c>
      <c r="D183" s="2"/>
    </row>
    <row r="184" spans="1:4" ht="18" customHeight="1" x14ac:dyDescent="0.3">
      <c r="A184" s="2" t="s">
        <v>1565</v>
      </c>
      <c r="B184" s="2" t="s">
        <v>168</v>
      </c>
      <c r="C184" s="2" t="s">
        <v>2547</v>
      </c>
      <c r="D184" s="2"/>
    </row>
    <row r="185" spans="1:4" ht="18" customHeight="1" x14ac:dyDescent="0.3">
      <c r="A185" s="2" t="s">
        <v>1566</v>
      </c>
      <c r="B185" s="2" t="s">
        <v>168</v>
      </c>
      <c r="C185" s="2" t="s">
        <v>2547</v>
      </c>
      <c r="D185" s="2"/>
    </row>
    <row r="186" spans="1:4" ht="18" customHeight="1" x14ac:dyDescent="0.3">
      <c r="A186" s="2" t="s">
        <v>1567</v>
      </c>
      <c r="B186" s="2" t="s">
        <v>168</v>
      </c>
      <c r="C186" s="2" t="s">
        <v>2547</v>
      </c>
      <c r="D186" s="2"/>
    </row>
    <row r="187" spans="1:4" ht="18" customHeight="1" x14ac:dyDescent="0.3">
      <c r="A187" s="2" t="s">
        <v>1568</v>
      </c>
      <c r="B187" s="2" t="s">
        <v>168</v>
      </c>
      <c r="C187" s="2" t="s">
        <v>2547</v>
      </c>
      <c r="D187" s="2"/>
    </row>
    <row r="188" spans="1:4" ht="18" customHeight="1" x14ac:dyDescent="0.3">
      <c r="A188" s="2" t="s">
        <v>1569</v>
      </c>
      <c r="B188" s="2" t="s">
        <v>168</v>
      </c>
      <c r="C188" s="2" t="s">
        <v>2547</v>
      </c>
      <c r="D188" s="2"/>
    </row>
    <row r="189" spans="1:4" ht="18" customHeight="1" x14ac:dyDescent="0.3">
      <c r="A189" s="2" t="s">
        <v>1570</v>
      </c>
      <c r="B189" s="2" t="s">
        <v>168</v>
      </c>
      <c r="C189" s="2" t="s">
        <v>2547</v>
      </c>
      <c r="D189" s="2"/>
    </row>
    <row r="190" spans="1:4" ht="18" customHeight="1" x14ac:dyDescent="0.3">
      <c r="A190" s="2" t="s">
        <v>1571</v>
      </c>
      <c r="B190" s="2" t="s">
        <v>168</v>
      </c>
      <c r="C190" s="2" t="s">
        <v>2547</v>
      </c>
      <c r="D190" s="2"/>
    </row>
    <row r="191" spans="1:4" ht="18" customHeight="1" x14ac:dyDescent="0.3">
      <c r="A191" s="2" t="s">
        <v>1572</v>
      </c>
      <c r="B191" s="2" t="s">
        <v>168</v>
      </c>
      <c r="C191" s="2" t="s">
        <v>2547</v>
      </c>
      <c r="D191" s="2"/>
    </row>
    <row r="192" spans="1:4" ht="18" customHeight="1" x14ac:dyDescent="0.3">
      <c r="A192" s="2" t="s">
        <v>1573</v>
      </c>
      <c r="B192" s="2" t="s">
        <v>168</v>
      </c>
      <c r="C192" s="2" t="s">
        <v>2547</v>
      </c>
      <c r="D192" s="2"/>
    </row>
    <row r="193" spans="1:4" ht="18" customHeight="1" x14ac:dyDescent="0.3">
      <c r="A193" s="2" t="s">
        <v>1574</v>
      </c>
      <c r="B193" s="2" t="s">
        <v>168</v>
      </c>
      <c r="C193" s="2" t="s">
        <v>2547</v>
      </c>
      <c r="D193" s="2"/>
    </row>
    <row r="194" spans="1:4" ht="18" customHeight="1" x14ac:dyDescent="0.3">
      <c r="A194" s="2" t="s">
        <v>1575</v>
      </c>
      <c r="B194" s="2" t="s">
        <v>168</v>
      </c>
      <c r="C194" s="2" t="s">
        <v>2547</v>
      </c>
      <c r="D194" s="2"/>
    </row>
    <row r="195" spans="1:4" ht="18" customHeight="1" x14ac:dyDescent="0.3">
      <c r="A195" s="2" t="s">
        <v>1576</v>
      </c>
      <c r="B195" s="2" t="s">
        <v>168</v>
      </c>
      <c r="C195" s="2" t="s">
        <v>2547</v>
      </c>
      <c r="D195" s="2"/>
    </row>
    <row r="196" spans="1:4" ht="18" customHeight="1" x14ac:dyDescent="0.3">
      <c r="A196" s="2" t="s">
        <v>1577</v>
      </c>
      <c r="B196" s="2" t="s">
        <v>168</v>
      </c>
      <c r="C196" s="2" t="s">
        <v>2547</v>
      </c>
      <c r="D196" s="2"/>
    </row>
    <row r="197" spans="1:4" ht="18" customHeight="1" x14ac:dyDescent="0.3">
      <c r="A197" s="2" t="s">
        <v>1578</v>
      </c>
      <c r="B197" s="2" t="s">
        <v>168</v>
      </c>
      <c r="C197" s="2" t="s">
        <v>2547</v>
      </c>
      <c r="D197" s="2"/>
    </row>
    <row r="198" spans="1:4" ht="18" customHeight="1" x14ac:dyDescent="0.3">
      <c r="A198" s="2" t="s">
        <v>1579</v>
      </c>
      <c r="B198" s="2" t="s">
        <v>168</v>
      </c>
      <c r="C198" s="2" t="s">
        <v>2547</v>
      </c>
      <c r="D198" s="2"/>
    </row>
    <row r="199" spans="1:4" ht="18" customHeight="1" x14ac:dyDescent="0.3">
      <c r="A199" s="2" t="s">
        <v>1580</v>
      </c>
      <c r="B199" s="2" t="s">
        <v>168</v>
      </c>
      <c r="C199" s="2" t="s">
        <v>2547</v>
      </c>
      <c r="D199" s="2"/>
    </row>
    <row r="200" spans="1:4" ht="18" customHeight="1" x14ac:dyDescent="0.3">
      <c r="A200" s="2" t="s">
        <v>1581</v>
      </c>
      <c r="B200" s="2" t="s">
        <v>168</v>
      </c>
      <c r="C200" s="2" t="s">
        <v>2547</v>
      </c>
      <c r="D200" s="2"/>
    </row>
    <row r="201" spans="1:4" ht="18" customHeight="1" x14ac:dyDescent="0.3">
      <c r="A201" s="2" t="s">
        <v>1582</v>
      </c>
      <c r="B201" s="2" t="s">
        <v>168</v>
      </c>
      <c r="C201" s="2" t="s">
        <v>2547</v>
      </c>
      <c r="D201" s="2"/>
    </row>
    <row r="202" spans="1:4" ht="18" customHeight="1" x14ac:dyDescent="0.3">
      <c r="A202" s="2" t="s">
        <v>1583</v>
      </c>
      <c r="B202" s="2" t="s">
        <v>168</v>
      </c>
      <c r="C202" s="2" t="s">
        <v>2547</v>
      </c>
      <c r="D202" s="2"/>
    </row>
    <row r="203" spans="1:4" ht="18" customHeight="1" x14ac:dyDescent="0.3">
      <c r="A203" s="2" t="s">
        <v>1584</v>
      </c>
      <c r="B203" s="2" t="s">
        <v>168</v>
      </c>
      <c r="C203" s="2" t="s">
        <v>2547</v>
      </c>
      <c r="D203" s="2"/>
    </row>
    <row r="204" spans="1:4" ht="18" customHeight="1" x14ac:dyDescent="0.3">
      <c r="A204" s="2" t="s">
        <v>1585</v>
      </c>
      <c r="B204" s="2" t="s">
        <v>168</v>
      </c>
      <c r="C204" s="2" t="s">
        <v>2547</v>
      </c>
      <c r="D204" s="2"/>
    </row>
    <row r="205" spans="1:4" ht="18" customHeight="1" x14ac:dyDescent="0.3">
      <c r="A205" s="2" t="s">
        <v>1586</v>
      </c>
      <c r="B205" s="2" t="s">
        <v>168</v>
      </c>
      <c r="C205" s="2" t="s">
        <v>2547</v>
      </c>
      <c r="D205" s="2"/>
    </row>
    <row r="206" spans="1:4" ht="18" customHeight="1" x14ac:dyDescent="0.3">
      <c r="A206" s="2" t="s">
        <v>1587</v>
      </c>
      <c r="B206" s="2" t="s">
        <v>168</v>
      </c>
      <c r="C206" s="2" t="s">
        <v>2547</v>
      </c>
      <c r="D206" s="2"/>
    </row>
    <row r="207" spans="1:4" ht="18" customHeight="1" x14ac:dyDescent="0.3">
      <c r="A207" s="2" t="s">
        <v>1588</v>
      </c>
      <c r="B207" s="2" t="s">
        <v>168</v>
      </c>
      <c r="C207" s="2" t="s">
        <v>2547</v>
      </c>
      <c r="D207" s="2"/>
    </row>
    <row r="208" spans="1:4" ht="18" customHeight="1" x14ac:dyDescent="0.3">
      <c r="A208" s="2" t="s">
        <v>1589</v>
      </c>
      <c r="B208" s="2" t="s">
        <v>168</v>
      </c>
      <c r="C208" s="2" t="s">
        <v>2547</v>
      </c>
      <c r="D208" s="2"/>
    </row>
    <row r="209" spans="1:4" ht="18" customHeight="1" x14ac:dyDescent="0.3">
      <c r="A209" s="2" t="s">
        <v>1590</v>
      </c>
      <c r="B209" s="2" t="s">
        <v>168</v>
      </c>
      <c r="C209" s="2" t="s">
        <v>2547</v>
      </c>
      <c r="D209" s="2"/>
    </row>
    <row r="210" spans="1:4" ht="18" customHeight="1" x14ac:dyDescent="0.3">
      <c r="A210" s="2" t="s">
        <v>1591</v>
      </c>
      <c r="B210" s="2" t="s">
        <v>168</v>
      </c>
      <c r="C210" s="2" t="s">
        <v>2547</v>
      </c>
      <c r="D210" s="2"/>
    </row>
    <row r="211" spans="1:4" ht="18" customHeight="1" x14ac:dyDescent="0.3">
      <c r="A211" s="2" t="s">
        <v>1592</v>
      </c>
      <c r="B211" s="2" t="s">
        <v>168</v>
      </c>
      <c r="C211" s="2" t="s">
        <v>2547</v>
      </c>
      <c r="D211" s="2"/>
    </row>
    <row r="212" spans="1:4" ht="18" customHeight="1" x14ac:dyDescent="0.3">
      <c r="A212" s="2" t="s">
        <v>1593</v>
      </c>
      <c r="B212" s="2" t="s">
        <v>168</v>
      </c>
      <c r="C212" s="2" t="s">
        <v>2547</v>
      </c>
      <c r="D212" s="2"/>
    </row>
    <row r="213" spans="1:4" ht="18" customHeight="1" x14ac:dyDescent="0.3">
      <c r="A213" s="2" t="s">
        <v>1594</v>
      </c>
      <c r="B213" s="2" t="s">
        <v>168</v>
      </c>
      <c r="C213" s="2" t="s">
        <v>2547</v>
      </c>
      <c r="D213" s="2"/>
    </row>
    <row r="214" spans="1:4" ht="18" customHeight="1" x14ac:dyDescent="0.3">
      <c r="A214" s="2" t="s">
        <v>1595</v>
      </c>
      <c r="B214" s="2" t="s">
        <v>168</v>
      </c>
      <c r="C214" s="2" t="s">
        <v>2547</v>
      </c>
      <c r="D214" s="2"/>
    </row>
    <row r="215" spans="1:4" ht="18" customHeight="1" x14ac:dyDescent="0.3">
      <c r="A215" s="2" t="s">
        <v>1596</v>
      </c>
      <c r="B215" s="2" t="s">
        <v>168</v>
      </c>
      <c r="C215" s="2" t="s">
        <v>2547</v>
      </c>
      <c r="D215" s="2"/>
    </row>
    <row r="216" spans="1:4" ht="18" customHeight="1" x14ac:dyDescent="0.3">
      <c r="A216" s="2" t="s">
        <v>1597</v>
      </c>
      <c r="B216" s="2" t="s">
        <v>168</v>
      </c>
      <c r="C216" s="2" t="s">
        <v>2547</v>
      </c>
      <c r="D216" s="2"/>
    </row>
    <row r="217" spans="1:4" ht="18" customHeight="1" x14ac:dyDescent="0.3">
      <c r="A217" s="2" t="s">
        <v>1598</v>
      </c>
      <c r="B217" s="2" t="s">
        <v>168</v>
      </c>
      <c r="C217" s="2" t="s">
        <v>2547</v>
      </c>
      <c r="D217" s="2"/>
    </row>
    <row r="218" spans="1:4" ht="18" customHeight="1" x14ac:dyDescent="0.3">
      <c r="A218" s="2" t="s">
        <v>1599</v>
      </c>
      <c r="B218" s="2" t="s">
        <v>168</v>
      </c>
      <c r="C218" s="2" t="s">
        <v>2547</v>
      </c>
      <c r="D218" s="2"/>
    </row>
    <row r="219" spans="1:4" ht="18" customHeight="1" x14ac:dyDescent="0.3">
      <c r="A219" s="2" t="s">
        <v>1600</v>
      </c>
      <c r="B219" s="2" t="s">
        <v>168</v>
      </c>
      <c r="C219" s="2" t="s">
        <v>2547</v>
      </c>
      <c r="D219" s="2"/>
    </row>
    <row r="220" spans="1:4" ht="18" customHeight="1" x14ac:dyDescent="0.3">
      <c r="A220" s="2" t="s">
        <v>1601</v>
      </c>
      <c r="B220" s="2" t="s">
        <v>168</v>
      </c>
      <c r="C220" s="2" t="s">
        <v>2547</v>
      </c>
      <c r="D220" s="2"/>
    </row>
    <row r="221" spans="1:4" ht="18" customHeight="1" x14ac:dyDescent="0.3">
      <c r="A221" s="2" t="s">
        <v>1602</v>
      </c>
      <c r="B221" s="2" t="s">
        <v>168</v>
      </c>
      <c r="C221" s="2" t="s">
        <v>2547</v>
      </c>
      <c r="D221" s="2"/>
    </row>
    <row r="222" spans="1:4" ht="18" customHeight="1" x14ac:dyDescent="0.3">
      <c r="A222" s="2" t="s">
        <v>1603</v>
      </c>
      <c r="B222" s="2" t="s">
        <v>168</v>
      </c>
      <c r="C222" s="2" t="s">
        <v>2547</v>
      </c>
      <c r="D222" s="2"/>
    </row>
    <row r="223" spans="1:4" ht="18" customHeight="1" x14ac:dyDescent="0.3">
      <c r="A223" s="2" t="s">
        <v>1604</v>
      </c>
      <c r="B223" s="2" t="s">
        <v>168</v>
      </c>
      <c r="C223" s="2" t="s">
        <v>2547</v>
      </c>
      <c r="D223" s="2"/>
    </row>
    <row r="224" spans="1:4" ht="18" customHeight="1" x14ac:dyDescent="0.3">
      <c r="A224" s="2" t="s">
        <v>1605</v>
      </c>
      <c r="B224" s="2" t="s">
        <v>168</v>
      </c>
      <c r="C224" s="2" t="s">
        <v>2547</v>
      </c>
      <c r="D224" s="2"/>
    </row>
    <row r="225" spans="1:4" ht="18" customHeight="1" x14ac:dyDescent="0.3">
      <c r="A225" s="2" t="s">
        <v>1606</v>
      </c>
      <c r="B225" s="2" t="s">
        <v>168</v>
      </c>
      <c r="C225" s="2" t="s">
        <v>2547</v>
      </c>
      <c r="D225" s="2"/>
    </row>
    <row r="226" spans="1:4" ht="18" customHeight="1" x14ac:dyDescent="0.3">
      <c r="A226" s="2" t="s">
        <v>1607</v>
      </c>
      <c r="B226" s="2" t="s">
        <v>168</v>
      </c>
      <c r="C226" s="2" t="s">
        <v>2547</v>
      </c>
      <c r="D226" s="2"/>
    </row>
    <row r="227" spans="1:4" ht="18" customHeight="1" x14ac:dyDescent="0.3">
      <c r="A227" s="2" t="s">
        <v>1608</v>
      </c>
      <c r="B227" s="2" t="s">
        <v>168</v>
      </c>
      <c r="C227" s="2" t="s">
        <v>2547</v>
      </c>
      <c r="D227" s="2"/>
    </row>
    <row r="228" spans="1:4" ht="18" customHeight="1" x14ac:dyDescent="0.3">
      <c r="A228" s="2" t="s">
        <v>1609</v>
      </c>
      <c r="B228" s="2" t="s">
        <v>168</v>
      </c>
      <c r="C228" s="2" t="s">
        <v>2547</v>
      </c>
      <c r="D228" s="2"/>
    </row>
    <row r="229" spans="1:4" ht="18" customHeight="1" x14ac:dyDescent="0.3">
      <c r="A229" s="2" t="s">
        <v>1610</v>
      </c>
      <c r="B229" s="2" t="s">
        <v>168</v>
      </c>
      <c r="C229" s="2" t="s">
        <v>2547</v>
      </c>
      <c r="D229" s="2"/>
    </row>
    <row r="230" spans="1:4" ht="18" customHeight="1" x14ac:dyDescent="0.3">
      <c r="A230" s="2" t="s">
        <v>1611</v>
      </c>
      <c r="B230" s="2" t="s">
        <v>168</v>
      </c>
      <c r="C230" s="2" t="s">
        <v>2547</v>
      </c>
      <c r="D230" s="2"/>
    </row>
    <row r="231" spans="1:4" ht="18" customHeight="1" x14ac:dyDescent="0.3">
      <c r="A231" s="2" t="s">
        <v>1612</v>
      </c>
      <c r="B231" s="2" t="s">
        <v>168</v>
      </c>
      <c r="C231" s="2" t="s">
        <v>2547</v>
      </c>
      <c r="D231" s="2"/>
    </row>
    <row r="232" spans="1:4" ht="18" customHeight="1" x14ac:dyDescent="0.3">
      <c r="A232" s="2" t="s">
        <v>1613</v>
      </c>
      <c r="B232" s="2" t="s">
        <v>168</v>
      </c>
      <c r="C232" s="2" t="s">
        <v>2547</v>
      </c>
      <c r="D232" s="2"/>
    </row>
    <row r="233" spans="1:4" ht="18" customHeight="1" x14ac:dyDescent="0.3">
      <c r="A233" s="2" t="s">
        <v>1614</v>
      </c>
      <c r="B233" s="2" t="s">
        <v>168</v>
      </c>
      <c r="C233" s="2" t="s">
        <v>2547</v>
      </c>
      <c r="D233" s="2"/>
    </row>
    <row r="234" spans="1:4" ht="18" customHeight="1" x14ac:dyDescent="0.3">
      <c r="A234" s="2" t="s">
        <v>1615</v>
      </c>
      <c r="B234" s="2" t="s">
        <v>168</v>
      </c>
      <c r="C234" s="2" t="s">
        <v>2547</v>
      </c>
      <c r="D234" s="2"/>
    </row>
    <row r="235" spans="1:4" ht="18" customHeight="1" x14ac:dyDescent="0.3">
      <c r="A235" s="2" t="s">
        <v>1616</v>
      </c>
      <c r="B235" s="2" t="s">
        <v>168</v>
      </c>
      <c r="C235" s="2" t="s">
        <v>2547</v>
      </c>
      <c r="D235" s="2"/>
    </row>
    <row r="236" spans="1:4" ht="18" customHeight="1" x14ac:dyDescent="0.3">
      <c r="A236" s="2" t="s">
        <v>1617</v>
      </c>
      <c r="B236" s="2" t="s">
        <v>168</v>
      </c>
      <c r="C236" s="2" t="s">
        <v>2547</v>
      </c>
      <c r="D236" s="2"/>
    </row>
    <row r="237" spans="1:4" ht="18" customHeight="1" x14ac:dyDescent="0.3">
      <c r="A237" s="2" t="s">
        <v>1618</v>
      </c>
      <c r="B237" s="2" t="s">
        <v>168</v>
      </c>
      <c r="C237" s="2" t="s">
        <v>2547</v>
      </c>
      <c r="D237" s="2"/>
    </row>
    <row r="238" spans="1:4" ht="18" customHeight="1" x14ac:dyDescent="0.3">
      <c r="A238" s="2" t="s">
        <v>1619</v>
      </c>
      <c r="B238" s="2" t="s">
        <v>168</v>
      </c>
      <c r="C238" s="2" t="s">
        <v>2547</v>
      </c>
      <c r="D238" s="2"/>
    </row>
    <row r="239" spans="1:4" ht="18" customHeight="1" x14ac:dyDescent="0.3">
      <c r="A239" s="2" t="s">
        <v>1620</v>
      </c>
      <c r="B239" s="2" t="s">
        <v>168</v>
      </c>
      <c r="C239" s="2" t="s">
        <v>2547</v>
      </c>
      <c r="D239" s="2"/>
    </row>
    <row r="240" spans="1:4" ht="18" customHeight="1" x14ac:dyDescent="0.3">
      <c r="A240" s="2" t="s">
        <v>1621</v>
      </c>
      <c r="B240" s="2" t="s">
        <v>168</v>
      </c>
      <c r="C240" s="2" t="s">
        <v>2547</v>
      </c>
      <c r="D240" s="2"/>
    </row>
    <row r="241" spans="1:4" ht="18" customHeight="1" x14ac:dyDescent="0.3">
      <c r="A241" s="2" t="s">
        <v>1622</v>
      </c>
      <c r="B241" s="2" t="s">
        <v>168</v>
      </c>
      <c r="C241" s="2" t="s">
        <v>2547</v>
      </c>
      <c r="D241" s="2"/>
    </row>
    <row r="242" spans="1:4" ht="18" customHeight="1" x14ac:dyDescent="0.3">
      <c r="A242" s="2" t="s">
        <v>1623</v>
      </c>
      <c r="B242" s="2" t="s">
        <v>168</v>
      </c>
      <c r="C242" s="2" t="s">
        <v>2547</v>
      </c>
      <c r="D242" s="2"/>
    </row>
    <row r="243" spans="1:4" ht="18" customHeight="1" x14ac:dyDescent="0.3">
      <c r="A243" s="2" t="s">
        <v>1624</v>
      </c>
      <c r="B243" s="2" t="s">
        <v>168</v>
      </c>
      <c r="C243" s="2" t="s">
        <v>2547</v>
      </c>
      <c r="D243" s="2"/>
    </row>
    <row r="244" spans="1:4" ht="18" customHeight="1" x14ac:dyDescent="0.3">
      <c r="A244" s="2" t="s">
        <v>1625</v>
      </c>
      <c r="B244" s="2" t="s">
        <v>168</v>
      </c>
      <c r="C244" s="2" t="s">
        <v>2547</v>
      </c>
      <c r="D244" s="2"/>
    </row>
    <row r="245" spans="1:4" ht="18" customHeight="1" x14ac:dyDescent="0.3">
      <c r="A245" s="2" t="s">
        <v>1626</v>
      </c>
      <c r="B245" s="2" t="s">
        <v>168</v>
      </c>
      <c r="C245" s="2" t="s">
        <v>2547</v>
      </c>
      <c r="D245" s="2"/>
    </row>
    <row r="246" spans="1:4" ht="18" customHeight="1" x14ac:dyDescent="0.3">
      <c r="A246" s="2" t="s">
        <v>1627</v>
      </c>
      <c r="B246" s="2" t="s">
        <v>168</v>
      </c>
      <c r="C246" s="2" t="s">
        <v>2547</v>
      </c>
      <c r="D246" s="2"/>
    </row>
    <row r="247" spans="1:4" ht="18" customHeight="1" x14ac:dyDescent="0.3">
      <c r="A247" s="2" t="s">
        <v>1628</v>
      </c>
      <c r="B247" s="2" t="s">
        <v>168</v>
      </c>
      <c r="C247" s="2" t="s">
        <v>2547</v>
      </c>
      <c r="D247" s="2"/>
    </row>
    <row r="248" spans="1:4" ht="18" customHeight="1" x14ac:dyDescent="0.3">
      <c r="A248" s="2" t="s">
        <v>1629</v>
      </c>
      <c r="B248" s="2" t="s">
        <v>168</v>
      </c>
      <c r="C248" s="2" t="s">
        <v>2547</v>
      </c>
      <c r="D248" s="2"/>
    </row>
    <row r="249" spans="1:4" ht="18" customHeight="1" x14ac:dyDescent="0.3">
      <c r="A249" s="2" t="s">
        <v>1630</v>
      </c>
      <c r="B249" s="2" t="s">
        <v>168</v>
      </c>
      <c r="C249" s="2" t="s">
        <v>2547</v>
      </c>
      <c r="D249" s="2"/>
    </row>
    <row r="250" spans="1:4" ht="18" customHeight="1" x14ac:dyDescent="0.3">
      <c r="A250" s="2" t="s">
        <v>1631</v>
      </c>
      <c r="B250" s="2" t="s">
        <v>168</v>
      </c>
      <c r="C250" s="2" t="s">
        <v>2547</v>
      </c>
      <c r="D250" s="2"/>
    </row>
    <row r="251" spans="1:4" ht="18" customHeight="1" x14ac:dyDescent="0.3">
      <c r="A251" s="2" t="s">
        <v>1632</v>
      </c>
      <c r="B251" s="2" t="s">
        <v>168</v>
      </c>
      <c r="C251" s="2" t="s">
        <v>2547</v>
      </c>
      <c r="D251" s="2"/>
    </row>
    <row r="252" spans="1:4" ht="18" customHeight="1" x14ac:dyDescent="0.3">
      <c r="A252" s="2" t="s">
        <v>1633</v>
      </c>
      <c r="B252" s="2" t="s">
        <v>168</v>
      </c>
      <c r="C252" s="2" t="s">
        <v>2547</v>
      </c>
      <c r="D252" s="2"/>
    </row>
    <row r="253" spans="1:4" ht="18" customHeight="1" x14ac:dyDescent="0.3">
      <c r="A253" s="2" t="s">
        <v>1634</v>
      </c>
      <c r="B253" s="2" t="s">
        <v>168</v>
      </c>
      <c r="C253" s="2" t="s">
        <v>2547</v>
      </c>
      <c r="D253" s="2"/>
    </row>
    <row r="254" spans="1:4" ht="18" customHeight="1" x14ac:dyDescent="0.3">
      <c r="A254" s="2" t="s">
        <v>1635</v>
      </c>
      <c r="B254" s="2" t="s">
        <v>168</v>
      </c>
      <c r="C254" s="2" t="s">
        <v>2547</v>
      </c>
      <c r="D254" s="2"/>
    </row>
    <row r="255" spans="1:4" ht="18" customHeight="1" x14ac:dyDescent="0.3">
      <c r="A255" s="2" t="s">
        <v>1636</v>
      </c>
      <c r="B255" s="2" t="s">
        <v>168</v>
      </c>
      <c r="C255" s="2" t="s">
        <v>2547</v>
      </c>
      <c r="D255" s="2"/>
    </row>
    <row r="256" spans="1:4" ht="18" customHeight="1" x14ac:dyDescent="0.3">
      <c r="A256" s="2" t="s">
        <v>1637</v>
      </c>
      <c r="B256" s="2" t="s">
        <v>168</v>
      </c>
      <c r="C256" s="2" t="s">
        <v>2547</v>
      </c>
      <c r="D256" s="2"/>
    </row>
    <row r="257" spans="1:4" ht="18" customHeight="1" x14ac:dyDescent="0.3">
      <c r="A257" s="2" t="s">
        <v>1638</v>
      </c>
      <c r="B257" s="2" t="s">
        <v>168</v>
      </c>
      <c r="C257" s="2" t="s">
        <v>2547</v>
      </c>
      <c r="D257" s="2"/>
    </row>
    <row r="258" spans="1:4" ht="18" customHeight="1" x14ac:dyDescent="0.3">
      <c r="A258" s="2" t="s">
        <v>1639</v>
      </c>
      <c r="B258" s="2" t="s">
        <v>168</v>
      </c>
      <c r="C258" s="2" t="s">
        <v>2547</v>
      </c>
      <c r="D258" s="2"/>
    </row>
    <row r="259" spans="1:4" ht="18" customHeight="1" x14ac:dyDescent="0.3">
      <c r="A259" s="2" t="s">
        <v>1640</v>
      </c>
      <c r="B259" s="2" t="s">
        <v>168</v>
      </c>
      <c r="C259" s="2" t="s">
        <v>2547</v>
      </c>
      <c r="D259" s="2"/>
    </row>
    <row r="260" spans="1:4" ht="18" customHeight="1" x14ac:dyDescent="0.3">
      <c r="A260" s="2" t="s">
        <v>1641</v>
      </c>
      <c r="B260" s="2" t="s">
        <v>168</v>
      </c>
      <c r="C260" s="2" t="s">
        <v>2547</v>
      </c>
      <c r="D260" s="2"/>
    </row>
    <row r="261" spans="1:4" ht="18" customHeight="1" x14ac:dyDescent="0.3">
      <c r="A261" s="2" t="s">
        <v>1642</v>
      </c>
      <c r="B261" s="2" t="s">
        <v>168</v>
      </c>
      <c r="C261" s="2" t="s">
        <v>2547</v>
      </c>
      <c r="D261" s="2"/>
    </row>
    <row r="262" spans="1:4" ht="18" customHeight="1" x14ac:dyDescent="0.3">
      <c r="A262" s="2" t="s">
        <v>1643</v>
      </c>
      <c r="B262" s="2" t="s">
        <v>168</v>
      </c>
      <c r="C262" s="2" t="s">
        <v>2547</v>
      </c>
      <c r="D262" s="2"/>
    </row>
    <row r="263" spans="1:4" ht="18" customHeight="1" x14ac:dyDescent="0.3">
      <c r="A263" s="2" t="s">
        <v>1644</v>
      </c>
      <c r="B263" s="2" t="s">
        <v>168</v>
      </c>
      <c r="C263" s="2" t="s">
        <v>2547</v>
      </c>
      <c r="D263" s="2"/>
    </row>
    <row r="264" spans="1:4" ht="18" customHeight="1" x14ac:dyDescent="0.3">
      <c r="A264" s="2" t="s">
        <v>1645</v>
      </c>
      <c r="B264" s="2" t="s">
        <v>168</v>
      </c>
      <c r="C264" s="2" t="s">
        <v>2547</v>
      </c>
      <c r="D264" s="2"/>
    </row>
    <row r="265" spans="1:4" ht="18" customHeight="1" x14ac:dyDescent="0.3">
      <c r="A265" s="2" t="s">
        <v>1646</v>
      </c>
      <c r="B265" s="2" t="s">
        <v>168</v>
      </c>
      <c r="C265" s="2" t="s">
        <v>2547</v>
      </c>
      <c r="D265" s="2"/>
    </row>
    <row r="266" spans="1:4" ht="18" customHeight="1" x14ac:dyDescent="0.3">
      <c r="A266" s="2" t="s">
        <v>1647</v>
      </c>
      <c r="B266" s="2" t="s">
        <v>168</v>
      </c>
      <c r="C266" s="2" t="s">
        <v>2547</v>
      </c>
      <c r="D266" s="2"/>
    </row>
    <row r="267" spans="1:4" ht="18" customHeight="1" x14ac:dyDescent="0.3">
      <c r="A267" s="2" t="s">
        <v>1648</v>
      </c>
      <c r="B267" s="2" t="s">
        <v>168</v>
      </c>
      <c r="C267" s="2" t="s">
        <v>2547</v>
      </c>
      <c r="D267" s="2"/>
    </row>
    <row r="268" spans="1:4" ht="18" customHeight="1" x14ac:dyDescent="0.3">
      <c r="A268" s="2" t="s">
        <v>1649</v>
      </c>
      <c r="B268" s="2" t="s">
        <v>168</v>
      </c>
      <c r="C268" s="2" t="s">
        <v>2547</v>
      </c>
      <c r="D268" s="2"/>
    </row>
    <row r="269" spans="1:4" ht="18" customHeight="1" x14ac:dyDescent="0.3">
      <c r="A269" s="2" t="s">
        <v>1650</v>
      </c>
      <c r="B269" s="2" t="s">
        <v>168</v>
      </c>
      <c r="C269" s="2" t="s">
        <v>2547</v>
      </c>
      <c r="D269" s="2"/>
    </row>
    <row r="270" spans="1:4" ht="18" customHeight="1" x14ac:dyDescent="0.3">
      <c r="A270" s="2" t="s">
        <v>1651</v>
      </c>
      <c r="B270" s="2" t="s">
        <v>168</v>
      </c>
      <c r="C270" s="2" t="s">
        <v>2547</v>
      </c>
      <c r="D270" s="2"/>
    </row>
    <row r="271" spans="1:4" ht="18" customHeight="1" x14ac:dyDescent="0.3">
      <c r="A271" s="2" t="s">
        <v>1652</v>
      </c>
      <c r="B271" s="2" t="s">
        <v>168</v>
      </c>
      <c r="C271" s="2" t="s">
        <v>2547</v>
      </c>
      <c r="D271" s="2"/>
    </row>
    <row r="272" spans="1:4" ht="18" customHeight="1" x14ac:dyDescent="0.3">
      <c r="A272" s="2" t="s">
        <v>1653</v>
      </c>
      <c r="B272" s="2" t="s">
        <v>168</v>
      </c>
      <c r="C272" s="2" t="s">
        <v>2547</v>
      </c>
      <c r="D272" s="2"/>
    </row>
    <row r="273" spans="1:4" ht="18" customHeight="1" x14ac:dyDescent="0.3">
      <c r="A273" s="2" t="s">
        <v>1654</v>
      </c>
      <c r="B273" s="2" t="s">
        <v>168</v>
      </c>
      <c r="C273" s="2" t="s">
        <v>2547</v>
      </c>
      <c r="D273" s="2"/>
    </row>
    <row r="274" spans="1:4" ht="18" customHeight="1" x14ac:dyDescent="0.3">
      <c r="A274" s="2" t="s">
        <v>1655</v>
      </c>
      <c r="B274" s="2" t="s">
        <v>168</v>
      </c>
      <c r="C274" s="2" t="s">
        <v>2547</v>
      </c>
      <c r="D274" s="2"/>
    </row>
    <row r="275" spans="1:4" ht="18" customHeight="1" x14ac:dyDescent="0.3">
      <c r="A275" s="2" t="s">
        <v>1656</v>
      </c>
      <c r="B275" s="2" t="s">
        <v>168</v>
      </c>
      <c r="C275" s="2" t="s">
        <v>2547</v>
      </c>
      <c r="D275" s="2"/>
    </row>
    <row r="276" spans="1:4" ht="18" customHeight="1" x14ac:dyDescent="0.3">
      <c r="A276" s="2" t="s">
        <v>1657</v>
      </c>
      <c r="B276" s="2" t="s">
        <v>168</v>
      </c>
      <c r="C276" s="2" t="s">
        <v>2547</v>
      </c>
      <c r="D276" s="2"/>
    </row>
    <row r="277" spans="1:4" ht="18" customHeight="1" x14ac:dyDescent="0.3">
      <c r="A277" s="2" t="s">
        <v>1658</v>
      </c>
      <c r="B277" s="2" t="s">
        <v>168</v>
      </c>
      <c r="C277" s="2" t="s">
        <v>2547</v>
      </c>
      <c r="D277" s="2"/>
    </row>
    <row r="278" spans="1:4" ht="18" customHeight="1" x14ac:dyDescent="0.3">
      <c r="A278" s="2" t="s">
        <v>1659</v>
      </c>
      <c r="B278" s="2" t="s">
        <v>168</v>
      </c>
      <c r="C278" s="2" t="s">
        <v>2547</v>
      </c>
      <c r="D278" s="2"/>
    </row>
    <row r="279" spans="1:4" ht="18" customHeight="1" x14ac:dyDescent="0.3">
      <c r="A279" s="2" t="s">
        <v>1660</v>
      </c>
      <c r="B279" s="2" t="s">
        <v>168</v>
      </c>
      <c r="C279" s="2" t="s">
        <v>2547</v>
      </c>
      <c r="D279" s="2"/>
    </row>
    <row r="280" spans="1:4" ht="18" customHeight="1" x14ac:dyDescent="0.3">
      <c r="A280" s="2" t="s">
        <v>1661</v>
      </c>
      <c r="B280" s="2" t="s">
        <v>168</v>
      </c>
      <c r="C280" s="2" t="s">
        <v>2547</v>
      </c>
      <c r="D280" s="2"/>
    </row>
    <row r="281" spans="1:4" ht="18" customHeight="1" x14ac:dyDescent="0.3">
      <c r="A281" s="2" t="s">
        <v>1662</v>
      </c>
      <c r="B281" s="2" t="s">
        <v>168</v>
      </c>
      <c r="C281" s="2" t="s">
        <v>2547</v>
      </c>
      <c r="D281" s="2"/>
    </row>
    <row r="282" spans="1:4" ht="18" customHeight="1" x14ac:dyDescent="0.3">
      <c r="A282" s="2" t="s">
        <v>1663</v>
      </c>
      <c r="B282" s="2" t="s">
        <v>168</v>
      </c>
      <c r="C282" s="2" t="s">
        <v>2547</v>
      </c>
      <c r="D282" s="2"/>
    </row>
    <row r="283" spans="1:4" ht="18" customHeight="1" x14ac:dyDescent="0.3">
      <c r="A283" s="2" t="s">
        <v>1664</v>
      </c>
      <c r="B283" s="2" t="s">
        <v>168</v>
      </c>
      <c r="C283" s="2" t="s">
        <v>2547</v>
      </c>
      <c r="D283" s="2"/>
    </row>
    <row r="284" spans="1:4" ht="18" customHeight="1" x14ac:dyDescent="0.3">
      <c r="A284" s="2" t="s">
        <v>1665</v>
      </c>
      <c r="B284" s="2" t="s">
        <v>168</v>
      </c>
      <c r="C284" s="2" t="s">
        <v>2547</v>
      </c>
      <c r="D284" s="2"/>
    </row>
    <row r="285" spans="1:4" ht="18" customHeight="1" x14ac:dyDescent="0.3">
      <c r="A285" s="2" t="s">
        <v>1666</v>
      </c>
      <c r="B285" s="2" t="s">
        <v>168</v>
      </c>
      <c r="C285" s="2" t="s">
        <v>2547</v>
      </c>
      <c r="D285" s="2"/>
    </row>
    <row r="286" spans="1:4" ht="18" customHeight="1" x14ac:dyDescent="0.3">
      <c r="A286" s="2" t="s">
        <v>1667</v>
      </c>
      <c r="B286" s="2" t="s">
        <v>168</v>
      </c>
      <c r="C286" s="2" t="s">
        <v>2547</v>
      </c>
      <c r="D286" s="2"/>
    </row>
    <row r="287" spans="1:4" ht="18" customHeight="1" x14ac:dyDescent="0.3">
      <c r="A287" s="2" t="s">
        <v>1668</v>
      </c>
      <c r="B287" s="2" t="s">
        <v>168</v>
      </c>
      <c r="C287" s="2" t="s">
        <v>2547</v>
      </c>
      <c r="D287" s="2"/>
    </row>
    <row r="288" spans="1:4" ht="18" customHeight="1" x14ac:dyDescent="0.3">
      <c r="A288" s="2" t="s">
        <v>1669</v>
      </c>
      <c r="B288" s="2" t="s">
        <v>168</v>
      </c>
      <c r="C288" s="2" t="s">
        <v>2547</v>
      </c>
      <c r="D288" s="2"/>
    </row>
    <row r="289" spans="1:4" ht="18" customHeight="1" x14ac:dyDescent="0.3">
      <c r="A289" s="2" t="s">
        <v>1670</v>
      </c>
      <c r="B289" s="2" t="s">
        <v>168</v>
      </c>
      <c r="C289" s="2" t="s">
        <v>2547</v>
      </c>
      <c r="D289" s="2"/>
    </row>
    <row r="290" spans="1:4" ht="18" customHeight="1" x14ac:dyDescent="0.3">
      <c r="A290" s="2" t="s">
        <v>1671</v>
      </c>
      <c r="B290" s="2" t="s">
        <v>168</v>
      </c>
      <c r="C290" s="2" t="s">
        <v>2547</v>
      </c>
      <c r="D290" s="2"/>
    </row>
    <row r="291" spans="1:4" ht="18" customHeight="1" x14ac:dyDescent="0.3">
      <c r="A291" s="2" t="s">
        <v>1672</v>
      </c>
      <c r="B291" s="2" t="s">
        <v>168</v>
      </c>
      <c r="C291" s="2" t="s">
        <v>2547</v>
      </c>
      <c r="D291" s="2"/>
    </row>
    <row r="292" spans="1:4" ht="18" customHeight="1" x14ac:dyDescent="0.3">
      <c r="A292" s="2" t="s">
        <v>1673</v>
      </c>
      <c r="B292" s="2" t="s">
        <v>168</v>
      </c>
      <c r="C292" s="2" t="s">
        <v>2547</v>
      </c>
      <c r="D292" s="2"/>
    </row>
    <row r="293" spans="1:4" ht="18" customHeight="1" x14ac:dyDescent="0.3">
      <c r="A293" s="2" t="s">
        <v>1674</v>
      </c>
      <c r="B293" s="2" t="s">
        <v>168</v>
      </c>
      <c r="C293" s="2" t="s">
        <v>2547</v>
      </c>
      <c r="D293" s="2"/>
    </row>
    <row r="294" spans="1:4" ht="18" customHeight="1" x14ac:dyDescent="0.3">
      <c r="A294" s="2" t="s">
        <v>1675</v>
      </c>
      <c r="B294" s="2" t="s">
        <v>168</v>
      </c>
      <c r="C294" s="2" t="s">
        <v>2547</v>
      </c>
      <c r="D294" s="2"/>
    </row>
    <row r="295" spans="1:4" ht="18" customHeight="1" x14ac:dyDescent="0.3">
      <c r="A295" s="2" t="s">
        <v>1676</v>
      </c>
      <c r="B295" s="2" t="s">
        <v>168</v>
      </c>
      <c r="C295" s="2" t="s">
        <v>2547</v>
      </c>
      <c r="D295" s="2"/>
    </row>
    <row r="296" spans="1:4" ht="18" customHeight="1" x14ac:dyDescent="0.3">
      <c r="A296" s="2" t="s">
        <v>1677</v>
      </c>
      <c r="B296" s="2" t="s">
        <v>168</v>
      </c>
      <c r="C296" s="2" t="s">
        <v>2547</v>
      </c>
      <c r="D296" s="2"/>
    </row>
    <row r="297" spans="1:4" ht="18" customHeight="1" x14ac:dyDescent="0.3">
      <c r="A297" s="2" t="s">
        <v>1678</v>
      </c>
      <c r="B297" s="2" t="s">
        <v>168</v>
      </c>
      <c r="C297" s="2" t="s">
        <v>2547</v>
      </c>
      <c r="D297" s="2"/>
    </row>
    <row r="298" spans="1:4" ht="18" customHeight="1" x14ac:dyDescent="0.3">
      <c r="A298" s="2" t="s">
        <v>1679</v>
      </c>
      <c r="B298" s="2" t="s">
        <v>168</v>
      </c>
      <c r="C298" s="2" t="s">
        <v>2547</v>
      </c>
      <c r="D298" s="2"/>
    </row>
    <row r="299" spans="1:4" ht="18" customHeight="1" x14ac:dyDescent="0.3">
      <c r="A299" s="2" t="s">
        <v>1680</v>
      </c>
      <c r="B299" s="2" t="s">
        <v>168</v>
      </c>
      <c r="C299" s="2" t="s">
        <v>2547</v>
      </c>
      <c r="D299" s="2"/>
    </row>
    <row r="300" spans="1:4" ht="18" customHeight="1" x14ac:dyDescent="0.3">
      <c r="A300" s="2" t="s">
        <v>1681</v>
      </c>
      <c r="B300" s="2" t="s">
        <v>168</v>
      </c>
      <c r="C300" s="2" t="s">
        <v>2547</v>
      </c>
      <c r="D300" s="2"/>
    </row>
    <row r="301" spans="1:4" ht="18" customHeight="1" x14ac:dyDescent="0.3">
      <c r="A301" s="2" t="s">
        <v>1682</v>
      </c>
      <c r="B301" s="2" t="s">
        <v>168</v>
      </c>
      <c r="C301" s="2" t="s">
        <v>2547</v>
      </c>
      <c r="D301" s="2"/>
    </row>
    <row r="302" spans="1:4" ht="18" customHeight="1" x14ac:dyDescent="0.3">
      <c r="A302" s="2" t="s">
        <v>1683</v>
      </c>
      <c r="B302" s="2" t="s">
        <v>168</v>
      </c>
      <c r="C302" s="2" t="s">
        <v>2547</v>
      </c>
      <c r="D302" s="2"/>
    </row>
    <row r="303" spans="1:4" ht="18" customHeight="1" x14ac:dyDescent="0.3">
      <c r="A303" s="2" t="s">
        <v>1684</v>
      </c>
      <c r="B303" s="2" t="s">
        <v>168</v>
      </c>
      <c r="C303" s="2" t="s">
        <v>2547</v>
      </c>
      <c r="D303" s="2"/>
    </row>
    <row r="304" spans="1:4" ht="18" customHeight="1" x14ac:dyDescent="0.3">
      <c r="A304" s="2" t="s">
        <v>1685</v>
      </c>
      <c r="B304" s="2" t="s">
        <v>168</v>
      </c>
      <c r="C304" s="2" t="s">
        <v>2547</v>
      </c>
      <c r="D304" s="2"/>
    </row>
    <row r="305" spans="1:4" ht="18" customHeight="1" x14ac:dyDescent="0.3">
      <c r="A305" s="2" t="s">
        <v>1686</v>
      </c>
      <c r="B305" s="2" t="s">
        <v>168</v>
      </c>
      <c r="C305" s="2" t="s">
        <v>2547</v>
      </c>
      <c r="D305" s="2"/>
    </row>
    <row r="306" spans="1:4" ht="18" customHeight="1" x14ac:dyDescent="0.3">
      <c r="A306" s="2" t="s">
        <v>1687</v>
      </c>
      <c r="B306" s="2" t="s">
        <v>168</v>
      </c>
      <c r="C306" s="2" t="s">
        <v>2547</v>
      </c>
      <c r="D306" s="2"/>
    </row>
    <row r="307" spans="1:4" ht="18" customHeight="1" x14ac:dyDescent="0.3">
      <c r="A307" s="2" t="s">
        <v>1688</v>
      </c>
      <c r="B307" s="2" t="s">
        <v>168</v>
      </c>
      <c r="C307" s="2" t="s">
        <v>2547</v>
      </c>
      <c r="D307" s="2"/>
    </row>
    <row r="308" spans="1:4" ht="18" customHeight="1" x14ac:dyDescent="0.3">
      <c r="A308" s="2" t="s">
        <v>1689</v>
      </c>
      <c r="B308" s="2" t="s">
        <v>168</v>
      </c>
      <c r="C308" s="2" t="s">
        <v>2547</v>
      </c>
      <c r="D308" s="2"/>
    </row>
    <row r="309" spans="1:4" ht="18" customHeight="1" x14ac:dyDescent="0.3">
      <c r="A309" s="2" t="s">
        <v>1690</v>
      </c>
      <c r="B309" s="2" t="s">
        <v>168</v>
      </c>
      <c r="C309" s="2" t="s">
        <v>2547</v>
      </c>
      <c r="D309" s="2"/>
    </row>
    <row r="310" spans="1:4" ht="18" customHeight="1" x14ac:dyDescent="0.3">
      <c r="A310" s="2" t="s">
        <v>1691</v>
      </c>
      <c r="B310" s="2" t="s">
        <v>168</v>
      </c>
      <c r="C310" s="2" t="s">
        <v>2547</v>
      </c>
      <c r="D310" s="2"/>
    </row>
    <row r="311" spans="1:4" ht="18" customHeight="1" x14ac:dyDescent="0.3">
      <c r="A311" s="2" t="s">
        <v>1692</v>
      </c>
      <c r="B311" s="2" t="s">
        <v>168</v>
      </c>
      <c r="C311" s="2" t="s">
        <v>2547</v>
      </c>
      <c r="D311" s="2"/>
    </row>
    <row r="312" spans="1:4" ht="18" customHeight="1" x14ac:dyDescent="0.3">
      <c r="A312" s="2" t="s">
        <v>1693</v>
      </c>
      <c r="B312" s="2" t="s">
        <v>168</v>
      </c>
      <c r="C312" s="2" t="s">
        <v>2547</v>
      </c>
      <c r="D312" s="2"/>
    </row>
    <row r="313" spans="1:4" ht="18" customHeight="1" x14ac:dyDescent="0.3">
      <c r="A313" s="2" t="s">
        <v>1694</v>
      </c>
      <c r="B313" s="2" t="s">
        <v>168</v>
      </c>
      <c r="C313" s="2" t="s">
        <v>2547</v>
      </c>
      <c r="D313" s="2"/>
    </row>
    <row r="314" spans="1:4" ht="18" customHeight="1" x14ac:dyDescent="0.3">
      <c r="A314" s="2" t="s">
        <v>1695</v>
      </c>
      <c r="B314" s="2" t="s">
        <v>168</v>
      </c>
      <c r="C314" s="2" t="s">
        <v>2547</v>
      </c>
      <c r="D314" s="2"/>
    </row>
    <row r="315" spans="1:4" ht="18" customHeight="1" x14ac:dyDescent="0.3">
      <c r="A315" s="2" t="s">
        <v>1696</v>
      </c>
      <c r="B315" s="2" t="s">
        <v>168</v>
      </c>
      <c r="C315" s="2" t="s">
        <v>2547</v>
      </c>
      <c r="D315" s="2"/>
    </row>
    <row r="316" spans="1:4" ht="18" customHeight="1" x14ac:dyDescent="0.3">
      <c r="A316" s="2" t="s">
        <v>1697</v>
      </c>
      <c r="B316" s="2" t="s">
        <v>168</v>
      </c>
      <c r="C316" s="2" t="s">
        <v>2547</v>
      </c>
      <c r="D316" s="2"/>
    </row>
    <row r="317" spans="1:4" ht="18" customHeight="1" x14ac:dyDescent="0.3">
      <c r="A317" s="2" t="s">
        <v>1698</v>
      </c>
      <c r="B317" s="2" t="s">
        <v>168</v>
      </c>
      <c r="C317" s="2" t="s">
        <v>2547</v>
      </c>
      <c r="D317" s="2"/>
    </row>
    <row r="318" spans="1:4" ht="18" customHeight="1" x14ac:dyDescent="0.3">
      <c r="A318" s="2" t="s">
        <v>1699</v>
      </c>
      <c r="B318" s="2" t="s">
        <v>168</v>
      </c>
      <c r="C318" s="2" t="s">
        <v>2547</v>
      </c>
      <c r="D318" s="2"/>
    </row>
    <row r="319" spans="1:4" ht="18" customHeight="1" x14ac:dyDescent="0.3">
      <c r="A319" s="2" t="s">
        <v>1700</v>
      </c>
      <c r="B319" s="2" t="s">
        <v>168</v>
      </c>
      <c r="C319" s="2" t="s">
        <v>2547</v>
      </c>
      <c r="D319" s="2"/>
    </row>
    <row r="320" spans="1:4" ht="18" customHeight="1" x14ac:dyDescent="0.3">
      <c r="A320" s="2" t="s">
        <v>1701</v>
      </c>
      <c r="B320" s="2" t="s">
        <v>168</v>
      </c>
      <c r="C320" s="2" t="s">
        <v>2547</v>
      </c>
      <c r="D320" s="2"/>
    </row>
    <row r="321" spans="1:4" ht="18" customHeight="1" x14ac:dyDescent="0.3">
      <c r="A321" s="2" t="s">
        <v>1702</v>
      </c>
      <c r="B321" s="2" t="s">
        <v>168</v>
      </c>
      <c r="C321" s="2" t="s">
        <v>2547</v>
      </c>
      <c r="D321" s="2"/>
    </row>
    <row r="322" spans="1:4" ht="18" customHeight="1" x14ac:dyDescent="0.3">
      <c r="A322" s="2" t="s">
        <v>1703</v>
      </c>
      <c r="B322" s="2" t="s">
        <v>168</v>
      </c>
      <c r="C322" s="2" t="s">
        <v>2547</v>
      </c>
      <c r="D322" s="2"/>
    </row>
    <row r="323" spans="1:4" ht="18" customHeight="1" x14ac:dyDescent="0.3">
      <c r="A323" s="2" t="s">
        <v>1704</v>
      </c>
      <c r="B323" s="2" t="s">
        <v>168</v>
      </c>
      <c r="C323" s="2" t="s">
        <v>2547</v>
      </c>
      <c r="D323" s="2"/>
    </row>
    <row r="324" spans="1:4" ht="18" customHeight="1" x14ac:dyDescent="0.3">
      <c r="A324" s="2" t="s">
        <v>1705</v>
      </c>
      <c r="B324" s="2" t="s">
        <v>168</v>
      </c>
      <c r="C324" s="2" t="s">
        <v>2547</v>
      </c>
      <c r="D324" s="2"/>
    </row>
    <row r="325" spans="1:4" ht="18" customHeight="1" x14ac:dyDescent="0.3">
      <c r="A325" s="2" t="s">
        <v>3009</v>
      </c>
      <c r="B325" s="2" t="s">
        <v>168</v>
      </c>
      <c r="C325" s="2" t="s">
        <v>2547</v>
      </c>
      <c r="D325" s="2"/>
    </row>
    <row r="326" spans="1:4" ht="18" customHeight="1" x14ac:dyDescent="0.3">
      <c r="A326" s="2" t="s">
        <v>1706</v>
      </c>
      <c r="B326" s="2" t="s">
        <v>168</v>
      </c>
      <c r="C326" s="2" t="s">
        <v>2547</v>
      </c>
      <c r="D326" s="2"/>
    </row>
    <row r="327" spans="1:4" ht="18" customHeight="1" x14ac:dyDescent="0.3">
      <c r="A327" s="2" t="s">
        <v>1707</v>
      </c>
      <c r="B327" s="2" t="s">
        <v>168</v>
      </c>
      <c r="C327" s="2" t="s">
        <v>2547</v>
      </c>
      <c r="D327" s="2"/>
    </row>
    <row r="328" spans="1:4" ht="18" customHeight="1" x14ac:dyDescent="0.3">
      <c r="A328" s="2" t="s">
        <v>1708</v>
      </c>
      <c r="B328" s="2" t="s">
        <v>168</v>
      </c>
      <c r="C328" s="2" t="s">
        <v>2547</v>
      </c>
      <c r="D328" s="2"/>
    </row>
    <row r="329" spans="1:4" ht="18" customHeight="1" x14ac:dyDescent="0.3">
      <c r="A329" s="2" t="s">
        <v>1709</v>
      </c>
      <c r="B329" s="2" t="s">
        <v>168</v>
      </c>
      <c r="C329" s="2" t="s">
        <v>2547</v>
      </c>
      <c r="D329" s="2"/>
    </row>
    <row r="330" spans="1:4" ht="18" customHeight="1" x14ac:dyDescent="0.3">
      <c r="A330" s="2" t="s">
        <v>1710</v>
      </c>
      <c r="B330" s="2" t="s">
        <v>168</v>
      </c>
      <c r="C330" s="2" t="s">
        <v>2547</v>
      </c>
      <c r="D330" s="2"/>
    </row>
    <row r="331" spans="1:4" ht="18" customHeight="1" x14ac:dyDescent="0.3">
      <c r="A331" s="2" t="s">
        <v>1711</v>
      </c>
      <c r="B331" s="2" t="s">
        <v>168</v>
      </c>
      <c r="C331" s="2" t="s">
        <v>2547</v>
      </c>
      <c r="D331" s="2"/>
    </row>
    <row r="332" spans="1:4" ht="18" customHeight="1" x14ac:dyDescent="0.3">
      <c r="A332" s="2" t="s">
        <v>1712</v>
      </c>
      <c r="B332" s="2" t="s">
        <v>168</v>
      </c>
      <c r="C332" s="2" t="s">
        <v>2547</v>
      </c>
      <c r="D332" s="2"/>
    </row>
    <row r="333" spans="1:4" ht="18" customHeight="1" x14ac:dyDescent="0.3">
      <c r="A333" s="2" t="s">
        <v>1713</v>
      </c>
      <c r="B333" s="2" t="s">
        <v>168</v>
      </c>
      <c r="C333" s="2" t="s">
        <v>2547</v>
      </c>
      <c r="D333" s="2"/>
    </row>
    <row r="334" spans="1:4" ht="18" customHeight="1" x14ac:dyDescent="0.3">
      <c r="A334" s="2" t="s">
        <v>1714</v>
      </c>
      <c r="B334" s="2" t="s">
        <v>168</v>
      </c>
      <c r="C334" s="2" t="s">
        <v>2547</v>
      </c>
      <c r="D334" s="2"/>
    </row>
    <row r="335" spans="1:4" ht="18" customHeight="1" x14ac:dyDescent="0.3">
      <c r="A335" s="2" t="s">
        <v>1715</v>
      </c>
      <c r="B335" s="2" t="s">
        <v>168</v>
      </c>
      <c r="C335" s="2" t="s">
        <v>2547</v>
      </c>
      <c r="D335" s="2"/>
    </row>
    <row r="336" spans="1:4" ht="18" customHeight="1" x14ac:dyDescent="0.3">
      <c r="A336" s="2" t="s">
        <v>1716</v>
      </c>
      <c r="B336" s="2" t="s">
        <v>168</v>
      </c>
      <c r="C336" s="2" t="s">
        <v>2547</v>
      </c>
      <c r="D336" s="2"/>
    </row>
    <row r="337" spans="1:4" ht="18" customHeight="1" x14ac:dyDescent="0.3">
      <c r="A337" s="2" t="s">
        <v>1717</v>
      </c>
      <c r="B337" s="2" t="s">
        <v>168</v>
      </c>
      <c r="C337" s="2" t="s">
        <v>2547</v>
      </c>
      <c r="D337" s="2"/>
    </row>
    <row r="338" spans="1:4" ht="18" customHeight="1" x14ac:dyDescent="0.3">
      <c r="A338" s="2" t="s">
        <v>1718</v>
      </c>
      <c r="B338" s="2" t="s">
        <v>168</v>
      </c>
      <c r="C338" s="2" t="s">
        <v>2547</v>
      </c>
      <c r="D338" s="2"/>
    </row>
    <row r="339" spans="1:4" x14ac:dyDescent="0.3">
      <c r="A339" s="2" t="s">
        <v>1719</v>
      </c>
      <c r="B339" s="2" t="s">
        <v>168</v>
      </c>
      <c r="C339" s="2" t="s">
        <v>2547</v>
      </c>
      <c r="D339" s="2"/>
    </row>
    <row r="340" spans="1:4" x14ac:dyDescent="0.3">
      <c r="A340" s="2" t="s">
        <v>1720</v>
      </c>
      <c r="B340" s="2" t="s">
        <v>168</v>
      </c>
      <c r="C340" s="2" t="s">
        <v>2547</v>
      </c>
      <c r="D340" s="2"/>
    </row>
    <row r="341" spans="1:4" x14ac:dyDescent="0.3">
      <c r="A341" s="2" t="s">
        <v>1721</v>
      </c>
      <c r="B341" s="2" t="s">
        <v>168</v>
      </c>
      <c r="C341" s="2" t="s">
        <v>2547</v>
      </c>
      <c r="D341" s="2"/>
    </row>
    <row r="342" spans="1:4" x14ac:dyDescent="0.3">
      <c r="A342" s="2" t="s">
        <v>1722</v>
      </c>
      <c r="B342" s="2" t="s">
        <v>168</v>
      </c>
      <c r="C342" s="2" t="s">
        <v>2547</v>
      </c>
      <c r="D342" s="2"/>
    </row>
    <row r="343" spans="1:4" x14ac:dyDescent="0.3">
      <c r="A343" s="2" t="s">
        <v>1723</v>
      </c>
      <c r="B343" s="2" t="s">
        <v>168</v>
      </c>
      <c r="C343" s="2" t="s">
        <v>2547</v>
      </c>
      <c r="D343" s="2"/>
    </row>
    <row r="344" spans="1:4" x14ac:dyDescent="0.3">
      <c r="A344" s="2" t="s">
        <v>1724</v>
      </c>
      <c r="B344" s="2" t="s">
        <v>168</v>
      </c>
      <c r="C344" s="2" t="s">
        <v>2547</v>
      </c>
      <c r="D344" s="2"/>
    </row>
    <row r="345" spans="1:4" x14ac:dyDescent="0.3">
      <c r="A345" s="2" t="s">
        <v>1725</v>
      </c>
      <c r="B345" s="2" t="s">
        <v>168</v>
      </c>
      <c r="C345" s="2" t="s">
        <v>2547</v>
      </c>
      <c r="D345" s="2"/>
    </row>
    <row r="346" spans="1:4" x14ac:dyDescent="0.3">
      <c r="A346" s="2" t="s">
        <v>1726</v>
      </c>
      <c r="B346" s="2" t="s">
        <v>168</v>
      </c>
      <c r="C346" s="2" t="s">
        <v>2547</v>
      </c>
      <c r="D346" s="2"/>
    </row>
    <row r="347" spans="1:4" x14ac:dyDescent="0.3">
      <c r="A347" s="2" t="s">
        <v>1727</v>
      </c>
      <c r="B347" s="2" t="s">
        <v>168</v>
      </c>
      <c r="C347" s="2" t="s">
        <v>2547</v>
      </c>
      <c r="D347" s="2"/>
    </row>
    <row r="348" spans="1:4" x14ac:dyDescent="0.3">
      <c r="A348" s="2" t="s">
        <v>1728</v>
      </c>
      <c r="B348" s="2" t="s">
        <v>168</v>
      </c>
      <c r="C348" s="2" t="s">
        <v>2547</v>
      </c>
      <c r="D348" s="2"/>
    </row>
    <row r="349" spans="1:4" x14ac:dyDescent="0.3">
      <c r="A349" s="2" t="s">
        <v>1729</v>
      </c>
      <c r="B349" s="2" t="s">
        <v>168</v>
      </c>
      <c r="C349" s="2" t="s">
        <v>2547</v>
      </c>
      <c r="D349" s="2"/>
    </row>
    <row r="350" spans="1:4" x14ac:dyDescent="0.3">
      <c r="A350" s="2" t="s">
        <v>1730</v>
      </c>
      <c r="B350" s="2" t="s">
        <v>168</v>
      </c>
      <c r="C350" s="2" t="s">
        <v>2547</v>
      </c>
      <c r="D350" s="2"/>
    </row>
    <row r="351" spans="1:4" x14ac:dyDescent="0.3">
      <c r="A351" s="2" t="s">
        <v>1731</v>
      </c>
      <c r="B351" s="2" t="s">
        <v>168</v>
      </c>
      <c r="C351" s="2" t="s">
        <v>2547</v>
      </c>
      <c r="D351" s="2"/>
    </row>
    <row r="352" spans="1:4" x14ac:dyDescent="0.3">
      <c r="A352" s="2" t="s">
        <v>1732</v>
      </c>
      <c r="B352" s="2" t="s">
        <v>168</v>
      </c>
      <c r="C352" s="2" t="s">
        <v>2547</v>
      </c>
      <c r="D352" s="2"/>
    </row>
    <row r="353" spans="1:4" x14ac:dyDescent="0.3">
      <c r="A353" s="2" t="s">
        <v>1733</v>
      </c>
      <c r="B353" s="2" t="s">
        <v>168</v>
      </c>
      <c r="C353" s="2" t="s">
        <v>2547</v>
      </c>
      <c r="D353" s="2"/>
    </row>
    <row r="354" spans="1:4" x14ac:dyDescent="0.3">
      <c r="A354" s="2" t="s">
        <v>1734</v>
      </c>
      <c r="B354" s="2" t="s">
        <v>168</v>
      </c>
      <c r="C354" s="2" t="s">
        <v>2547</v>
      </c>
      <c r="D354" s="2"/>
    </row>
    <row r="355" spans="1:4" x14ac:dyDescent="0.3">
      <c r="A355" s="2" t="s">
        <v>1735</v>
      </c>
      <c r="B355" s="2" t="s">
        <v>168</v>
      </c>
      <c r="C355" s="2" t="s">
        <v>2547</v>
      </c>
      <c r="D355" s="2"/>
    </row>
    <row r="356" spans="1:4" x14ac:dyDescent="0.3">
      <c r="A356" s="2" t="s">
        <v>1736</v>
      </c>
      <c r="B356" s="2" t="s">
        <v>168</v>
      </c>
      <c r="C356" s="2" t="s">
        <v>2547</v>
      </c>
      <c r="D356" s="2"/>
    </row>
    <row r="357" spans="1:4" x14ac:dyDescent="0.3">
      <c r="A357" s="2" t="s">
        <v>1737</v>
      </c>
      <c r="B357" s="2" t="s">
        <v>168</v>
      </c>
      <c r="C357" s="2" t="s">
        <v>2547</v>
      </c>
      <c r="D357" s="2"/>
    </row>
    <row r="358" spans="1:4" x14ac:dyDescent="0.3">
      <c r="A358" s="2" t="s">
        <v>1738</v>
      </c>
      <c r="B358" s="2" t="s">
        <v>168</v>
      </c>
      <c r="C358" s="2" t="s">
        <v>2547</v>
      </c>
      <c r="D358" s="2"/>
    </row>
    <row r="359" spans="1:4" x14ac:dyDescent="0.3">
      <c r="A359" s="2" t="s">
        <v>1739</v>
      </c>
      <c r="B359" s="2" t="s">
        <v>168</v>
      </c>
      <c r="C359" s="2" t="s">
        <v>2547</v>
      </c>
      <c r="D359" s="2"/>
    </row>
    <row r="360" spans="1:4" x14ac:dyDescent="0.3">
      <c r="A360" s="2" t="s">
        <v>1740</v>
      </c>
      <c r="B360" s="2" t="s">
        <v>168</v>
      </c>
      <c r="C360" s="2" t="s">
        <v>2547</v>
      </c>
      <c r="D360" s="2"/>
    </row>
    <row r="361" spans="1:4" x14ac:dyDescent="0.3">
      <c r="A361" s="2" t="s">
        <v>1741</v>
      </c>
      <c r="B361" s="2" t="s">
        <v>168</v>
      </c>
      <c r="C361" s="2" t="s">
        <v>2547</v>
      </c>
      <c r="D361" s="2"/>
    </row>
    <row r="362" spans="1:4" x14ac:dyDescent="0.3">
      <c r="A362" s="2" t="s">
        <v>1742</v>
      </c>
      <c r="B362" s="2" t="s">
        <v>168</v>
      </c>
      <c r="C362" s="2" t="s">
        <v>2547</v>
      </c>
      <c r="D362" s="2"/>
    </row>
    <row r="363" spans="1:4" x14ac:dyDescent="0.3">
      <c r="A363" s="2" t="s">
        <v>1743</v>
      </c>
      <c r="B363" s="2" t="s">
        <v>168</v>
      </c>
      <c r="C363" s="2" t="s">
        <v>2547</v>
      </c>
      <c r="D363" s="2"/>
    </row>
    <row r="364" spans="1:4" x14ac:dyDescent="0.3">
      <c r="A364" s="2" t="s">
        <v>1744</v>
      </c>
      <c r="B364" s="2" t="s">
        <v>168</v>
      </c>
      <c r="C364" s="2" t="s">
        <v>2547</v>
      </c>
      <c r="D364" s="2"/>
    </row>
    <row r="365" spans="1:4" x14ac:dyDescent="0.3">
      <c r="A365" s="2" t="s">
        <v>1745</v>
      </c>
      <c r="B365" s="2" t="s">
        <v>168</v>
      </c>
      <c r="C365" s="2" t="s">
        <v>2547</v>
      </c>
      <c r="D365" s="2"/>
    </row>
    <row r="366" spans="1:4" x14ac:dyDescent="0.3">
      <c r="A366" s="2" t="s">
        <v>1746</v>
      </c>
      <c r="B366" s="2" t="s">
        <v>168</v>
      </c>
      <c r="C366" s="2" t="s">
        <v>2547</v>
      </c>
      <c r="D366" s="2"/>
    </row>
    <row r="367" spans="1:4" x14ac:dyDescent="0.3">
      <c r="A367" s="2" t="s">
        <v>1747</v>
      </c>
      <c r="B367" s="2" t="s">
        <v>168</v>
      </c>
      <c r="C367" s="2" t="s">
        <v>2547</v>
      </c>
      <c r="D367" s="2"/>
    </row>
    <row r="368" spans="1:4" x14ac:dyDescent="0.3">
      <c r="A368" s="2" t="s">
        <v>1748</v>
      </c>
      <c r="B368" s="2" t="s">
        <v>168</v>
      </c>
      <c r="C368" s="2" t="s">
        <v>2547</v>
      </c>
      <c r="D368" s="2"/>
    </row>
    <row r="369" spans="1:4" x14ac:dyDescent="0.3">
      <c r="A369" s="2" t="s">
        <v>1749</v>
      </c>
      <c r="B369" s="2" t="s">
        <v>168</v>
      </c>
      <c r="C369" s="2" t="s">
        <v>2547</v>
      </c>
      <c r="D369" s="2"/>
    </row>
    <row r="370" spans="1:4" x14ac:dyDescent="0.3">
      <c r="A370" s="2" t="s">
        <v>1750</v>
      </c>
      <c r="B370" s="2" t="s">
        <v>168</v>
      </c>
      <c r="C370" s="2" t="s">
        <v>2547</v>
      </c>
      <c r="D370" s="2"/>
    </row>
    <row r="371" spans="1:4" x14ac:dyDescent="0.3">
      <c r="A371" s="2" t="s">
        <v>1751</v>
      </c>
      <c r="B371" s="2" t="s">
        <v>168</v>
      </c>
      <c r="C371" s="2" t="s">
        <v>2547</v>
      </c>
      <c r="D371" s="2"/>
    </row>
    <row r="372" spans="1:4" x14ac:dyDescent="0.3">
      <c r="A372" s="2" t="s">
        <v>1752</v>
      </c>
      <c r="B372" s="2" t="s">
        <v>168</v>
      </c>
      <c r="C372" s="2" t="s">
        <v>2547</v>
      </c>
      <c r="D372" s="2"/>
    </row>
    <row r="373" spans="1:4" x14ac:dyDescent="0.3">
      <c r="A373" s="2" t="s">
        <v>1753</v>
      </c>
      <c r="B373" s="2" t="s">
        <v>168</v>
      </c>
      <c r="C373" s="2" t="s">
        <v>2547</v>
      </c>
      <c r="D373" s="2"/>
    </row>
    <row r="374" spans="1:4" x14ac:dyDescent="0.3">
      <c r="A374" s="2" t="s">
        <v>1754</v>
      </c>
      <c r="B374" s="2" t="s">
        <v>168</v>
      </c>
      <c r="C374" s="2" t="s">
        <v>2547</v>
      </c>
      <c r="D374" s="2"/>
    </row>
    <row r="375" spans="1:4" x14ac:dyDescent="0.3">
      <c r="A375" s="2" t="s">
        <v>1755</v>
      </c>
      <c r="B375" s="2" t="s">
        <v>168</v>
      </c>
      <c r="C375" s="2" t="s">
        <v>2547</v>
      </c>
      <c r="D375" s="2"/>
    </row>
    <row r="376" spans="1:4" x14ac:dyDescent="0.3">
      <c r="A376" s="2" t="s">
        <v>1756</v>
      </c>
      <c r="B376" s="2" t="s">
        <v>168</v>
      </c>
      <c r="C376" s="2" t="s">
        <v>2547</v>
      </c>
      <c r="D376" s="2"/>
    </row>
    <row r="377" spans="1:4" x14ac:dyDescent="0.3">
      <c r="A377" s="2" t="s">
        <v>1757</v>
      </c>
      <c r="B377" s="2" t="s">
        <v>168</v>
      </c>
      <c r="C377" s="2" t="s">
        <v>2547</v>
      </c>
      <c r="D377" s="2"/>
    </row>
    <row r="378" spans="1:4" x14ac:dyDescent="0.3">
      <c r="A378" s="2" t="s">
        <v>1758</v>
      </c>
      <c r="B378" s="2" t="s">
        <v>168</v>
      </c>
      <c r="C378" s="2" t="s">
        <v>2547</v>
      </c>
      <c r="D378" s="2"/>
    </row>
    <row r="379" spans="1:4" x14ac:dyDescent="0.3">
      <c r="A379" s="2" t="s">
        <v>1759</v>
      </c>
      <c r="B379" s="2" t="s">
        <v>168</v>
      </c>
      <c r="C379" s="2" t="s">
        <v>2547</v>
      </c>
      <c r="D379" s="2"/>
    </row>
    <row r="380" spans="1:4" x14ac:dyDescent="0.3">
      <c r="A380" s="2" t="s">
        <v>1760</v>
      </c>
      <c r="B380" s="2" t="s">
        <v>168</v>
      </c>
      <c r="C380" s="2" t="s">
        <v>2547</v>
      </c>
      <c r="D380" s="2"/>
    </row>
    <row r="381" spans="1:4" x14ac:dyDescent="0.3">
      <c r="A381" s="2" t="s">
        <v>1761</v>
      </c>
      <c r="B381" s="2" t="s">
        <v>168</v>
      </c>
      <c r="C381" s="2" t="s">
        <v>2547</v>
      </c>
      <c r="D381" s="2"/>
    </row>
    <row r="382" spans="1:4" x14ac:dyDescent="0.3">
      <c r="A382" s="2" t="s">
        <v>1762</v>
      </c>
      <c r="B382" s="2" t="s">
        <v>168</v>
      </c>
      <c r="C382" s="2" t="s">
        <v>2547</v>
      </c>
      <c r="D382" s="2"/>
    </row>
    <row r="383" spans="1:4" x14ac:dyDescent="0.3">
      <c r="A383" s="2" t="s">
        <v>1763</v>
      </c>
      <c r="B383" s="2" t="s">
        <v>168</v>
      </c>
      <c r="C383" s="2" t="s">
        <v>2547</v>
      </c>
      <c r="D383" s="2"/>
    </row>
    <row r="384" spans="1:4" x14ac:dyDescent="0.3">
      <c r="A384" s="2" t="s">
        <v>1764</v>
      </c>
      <c r="B384" s="2" t="s">
        <v>168</v>
      </c>
      <c r="C384" s="2" t="s">
        <v>2547</v>
      </c>
      <c r="D384" s="2"/>
    </row>
    <row r="385" spans="1:4" x14ac:dyDescent="0.3">
      <c r="A385" s="2" t="s">
        <v>1765</v>
      </c>
      <c r="B385" s="2" t="s">
        <v>168</v>
      </c>
      <c r="C385" s="2" t="s">
        <v>2547</v>
      </c>
      <c r="D385" s="2"/>
    </row>
    <row r="386" spans="1:4" x14ac:dyDescent="0.3">
      <c r="A386" s="2" t="s">
        <v>1766</v>
      </c>
      <c r="B386" s="2" t="s">
        <v>168</v>
      </c>
      <c r="C386" s="2" t="s">
        <v>2547</v>
      </c>
      <c r="D386" s="2"/>
    </row>
    <row r="387" spans="1:4" x14ac:dyDescent="0.3">
      <c r="A387" s="2" t="s">
        <v>1767</v>
      </c>
      <c r="B387" s="2" t="s">
        <v>168</v>
      </c>
      <c r="C387" s="2" t="s">
        <v>2547</v>
      </c>
      <c r="D387" s="2"/>
    </row>
    <row r="388" spans="1:4" x14ac:dyDescent="0.3">
      <c r="A388" s="2" t="s">
        <v>1768</v>
      </c>
      <c r="B388" s="2" t="s">
        <v>168</v>
      </c>
      <c r="C388" s="2" t="s">
        <v>2547</v>
      </c>
      <c r="D388" s="2"/>
    </row>
    <row r="389" spans="1:4" x14ac:dyDescent="0.3">
      <c r="A389" s="2" t="s">
        <v>1769</v>
      </c>
      <c r="B389" s="2" t="s">
        <v>168</v>
      </c>
      <c r="C389" s="2" t="s">
        <v>2547</v>
      </c>
      <c r="D389" s="2"/>
    </row>
    <row r="390" spans="1:4" x14ac:dyDescent="0.3">
      <c r="A390" s="2" t="s">
        <v>1770</v>
      </c>
      <c r="B390" s="2" t="s">
        <v>168</v>
      </c>
      <c r="C390" s="2" t="s">
        <v>2547</v>
      </c>
      <c r="D390" s="2"/>
    </row>
    <row r="391" spans="1:4" x14ac:dyDescent="0.3">
      <c r="A391" s="2" t="s">
        <v>1771</v>
      </c>
      <c r="B391" s="2" t="s">
        <v>168</v>
      </c>
      <c r="C391" s="2" t="s">
        <v>2547</v>
      </c>
      <c r="D391" s="2"/>
    </row>
    <row r="392" spans="1:4" x14ac:dyDescent="0.3">
      <c r="A392" s="2" t="s">
        <v>1772</v>
      </c>
      <c r="B392" s="2" t="s">
        <v>168</v>
      </c>
      <c r="C392" s="2" t="s">
        <v>2547</v>
      </c>
      <c r="D392" s="2"/>
    </row>
    <row r="393" spans="1:4" x14ac:dyDescent="0.3">
      <c r="A393" s="2" t="s">
        <v>1773</v>
      </c>
      <c r="B393" s="2" t="s">
        <v>168</v>
      </c>
      <c r="C393" s="2" t="s">
        <v>2547</v>
      </c>
      <c r="D393" s="2"/>
    </row>
    <row r="394" spans="1:4" x14ac:dyDescent="0.3">
      <c r="A394" s="2" t="s">
        <v>1774</v>
      </c>
      <c r="B394" s="2" t="s">
        <v>168</v>
      </c>
      <c r="C394" s="2" t="s">
        <v>2547</v>
      </c>
      <c r="D394" s="2"/>
    </row>
    <row r="395" spans="1:4" x14ac:dyDescent="0.3">
      <c r="A395" s="2" t="s">
        <v>1775</v>
      </c>
      <c r="B395" s="2" t="s">
        <v>168</v>
      </c>
      <c r="C395" s="2" t="s">
        <v>2547</v>
      </c>
      <c r="D395" s="2"/>
    </row>
    <row r="396" spans="1:4" x14ac:dyDescent="0.3">
      <c r="A396" s="2" t="s">
        <v>1776</v>
      </c>
      <c r="B396" s="2" t="s">
        <v>168</v>
      </c>
      <c r="C396" s="2" t="s">
        <v>2547</v>
      </c>
      <c r="D396" s="2"/>
    </row>
    <row r="397" spans="1:4" x14ac:dyDescent="0.3">
      <c r="A397" s="2" t="s">
        <v>1777</v>
      </c>
      <c r="B397" s="2" t="s">
        <v>168</v>
      </c>
      <c r="C397" s="2" t="s">
        <v>2547</v>
      </c>
      <c r="D397" s="2"/>
    </row>
    <row r="398" spans="1:4" x14ac:dyDescent="0.3">
      <c r="A398" s="2" t="s">
        <v>1778</v>
      </c>
      <c r="B398" s="2" t="s">
        <v>168</v>
      </c>
      <c r="C398" s="2" t="s">
        <v>2547</v>
      </c>
      <c r="D398" s="2"/>
    </row>
    <row r="399" spans="1:4" x14ac:dyDescent="0.3">
      <c r="A399" s="2" t="s">
        <v>1779</v>
      </c>
      <c r="B399" s="2" t="s">
        <v>168</v>
      </c>
      <c r="C399" s="2" t="s">
        <v>2547</v>
      </c>
      <c r="D399" s="2"/>
    </row>
    <row r="400" spans="1:4" x14ac:dyDescent="0.3">
      <c r="A400" s="2" t="s">
        <v>1780</v>
      </c>
      <c r="B400" s="2" t="s">
        <v>168</v>
      </c>
      <c r="C400" s="2" t="s">
        <v>2547</v>
      </c>
      <c r="D400" s="2"/>
    </row>
    <row r="401" spans="1:4" x14ac:dyDescent="0.3">
      <c r="A401" s="2" t="s">
        <v>1781</v>
      </c>
      <c r="B401" s="2" t="s">
        <v>168</v>
      </c>
      <c r="C401" s="2" t="s">
        <v>2547</v>
      </c>
      <c r="D401" s="2"/>
    </row>
    <row r="402" spans="1:4" x14ac:dyDescent="0.3">
      <c r="A402" s="2" t="s">
        <v>1782</v>
      </c>
      <c r="B402" s="2" t="s">
        <v>168</v>
      </c>
      <c r="C402" s="2" t="s">
        <v>2547</v>
      </c>
      <c r="D402" s="2"/>
    </row>
    <row r="403" spans="1:4" x14ac:dyDescent="0.3">
      <c r="A403" s="2" t="s">
        <v>1783</v>
      </c>
      <c r="B403" s="2" t="s">
        <v>168</v>
      </c>
      <c r="C403" s="2" t="s">
        <v>2547</v>
      </c>
      <c r="D403" s="2"/>
    </row>
    <row r="404" spans="1:4" x14ac:dyDescent="0.3">
      <c r="A404" s="2" t="s">
        <v>1784</v>
      </c>
      <c r="B404" s="2" t="s">
        <v>168</v>
      </c>
      <c r="C404" s="2" t="s">
        <v>2547</v>
      </c>
      <c r="D404" s="2"/>
    </row>
    <row r="405" spans="1:4" x14ac:dyDescent="0.3">
      <c r="A405" s="2" t="s">
        <v>1785</v>
      </c>
      <c r="B405" s="2" t="s">
        <v>168</v>
      </c>
      <c r="C405" s="2" t="s">
        <v>2547</v>
      </c>
      <c r="D405" s="2"/>
    </row>
    <row r="406" spans="1:4" x14ac:dyDescent="0.3">
      <c r="A406" s="2" t="s">
        <v>1786</v>
      </c>
      <c r="B406" s="2" t="s">
        <v>168</v>
      </c>
      <c r="C406" s="2" t="s">
        <v>2547</v>
      </c>
      <c r="D406" s="2"/>
    </row>
    <row r="407" spans="1:4" x14ac:dyDescent="0.3">
      <c r="A407" s="2" t="s">
        <v>1787</v>
      </c>
      <c r="B407" s="2" t="s">
        <v>168</v>
      </c>
      <c r="C407" s="2" t="s">
        <v>2547</v>
      </c>
      <c r="D407" s="2"/>
    </row>
    <row r="408" spans="1:4" x14ac:dyDescent="0.3">
      <c r="A408" s="2" t="s">
        <v>1788</v>
      </c>
      <c r="B408" s="2" t="s">
        <v>168</v>
      </c>
      <c r="C408" s="2" t="s">
        <v>2547</v>
      </c>
      <c r="D408" s="2"/>
    </row>
    <row r="409" spans="1:4" x14ac:dyDescent="0.3">
      <c r="A409" s="2" t="s">
        <v>1789</v>
      </c>
      <c r="B409" s="2" t="s">
        <v>168</v>
      </c>
      <c r="C409" s="2" t="s">
        <v>2547</v>
      </c>
      <c r="D409" s="2"/>
    </row>
    <row r="410" spans="1:4" x14ac:dyDescent="0.3">
      <c r="A410" s="2" t="s">
        <v>1790</v>
      </c>
      <c r="B410" s="2" t="s">
        <v>168</v>
      </c>
      <c r="C410" s="2" t="s">
        <v>2547</v>
      </c>
      <c r="D410" s="2"/>
    </row>
    <row r="411" spans="1:4" x14ac:dyDescent="0.3">
      <c r="A411" s="2" t="s">
        <v>1791</v>
      </c>
      <c r="B411" s="2" t="s">
        <v>168</v>
      </c>
      <c r="C411" s="2" t="s">
        <v>2547</v>
      </c>
      <c r="D411" s="2"/>
    </row>
    <row r="412" spans="1:4" x14ac:dyDescent="0.3">
      <c r="A412" s="2" t="s">
        <v>1792</v>
      </c>
      <c r="B412" s="2" t="s">
        <v>168</v>
      </c>
      <c r="C412" s="2" t="s">
        <v>2547</v>
      </c>
      <c r="D412" s="2"/>
    </row>
    <row r="413" spans="1:4" x14ac:dyDescent="0.3">
      <c r="A413" s="2" t="s">
        <v>1793</v>
      </c>
      <c r="B413" s="2" t="s">
        <v>168</v>
      </c>
      <c r="C413" s="2" t="s">
        <v>2547</v>
      </c>
      <c r="D413" s="2"/>
    </row>
    <row r="414" spans="1:4" x14ac:dyDescent="0.3">
      <c r="A414" s="2" t="s">
        <v>1794</v>
      </c>
      <c r="B414" s="2" t="s">
        <v>168</v>
      </c>
      <c r="C414" s="2" t="s">
        <v>2547</v>
      </c>
      <c r="D414" s="2"/>
    </row>
    <row r="415" spans="1:4" x14ac:dyDescent="0.3">
      <c r="A415" s="2" t="s">
        <v>1795</v>
      </c>
      <c r="B415" s="2" t="s">
        <v>168</v>
      </c>
      <c r="C415" s="2" t="s">
        <v>2547</v>
      </c>
      <c r="D415" s="2"/>
    </row>
    <row r="416" spans="1:4" x14ac:dyDescent="0.3">
      <c r="A416" s="2" t="s">
        <v>1796</v>
      </c>
      <c r="B416" s="2" t="s">
        <v>168</v>
      </c>
      <c r="C416" s="2" t="s">
        <v>2547</v>
      </c>
      <c r="D416" s="2"/>
    </row>
    <row r="417" spans="1:4" x14ac:dyDescent="0.3">
      <c r="A417" s="2" t="s">
        <v>1797</v>
      </c>
      <c r="B417" s="2" t="s">
        <v>168</v>
      </c>
      <c r="C417" s="2" t="s">
        <v>2547</v>
      </c>
      <c r="D417" s="2"/>
    </row>
    <row r="418" spans="1:4" x14ac:dyDescent="0.3">
      <c r="A418" s="2" t="s">
        <v>1798</v>
      </c>
      <c r="B418" s="2" t="s">
        <v>168</v>
      </c>
      <c r="C418" s="2" t="s">
        <v>2547</v>
      </c>
      <c r="D418" s="2"/>
    </row>
    <row r="419" spans="1:4" x14ac:dyDescent="0.3">
      <c r="A419" s="2" t="s">
        <v>1799</v>
      </c>
      <c r="B419" s="2" t="s">
        <v>168</v>
      </c>
      <c r="C419" s="2" t="s">
        <v>2547</v>
      </c>
      <c r="D419" s="2"/>
    </row>
    <row r="420" spans="1:4" x14ac:dyDescent="0.3">
      <c r="A420" s="2" t="s">
        <v>1800</v>
      </c>
      <c r="B420" s="2" t="s">
        <v>168</v>
      </c>
      <c r="C420" s="2" t="s">
        <v>2547</v>
      </c>
      <c r="D420" s="2"/>
    </row>
    <row r="421" spans="1:4" x14ac:dyDescent="0.3">
      <c r="A421" s="2" t="s">
        <v>1801</v>
      </c>
      <c r="B421" s="2" t="s">
        <v>168</v>
      </c>
      <c r="C421" s="2" t="s">
        <v>2547</v>
      </c>
      <c r="D421" s="2"/>
    </row>
    <row r="422" spans="1:4" x14ac:dyDescent="0.3">
      <c r="A422" s="2" t="s">
        <v>1802</v>
      </c>
      <c r="B422" s="2" t="s">
        <v>168</v>
      </c>
      <c r="C422" s="2" t="s">
        <v>2547</v>
      </c>
      <c r="D422" s="2"/>
    </row>
    <row r="423" spans="1:4" x14ac:dyDescent="0.3">
      <c r="A423" s="2" t="s">
        <v>1803</v>
      </c>
      <c r="B423" s="2" t="s">
        <v>168</v>
      </c>
      <c r="C423" s="2" t="s">
        <v>2547</v>
      </c>
      <c r="D423" s="2"/>
    </row>
    <row r="424" spans="1:4" x14ac:dyDescent="0.3">
      <c r="A424" s="2" t="s">
        <v>1804</v>
      </c>
      <c r="B424" s="2" t="s">
        <v>168</v>
      </c>
      <c r="C424" s="2" t="s">
        <v>2547</v>
      </c>
      <c r="D424" s="2"/>
    </row>
    <row r="425" spans="1:4" x14ac:dyDescent="0.3">
      <c r="A425" s="2" t="s">
        <v>1805</v>
      </c>
      <c r="B425" s="2" t="s">
        <v>168</v>
      </c>
      <c r="C425" s="2" t="s">
        <v>2547</v>
      </c>
      <c r="D425" s="2"/>
    </row>
    <row r="426" spans="1:4" x14ac:dyDescent="0.3">
      <c r="A426" s="2" t="s">
        <v>1806</v>
      </c>
      <c r="B426" s="2" t="s">
        <v>168</v>
      </c>
      <c r="C426" s="2" t="s">
        <v>2547</v>
      </c>
      <c r="D426" s="2"/>
    </row>
    <row r="427" spans="1:4" x14ac:dyDescent="0.3">
      <c r="A427" s="2" t="s">
        <v>1807</v>
      </c>
      <c r="B427" s="2" t="s">
        <v>168</v>
      </c>
      <c r="C427" s="2" t="s">
        <v>2547</v>
      </c>
      <c r="D427" s="2"/>
    </row>
    <row r="428" spans="1:4" x14ac:dyDescent="0.3">
      <c r="A428" s="2" t="s">
        <v>1808</v>
      </c>
      <c r="B428" s="2" t="s">
        <v>168</v>
      </c>
      <c r="C428" s="2" t="s">
        <v>2547</v>
      </c>
      <c r="D428" s="2"/>
    </row>
    <row r="429" spans="1:4" x14ac:dyDescent="0.3">
      <c r="A429" s="2" t="s">
        <v>1809</v>
      </c>
      <c r="B429" s="2" t="s">
        <v>168</v>
      </c>
      <c r="C429" s="2" t="s">
        <v>2547</v>
      </c>
      <c r="D429" s="2"/>
    </row>
    <row r="430" spans="1:4" x14ac:dyDescent="0.3">
      <c r="A430" s="2" t="s">
        <v>1810</v>
      </c>
      <c r="B430" s="2" t="s">
        <v>168</v>
      </c>
      <c r="C430" s="2" t="s">
        <v>2547</v>
      </c>
      <c r="D430" s="2"/>
    </row>
    <row r="431" spans="1:4" x14ac:dyDescent="0.3">
      <c r="A431" s="2" t="s">
        <v>1811</v>
      </c>
      <c r="B431" s="2" t="s">
        <v>168</v>
      </c>
      <c r="C431" s="2" t="s">
        <v>2547</v>
      </c>
      <c r="D431" s="2"/>
    </row>
    <row r="432" spans="1:4" x14ac:dyDescent="0.3">
      <c r="A432" s="2" t="s">
        <v>1812</v>
      </c>
      <c r="B432" s="2" t="s">
        <v>168</v>
      </c>
      <c r="C432" s="2" t="s">
        <v>2547</v>
      </c>
      <c r="D432" s="2"/>
    </row>
    <row r="433" spans="1:4" x14ac:dyDescent="0.3">
      <c r="A433" s="2" t="s">
        <v>1813</v>
      </c>
      <c r="B433" s="2" t="s">
        <v>168</v>
      </c>
      <c r="C433" s="2" t="s">
        <v>2547</v>
      </c>
      <c r="D433" s="2"/>
    </row>
    <row r="434" spans="1:4" x14ac:dyDescent="0.3">
      <c r="A434" s="2" t="s">
        <v>1814</v>
      </c>
      <c r="B434" s="2" t="s">
        <v>168</v>
      </c>
      <c r="C434" s="2" t="s">
        <v>2547</v>
      </c>
      <c r="D434" s="2"/>
    </row>
    <row r="435" spans="1:4" x14ac:dyDescent="0.3">
      <c r="A435" s="2" t="s">
        <v>1815</v>
      </c>
      <c r="B435" s="2" t="s">
        <v>168</v>
      </c>
      <c r="C435" s="2" t="s">
        <v>2547</v>
      </c>
      <c r="D435" s="2"/>
    </row>
    <row r="436" spans="1:4" x14ac:dyDescent="0.3">
      <c r="A436" s="2" t="s">
        <v>1816</v>
      </c>
      <c r="B436" s="2" t="s">
        <v>168</v>
      </c>
      <c r="C436" s="2" t="s">
        <v>2547</v>
      </c>
      <c r="D436" s="2"/>
    </row>
    <row r="437" spans="1:4" x14ac:dyDescent="0.3">
      <c r="A437" s="2" t="s">
        <v>1817</v>
      </c>
      <c r="B437" s="2" t="s">
        <v>168</v>
      </c>
      <c r="C437" s="2" t="s">
        <v>2547</v>
      </c>
      <c r="D437" s="2"/>
    </row>
    <row r="438" spans="1:4" x14ac:dyDescent="0.3">
      <c r="A438" s="2" t="s">
        <v>1818</v>
      </c>
      <c r="B438" s="2" t="s">
        <v>168</v>
      </c>
      <c r="C438" s="2" t="s">
        <v>2547</v>
      </c>
      <c r="D438" s="2"/>
    </row>
    <row r="439" spans="1:4" x14ac:dyDescent="0.3">
      <c r="A439" s="2" t="s">
        <v>1819</v>
      </c>
      <c r="B439" s="2" t="s">
        <v>168</v>
      </c>
      <c r="C439" s="2" t="s">
        <v>2547</v>
      </c>
      <c r="D439" s="2"/>
    </row>
    <row r="440" spans="1:4" x14ac:dyDescent="0.3">
      <c r="A440" s="2" t="s">
        <v>1820</v>
      </c>
      <c r="B440" s="2" t="s">
        <v>168</v>
      </c>
      <c r="C440" s="2" t="s">
        <v>2547</v>
      </c>
      <c r="D440" s="2"/>
    </row>
    <row r="441" spans="1:4" x14ac:dyDescent="0.3">
      <c r="A441" s="2" t="s">
        <v>1821</v>
      </c>
      <c r="B441" s="2" t="s">
        <v>168</v>
      </c>
      <c r="C441" s="2" t="s">
        <v>2547</v>
      </c>
      <c r="D441" s="2"/>
    </row>
    <row r="442" spans="1:4" x14ac:dyDescent="0.3">
      <c r="A442" s="2" t="s">
        <v>1822</v>
      </c>
      <c r="B442" s="2" t="s">
        <v>168</v>
      </c>
      <c r="C442" s="2" t="s">
        <v>2547</v>
      </c>
      <c r="D442" s="2"/>
    </row>
    <row r="443" spans="1:4" x14ac:dyDescent="0.3">
      <c r="A443" s="2" t="s">
        <v>1823</v>
      </c>
      <c r="B443" s="2" t="s">
        <v>168</v>
      </c>
      <c r="C443" s="2" t="s">
        <v>2547</v>
      </c>
      <c r="D443" s="2"/>
    </row>
    <row r="444" spans="1:4" x14ac:dyDescent="0.3">
      <c r="A444" s="2" t="s">
        <v>1824</v>
      </c>
      <c r="B444" s="2" t="s">
        <v>168</v>
      </c>
      <c r="C444" s="2" t="s">
        <v>2547</v>
      </c>
      <c r="D444" s="2"/>
    </row>
    <row r="445" spans="1:4" x14ac:dyDescent="0.3">
      <c r="A445" s="2" t="s">
        <v>1825</v>
      </c>
      <c r="B445" s="2" t="s">
        <v>168</v>
      </c>
      <c r="C445" s="2" t="s">
        <v>2547</v>
      </c>
      <c r="D445" s="2"/>
    </row>
    <row r="446" spans="1:4" x14ac:dyDescent="0.3">
      <c r="A446" s="2" t="s">
        <v>1826</v>
      </c>
      <c r="B446" s="2" t="s">
        <v>168</v>
      </c>
      <c r="C446" s="2" t="s">
        <v>2547</v>
      </c>
      <c r="D446" s="2"/>
    </row>
    <row r="447" spans="1:4" x14ac:dyDescent="0.3">
      <c r="A447" s="2" t="s">
        <v>1827</v>
      </c>
      <c r="B447" s="2" t="s">
        <v>168</v>
      </c>
      <c r="C447" s="2" t="s">
        <v>2547</v>
      </c>
      <c r="D447" s="2"/>
    </row>
    <row r="448" spans="1:4" x14ac:dyDescent="0.3">
      <c r="A448" s="2" t="s">
        <v>1828</v>
      </c>
      <c r="B448" s="2" t="s">
        <v>168</v>
      </c>
      <c r="C448" s="2" t="s">
        <v>2547</v>
      </c>
      <c r="D448" s="2"/>
    </row>
    <row r="449" spans="1:4" x14ac:dyDescent="0.3">
      <c r="A449" s="2" t="s">
        <v>1829</v>
      </c>
      <c r="B449" s="2" t="s">
        <v>168</v>
      </c>
      <c r="C449" s="2" t="s">
        <v>2547</v>
      </c>
      <c r="D449" s="2"/>
    </row>
    <row r="450" spans="1:4" x14ac:dyDescent="0.3">
      <c r="A450" s="2" t="s">
        <v>1830</v>
      </c>
      <c r="B450" s="2" t="s">
        <v>168</v>
      </c>
      <c r="C450" s="2" t="s">
        <v>2547</v>
      </c>
      <c r="D450" s="2"/>
    </row>
    <row r="451" spans="1:4" x14ac:dyDescent="0.3">
      <c r="A451" s="2" t="s">
        <v>1831</v>
      </c>
      <c r="B451" s="2" t="s">
        <v>168</v>
      </c>
      <c r="C451" s="2" t="s">
        <v>2547</v>
      </c>
      <c r="D451" s="2"/>
    </row>
    <row r="452" spans="1:4" x14ac:dyDescent="0.3">
      <c r="A452" s="2" t="s">
        <v>1832</v>
      </c>
      <c r="B452" s="2" t="s">
        <v>168</v>
      </c>
      <c r="C452" s="2" t="s">
        <v>2547</v>
      </c>
      <c r="D452" s="2"/>
    </row>
    <row r="453" spans="1:4" x14ac:dyDescent="0.3">
      <c r="A453" s="2" t="s">
        <v>1833</v>
      </c>
      <c r="B453" s="2" t="s">
        <v>168</v>
      </c>
      <c r="C453" s="2" t="s">
        <v>2547</v>
      </c>
      <c r="D453" s="2"/>
    </row>
    <row r="454" spans="1:4" x14ac:dyDescent="0.3">
      <c r="A454" s="2" t="s">
        <v>1834</v>
      </c>
      <c r="B454" s="2" t="s">
        <v>168</v>
      </c>
      <c r="C454" s="2" t="s">
        <v>2547</v>
      </c>
      <c r="D454" s="2"/>
    </row>
    <row r="455" spans="1:4" x14ac:dyDescent="0.3">
      <c r="A455" s="2" t="s">
        <v>1835</v>
      </c>
      <c r="B455" s="2" t="s">
        <v>168</v>
      </c>
      <c r="C455" s="2" t="s">
        <v>2547</v>
      </c>
      <c r="D455" s="2"/>
    </row>
    <row r="456" spans="1:4" x14ac:dyDescent="0.3">
      <c r="A456" s="2" t="s">
        <v>1836</v>
      </c>
      <c r="B456" s="2" t="s">
        <v>168</v>
      </c>
      <c r="C456" s="2" t="s">
        <v>2547</v>
      </c>
      <c r="D456" s="2"/>
    </row>
    <row r="457" spans="1:4" x14ac:dyDescent="0.3">
      <c r="A457" s="2" t="s">
        <v>1837</v>
      </c>
      <c r="B457" s="2" t="s">
        <v>168</v>
      </c>
      <c r="C457" s="2" t="s">
        <v>2547</v>
      </c>
      <c r="D457" s="2"/>
    </row>
    <row r="458" spans="1:4" x14ac:dyDescent="0.3">
      <c r="A458" s="2" t="s">
        <v>1838</v>
      </c>
      <c r="B458" s="2" t="s">
        <v>168</v>
      </c>
      <c r="C458" s="2" t="s">
        <v>2547</v>
      </c>
      <c r="D458" s="2"/>
    </row>
    <row r="459" spans="1:4" x14ac:dyDescent="0.3">
      <c r="A459" s="2" t="s">
        <v>1839</v>
      </c>
      <c r="B459" s="2" t="s">
        <v>168</v>
      </c>
      <c r="C459" s="2" t="s">
        <v>2547</v>
      </c>
      <c r="D459" s="2"/>
    </row>
    <row r="460" spans="1:4" x14ac:dyDescent="0.3">
      <c r="A460" s="2" t="s">
        <v>1840</v>
      </c>
      <c r="B460" s="2" t="s">
        <v>168</v>
      </c>
      <c r="C460" s="2" t="s">
        <v>2547</v>
      </c>
      <c r="D460" s="2"/>
    </row>
    <row r="461" spans="1:4" x14ac:dyDescent="0.3">
      <c r="A461" s="2" t="s">
        <v>1841</v>
      </c>
      <c r="B461" s="2" t="s">
        <v>168</v>
      </c>
      <c r="C461" s="2" t="s">
        <v>2547</v>
      </c>
      <c r="D461" s="2"/>
    </row>
    <row r="462" spans="1:4" x14ac:dyDescent="0.3">
      <c r="A462" s="2" t="s">
        <v>1842</v>
      </c>
      <c r="B462" s="2" t="s">
        <v>168</v>
      </c>
      <c r="C462" s="2" t="s">
        <v>2547</v>
      </c>
      <c r="D462" s="2"/>
    </row>
    <row r="463" spans="1:4" x14ac:dyDescent="0.3">
      <c r="A463" s="2" t="s">
        <v>1843</v>
      </c>
      <c r="B463" s="2" t="s">
        <v>168</v>
      </c>
      <c r="C463" s="2" t="s">
        <v>2547</v>
      </c>
      <c r="D463" s="2"/>
    </row>
    <row r="464" spans="1:4" x14ac:dyDescent="0.3">
      <c r="A464" s="2" t="s">
        <v>1844</v>
      </c>
      <c r="B464" s="2" t="s">
        <v>168</v>
      </c>
      <c r="C464" s="2" t="s">
        <v>2547</v>
      </c>
      <c r="D464" s="2"/>
    </row>
    <row r="465" spans="1:4" x14ac:dyDescent="0.3">
      <c r="A465" s="2" t="s">
        <v>1845</v>
      </c>
      <c r="B465" s="2" t="s">
        <v>168</v>
      </c>
      <c r="C465" s="2" t="s">
        <v>2547</v>
      </c>
      <c r="D465" s="2"/>
    </row>
    <row r="466" spans="1:4" x14ac:dyDescent="0.3">
      <c r="A466" s="2" t="s">
        <v>1846</v>
      </c>
      <c r="B466" s="2" t="s">
        <v>168</v>
      </c>
      <c r="C466" s="2" t="s">
        <v>2547</v>
      </c>
      <c r="D466" s="2"/>
    </row>
    <row r="467" spans="1:4" x14ac:dyDescent="0.3">
      <c r="A467" s="2" t="s">
        <v>1847</v>
      </c>
      <c r="B467" s="2" t="s">
        <v>168</v>
      </c>
      <c r="C467" s="2" t="s">
        <v>2547</v>
      </c>
      <c r="D467" s="2"/>
    </row>
    <row r="468" spans="1:4" x14ac:dyDescent="0.3">
      <c r="A468" s="2" t="s">
        <v>1848</v>
      </c>
      <c r="B468" s="2" t="s">
        <v>168</v>
      </c>
      <c r="C468" s="2" t="s">
        <v>2547</v>
      </c>
      <c r="D468" s="2"/>
    </row>
    <row r="469" spans="1:4" x14ac:dyDescent="0.3">
      <c r="A469" s="2" t="s">
        <v>1849</v>
      </c>
      <c r="B469" s="2" t="s">
        <v>168</v>
      </c>
      <c r="C469" s="2" t="s">
        <v>2547</v>
      </c>
      <c r="D469" s="2"/>
    </row>
    <row r="470" spans="1:4" x14ac:dyDescent="0.3">
      <c r="A470" s="2" t="s">
        <v>1850</v>
      </c>
      <c r="B470" s="2" t="s">
        <v>168</v>
      </c>
      <c r="C470" s="2" t="s">
        <v>2547</v>
      </c>
      <c r="D470" s="2"/>
    </row>
    <row r="471" spans="1:4" x14ac:dyDescent="0.3">
      <c r="A471" s="2" t="s">
        <v>1851</v>
      </c>
      <c r="B471" s="2" t="s">
        <v>168</v>
      </c>
      <c r="C471" s="2" t="s">
        <v>2547</v>
      </c>
      <c r="D471" s="2"/>
    </row>
    <row r="472" spans="1:4" x14ac:dyDescent="0.3">
      <c r="A472" s="2" t="s">
        <v>1852</v>
      </c>
      <c r="B472" s="2" t="s">
        <v>168</v>
      </c>
      <c r="C472" s="2" t="s">
        <v>2547</v>
      </c>
      <c r="D472" s="2"/>
    </row>
    <row r="473" spans="1:4" x14ac:dyDescent="0.3">
      <c r="A473" s="2" t="s">
        <v>1853</v>
      </c>
      <c r="B473" s="2" t="s">
        <v>168</v>
      </c>
      <c r="C473" s="2" t="s">
        <v>2547</v>
      </c>
      <c r="D473" s="2"/>
    </row>
    <row r="474" spans="1:4" x14ac:dyDescent="0.3">
      <c r="A474" s="2" t="s">
        <v>1854</v>
      </c>
      <c r="B474" s="2" t="s">
        <v>168</v>
      </c>
      <c r="C474" s="2" t="s">
        <v>2547</v>
      </c>
      <c r="D474" s="2"/>
    </row>
    <row r="475" spans="1:4" x14ac:dyDescent="0.3">
      <c r="A475" s="2" t="s">
        <v>1855</v>
      </c>
      <c r="B475" s="2" t="s">
        <v>168</v>
      </c>
      <c r="C475" s="2" t="s">
        <v>2547</v>
      </c>
      <c r="D475" s="2"/>
    </row>
    <row r="476" spans="1:4" x14ac:dyDescent="0.3">
      <c r="A476" s="2" t="s">
        <v>1856</v>
      </c>
      <c r="B476" s="2" t="s">
        <v>168</v>
      </c>
      <c r="C476" s="2" t="s">
        <v>2547</v>
      </c>
      <c r="D476" s="2"/>
    </row>
    <row r="477" spans="1:4" x14ac:dyDescent="0.3">
      <c r="A477" s="2" t="s">
        <v>1857</v>
      </c>
      <c r="B477" s="2" t="s">
        <v>168</v>
      </c>
      <c r="C477" s="2" t="s">
        <v>2547</v>
      </c>
      <c r="D477" s="2"/>
    </row>
    <row r="478" spans="1:4" x14ac:dyDescent="0.3">
      <c r="A478" s="2" t="s">
        <v>3010</v>
      </c>
      <c r="B478" s="2" t="s">
        <v>168</v>
      </c>
      <c r="C478" s="2" t="s">
        <v>2547</v>
      </c>
      <c r="D478" s="2"/>
    </row>
    <row r="479" spans="1:4" x14ac:dyDescent="0.3">
      <c r="A479" s="2" t="s">
        <v>1858</v>
      </c>
      <c r="B479" s="2" t="s">
        <v>168</v>
      </c>
      <c r="C479" s="2" t="s">
        <v>2547</v>
      </c>
      <c r="D479" s="2"/>
    </row>
    <row r="480" spans="1:4" x14ac:dyDescent="0.3">
      <c r="A480" s="2" t="s">
        <v>1859</v>
      </c>
      <c r="B480" s="2" t="s">
        <v>168</v>
      </c>
      <c r="C480" s="2" t="s">
        <v>2547</v>
      </c>
      <c r="D480" s="2"/>
    </row>
    <row r="481" spans="1:4" x14ac:dyDescent="0.3">
      <c r="A481" s="2" t="s">
        <v>1860</v>
      </c>
      <c r="B481" s="2" t="s">
        <v>168</v>
      </c>
      <c r="C481" s="2" t="s">
        <v>2547</v>
      </c>
      <c r="D481" s="2"/>
    </row>
    <row r="482" spans="1:4" x14ac:dyDescent="0.3">
      <c r="A482" s="2" t="s">
        <v>1861</v>
      </c>
      <c r="B482" s="2" t="s">
        <v>168</v>
      </c>
      <c r="C482" s="2" t="s">
        <v>2547</v>
      </c>
      <c r="D482" s="2"/>
    </row>
    <row r="483" spans="1:4" x14ac:dyDescent="0.3">
      <c r="A483" s="2" t="s">
        <v>1862</v>
      </c>
      <c r="B483" s="2" t="s">
        <v>168</v>
      </c>
      <c r="C483" s="2" t="s">
        <v>2547</v>
      </c>
      <c r="D483" s="2"/>
    </row>
    <row r="484" spans="1:4" x14ac:dyDescent="0.3">
      <c r="A484" s="2" t="s">
        <v>1863</v>
      </c>
      <c r="B484" s="2" t="s">
        <v>168</v>
      </c>
      <c r="C484" s="2" t="s">
        <v>2547</v>
      </c>
      <c r="D484" s="2"/>
    </row>
    <row r="485" spans="1:4" x14ac:dyDescent="0.3">
      <c r="A485" s="2" t="s">
        <v>1864</v>
      </c>
      <c r="B485" s="2" t="s">
        <v>168</v>
      </c>
      <c r="C485" s="2" t="s">
        <v>2547</v>
      </c>
      <c r="D485" s="2"/>
    </row>
    <row r="486" spans="1:4" x14ac:dyDescent="0.3">
      <c r="A486" s="2" t="s">
        <v>1865</v>
      </c>
      <c r="B486" s="2" t="s">
        <v>168</v>
      </c>
      <c r="C486" s="2" t="s">
        <v>2547</v>
      </c>
      <c r="D486" s="2"/>
    </row>
    <row r="487" spans="1:4" x14ac:dyDescent="0.3">
      <c r="A487" s="2" t="s">
        <v>1866</v>
      </c>
      <c r="B487" s="2" t="s">
        <v>168</v>
      </c>
      <c r="C487" s="2" t="s">
        <v>2547</v>
      </c>
      <c r="D487" s="2"/>
    </row>
    <row r="488" spans="1:4" x14ac:dyDescent="0.3">
      <c r="A488" s="2" t="s">
        <v>1867</v>
      </c>
      <c r="B488" s="2" t="s">
        <v>168</v>
      </c>
      <c r="C488" s="2" t="s">
        <v>2547</v>
      </c>
      <c r="D488" s="2"/>
    </row>
    <row r="489" spans="1:4" x14ac:dyDescent="0.3">
      <c r="A489" s="2" t="s">
        <v>1868</v>
      </c>
      <c r="B489" s="2" t="s">
        <v>168</v>
      </c>
      <c r="C489" s="2" t="s">
        <v>2547</v>
      </c>
      <c r="D489" s="2"/>
    </row>
    <row r="490" spans="1:4" x14ac:dyDescent="0.3">
      <c r="A490" s="2" t="s">
        <v>1869</v>
      </c>
      <c r="B490" s="2" t="s">
        <v>168</v>
      </c>
      <c r="C490" s="2" t="s">
        <v>2547</v>
      </c>
      <c r="D490" s="2"/>
    </row>
    <row r="491" spans="1:4" x14ac:dyDescent="0.3">
      <c r="A491" s="2" t="s">
        <v>1870</v>
      </c>
      <c r="B491" s="2" t="s">
        <v>168</v>
      </c>
      <c r="C491" s="2" t="s">
        <v>2547</v>
      </c>
      <c r="D491" s="2"/>
    </row>
    <row r="492" spans="1:4" x14ac:dyDescent="0.3">
      <c r="A492" s="2" t="s">
        <v>1871</v>
      </c>
      <c r="B492" s="2" t="s">
        <v>168</v>
      </c>
      <c r="C492" s="2" t="s">
        <v>2547</v>
      </c>
      <c r="D492" s="2"/>
    </row>
    <row r="493" spans="1:4" x14ac:dyDescent="0.3">
      <c r="A493" s="2" t="s">
        <v>1872</v>
      </c>
      <c r="B493" s="2" t="s">
        <v>168</v>
      </c>
      <c r="C493" s="2" t="s">
        <v>2547</v>
      </c>
      <c r="D493" s="2"/>
    </row>
    <row r="494" spans="1:4" x14ac:dyDescent="0.3">
      <c r="A494" s="2" t="s">
        <v>1873</v>
      </c>
      <c r="B494" s="2" t="s">
        <v>168</v>
      </c>
      <c r="C494" s="2" t="s">
        <v>2547</v>
      </c>
      <c r="D494" s="2"/>
    </row>
    <row r="495" spans="1:4" x14ac:dyDescent="0.3">
      <c r="A495" s="2" t="s">
        <v>1874</v>
      </c>
      <c r="B495" s="2" t="s">
        <v>168</v>
      </c>
      <c r="C495" s="2" t="s">
        <v>2547</v>
      </c>
      <c r="D495" s="2"/>
    </row>
    <row r="496" spans="1:4" x14ac:dyDescent="0.3">
      <c r="A496" s="2" t="s">
        <v>1875</v>
      </c>
      <c r="B496" s="2" t="s">
        <v>168</v>
      </c>
      <c r="C496" s="2" t="s">
        <v>2547</v>
      </c>
      <c r="D496" s="2"/>
    </row>
    <row r="497" spans="1:4" x14ac:dyDescent="0.3">
      <c r="A497" s="2" t="s">
        <v>1876</v>
      </c>
      <c r="B497" s="2" t="s">
        <v>168</v>
      </c>
      <c r="C497" s="2" t="s">
        <v>2547</v>
      </c>
      <c r="D497" s="2"/>
    </row>
    <row r="498" spans="1:4" x14ac:dyDescent="0.3">
      <c r="A498" s="2" t="s">
        <v>1877</v>
      </c>
      <c r="B498" s="2" t="s">
        <v>168</v>
      </c>
      <c r="C498" s="2" t="s">
        <v>2547</v>
      </c>
      <c r="D498" s="2"/>
    </row>
    <row r="499" spans="1:4" x14ac:dyDescent="0.3">
      <c r="A499" s="2" t="s">
        <v>1878</v>
      </c>
      <c r="B499" s="2" t="s">
        <v>168</v>
      </c>
      <c r="C499" s="2" t="s">
        <v>2547</v>
      </c>
      <c r="D499" s="2"/>
    </row>
    <row r="500" spans="1:4" x14ac:dyDescent="0.3">
      <c r="A500" s="2" t="s">
        <v>1879</v>
      </c>
      <c r="B500" s="2" t="s">
        <v>168</v>
      </c>
      <c r="C500" s="2" t="s">
        <v>2547</v>
      </c>
      <c r="D500" s="2"/>
    </row>
    <row r="501" spans="1:4" x14ac:dyDescent="0.3">
      <c r="A501" s="2" t="s">
        <v>1880</v>
      </c>
      <c r="B501" s="2" t="s">
        <v>168</v>
      </c>
      <c r="C501" s="2" t="s">
        <v>2547</v>
      </c>
      <c r="D501" s="2"/>
    </row>
    <row r="502" spans="1:4" x14ac:dyDescent="0.3">
      <c r="A502" s="2" t="s">
        <v>1881</v>
      </c>
      <c r="B502" s="2" t="s">
        <v>168</v>
      </c>
      <c r="C502" s="2" t="s">
        <v>2547</v>
      </c>
      <c r="D502" s="2"/>
    </row>
    <row r="503" spans="1:4" x14ac:dyDescent="0.3">
      <c r="A503" s="2" t="s">
        <v>1882</v>
      </c>
      <c r="B503" s="2" t="s">
        <v>168</v>
      </c>
      <c r="C503" s="2" t="s">
        <v>2547</v>
      </c>
      <c r="D503" s="2"/>
    </row>
    <row r="504" spans="1:4" x14ac:dyDescent="0.3">
      <c r="A504" s="2" t="s">
        <v>1883</v>
      </c>
      <c r="B504" s="2" t="s">
        <v>168</v>
      </c>
      <c r="C504" s="2" t="s">
        <v>2547</v>
      </c>
      <c r="D504" s="2"/>
    </row>
    <row r="505" spans="1:4" x14ac:dyDescent="0.3">
      <c r="A505" s="2" t="s">
        <v>1884</v>
      </c>
      <c r="B505" s="2" t="s">
        <v>168</v>
      </c>
      <c r="C505" s="2" t="s">
        <v>2547</v>
      </c>
      <c r="D505" s="2"/>
    </row>
    <row r="506" spans="1:4" x14ac:dyDescent="0.3">
      <c r="A506" s="2" t="s">
        <v>1885</v>
      </c>
      <c r="B506" s="2" t="s">
        <v>168</v>
      </c>
      <c r="C506" s="2" t="s">
        <v>2547</v>
      </c>
      <c r="D506" s="2"/>
    </row>
    <row r="507" spans="1:4" x14ac:dyDescent="0.3">
      <c r="A507" s="2" t="s">
        <v>1886</v>
      </c>
      <c r="B507" s="2" t="s">
        <v>168</v>
      </c>
      <c r="C507" s="2" t="s">
        <v>2547</v>
      </c>
      <c r="D507" s="2"/>
    </row>
    <row r="508" spans="1:4" x14ac:dyDescent="0.3">
      <c r="A508" s="2" t="s">
        <v>1887</v>
      </c>
      <c r="B508" s="2" t="s">
        <v>168</v>
      </c>
      <c r="C508" s="2" t="s">
        <v>2547</v>
      </c>
      <c r="D508" s="2"/>
    </row>
    <row r="509" spans="1:4" x14ac:dyDescent="0.3">
      <c r="A509" s="2" t="s">
        <v>1888</v>
      </c>
      <c r="B509" s="2" t="s">
        <v>168</v>
      </c>
      <c r="C509" s="2" t="s">
        <v>2547</v>
      </c>
      <c r="D509" s="2"/>
    </row>
    <row r="510" spans="1:4" x14ac:dyDescent="0.3">
      <c r="A510" s="2" t="s">
        <v>1889</v>
      </c>
      <c r="B510" s="2" t="s">
        <v>168</v>
      </c>
      <c r="C510" s="2" t="s">
        <v>2547</v>
      </c>
      <c r="D510" s="2"/>
    </row>
    <row r="511" spans="1:4" x14ac:dyDescent="0.3">
      <c r="A511" s="2" t="s">
        <v>1890</v>
      </c>
      <c r="B511" s="2" t="s">
        <v>168</v>
      </c>
      <c r="C511" s="2" t="s">
        <v>2547</v>
      </c>
      <c r="D511" s="2"/>
    </row>
    <row r="512" spans="1:4" x14ac:dyDescent="0.3">
      <c r="A512" s="2" t="s">
        <v>1891</v>
      </c>
      <c r="B512" s="2" t="s">
        <v>168</v>
      </c>
      <c r="C512" s="2" t="s">
        <v>2547</v>
      </c>
      <c r="D512" s="2"/>
    </row>
    <row r="513" spans="1:4" x14ac:dyDescent="0.3">
      <c r="A513" s="2" t="s">
        <v>1892</v>
      </c>
      <c r="B513" s="2" t="s">
        <v>168</v>
      </c>
      <c r="C513" s="2" t="s">
        <v>2547</v>
      </c>
      <c r="D513" s="2"/>
    </row>
    <row r="514" spans="1:4" x14ac:dyDescent="0.3">
      <c r="A514" s="2" t="s">
        <v>1893</v>
      </c>
      <c r="B514" s="2" t="s">
        <v>168</v>
      </c>
      <c r="C514" s="2" t="s">
        <v>2547</v>
      </c>
      <c r="D514" s="2"/>
    </row>
    <row r="515" spans="1:4" x14ac:dyDescent="0.3">
      <c r="A515" s="2" t="s">
        <v>1894</v>
      </c>
      <c r="B515" s="2" t="s">
        <v>168</v>
      </c>
      <c r="C515" s="2" t="s">
        <v>2547</v>
      </c>
      <c r="D515" s="2"/>
    </row>
    <row r="516" spans="1:4" x14ac:dyDescent="0.3">
      <c r="A516" s="2" t="s">
        <v>1895</v>
      </c>
      <c r="B516" s="2" t="s">
        <v>168</v>
      </c>
      <c r="C516" s="2" t="s">
        <v>2547</v>
      </c>
      <c r="D516" s="2"/>
    </row>
    <row r="517" spans="1:4" x14ac:dyDescent="0.3">
      <c r="A517" s="2" t="s">
        <v>1896</v>
      </c>
      <c r="B517" s="2" t="s">
        <v>168</v>
      </c>
      <c r="C517" s="2" t="s">
        <v>2547</v>
      </c>
      <c r="D517" s="2"/>
    </row>
    <row r="518" spans="1:4" x14ac:dyDescent="0.3">
      <c r="A518" s="2" t="s">
        <v>1897</v>
      </c>
      <c r="B518" s="2" t="s">
        <v>168</v>
      </c>
      <c r="C518" s="2" t="s">
        <v>2547</v>
      </c>
      <c r="D518" s="2"/>
    </row>
    <row r="519" spans="1:4" x14ac:dyDescent="0.3">
      <c r="A519" s="2" t="s">
        <v>1898</v>
      </c>
      <c r="B519" s="2" t="s">
        <v>168</v>
      </c>
      <c r="C519" s="2" t="s">
        <v>2547</v>
      </c>
      <c r="D519" s="2"/>
    </row>
    <row r="520" spans="1:4" x14ac:dyDescent="0.3">
      <c r="A520" s="2" t="s">
        <v>1899</v>
      </c>
      <c r="B520" s="2" t="s">
        <v>168</v>
      </c>
      <c r="C520" s="2" t="s">
        <v>2547</v>
      </c>
      <c r="D520" s="2"/>
    </row>
    <row r="521" spans="1:4" x14ac:dyDescent="0.3">
      <c r="A521" s="2" t="s">
        <v>1900</v>
      </c>
      <c r="B521" s="2" t="s">
        <v>168</v>
      </c>
      <c r="C521" s="2" t="s">
        <v>2547</v>
      </c>
      <c r="D521" s="2"/>
    </row>
    <row r="522" spans="1:4" x14ac:dyDescent="0.3">
      <c r="A522" s="2" t="s">
        <v>1901</v>
      </c>
      <c r="B522" s="2" t="s">
        <v>168</v>
      </c>
      <c r="C522" s="2" t="s">
        <v>2547</v>
      </c>
      <c r="D522" s="2"/>
    </row>
    <row r="523" spans="1:4" x14ac:dyDescent="0.3">
      <c r="A523" s="2" t="s">
        <v>1902</v>
      </c>
      <c r="B523" s="2" t="s">
        <v>168</v>
      </c>
      <c r="C523" s="2" t="s">
        <v>2547</v>
      </c>
      <c r="D523" s="2"/>
    </row>
    <row r="524" spans="1:4" x14ac:dyDescent="0.3">
      <c r="A524" s="2" t="s">
        <v>1903</v>
      </c>
      <c r="B524" s="2" t="s">
        <v>168</v>
      </c>
      <c r="C524" s="2" t="s">
        <v>2547</v>
      </c>
      <c r="D524" s="2"/>
    </row>
    <row r="525" spans="1:4" x14ac:dyDescent="0.3">
      <c r="A525" s="2" t="s">
        <v>1904</v>
      </c>
      <c r="B525" s="2" t="s">
        <v>168</v>
      </c>
      <c r="C525" s="2" t="s">
        <v>2547</v>
      </c>
      <c r="D525" s="2"/>
    </row>
    <row r="526" spans="1:4" x14ac:dyDescent="0.3">
      <c r="A526" s="2" t="s">
        <v>1905</v>
      </c>
      <c r="B526" s="2" t="s">
        <v>168</v>
      </c>
      <c r="C526" s="2" t="s">
        <v>2547</v>
      </c>
      <c r="D526" s="2"/>
    </row>
    <row r="527" spans="1:4" x14ac:dyDescent="0.3">
      <c r="A527" s="2" t="s">
        <v>1906</v>
      </c>
      <c r="B527" s="2" t="s">
        <v>168</v>
      </c>
      <c r="C527" s="2" t="s">
        <v>2547</v>
      </c>
      <c r="D527" s="2"/>
    </row>
    <row r="528" spans="1:4" x14ac:dyDescent="0.3">
      <c r="A528" s="2" t="s">
        <v>1907</v>
      </c>
      <c r="B528" s="2" t="s">
        <v>168</v>
      </c>
      <c r="C528" s="2" t="s">
        <v>2547</v>
      </c>
      <c r="D528" s="2"/>
    </row>
    <row r="529" spans="1:4" x14ac:dyDescent="0.3">
      <c r="A529" s="2" t="s">
        <v>1908</v>
      </c>
      <c r="B529" s="2" t="s">
        <v>168</v>
      </c>
      <c r="C529" s="2" t="s">
        <v>2547</v>
      </c>
      <c r="D529" s="2"/>
    </row>
    <row r="530" spans="1:4" x14ac:dyDescent="0.3">
      <c r="A530" s="2" t="s">
        <v>1909</v>
      </c>
      <c r="B530" s="2" t="s">
        <v>168</v>
      </c>
      <c r="C530" s="2" t="s">
        <v>2547</v>
      </c>
      <c r="D530" s="2"/>
    </row>
    <row r="531" spans="1:4" x14ac:dyDescent="0.3">
      <c r="A531" s="2" t="s">
        <v>1910</v>
      </c>
      <c r="B531" s="2" t="s">
        <v>168</v>
      </c>
      <c r="C531" s="2" t="s">
        <v>2547</v>
      </c>
      <c r="D531" s="2"/>
    </row>
    <row r="532" spans="1:4" x14ac:dyDescent="0.3">
      <c r="A532" s="2" t="s">
        <v>1911</v>
      </c>
      <c r="B532" s="2" t="s">
        <v>168</v>
      </c>
      <c r="C532" s="2" t="s">
        <v>2547</v>
      </c>
      <c r="D532" s="2"/>
    </row>
    <row r="533" spans="1:4" x14ac:dyDescent="0.3">
      <c r="A533" s="2" t="s">
        <v>1912</v>
      </c>
      <c r="B533" s="2" t="s">
        <v>168</v>
      </c>
      <c r="C533" s="2" t="s">
        <v>2547</v>
      </c>
      <c r="D533" s="2"/>
    </row>
    <row r="534" spans="1:4" x14ac:dyDescent="0.3">
      <c r="A534" s="2" t="s">
        <v>1913</v>
      </c>
      <c r="B534" s="2" t="s">
        <v>168</v>
      </c>
      <c r="C534" s="2" t="s">
        <v>2547</v>
      </c>
      <c r="D534" s="2"/>
    </row>
    <row r="535" spans="1:4" x14ac:dyDescent="0.3">
      <c r="A535" s="2" t="s">
        <v>1914</v>
      </c>
      <c r="B535" s="2" t="s">
        <v>168</v>
      </c>
      <c r="C535" s="2" t="s">
        <v>2547</v>
      </c>
      <c r="D535" s="2"/>
    </row>
    <row r="536" spans="1:4" x14ac:dyDescent="0.3">
      <c r="A536" s="2" t="s">
        <v>1915</v>
      </c>
      <c r="B536" s="2" t="s">
        <v>168</v>
      </c>
      <c r="C536" s="2" t="s">
        <v>2547</v>
      </c>
      <c r="D536" s="2"/>
    </row>
    <row r="537" spans="1:4" x14ac:dyDescent="0.3">
      <c r="A537" s="2" t="s">
        <v>1916</v>
      </c>
      <c r="B537" s="2" t="s">
        <v>168</v>
      </c>
      <c r="C537" s="2" t="s">
        <v>2547</v>
      </c>
      <c r="D537" s="2"/>
    </row>
    <row r="538" spans="1:4" x14ac:dyDescent="0.3">
      <c r="A538" s="2" t="s">
        <v>1917</v>
      </c>
      <c r="B538" s="2" t="s">
        <v>168</v>
      </c>
      <c r="C538" s="2" t="s">
        <v>2547</v>
      </c>
      <c r="D538" s="2"/>
    </row>
    <row r="539" spans="1:4" x14ac:dyDescent="0.3">
      <c r="A539" s="2" t="s">
        <v>1918</v>
      </c>
      <c r="B539" s="2" t="s">
        <v>168</v>
      </c>
      <c r="C539" s="2" t="s">
        <v>2547</v>
      </c>
      <c r="D539" s="2"/>
    </row>
    <row r="540" spans="1:4" x14ac:dyDescent="0.3">
      <c r="A540" s="2" t="s">
        <v>1919</v>
      </c>
      <c r="B540" s="2" t="s">
        <v>168</v>
      </c>
      <c r="C540" s="2" t="s">
        <v>2547</v>
      </c>
      <c r="D540" s="2"/>
    </row>
    <row r="541" spans="1:4" x14ac:dyDescent="0.3">
      <c r="A541" s="2" t="s">
        <v>1920</v>
      </c>
      <c r="B541" s="2" t="s">
        <v>168</v>
      </c>
      <c r="C541" s="2" t="s">
        <v>2547</v>
      </c>
      <c r="D541" s="2"/>
    </row>
    <row r="542" spans="1:4" x14ac:dyDescent="0.3">
      <c r="A542" s="2" t="s">
        <v>1921</v>
      </c>
      <c r="B542" s="2" t="s">
        <v>168</v>
      </c>
      <c r="C542" s="2" t="s">
        <v>2547</v>
      </c>
      <c r="D542" s="2"/>
    </row>
    <row r="543" spans="1:4" x14ac:dyDescent="0.3">
      <c r="A543" s="2" t="s">
        <v>1922</v>
      </c>
      <c r="B543" s="2" t="s">
        <v>168</v>
      </c>
      <c r="C543" s="2" t="s">
        <v>2547</v>
      </c>
      <c r="D543" s="2"/>
    </row>
    <row r="544" spans="1:4" x14ac:dyDescent="0.3">
      <c r="A544" s="2" t="s">
        <v>1923</v>
      </c>
      <c r="B544" s="2" t="s">
        <v>168</v>
      </c>
      <c r="C544" s="2" t="s">
        <v>2547</v>
      </c>
      <c r="D544" s="2"/>
    </row>
    <row r="545" spans="1:4" x14ac:dyDescent="0.3">
      <c r="A545" s="2" t="s">
        <v>1924</v>
      </c>
      <c r="B545" s="2" t="s">
        <v>168</v>
      </c>
      <c r="C545" s="2" t="s">
        <v>2547</v>
      </c>
      <c r="D545" s="2"/>
    </row>
    <row r="546" spans="1:4" x14ac:dyDescent="0.3">
      <c r="A546" s="2" t="s">
        <v>1925</v>
      </c>
      <c r="B546" s="2" t="s">
        <v>168</v>
      </c>
      <c r="C546" s="2" t="s">
        <v>2547</v>
      </c>
      <c r="D546" s="2"/>
    </row>
    <row r="547" spans="1:4" x14ac:dyDescent="0.3">
      <c r="A547" s="2" t="s">
        <v>1926</v>
      </c>
      <c r="B547" s="2" t="s">
        <v>168</v>
      </c>
      <c r="C547" s="2" t="s">
        <v>2547</v>
      </c>
      <c r="D547" s="2"/>
    </row>
    <row r="548" spans="1:4" x14ac:dyDescent="0.3">
      <c r="A548" s="2" t="s">
        <v>1927</v>
      </c>
      <c r="B548" s="2" t="s">
        <v>168</v>
      </c>
      <c r="C548" s="2" t="s">
        <v>2547</v>
      </c>
      <c r="D548" s="2"/>
    </row>
    <row r="549" spans="1:4" x14ac:dyDescent="0.3">
      <c r="A549" s="2" t="s">
        <v>1928</v>
      </c>
      <c r="B549" s="2" t="s">
        <v>168</v>
      </c>
      <c r="C549" s="2" t="s">
        <v>2547</v>
      </c>
      <c r="D549" s="2"/>
    </row>
    <row r="550" spans="1:4" x14ac:dyDescent="0.3">
      <c r="A550" s="2" t="s">
        <v>1929</v>
      </c>
      <c r="B550" s="2" t="s">
        <v>168</v>
      </c>
      <c r="C550" s="2" t="s">
        <v>2547</v>
      </c>
      <c r="D550" s="2"/>
    </row>
    <row r="551" spans="1:4" x14ac:dyDescent="0.3">
      <c r="A551" s="2" t="s">
        <v>1930</v>
      </c>
      <c r="B551" s="2" t="s">
        <v>168</v>
      </c>
      <c r="C551" s="2" t="s">
        <v>2547</v>
      </c>
      <c r="D551" s="2"/>
    </row>
    <row r="552" spans="1:4" x14ac:dyDescent="0.3">
      <c r="A552" s="2" t="s">
        <v>1931</v>
      </c>
      <c r="B552" s="2" t="s">
        <v>168</v>
      </c>
      <c r="C552" s="2" t="s">
        <v>2547</v>
      </c>
      <c r="D552" s="2"/>
    </row>
    <row r="553" spans="1:4" x14ac:dyDescent="0.3">
      <c r="A553" s="2" t="s">
        <v>1932</v>
      </c>
      <c r="B553" s="2" t="s">
        <v>168</v>
      </c>
      <c r="C553" s="2" t="s">
        <v>2547</v>
      </c>
      <c r="D553" s="2"/>
    </row>
    <row r="554" spans="1:4" x14ac:dyDescent="0.3">
      <c r="A554" s="2" t="s">
        <v>1933</v>
      </c>
      <c r="B554" s="2" t="s">
        <v>168</v>
      </c>
      <c r="C554" s="2" t="s">
        <v>2547</v>
      </c>
      <c r="D554" s="2"/>
    </row>
    <row r="555" spans="1:4" x14ac:dyDescent="0.3">
      <c r="A555" s="2" t="s">
        <v>1934</v>
      </c>
      <c r="B555" s="2" t="s">
        <v>168</v>
      </c>
      <c r="C555" s="2" t="s">
        <v>2547</v>
      </c>
      <c r="D555" s="2"/>
    </row>
    <row r="556" spans="1:4" x14ac:dyDescent="0.3">
      <c r="A556" s="2" t="s">
        <v>1935</v>
      </c>
      <c r="B556" s="2" t="s">
        <v>168</v>
      </c>
      <c r="C556" s="2" t="s">
        <v>2547</v>
      </c>
      <c r="D556" s="2"/>
    </row>
    <row r="557" spans="1:4" x14ac:dyDescent="0.3">
      <c r="A557" s="2" t="s">
        <v>1936</v>
      </c>
      <c r="B557" s="2" t="s">
        <v>168</v>
      </c>
      <c r="C557" s="2" t="s">
        <v>2547</v>
      </c>
      <c r="D557" s="2"/>
    </row>
    <row r="558" spans="1:4" x14ac:dyDescent="0.3">
      <c r="A558" s="2" t="s">
        <v>1937</v>
      </c>
      <c r="B558" s="2" t="s">
        <v>168</v>
      </c>
      <c r="C558" s="2" t="s">
        <v>2547</v>
      </c>
      <c r="D558" s="2"/>
    </row>
    <row r="559" spans="1:4" x14ac:dyDescent="0.3">
      <c r="A559" s="2" t="s">
        <v>1938</v>
      </c>
      <c r="B559" s="2" t="s">
        <v>168</v>
      </c>
      <c r="C559" s="2" t="s">
        <v>2547</v>
      </c>
      <c r="D559" s="2"/>
    </row>
    <row r="560" spans="1:4" x14ac:dyDescent="0.3">
      <c r="A560" s="2" t="s">
        <v>1939</v>
      </c>
      <c r="B560" s="2" t="s">
        <v>168</v>
      </c>
      <c r="C560" s="2" t="s">
        <v>2547</v>
      </c>
      <c r="D560" s="2"/>
    </row>
    <row r="561" spans="1:4" x14ac:dyDescent="0.3">
      <c r="A561" s="2" t="s">
        <v>1940</v>
      </c>
      <c r="B561" s="2" t="s">
        <v>168</v>
      </c>
      <c r="C561" s="2" t="s">
        <v>2547</v>
      </c>
      <c r="D561" s="2"/>
    </row>
    <row r="562" spans="1:4" x14ac:dyDescent="0.3">
      <c r="A562" s="2" t="s">
        <v>1941</v>
      </c>
      <c r="B562" s="2" t="s">
        <v>168</v>
      </c>
      <c r="C562" s="2" t="s">
        <v>2547</v>
      </c>
      <c r="D562" s="2"/>
    </row>
    <row r="563" spans="1:4" x14ac:dyDescent="0.3">
      <c r="A563" s="2" t="s">
        <v>1942</v>
      </c>
      <c r="B563" s="2" t="s">
        <v>168</v>
      </c>
      <c r="C563" s="2" t="s">
        <v>2547</v>
      </c>
      <c r="D563" s="2"/>
    </row>
    <row r="564" spans="1:4" x14ac:dyDescent="0.3">
      <c r="A564" s="2" t="s">
        <v>1943</v>
      </c>
      <c r="B564" s="2" t="s">
        <v>168</v>
      </c>
      <c r="C564" s="2" t="s">
        <v>2547</v>
      </c>
      <c r="D564" s="2"/>
    </row>
    <row r="565" spans="1:4" x14ac:dyDescent="0.3">
      <c r="A565" s="2" t="s">
        <v>1944</v>
      </c>
      <c r="B565" s="2" t="s">
        <v>168</v>
      </c>
      <c r="C565" s="2" t="s">
        <v>2547</v>
      </c>
      <c r="D565" s="2"/>
    </row>
    <row r="566" spans="1:4" x14ac:dyDescent="0.3">
      <c r="A566" s="2" t="s">
        <v>1945</v>
      </c>
      <c r="B566" s="2" t="s">
        <v>168</v>
      </c>
      <c r="C566" s="2" t="s">
        <v>2547</v>
      </c>
      <c r="D566" s="2"/>
    </row>
    <row r="567" spans="1:4" x14ac:dyDescent="0.3">
      <c r="A567" s="2" t="s">
        <v>1946</v>
      </c>
      <c r="B567" s="2" t="s">
        <v>168</v>
      </c>
      <c r="C567" s="2" t="s">
        <v>2547</v>
      </c>
      <c r="D567" s="2"/>
    </row>
    <row r="568" spans="1:4" x14ac:dyDescent="0.3">
      <c r="A568" s="2" t="s">
        <v>1947</v>
      </c>
      <c r="B568" s="2" t="s">
        <v>168</v>
      </c>
      <c r="C568" s="2" t="s">
        <v>2547</v>
      </c>
      <c r="D568" s="2"/>
    </row>
    <row r="569" spans="1:4" x14ac:dyDescent="0.3">
      <c r="A569" s="2" t="s">
        <v>1948</v>
      </c>
      <c r="B569" s="2" t="s">
        <v>168</v>
      </c>
      <c r="C569" s="2" t="s">
        <v>2547</v>
      </c>
      <c r="D569" s="2"/>
    </row>
    <row r="570" spans="1:4" x14ac:dyDescent="0.3">
      <c r="A570" s="2" t="s">
        <v>1949</v>
      </c>
      <c r="B570" s="2" t="s">
        <v>168</v>
      </c>
      <c r="C570" s="2" t="s">
        <v>2547</v>
      </c>
      <c r="D570" s="2"/>
    </row>
    <row r="571" spans="1:4" x14ac:dyDescent="0.3">
      <c r="A571" s="2" t="s">
        <v>1950</v>
      </c>
      <c r="B571" s="2" t="s">
        <v>168</v>
      </c>
      <c r="C571" s="2" t="s">
        <v>2547</v>
      </c>
      <c r="D571" s="2"/>
    </row>
    <row r="572" spans="1:4" x14ac:dyDescent="0.3">
      <c r="A572" s="2" t="s">
        <v>1951</v>
      </c>
      <c r="B572" s="2" t="s">
        <v>168</v>
      </c>
      <c r="C572" s="2" t="s">
        <v>2547</v>
      </c>
      <c r="D572" s="2"/>
    </row>
    <row r="573" spans="1:4" x14ac:dyDescent="0.3">
      <c r="A573" s="2" t="s">
        <v>1952</v>
      </c>
      <c r="B573" s="2" t="s">
        <v>168</v>
      </c>
      <c r="C573" s="2" t="s">
        <v>2547</v>
      </c>
      <c r="D573" s="2"/>
    </row>
    <row r="574" spans="1:4" x14ac:dyDescent="0.3">
      <c r="A574" s="2" t="s">
        <v>1953</v>
      </c>
      <c r="B574" s="2" t="s">
        <v>168</v>
      </c>
      <c r="C574" s="2" t="s">
        <v>2547</v>
      </c>
      <c r="D574" s="2"/>
    </row>
    <row r="575" spans="1:4" x14ac:dyDescent="0.3">
      <c r="A575" s="2" t="s">
        <v>1954</v>
      </c>
      <c r="B575" s="2" t="s">
        <v>168</v>
      </c>
      <c r="C575" s="2" t="s">
        <v>2547</v>
      </c>
      <c r="D575" s="2"/>
    </row>
    <row r="576" spans="1:4" x14ac:dyDescent="0.3">
      <c r="A576" s="2" t="s">
        <v>1955</v>
      </c>
      <c r="B576" s="2" t="s">
        <v>168</v>
      </c>
      <c r="C576" s="2" t="s">
        <v>2547</v>
      </c>
      <c r="D576" s="2"/>
    </row>
    <row r="577" spans="1:4" x14ac:dyDescent="0.3">
      <c r="A577" s="2" t="s">
        <v>1956</v>
      </c>
      <c r="B577" s="2" t="s">
        <v>168</v>
      </c>
      <c r="C577" s="2" t="s">
        <v>2547</v>
      </c>
      <c r="D577" s="2"/>
    </row>
    <row r="578" spans="1:4" x14ac:dyDescent="0.3">
      <c r="A578" s="2" t="s">
        <v>1957</v>
      </c>
      <c r="B578" s="2" t="s">
        <v>168</v>
      </c>
      <c r="C578" s="2" t="s">
        <v>2547</v>
      </c>
      <c r="D578" s="2"/>
    </row>
    <row r="579" spans="1:4" x14ac:dyDescent="0.3">
      <c r="A579" s="2" t="s">
        <v>1958</v>
      </c>
      <c r="B579" s="2" t="s">
        <v>168</v>
      </c>
      <c r="C579" s="2" t="s">
        <v>2547</v>
      </c>
      <c r="D579" s="2"/>
    </row>
    <row r="580" spans="1:4" x14ac:dyDescent="0.3">
      <c r="A580" s="2" t="s">
        <v>1959</v>
      </c>
      <c r="B580" s="2" t="s">
        <v>168</v>
      </c>
      <c r="C580" s="2" t="s">
        <v>2547</v>
      </c>
      <c r="D580" s="2"/>
    </row>
    <row r="581" spans="1:4" x14ac:dyDescent="0.3">
      <c r="A581" s="2" t="s">
        <v>1960</v>
      </c>
      <c r="B581" s="2" t="s">
        <v>168</v>
      </c>
      <c r="C581" s="2" t="s">
        <v>2547</v>
      </c>
      <c r="D581" s="2"/>
    </row>
    <row r="582" spans="1:4" x14ac:dyDescent="0.3">
      <c r="A582" s="2" t="s">
        <v>1961</v>
      </c>
      <c r="B582" s="2" t="s">
        <v>168</v>
      </c>
      <c r="C582" s="2" t="s">
        <v>2547</v>
      </c>
      <c r="D582" s="2"/>
    </row>
    <row r="583" spans="1:4" x14ac:dyDescent="0.3">
      <c r="A583" s="2" t="s">
        <v>1962</v>
      </c>
      <c r="B583" s="2" t="s">
        <v>168</v>
      </c>
      <c r="C583" s="2" t="s">
        <v>2547</v>
      </c>
      <c r="D583" s="2"/>
    </row>
    <row r="584" spans="1:4" x14ac:dyDescent="0.3">
      <c r="A584" s="2" t="s">
        <v>1963</v>
      </c>
      <c r="B584" s="2" t="s">
        <v>168</v>
      </c>
      <c r="C584" s="2" t="s">
        <v>2547</v>
      </c>
      <c r="D584" s="2"/>
    </row>
    <row r="585" spans="1:4" x14ac:dyDescent="0.3">
      <c r="A585" s="2" t="s">
        <v>1964</v>
      </c>
      <c r="B585" s="2" t="s">
        <v>168</v>
      </c>
      <c r="C585" s="2" t="s">
        <v>2547</v>
      </c>
      <c r="D585" s="2"/>
    </row>
    <row r="586" spans="1:4" x14ac:dyDescent="0.3">
      <c r="A586" s="2" t="s">
        <v>1965</v>
      </c>
      <c r="B586" s="2" t="s">
        <v>168</v>
      </c>
      <c r="C586" s="2" t="s">
        <v>2547</v>
      </c>
      <c r="D586" s="2"/>
    </row>
    <row r="587" spans="1:4" x14ac:dyDescent="0.3">
      <c r="A587" s="2" t="s">
        <v>1966</v>
      </c>
      <c r="B587" s="2" t="s">
        <v>168</v>
      </c>
      <c r="C587" s="2" t="s">
        <v>2547</v>
      </c>
      <c r="D587" s="2"/>
    </row>
    <row r="588" spans="1:4" x14ac:dyDescent="0.3">
      <c r="A588" s="2" t="s">
        <v>1967</v>
      </c>
      <c r="B588" s="2" t="s">
        <v>168</v>
      </c>
      <c r="C588" s="2" t="s">
        <v>2547</v>
      </c>
      <c r="D588" s="2"/>
    </row>
    <row r="589" spans="1:4" x14ac:dyDescent="0.3">
      <c r="A589" s="2" t="s">
        <v>1968</v>
      </c>
      <c r="B589" s="2" t="s">
        <v>168</v>
      </c>
      <c r="C589" s="2" t="s">
        <v>2547</v>
      </c>
      <c r="D589" s="2"/>
    </row>
    <row r="590" spans="1:4" x14ac:dyDescent="0.3">
      <c r="A590" s="2" t="s">
        <v>1969</v>
      </c>
      <c r="B590" s="2" t="s">
        <v>168</v>
      </c>
      <c r="C590" s="2" t="s">
        <v>2547</v>
      </c>
      <c r="D590" s="2"/>
    </row>
    <row r="591" spans="1:4" x14ac:dyDescent="0.3">
      <c r="A591" s="2" t="s">
        <v>1970</v>
      </c>
      <c r="B591" s="2" t="s">
        <v>168</v>
      </c>
      <c r="C591" s="2" t="s">
        <v>2547</v>
      </c>
      <c r="D591" s="2"/>
    </row>
    <row r="592" spans="1:4" x14ac:dyDescent="0.3">
      <c r="A592" s="2" t="s">
        <v>1971</v>
      </c>
      <c r="B592" s="2" t="s">
        <v>168</v>
      </c>
      <c r="C592" s="2" t="s">
        <v>2547</v>
      </c>
      <c r="D592" s="2"/>
    </row>
    <row r="593" spans="1:4" x14ac:dyDescent="0.3">
      <c r="A593" s="2" t="s">
        <v>1972</v>
      </c>
      <c r="B593" s="2" t="s">
        <v>168</v>
      </c>
      <c r="C593" s="2" t="s">
        <v>2547</v>
      </c>
      <c r="D593" s="2"/>
    </row>
    <row r="594" spans="1:4" x14ac:dyDescent="0.3">
      <c r="A594" s="2" t="s">
        <v>1973</v>
      </c>
      <c r="B594" s="2" t="s">
        <v>168</v>
      </c>
      <c r="C594" s="2" t="s">
        <v>2547</v>
      </c>
      <c r="D594" s="2"/>
    </row>
    <row r="595" spans="1:4" x14ac:dyDescent="0.3">
      <c r="A595" s="2" t="s">
        <v>1974</v>
      </c>
      <c r="B595" s="2" t="s">
        <v>168</v>
      </c>
      <c r="C595" s="2" t="s">
        <v>2547</v>
      </c>
      <c r="D595" s="2"/>
    </row>
    <row r="596" spans="1:4" x14ac:dyDescent="0.3">
      <c r="A596" s="2" t="s">
        <v>1975</v>
      </c>
      <c r="B596" s="2" t="s">
        <v>168</v>
      </c>
      <c r="C596" s="2" t="s">
        <v>2547</v>
      </c>
      <c r="D596" s="2"/>
    </row>
    <row r="597" spans="1:4" x14ac:dyDescent="0.3">
      <c r="A597" s="2" t="s">
        <v>1976</v>
      </c>
      <c r="B597" s="2" t="s">
        <v>168</v>
      </c>
      <c r="C597" s="2" t="s">
        <v>2547</v>
      </c>
      <c r="D597" s="2"/>
    </row>
    <row r="598" spans="1:4" x14ac:dyDescent="0.3">
      <c r="A598" s="2" t="s">
        <v>1977</v>
      </c>
      <c r="B598" s="2" t="s">
        <v>168</v>
      </c>
      <c r="C598" s="2" t="s">
        <v>2547</v>
      </c>
      <c r="D598" s="2"/>
    </row>
    <row r="599" spans="1:4" x14ac:dyDescent="0.3">
      <c r="A599" s="2" t="s">
        <v>1978</v>
      </c>
      <c r="B599" s="2" t="s">
        <v>168</v>
      </c>
      <c r="C599" s="2" t="s">
        <v>2547</v>
      </c>
      <c r="D599" s="2"/>
    </row>
    <row r="600" spans="1:4" x14ac:dyDescent="0.3">
      <c r="A600" s="2" t="s">
        <v>1979</v>
      </c>
      <c r="B600" s="2" t="s">
        <v>168</v>
      </c>
      <c r="C600" s="2" t="s">
        <v>2547</v>
      </c>
      <c r="D600" s="2"/>
    </row>
    <row r="601" spans="1:4" x14ac:dyDescent="0.3">
      <c r="A601" s="2" t="s">
        <v>1980</v>
      </c>
      <c r="B601" s="2" t="s">
        <v>168</v>
      </c>
      <c r="C601" s="2" t="s">
        <v>2547</v>
      </c>
      <c r="D601" s="2"/>
    </row>
    <row r="602" spans="1:4" x14ac:dyDescent="0.3">
      <c r="A602" s="2" t="s">
        <v>1981</v>
      </c>
      <c r="B602" s="2" t="s">
        <v>168</v>
      </c>
      <c r="C602" s="2" t="s">
        <v>2547</v>
      </c>
      <c r="D602" s="2"/>
    </row>
    <row r="603" spans="1:4" x14ac:dyDescent="0.3">
      <c r="A603" s="2" t="s">
        <v>1982</v>
      </c>
      <c r="B603" s="2" t="s">
        <v>168</v>
      </c>
      <c r="C603" s="2" t="s">
        <v>2547</v>
      </c>
      <c r="D603" s="2"/>
    </row>
    <row r="604" spans="1:4" x14ac:dyDescent="0.3">
      <c r="A604" s="2" t="s">
        <v>1983</v>
      </c>
      <c r="B604" s="2" t="s">
        <v>168</v>
      </c>
      <c r="C604" s="2" t="s">
        <v>2547</v>
      </c>
      <c r="D604" s="2"/>
    </row>
    <row r="605" spans="1:4" x14ac:dyDescent="0.3">
      <c r="A605" s="2" t="s">
        <v>1984</v>
      </c>
      <c r="B605" s="2" t="s">
        <v>168</v>
      </c>
      <c r="C605" s="2" t="s">
        <v>2547</v>
      </c>
      <c r="D605" s="2"/>
    </row>
    <row r="606" spans="1:4" x14ac:dyDescent="0.3">
      <c r="A606" s="2" t="s">
        <v>1985</v>
      </c>
      <c r="B606" s="2" t="s">
        <v>168</v>
      </c>
      <c r="C606" s="2" t="s">
        <v>2547</v>
      </c>
      <c r="D606" s="2"/>
    </row>
    <row r="607" spans="1:4" x14ac:dyDescent="0.3">
      <c r="A607" s="2" t="s">
        <v>1986</v>
      </c>
      <c r="B607" s="2" t="s">
        <v>168</v>
      </c>
      <c r="C607" s="2" t="s">
        <v>2547</v>
      </c>
      <c r="D607" s="2"/>
    </row>
    <row r="608" spans="1:4" x14ac:dyDescent="0.3">
      <c r="A608" s="2" t="s">
        <v>1987</v>
      </c>
      <c r="B608" s="2" t="s">
        <v>168</v>
      </c>
      <c r="C608" s="2" t="s">
        <v>2547</v>
      </c>
      <c r="D608" s="2"/>
    </row>
    <row r="609" spans="1:4" x14ac:dyDescent="0.3">
      <c r="A609" s="2" t="s">
        <v>1988</v>
      </c>
      <c r="B609" s="2" t="s">
        <v>168</v>
      </c>
      <c r="C609" s="2" t="s">
        <v>2547</v>
      </c>
      <c r="D609" s="2"/>
    </row>
    <row r="610" spans="1:4" x14ac:dyDescent="0.3">
      <c r="A610" s="2" t="s">
        <v>1989</v>
      </c>
      <c r="B610" s="2" t="s">
        <v>168</v>
      </c>
      <c r="C610" s="2" t="s">
        <v>2547</v>
      </c>
      <c r="D610" s="2"/>
    </row>
    <row r="611" spans="1:4" x14ac:dyDescent="0.3">
      <c r="A611" s="2" t="s">
        <v>1990</v>
      </c>
      <c r="B611" s="2" t="s">
        <v>168</v>
      </c>
      <c r="C611" s="2" t="s">
        <v>2547</v>
      </c>
      <c r="D611" s="2"/>
    </row>
    <row r="612" spans="1:4" x14ac:dyDescent="0.3">
      <c r="A612" s="2" t="s">
        <v>1991</v>
      </c>
      <c r="B612" s="2" t="s">
        <v>168</v>
      </c>
      <c r="C612" s="2" t="s">
        <v>2547</v>
      </c>
      <c r="D612" s="2"/>
    </row>
    <row r="613" spans="1:4" x14ac:dyDescent="0.3">
      <c r="A613" s="2" t="s">
        <v>1992</v>
      </c>
      <c r="B613" s="2" t="s">
        <v>168</v>
      </c>
      <c r="C613" s="2" t="s">
        <v>2547</v>
      </c>
      <c r="D613" s="2"/>
    </row>
    <row r="614" spans="1:4" x14ac:dyDescent="0.3">
      <c r="A614" s="2" t="s">
        <v>1993</v>
      </c>
      <c r="B614" s="2" t="s">
        <v>168</v>
      </c>
      <c r="C614" s="2" t="s">
        <v>2547</v>
      </c>
      <c r="D614" s="2"/>
    </row>
    <row r="615" spans="1:4" x14ac:dyDescent="0.3">
      <c r="A615" s="2" t="s">
        <v>1994</v>
      </c>
      <c r="B615" s="2" t="s">
        <v>168</v>
      </c>
      <c r="C615" s="2" t="s">
        <v>2547</v>
      </c>
      <c r="D615" s="2"/>
    </row>
    <row r="616" spans="1:4" x14ac:dyDescent="0.3">
      <c r="A616" s="2" t="s">
        <v>1995</v>
      </c>
      <c r="B616" s="2" t="s">
        <v>168</v>
      </c>
      <c r="C616" s="2" t="s">
        <v>2547</v>
      </c>
      <c r="D616" s="2"/>
    </row>
    <row r="617" spans="1:4" x14ac:dyDescent="0.3">
      <c r="A617" s="2" t="s">
        <v>1996</v>
      </c>
      <c r="B617" s="2" t="s">
        <v>168</v>
      </c>
      <c r="C617" s="2" t="s">
        <v>2547</v>
      </c>
      <c r="D617" s="2"/>
    </row>
    <row r="618" spans="1:4" x14ac:dyDescent="0.3">
      <c r="A618" s="2" t="s">
        <v>1997</v>
      </c>
      <c r="B618" s="2" t="s">
        <v>168</v>
      </c>
      <c r="C618" s="2" t="s">
        <v>2547</v>
      </c>
      <c r="D618" s="2"/>
    </row>
    <row r="619" spans="1:4" x14ac:dyDescent="0.3">
      <c r="A619" s="2" t="s">
        <v>1998</v>
      </c>
      <c r="B619" s="2" t="s">
        <v>168</v>
      </c>
      <c r="C619" s="2" t="s">
        <v>2547</v>
      </c>
      <c r="D619" s="2"/>
    </row>
    <row r="620" spans="1:4" x14ac:dyDescent="0.3">
      <c r="A620" s="2" t="s">
        <v>1999</v>
      </c>
      <c r="B620" s="2" t="s">
        <v>168</v>
      </c>
      <c r="C620" s="2" t="s">
        <v>2547</v>
      </c>
      <c r="D620" s="2"/>
    </row>
    <row r="621" spans="1:4" x14ac:dyDescent="0.3">
      <c r="A621" s="2" t="s">
        <v>2000</v>
      </c>
      <c r="B621" s="2" t="s">
        <v>168</v>
      </c>
      <c r="C621" s="2" t="s">
        <v>2547</v>
      </c>
      <c r="D621" s="2"/>
    </row>
    <row r="622" spans="1:4" x14ac:dyDescent="0.3">
      <c r="A622" s="2" t="s">
        <v>2001</v>
      </c>
      <c r="B622" s="2" t="s">
        <v>168</v>
      </c>
      <c r="C622" s="2" t="s">
        <v>2547</v>
      </c>
      <c r="D622" s="2"/>
    </row>
    <row r="623" spans="1:4" x14ac:dyDescent="0.3">
      <c r="A623" s="2" t="s">
        <v>2002</v>
      </c>
      <c r="B623" s="2" t="s">
        <v>168</v>
      </c>
      <c r="C623" s="2" t="s">
        <v>2547</v>
      </c>
      <c r="D623" s="2"/>
    </row>
    <row r="624" spans="1:4" x14ac:dyDescent="0.3">
      <c r="A624" s="2" t="s">
        <v>2003</v>
      </c>
      <c r="B624" s="2" t="s">
        <v>168</v>
      </c>
      <c r="C624" s="2" t="s">
        <v>2547</v>
      </c>
      <c r="D624" s="2"/>
    </row>
    <row r="625" spans="1:4" x14ac:dyDescent="0.3">
      <c r="A625" s="2" t="s">
        <v>2004</v>
      </c>
      <c r="B625" s="2" t="s">
        <v>168</v>
      </c>
      <c r="C625" s="2" t="s">
        <v>2547</v>
      </c>
      <c r="D625" s="2"/>
    </row>
    <row r="626" spans="1:4" x14ac:dyDescent="0.3">
      <c r="A626" s="2" t="s">
        <v>2005</v>
      </c>
      <c r="B626" s="2" t="s">
        <v>168</v>
      </c>
      <c r="C626" s="2" t="s">
        <v>2547</v>
      </c>
      <c r="D626" s="2"/>
    </row>
    <row r="627" spans="1:4" x14ac:dyDescent="0.3">
      <c r="A627" s="2" t="s">
        <v>2006</v>
      </c>
      <c r="B627" s="2" t="s">
        <v>168</v>
      </c>
      <c r="C627" s="2" t="s">
        <v>2547</v>
      </c>
      <c r="D627" s="2"/>
    </row>
    <row r="628" spans="1:4" x14ac:dyDescent="0.3">
      <c r="A628" s="2" t="s">
        <v>2007</v>
      </c>
      <c r="B628" s="2" t="s">
        <v>168</v>
      </c>
      <c r="C628" s="2" t="s">
        <v>2547</v>
      </c>
      <c r="D628" s="2"/>
    </row>
    <row r="629" spans="1:4" x14ac:dyDescent="0.3">
      <c r="A629" s="2" t="s">
        <v>2008</v>
      </c>
      <c r="B629" s="2" t="s">
        <v>168</v>
      </c>
      <c r="C629" s="2" t="s">
        <v>2547</v>
      </c>
      <c r="D629" s="2"/>
    </row>
    <row r="630" spans="1:4" x14ac:dyDescent="0.3">
      <c r="A630" s="2" t="s">
        <v>2009</v>
      </c>
      <c r="B630" s="2" t="s">
        <v>168</v>
      </c>
      <c r="C630" s="2" t="s">
        <v>2547</v>
      </c>
      <c r="D630" s="2"/>
    </row>
    <row r="631" spans="1:4" x14ac:dyDescent="0.3">
      <c r="A631" s="2" t="s">
        <v>2010</v>
      </c>
      <c r="B631" s="2" t="s">
        <v>168</v>
      </c>
      <c r="C631" s="2" t="s">
        <v>2547</v>
      </c>
      <c r="D631" s="2"/>
    </row>
    <row r="632" spans="1:4" x14ac:dyDescent="0.3">
      <c r="A632" s="2" t="s">
        <v>2011</v>
      </c>
      <c r="B632" s="2" t="s">
        <v>168</v>
      </c>
      <c r="C632" s="2" t="s">
        <v>2547</v>
      </c>
      <c r="D632" s="2"/>
    </row>
    <row r="633" spans="1:4" x14ac:dyDescent="0.3">
      <c r="A633" s="2" t="s">
        <v>2012</v>
      </c>
      <c r="B633" s="2" t="s">
        <v>168</v>
      </c>
      <c r="C633" s="2" t="s">
        <v>2547</v>
      </c>
      <c r="D633" s="2"/>
    </row>
    <row r="634" spans="1:4" x14ac:dyDescent="0.3">
      <c r="A634" s="2" t="s">
        <v>2013</v>
      </c>
      <c r="B634" s="2" t="s">
        <v>168</v>
      </c>
      <c r="C634" s="2" t="s">
        <v>2547</v>
      </c>
      <c r="D634" s="2"/>
    </row>
    <row r="635" spans="1:4" x14ac:dyDescent="0.3">
      <c r="A635" s="2" t="s">
        <v>2014</v>
      </c>
      <c r="B635" s="2" t="s">
        <v>168</v>
      </c>
      <c r="C635" s="2" t="s">
        <v>2547</v>
      </c>
      <c r="D635" s="2"/>
    </row>
    <row r="636" spans="1:4" x14ac:dyDescent="0.3">
      <c r="A636" s="2" t="s">
        <v>2015</v>
      </c>
      <c r="B636" s="2" t="s">
        <v>168</v>
      </c>
      <c r="C636" s="2" t="s">
        <v>2547</v>
      </c>
      <c r="D636" s="2"/>
    </row>
    <row r="637" spans="1:4" x14ac:dyDescent="0.3">
      <c r="A637" s="2" t="s">
        <v>2016</v>
      </c>
      <c r="B637" s="2" t="s">
        <v>168</v>
      </c>
      <c r="C637" s="2" t="s">
        <v>2547</v>
      </c>
      <c r="D637" s="2"/>
    </row>
    <row r="638" spans="1:4" x14ac:dyDescent="0.3">
      <c r="A638" s="2" t="s">
        <v>2017</v>
      </c>
      <c r="B638" s="2" t="s">
        <v>168</v>
      </c>
      <c r="C638" s="2" t="s">
        <v>2547</v>
      </c>
      <c r="D638" s="2"/>
    </row>
    <row r="639" spans="1:4" x14ac:dyDescent="0.3">
      <c r="A639" s="2" t="s">
        <v>2018</v>
      </c>
      <c r="B639" s="2" t="s">
        <v>168</v>
      </c>
      <c r="C639" s="2" t="s">
        <v>2547</v>
      </c>
      <c r="D639" s="2"/>
    </row>
    <row r="640" spans="1:4" x14ac:dyDescent="0.3">
      <c r="A640" s="2" t="s">
        <v>2019</v>
      </c>
      <c r="B640" s="2" t="s">
        <v>168</v>
      </c>
      <c r="C640" s="2" t="s">
        <v>2547</v>
      </c>
      <c r="D640" s="2"/>
    </row>
    <row r="641" spans="1:4" x14ac:dyDescent="0.3">
      <c r="A641" s="2" t="s">
        <v>2020</v>
      </c>
      <c r="B641" s="2" t="s">
        <v>168</v>
      </c>
      <c r="C641" s="2" t="s">
        <v>2547</v>
      </c>
      <c r="D641" s="2"/>
    </row>
    <row r="642" spans="1:4" x14ac:dyDescent="0.3">
      <c r="A642" s="2" t="s">
        <v>2021</v>
      </c>
      <c r="B642" s="2" t="s">
        <v>168</v>
      </c>
      <c r="C642" s="2" t="s">
        <v>2547</v>
      </c>
      <c r="D642" s="2"/>
    </row>
    <row r="643" spans="1:4" x14ac:dyDescent="0.3">
      <c r="A643" s="2" t="s">
        <v>2022</v>
      </c>
      <c r="B643" s="2" t="s">
        <v>168</v>
      </c>
      <c r="C643" s="2" t="s">
        <v>2547</v>
      </c>
      <c r="D643" s="2"/>
    </row>
    <row r="644" spans="1:4" x14ac:dyDescent="0.3">
      <c r="A644" s="2" t="s">
        <v>2023</v>
      </c>
      <c r="B644" s="2" t="s">
        <v>168</v>
      </c>
      <c r="C644" s="2" t="s">
        <v>2547</v>
      </c>
      <c r="D644" s="2"/>
    </row>
    <row r="645" spans="1:4" x14ac:dyDescent="0.3">
      <c r="A645" s="2" t="s">
        <v>2024</v>
      </c>
      <c r="B645" s="2" t="s">
        <v>168</v>
      </c>
      <c r="C645" s="2" t="s">
        <v>2547</v>
      </c>
      <c r="D645" s="2"/>
    </row>
    <row r="646" spans="1:4" x14ac:dyDescent="0.3">
      <c r="A646" s="2" t="s">
        <v>2025</v>
      </c>
      <c r="B646" s="2" t="s">
        <v>168</v>
      </c>
      <c r="C646" s="2" t="s">
        <v>2547</v>
      </c>
      <c r="D646" s="2"/>
    </row>
    <row r="647" spans="1:4" x14ac:dyDescent="0.3">
      <c r="A647" s="2" t="s">
        <v>2026</v>
      </c>
      <c r="B647" s="2" t="s">
        <v>168</v>
      </c>
      <c r="C647" s="2" t="s">
        <v>2547</v>
      </c>
      <c r="D647" s="2"/>
    </row>
    <row r="648" spans="1:4" x14ac:dyDescent="0.3">
      <c r="A648" s="2" t="s">
        <v>2027</v>
      </c>
      <c r="B648" s="2" t="s">
        <v>168</v>
      </c>
      <c r="C648" s="2" t="s">
        <v>2547</v>
      </c>
      <c r="D648" s="2"/>
    </row>
    <row r="649" spans="1:4" x14ac:dyDescent="0.3">
      <c r="A649" s="2" t="s">
        <v>2028</v>
      </c>
      <c r="B649" s="2" t="s">
        <v>168</v>
      </c>
      <c r="C649" s="2" t="s">
        <v>2547</v>
      </c>
      <c r="D649" s="2"/>
    </row>
    <row r="650" spans="1:4" x14ac:dyDescent="0.3">
      <c r="A650" s="2" t="s">
        <v>2029</v>
      </c>
      <c r="B650" s="2" t="s">
        <v>168</v>
      </c>
      <c r="C650" s="2" t="s">
        <v>2547</v>
      </c>
      <c r="D650" s="2"/>
    </row>
    <row r="651" spans="1:4" x14ac:dyDescent="0.3">
      <c r="A651" s="2" t="s">
        <v>2030</v>
      </c>
      <c r="B651" s="2" t="s">
        <v>168</v>
      </c>
      <c r="C651" s="2" t="s">
        <v>2547</v>
      </c>
      <c r="D651" s="2"/>
    </row>
    <row r="652" spans="1:4" x14ac:dyDescent="0.3">
      <c r="A652" s="2" t="s">
        <v>2031</v>
      </c>
      <c r="B652" s="2" t="s">
        <v>168</v>
      </c>
      <c r="C652" s="2" t="s">
        <v>2547</v>
      </c>
      <c r="D652" s="2"/>
    </row>
    <row r="653" spans="1:4" x14ac:dyDescent="0.3">
      <c r="A653" s="2" t="s">
        <v>2032</v>
      </c>
      <c r="B653" s="2" t="s">
        <v>168</v>
      </c>
      <c r="C653" s="2" t="s">
        <v>2547</v>
      </c>
      <c r="D653" s="2"/>
    </row>
    <row r="654" spans="1:4" x14ac:dyDescent="0.3">
      <c r="A654" s="2" t="s">
        <v>2033</v>
      </c>
      <c r="B654" s="2" t="s">
        <v>168</v>
      </c>
      <c r="C654" s="2" t="s">
        <v>2547</v>
      </c>
      <c r="D654" s="2"/>
    </row>
    <row r="655" spans="1:4" x14ac:dyDescent="0.3">
      <c r="A655" s="2" t="s">
        <v>2034</v>
      </c>
      <c r="B655" s="2" t="s">
        <v>168</v>
      </c>
      <c r="C655" s="2" t="s">
        <v>2547</v>
      </c>
      <c r="D655" s="2"/>
    </row>
    <row r="656" spans="1:4" x14ac:dyDescent="0.3">
      <c r="A656" s="2" t="s">
        <v>2035</v>
      </c>
      <c r="B656" s="2" t="s">
        <v>168</v>
      </c>
      <c r="C656" s="2" t="s">
        <v>2547</v>
      </c>
      <c r="D656" s="2"/>
    </row>
    <row r="657" spans="1:4" x14ac:dyDescent="0.3">
      <c r="A657" s="2" t="s">
        <v>2036</v>
      </c>
      <c r="B657" s="2" t="s">
        <v>168</v>
      </c>
      <c r="C657" s="2" t="s">
        <v>2547</v>
      </c>
      <c r="D657" s="2"/>
    </row>
    <row r="658" spans="1:4" x14ac:dyDescent="0.3">
      <c r="A658" s="2" t="s">
        <v>2037</v>
      </c>
      <c r="B658" s="2" t="s">
        <v>168</v>
      </c>
      <c r="C658" s="2" t="s">
        <v>2547</v>
      </c>
      <c r="D658" s="2"/>
    </row>
    <row r="659" spans="1:4" x14ac:dyDescent="0.3">
      <c r="A659" s="2" t="s">
        <v>2038</v>
      </c>
      <c r="B659" s="2" t="s">
        <v>168</v>
      </c>
      <c r="C659" s="2" t="s">
        <v>2547</v>
      </c>
      <c r="D659" s="2"/>
    </row>
    <row r="660" spans="1:4" x14ac:dyDescent="0.3">
      <c r="A660" s="2" t="s">
        <v>2039</v>
      </c>
      <c r="B660" s="2" t="s">
        <v>168</v>
      </c>
      <c r="C660" s="2" t="s">
        <v>2547</v>
      </c>
      <c r="D660" s="2"/>
    </row>
    <row r="661" spans="1:4" x14ac:dyDescent="0.3">
      <c r="A661" s="2" t="s">
        <v>2040</v>
      </c>
      <c r="B661" s="2" t="s">
        <v>168</v>
      </c>
      <c r="C661" s="2" t="s">
        <v>2547</v>
      </c>
      <c r="D661" s="2"/>
    </row>
    <row r="662" spans="1:4" x14ac:dyDescent="0.3">
      <c r="A662" s="2" t="s">
        <v>2041</v>
      </c>
      <c r="B662" s="2" t="s">
        <v>168</v>
      </c>
      <c r="C662" s="2" t="s">
        <v>2547</v>
      </c>
      <c r="D662" s="2"/>
    </row>
    <row r="663" spans="1:4" x14ac:dyDescent="0.3">
      <c r="A663" s="2" t="s">
        <v>2042</v>
      </c>
      <c r="B663" s="2" t="s">
        <v>168</v>
      </c>
      <c r="C663" s="2" t="s">
        <v>2547</v>
      </c>
      <c r="D663" s="2"/>
    </row>
    <row r="664" spans="1:4" x14ac:dyDescent="0.3">
      <c r="A664" s="2" t="s">
        <v>2043</v>
      </c>
      <c r="B664" s="2" t="s">
        <v>168</v>
      </c>
      <c r="C664" s="2" t="s">
        <v>2547</v>
      </c>
      <c r="D664" s="2"/>
    </row>
    <row r="665" spans="1:4" x14ac:dyDescent="0.3">
      <c r="A665" s="2" t="s">
        <v>2044</v>
      </c>
      <c r="B665" s="2" t="s">
        <v>168</v>
      </c>
      <c r="C665" s="2" t="s">
        <v>2547</v>
      </c>
      <c r="D665" s="2"/>
    </row>
    <row r="666" spans="1:4" x14ac:dyDescent="0.3">
      <c r="A666" s="2" t="s">
        <v>2045</v>
      </c>
      <c r="B666" s="2" t="s">
        <v>168</v>
      </c>
      <c r="C666" s="2" t="s">
        <v>2547</v>
      </c>
      <c r="D666" s="2"/>
    </row>
    <row r="667" spans="1:4" x14ac:dyDescent="0.3">
      <c r="A667" s="2" t="s">
        <v>2046</v>
      </c>
      <c r="B667" s="2" t="s">
        <v>168</v>
      </c>
      <c r="C667" s="2" t="s">
        <v>2547</v>
      </c>
      <c r="D667" s="2"/>
    </row>
    <row r="668" spans="1:4" x14ac:dyDescent="0.3">
      <c r="A668" s="2" t="s">
        <v>2047</v>
      </c>
      <c r="B668" s="2" t="s">
        <v>168</v>
      </c>
      <c r="C668" s="2" t="s">
        <v>2547</v>
      </c>
      <c r="D668" s="2"/>
    </row>
    <row r="669" spans="1:4" x14ac:dyDescent="0.3">
      <c r="A669" s="2" t="s">
        <v>2048</v>
      </c>
      <c r="B669" s="2" t="s">
        <v>168</v>
      </c>
      <c r="C669" s="2" t="s">
        <v>2547</v>
      </c>
      <c r="D669" s="2"/>
    </row>
    <row r="670" spans="1:4" x14ac:dyDescent="0.3">
      <c r="A670" s="2" t="s">
        <v>2049</v>
      </c>
      <c r="B670" s="2" t="s">
        <v>168</v>
      </c>
      <c r="C670" s="2" t="s">
        <v>2547</v>
      </c>
      <c r="D670" s="2"/>
    </row>
    <row r="671" spans="1:4" x14ac:dyDescent="0.3">
      <c r="A671" s="2" t="s">
        <v>2050</v>
      </c>
      <c r="B671" s="2" t="s">
        <v>168</v>
      </c>
      <c r="C671" s="2" t="s">
        <v>2547</v>
      </c>
      <c r="D671" s="2"/>
    </row>
    <row r="672" spans="1:4" x14ac:dyDescent="0.3">
      <c r="A672" s="2" t="s">
        <v>2051</v>
      </c>
      <c r="B672" s="2" t="s">
        <v>168</v>
      </c>
      <c r="C672" s="2" t="s">
        <v>2547</v>
      </c>
      <c r="D672" s="2"/>
    </row>
    <row r="673" spans="1:4" x14ac:dyDescent="0.3">
      <c r="A673" s="2" t="s">
        <v>2052</v>
      </c>
      <c r="B673" s="2" t="s">
        <v>168</v>
      </c>
      <c r="C673" s="2" t="s">
        <v>2547</v>
      </c>
      <c r="D673" s="2"/>
    </row>
    <row r="674" spans="1:4" x14ac:dyDescent="0.3">
      <c r="A674" s="2" t="s">
        <v>2053</v>
      </c>
      <c r="B674" s="2" t="s">
        <v>168</v>
      </c>
      <c r="C674" s="2" t="s">
        <v>2547</v>
      </c>
      <c r="D674" s="2"/>
    </row>
    <row r="675" spans="1:4" x14ac:dyDescent="0.3">
      <c r="A675" s="2" t="s">
        <v>2054</v>
      </c>
      <c r="B675" s="2" t="s">
        <v>168</v>
      </c>
      <c r="C675" s="2" t="s">
        <v>2547</v>
      </c>
      <c r="D675" s="2"/>
    </row>
    <row r="676" spans="1:4" x14ac:dyDescent="0.3">
      <c r="A676" s="2" t="s">
        <v>2055</v>
      </c>
      <c r="B676" s="2" t="s">
        <v>168</v>
      </c>
      <c r="C676" s="2" t="s">
        <v>2547</v>
      </c>
      <c r="D676" s="2"/>
    </row>
    <row r="677" spans="1:4" x14ac:dyDescent="0.3">
      <c r="A677" s="2" t="s">
        <v>2056</v>
      </c>
      <c r="B677" s="2" t="s">
        <v>168</v>
      </c>
      <c r="C677" s="2" t="s">
        <v>2547</v>
      </c>
      <c r="D677" s="2"/>
    </row>
    <row r="678" spans="1:4" x14ac:dyDescent="0.3">
      <c r="A678" s="2" t="s">
        <v>2057</v>
      </c>
      <c r="B678" s="2" t="s">
        <v>168</v>
      </c>
      <c r="C678" s="2" t="s">
        <v>2547</v>
      </c>
      <c r="D678" s="2"/>
    </row>
    <row r="679" spans="1:4" x14ac:dyDescent="0.3">
      <c r="A679" s="2" t="s">
        <v>2058</v>
      </c>
      <c r="B679" s="2" t="s">
        <v>168</v>
      </c>
      <c r="C679" s="2" t="s">
        <v>2547</v>
      </c>
      <c r="D679" s="2"/>
    </row>
    <row r="680" spans="1:4" x14ac:dyDescent="0.3">
      <c r="A680" s="2" t="s">
        <v>2059</v>
      </c>
      <c r="B680" s="2" t="s">
        <v>168</v>
      </c>
      <c r="C680" s="2" t="s">
        <v>2547</v>
      </c>
      <c r="D680" s="2"/>
    </row>
    <row r="681" spans="1:4" x14ac:dyDescent="0.3">
      <c r="A681" s="2" t="s">
        <v>2060</v>
      </c>
      <c r="B681" s="2" t="s">
        <v>168</v>
      </c>
      <c r="C681" s="2" t="s">
        <v>2547</v>
      </c>
      <c r="D681" s="2"/>
    </row>
    <row r="682" spans="1:4" x14ac:dyDescent="0.3">
      <c r="A682" s="2" t="s">
        <v>2061</v>
      </c>
      <c r="B682" s="2" t="s">
        <v>168</v>
      </c>
      <c r="C682" s="2" t="s">
        <v>2547</v>
      </c>
      <c r="D682" s="2"/>
    </row>
    <row r="683" spans="1:4" x14ac:dyDescent="0.3">
      <c r="A683" s="2" t="s">
        <v>2062</v>
      </c>
      <c r="B683" s="2" t="s">
        <v>168</v>
      </c>
      <c r="C683" s="2" t="s">
        <v>2547</v>
      </c>
      <c r="D683" s="2"/>
    </row>
    <row r="684" spans="1:4" x14ac:dyDescent="0.3">
      <c r="A684" s="2" t="s">
        <v>2063</v>
      </c>
      <c r="B684" s="2" t="s">
        <v>168</v>
      </c>
      <c r="C684" s="2" t="s">
        <v>2547</v>
      </c>
      <c r="D684" s="2"/>
    </row>
    <row r="685" spans="1:4" x14ac:dyDescent="0.3">
      <c r="A685" s="2" t="s">
        <v>2064</v>
      </c>
      <c r="B685" s="2" t="s">
        <v>168</v>
      </c>
      <c r="C685" s="2" t="s">
        <v>2547</v>
      </c>
      <c r="D685" s="2"/>
    </row>
    <row r="686" spans="1:4" x14ac:dyDescent="0.3">
      <c r="A686" s="2" t="s">
        <v>2065</v>
      </c>
      <c r="B686" s="2" t="s">
        <v>168</v>
      </c>
      <c r="C686" s="2" t="s">
        <v>2547</v>
      </c>
      <c r="D686" s="2"/>
    </row>
    <row r="687" spans="1:4" x14ac:dyDescent="0.3">
      <c r="A687" s="2" t="s">
        <v>2066</v>
      </c>
      <c r="B687" s="2" t="s">
        <v>168</v>
      </c>
      <c r="C687" s="2" t="s">
        <v>2547</v>
      </c>
      <c r="D687" s="2"/>
    </row>
    <row r="688" spans="1:4" x14ac:dyDescent="0.3">
      <c r="A688" s="2" t="s">
        <v>2067</v>
      </c>
      <c r="B688" s="2" t="s">
        <v>168</v>
      </c>
      <c r="C688" s="2" t="s">
        <v>2547</v>
      </c>
      <c r="D688" s="2"/>
    </row>
    <row r="689" spans="1:4" x14ac:dyDescent="0.3">
      <c r="A689" s="2" t="s">
        <v>2068</v>
      </c>
      <c r="B689" s="2" t="s">
        <v>168</v>
      </c>
      <c r="C689" s="2" t="s">
        <v>2547</v>
      </c>
      <c r="D689" s="2"/>
    </row>
    <row r="690" spans="1:4" x14ac:dyDescent="0.3">
      <c r="A690" s="2" t="s">
        <v>2069</v>
      </c>
      <c r="B690" s="2" t="s">
        <v>168</v>
      </c>
      <c r="C690" s="2" t="s">
        <v>2547</v>
      </c>
      <c r="D690" s="2"/>
    </row>
    <row r="691" spans="1:4" x14ac:dyDescent="0.3">
      <c r="A691" s="2" t="s">
        <v>2070</v>
      </c>
      <c r="B691" s="2" t="s">
        <v>168</v>
      </c>
      <c r="C691" s="2" t="s">
        <v>2547</v>
      </c>
      <c r="D691" s="2"/>
    </row>
    <row r="692" spans="1:4" x14ac:dyDescent="0.3">
      <c r="A692" s="2" t="s">
        <v>2071</v>
      </c>
      <c r="B692" s="2" t="s">
        <v>168</v>
      </c>
      <c r="C692" s="2" t="s">
        <v>2547</v>
      </c>
      <c r="D692" s="2"/>
    </row>
    <row r="693" spans="1:4" x14ac:dyDescent="0.3">
      <c r="A693" s="2" t="s">
        <v>2072</v>
      </c>
      <c r="B693" s="2" t="s">
        <v>168</v>
      </c>
      <c r="C693" s="2" t="s">
        <v>2547</v>
      </c>
      <c r="D693" s="2"/>
    </row>
    <row r="694" spans="1:4" x14ac:dyDescent="0.3">
      <c r="A694" s="2" t="s">
        <v>2073</v>
      </c>
      <c r="B694" s="2" t="s">
        <v>168</v>
      </c>
      <c r="C694" s="2" t="s">
        <v>2547</v>
      </c>
      <c r="D694" s="2"/>
    </row>
    <row r="695" spans="1:4" x14ac:dyDescent="0.3">
      <c r="A695" s="2" t="s">
        <v>2074</v>
      </c>
      <c r="B695" s="2" t="s">
        <v>168</v>
      </c>
      <c r="C695" s="2" t="s">
        <v>2547</v>
      </c>
      <c r="D695" s="2"/>
    </row>
    <row r="696" spans="1:4" x14ac:dyDescent="0.3">
      <c r="A696" s="2" t="s">
        <v>2075</v>
      </c>
      <c r="B696" s="2" t="s">
        <v>168</v>
      </c>
      <c r="C696" s="2" t="s">
        <v>2547</v>
      </c>
      <c r="D696" s="2"/>
    </row>
    <row r="697" spans="1:4" x14ac:dyDescent="0.3">
      <c r="A697" s="2" t="s">
        <v>2076</v>
      </c>
      <c r="B697" s="2" t="s">
        <v>168</v>
      </c>
      <c r="C697" s="2" t="s">
        <v>2547</v>
      </c>
      <c r="D697" s="2"/>
    </row>
    <row r="698" spans="1:4" x14ac:dyDescent="0.3">
      <c r="A698" s="2" t="s">
        <v>2077</v>
      </c>
      <c r="B698" s="2" t="s">
        <v>168</v>
      </c>
      <c r="C698" s="2" t="s">
        <v>2547</v>
      </c>
      <c r="D698" s="2"/>
    </row>
    <row r="699" spans="1:4" x14ac:dyDescent="0.3">
      <c r="A699" s="2" t="s">
        <v>2078</v>
      </c>
      <c r="B699" s="2" t="s">
        <v>168</v>
      </c>
      <c r="C699" s="2" t="s">
        <v>2547</v>
      </c>
      <c r="D699" s="2"/>
    </row>
    <row r="700" spans="1:4" x14ac:dyDescent="0.3">
      <c r="A700" s="2" t="s">
        <v>2079</v>
      </c>
      <c r="B700" s="2" t="s">
        <v>168</v>
      </c>
      <c r="C700" s="2" t="s">
        <v>2547</v>
      </c>
      <c r="D700" s="2"/>
    </row>
    <row r="701" spans="1:4" x14ac:dyDescent="0.3">
      <c r="A701" s="2" t="s">
        <v>2080</v>
      </c>
      <c r="B701" s="2" t="s">
        <v>168</v>
      </c>
      <c r="C701" s="2" t="s">
        <v>2547</v>
      </c>
      <c r="D701" s="2"/>
    </row>
    <row r="702" spans="1:4" x14ac:dyDescent="0.3">
      <c r="A702" s="2" t="s">
        <v>2081</v>
      </c>
      <c r="B702" s="2" t="s">
        <v>168</v>
      </c>
      <c r="C702" s="2" t="s">
        <v>2547</v>
      </c>
      <c r="D702" s="2"/>
    </row>
    <row r="703" spans="1:4" x14ac:dyDescent="0.3">
      <c r="A703" s="2" t="s">
        <v>2082</v>
      </c>
      <c r="B703" s="2" t="s">
        <v>168</v>
      </c>
      <c r="C703" s="2" t="s">
        <v>2547</v>
      </c>
      <c r="D703" s="2"/>
    </row>
    <row r="704" spans="1:4" x14ac:dyDescent="0.3">
      <c r="A704" s="2" t="s">
        <v>2083</v>
      </c>
      <c r="B704" s="2" t="s">
        <v>168</v>
      </c>
      <c r="C704" s="2" t="s">
        <v>2547</v>
      </c>
      <c r="D704" s="2"/>
    </row>
    <row r="705" spans="1:4" x14ac:dyDescent="0.3">
      <c r="A705" s="2" t="s">
        <v>2084</v>
      </c>
      <c r="B705" s="2" t="s">
        <v>168</v>
      </c>
      <c r="C705" s="2" t="s">
        <v>2547</v>
      </c>
      <c r="D705" s="2"/>
    </row>
    <row r="706" spans="1:4" x14ac:dyDescent="0.3">
      <c r="A706" s="2" t="s">
        <v>2085</v>
      </c>
      <c r="B706" s="2" t="s">
        <v>168</v>
      </c>
      <c r="C706" s="2" t="s">
        <v>2547</v>
      </c>
      <c r="D706" s="2"/>
    </row>
    <row r="707" spans="1:4" x14ac:dyDescent="0.3">
      <c r="A707" s="2" t="s">
        <v>2086</v>
      </c>
      <c r="B707" s="2" t="s">
        <v>168</v>
      </c>
      <c r="C707" s="2" t="s">
        <v>2547</v>
      </c>
      <c r="D707" s="2"/>
    </row>
    <row r="708" spans="1:4" x14ac:dyDescent="0.3">
      <c r="A708" s="2" t="s">
        <v>2087</v>
      </c>
      <c r="B708" s="2" t="s">
        <v>168</v>
      </c>
      <c r="C708" s="2" t="s">
        <v>2547</v>
      </c>
      <c r="D708" s="2"/>
    </row>
    <row r="709" spans="1:4" x14ac:dyDescent="0.3">
      <c r="A709" s="2" t="s">
        <v>2088</v>
      </c>
      <c r="B709" s="2" t="s">
        <v>168</v>
      </c>
      <c r="C709" s="2" t="s">
        <v>2547</v>
      </c>
      <c r="D709" s="2"/>
    </row>
    <row r="710" spans="1:4" x14ac:dyDescent="0.3">
      <c r="A710" s="2" t="s">
        <v>2089</v>
      </c>
      <c r="B710" s="2" t="s">
        <v>168</v>
      </c>
      <c r="C710" s="2" t="s">
        <v>2547</v>
      </c>
      <c r="D710" s="2"/>
    </row>
    <row r="711" spans="1:4" x14ac:dyDescent="0.3">
      <c r="A711" s="2" t="s">
        <v>2090</v>
      </c>
      <c r="B711" s="2" t="s">
        <v>168</v>
      </c>
      <c r="C711" s="2" t="s">
        <v>2547</v>
      </c>
      <c r="D711" s="2"/>
    </row>
    <row r="712" spans="1:4" x14ac:dyDescent="0.3">
      <c r="A712" s="2" t="s">
        <v>2091</v>
      </c>
      <c r="B712" s="2" t="s">
        <v>168</v>
      </c>
      <c r="C712" s="2" t="s">
        <v>2547</v>
      </c>
      <c r="D712" s="2"/>
    </row>
    <row r="713" spans="1:4" x14ac:dyDescent="0.3">
      <c r="A713" s="2" t="s">
        <v>2092</v>
      </c>
      <c r="B713" s="2" t="s">
        <v>168</v>
      </c>
      <c r="C713" s="2" t="s">
        <v>2547</v>
      </c>
      <c r="D713" s="2"/>
    </row>
    <row r="714" spans="1:4" x14ac:dyDescent="0.3">
      <c r="A714" s="2" t="s">
        <v>2093</v>
      </c>
      <c r="B714" s="2" t="s">
        <v>168</v>
      </c>
      <c r="C714" s="2" t="s">
        <v>2547</v>
      </c>
      <c r="D714" s="2"/>
    </row>
    <row r="715" spans="1:4" x14ac:dyDescent="0.3">
      <c r="A715" s="2" t="s">
        <v>2094</v>
      </c>
      <c r="B715" s="2" t="s">
        <v>168</v>
      </c>
      <c r="C715" s="2" t="s">
        <v>2547</v>
      </c>
      <c r="D715" s="2"/>
    </row>
    <row r="716" spans="1:4" x14ac:dyDescent="0.3">
      <c r="A716" s="2" t="s">
        <v>2095</v>
      </c>
      <c r="B716" s="2" t="s">
        <v>168</v>
      </c>
      <c r="C716" s="2" t="s">
        <v>2547</v>
      </c>
      <c r="D716" s="2"/>
    </row>
    <row r="717" spans="1:4" x14ac:dyDescent="0.3">
      <c r="A717" s="2" t="s">
        <v>2096</v>
      </c>
      <c r="B717" s="2" t="s">
        <v>168</v>
      </c>
      <c r="C717" s="2" t="s">
        <v>2547</v>
      </c>
      <c r="D717" s="2"/>
    </row>
    <row r="718" spans="1:4" x14ac:dyDescent="0.3">
      <c r="A718" s="2" t="s">
        <v>2097</v>
      </c>
      <c r="B718" s="2" t="s">
        <v>168</v>
      </c>
      <c r="C718" s="2" t="s">
        <v>2547</v>
      </c>
      <c r="D718" s="2"/>
    </row>
    <row r="719" spans="1:4" x14ac:dyDescent="0.3">
      <c r="A719" s="2" t="s">
        <v>2098</v>
      </c>
      <c r="B719" s="2" t="s">
        <v>168</v>
      </c>
      <c r="C719" s="2" t="s">
        <v>2547</v>
      </c>
      <c r="D719" s="2"/>
    </row>
    <row r="720" spans="1:4" x14ac:dyDescent="0.3">
      <c r="A720" s="2" t="s">
        <v>2099</v>
      </c>
      <c r="B720" s="2" t="s">
        <v>168</v>
      </c>
      <c r="C720" s="2" t="s">
        <v>2547</v>
      </c>
      <c r="D720" s="2"/>
    </row>
    <row r="721" spans="1:4" x14ac:dyDescent="0.3">
      <c r="A721" s="2" t="s">
        <v>2100</v>
      </c>
      <c r="B721" s="2" t="s">
        <v>168</v>
      </c>
      <c r="C721" s="2" t="s">
        <v>2547</v>
      </c>
      <c r="D721" s="2"/>
    </row>
    <row r="722" spans="1:4" x14ac:dyDescent="0.3">
      <c r="A722" s="2" t="s">
        <v>2101</v>
      </c>
      <c r="B722" s="2" t="s">
        <v>168</v>
      </c>
      <c r="C722" s="2" t="s">
        <v>2547</v>
      </c>
      <c r="D722" s="2"/>
    </row>
    <row r="723" spans="1:4" x14ac:dyDescent="0.3">
      <c r="A723" s="2" t="s">
        <v>2102</v>
      </c>
      <c r="B723" s="2" t="s">
        <v>168</v>
      </c>
      <c r="C723" s="2" t="s">
        <v>2547</v>
      </c>
      <c r="D723" s="2"/>
    </row>
    <row r="724" spans="1:4" x14ac:dyDescent="0.3">
      <c r="A724" s="2" t="s">
        <v>2103</v>
      </c>
      <c r="B724" s="2" t="s">
        <v>168</v>
      </c>
      <c r="C724" s="2" t="s">
        <v>2547</v>
      </c>
      <c r="D724" s="2"/>
    </row>
    <row r="725" spans="1:4" x14ac:dyDescent="0.3">
      <c r="A725" s="2" t="s">
        <v>2104</v>
      </c>
      <c r="B725" s="2" t="s">
        <v>168</v>
      </c>
      <c r="C725" s="2" t="s">
        <v>2547</v>
      </c>
      <c r="D725" s="2"/>
    </row>
    <row r="726" spans="1:4" x14ac:dyDescent="0.3">
      <c r="A726" s="2" t="s">
        <v>2105</v>
      </c>
      <c r="B726" s="2" t="s">
        <v>168</v>
      </c>
      <c r="C726" s="2" t="s">
        <v>2547</v>
      </c>
      <c r="D726" s="2"/>
    </row>
    <row r="727" spans="1:4" x14ac:dyDescent="0.3">
      <c r="A727" s="2" t="s">
        <v>2106</v>
      </c>
      <c r="B727" s="2" t="s">
        <v>168</v>
      </c>
      <c r="C727" s="2" t="s">
        <v>2547</v>
      </c>
      <c r="D727" s="2"/>
    </row>
    <row r="728" spans="1:4" x14ac:dyDescent="0.3">
      <c r="A728" s="2" t="s">
        <v>2107</v>
      </c>
      <c r="B728" s="2" t="s">
        <v>168</v>
      </c>
      <c r="C728" s="2" t="s">
        <v>2547</v>
      </c>
      <c r="D728" s="2"/>
    </row>
    <row r="729" spans="1:4" x14ac:dyDescent="0.3">
      <c r="A729" s="2" t="s">
        <v>2108</v>
      </c>
      <c r="B729" s="2" t="s">
        <v>168</v>
      </c>
      <c r="C729" s="2" t="s">
        <v>2547</v>
      </c>
      <c r="D729" s="2"/>
    </row>
    <row r="730" spans="1:4" x14ac:dyDescent="0.3">
      <c r="A730" s="2" t="s">
        <v>2109</v>
      </c>
      <c r="B730" s="2" t="s">
        <v>168</v>
      </c>
      <c r="C730" s="2" t="s">
        <v>2547</v>
      </c>
      <c r="D730" s="2"/>
    </row>
    <row r="731" spans="1:4" x14ac:dyDescent="0.3">
      <c r="A731" s="2" t="s">
        <v>2110</v>
      </c>
      <c r="B731" s="2" t="s">
        <v>168</v>
      </c>
      <c r="C731" s="2" t="s">
        <v>2547</v>
      </c>
      <c r="D731" s="2"/>
    </row>
    <row r="732" spans="1:4" x14ac:dyDescent="0.3">
      <c r="A732" s="2" t="s">
        <v>2111</v>
      </c>
      <c r="B732" s="2" t="s">
        <v>168</v>
      </c>
      <c r="C732" s="2" t="s">
        <v>2547</v>
      </c>
      <c r="D732" s="2"/>
    </row>
    <row r="733" spans="1:4" x14ac:dyDescent="0.3">
      <c r="A733" s="2" t="s">
        <v>2112</v>
      </c>
      <c r="B733" s="2" t="s">
        <v>168</v>
      </c>
      <c r="C733" s="2" t="s">
        <v>2547</v>
      </c>
      <c r="D733" s="2"/>
    </row>
    <row r="734" spans="1:4" x14ac:dyDescent="0.3">
      <c r="A734" s="2" t="s">
        <v>2113</v>
      </c>
      <c r="B734" s="2" t="s">
        <v>168</v>
      </c>
      <c r="C734" s="2" t="s">
        <v>2547</v>
      </c>
      <c r="D734" s="2"/>
    </row>
    <row r="735" spans="1:4" x14ac:dyDescent="0.3">
      <c r="A735" s="2" t="s">
        <v>2114</v>
      </c>
      <c r="B735" s="2" t="s">
        <v>168</v>
      </c>
      <c r="C735" s="2" t="s">
        <v>2547</v>
      </c>
      <c r="D735" s="2"/>
    </row>
    <row r="736" spans="1:4" x14ac:dyDescent="0.3">
      <c r="A736" s="2" t="s">
        <v>2115</v>
      </c>
      <c r="B736" s="2" t="s">
        <v>168</v>
      </c>
      <c r="C736" s="2" t="s">
        <v>2547</v>
      </c>
      <c r="D736" s="2"/>
    </row>
    <row r="737" spans="1:4" x14ac:dyDescent="0.3">
      <c r="A737" s="2" t="s">
        <v>2116</v>
      </c>
      <c r="B737" s="2" t="s">
        <v>168</v>
      </c>
      <c r="C737" s="2" t="s">
        <v>2547</v>
      </c>
      <c r="D737" s="2"/>
    </row>
    <row r="738" spans="1:4" x14ac:dyDescent="0.3">
      <c r="A738" s="2" t="s">
        <v>2117</v>
      </c>
      <c r="B738" s="2" t="s">
        <v>168</v>
      </c>
      <c r="C738" s="2" t="s">
        <v>2547</v>
      </c>
      <c r="D738" s="2"/>
    </row>
    <row r="739" spans="1:4" x14ac:dyDescent="0.3">
      <c r="A739" s="2" t="s">
        <v>2118</v>
      </c>
      <c r="B739" s="2" t="s">
        <v>168</v>
      </c>
      <c r="C739" s="2" t="s">
        <v>2547</v>
      </c>
      <c r="D739" s="2"/>
    </row>
    <row r="740" spans="1:4" x14ac:dyDescent="0.3">
      <c r="A740" s="2" t="s">
        <v>2119</v>
      </c>
      <c r="B740" s="2" t="s">
        <v>168</v>
      </c>
      <c r="C740" s="2" t="s">
        <v>2547</v>
      </c>
      <c r="D740" s="2"/>
    </row>
    <row r="741" spans="1:4" x14ac:dyDescent="0.3">
      <c r="A741" s="2" t="s">
        <v>2120</v>
      </c>
      <c r="B741" s="2" t="s">
        <v>168</v>
      </c>
      <c r="C741" s="2" t="s">
        <v>2547</v>
      </c>
      <c r="D741" s="2"/>
    </row>
    <row r="742" spans="1:4" x14ac:dyDescent="0.3">
      <c r="A742" s="2" t="s">
        <v>2121</v>
      </c>
      <c r="B742" s="2" t="s">
        <v>168</v>
      </c>
      <c r="C742" s="2" t="s">
        <v>2547</v>
      </c>
      <c r="D742" s="2"/>
    </row>
    <row r="743" spans="1:4" x14ac:dyDescent="0.3">
      <c r="A743" s="2" t="s">
        <v>2122</v>
      </c>
      <c r="B743" s="2" t="s">
        <v>168</v>
      </c>
      <c r="C743" s="2" t="s">
        <v>2547</v>
      </c>
      <c r="D743" s="2"/>
    </row>
    <row r="744" spans="1:4" x14ac:dyDescent="0.3">
      <c r="A744" s="2" t="s">
        <v>2123</v>
      </c>
      <c r="B744" s="2" t="s">
        <v>168</v>
      </c>
      <c r="C744" s="2" t="s">
        <v>2547</v>
      </c>
      <c r="D744" s="2"/>
    </row>
    <row r="745" spans="1:4" x14ac:dyDescent="0.3">
      <c r="A745" s="2" t="s">
        <v>2124</v>
      </c>
      <c r="B745" s="2" t="s">
        <v>168</v>
      </c>
      <c r="C745" s="2" t="s">
        <v>2547</v>
      </c>
      <c r="D745" s="2"/>
    </row>
    <row r="746" spans="1:4" x14ac:dyDescent="0.3">
      <c r="A746" s="2" t="s">
        <v>2125</v>
      </c>
      <c r="B746" s="2" t="s">
        <v>168</v>
      </c>
      <c r="C746" s="2" t="s">
        <v>2547</v>
      </c>
      <c r="D746" s="2"/>
    </row>
    <row r="747" spans="1:4" x14ac:dyDescent="0.3">
      <c r="A747" s="2" t="s">
        <v>2126</v>
      </c>
      <c r="B747" s="2" t="s">
        <v>168</v>
      </c>
      <c r="C747" s="2" t="s">
        <v>2547</v>
      </c>
      <c r="D747" s="2"/>
    </row>
    <row r="748" spans="1:4" x14ac:dyDescent="0.3">
      <c r="A748" s="2" t="s">
        <v>2127</v>
      </c>
      <c r="B748" s="2" t="s">
        <v>168</v>
      </c>
      <c r="C748" s="2" t="s">
        <v>2547</v>
      </c>
      <c r="D748" s="2"/>
    </row>
    <row r="749" spans="1:4" x14ac:dyDescent="0.3">
      <c r="A749" s="2" t="s">
        <v>2128</v>
      </c>
      <c r="B749" s="2" t="s">
        <v>168</v>
      </c>
      <c r="C749" s="2" t="s">
        <v>2547</v>
      </c>
      <c r="D749" s="2"/>
    </row>
    <row r="750" spans="1:4" x14ac:dyDescent="0.3">
      <c r="A750" s="2" t="s">
        <v>2129</v>
      </c>
      <c r="B750" s="2" t="s">
        <v>168</v>
      </c>
      <c r="C750" s="2" t="s">
        <v>2547</v>
      </c>
      <c r="D750" s="2"/>
    </row>
    <row r="751" spans="1:4" x14ac:dyDescent="0.3">
      <c r="A751" s="2" t="s">
        <v>2130</v>
      </c>
      <c r="B751" s="2" t="s">
        <v>168</v>
      </c>
      <c r="C751" s="2" t="s">
        <v>2547</v>
      </c>
      <c r="D751" s="2"/>
    </row>
    <row r="752" spans="1:4" x14ac:dyDescent="0.3">
      <c r="A752" s="2" t="s">
        <v>2131</v>
      </c>
      <c r="B752" s="2" t="s">
        <v>168</v>
      </c>
      <c r="C752" s="2" t="s">
        <v>2547</v>
      </c>
      <c r="D752" s="2"/>
    </row>
    <row r="753" spans="1:4" x14ac:dyDescent="0.3">
      <c r="A753" s="2" t="s">
        <v>2132</v>
      </c>
      <c r="B753" s="2" t="s">
        <v>168</v>
      </c>
      <c r="C753" s="2" t="s">
        <v>2547</v>
      </c>
      <c r="D753" s="2"/>
    </row>
    <row r="754" spans="1:4" x14ac:dyDescent="0.3">
      <c r="A754" s="2" t="s">
        <v>2133</v>
      </c>
      <c r="B754" s="2" t="s">
        <v>168</v>
      </c>
      <c r="C754" s="2" t="s">
        <v>2547</v>
      </c>
      <c r="D754" s="2"/>
    </row>
    <row r="755" spans="1:4" x14ac:dyDescent="0.3">
      <c r="A755" s="2" t="s">
        <v>2134</v>
      </c>
      <c r="B755" s="2" t="s">
        <v>168</v>
      </c>
      <c r="C755" s="2" t="s">
        <v>2547</v>
      </c>
      <c r="D755" s="2"/>
    </row>
    <row r="756" spans="1:4" x14ac:dyDescent="0.3">
      <c r="A756" s="2" t="s">
        <v>2135</v>
      </c>
      <c r="B756" s="2" t="s">
        <v>168</v>
      </c>
      <c r="C756" s="2" t="s">
        <v>2547</v>
      </c>
      <c r="D756" s="2"/>
    </row>
    <row r="757" spans="1:4" x14ac:dyDescent="0.3">
      <c r="A757" s="2" t="s">
        <v>2136</v>
      </c>
      <c r="B757" s="2" t="s">
        <v>168</v>
      </c>
      <c r="C757" s="2" t="s">
        <v>2547</v>
      </c>
      <c r="D757" s="2"/>
    </row>
    <row r="758" spans="1:4" x14ac:dyDescent="0.3">
      <c r="A758" s="2" t="s">
        <v>2137</v>
      </c>
      <c r="B758" s="2" t="s">
        <v>168</v>
      </c>
      <c r="C758" s="2" t="s">
        <v>2547</v>
      </c>
      <c r="D758" s="2"/>
    </row>
    <row r="759" spans="1:4" x14ac:dyDescent="0.3">
      <c r="A759" s="2" t="s">
        <v>2138</v>
      </c>
      <c r="B759" s="2" t="s">
        <v>168</v>
      </c>
      <c r="C759" s="2" t="s">
        <v>2547</v>
      </c>
      <c r="D759" s="2"/>
    </row>
    <row r="760" spans="1:4" x14ac:dyDescent="0.3">
      <c r="A760" s="2" t="s">
        <v>2139</v>
      </c>
      <c r="B760" s="2" t="s">
        <v>168</v>
      </c>
      <c r="C760" s="2" t="s">
        <v>2547</v>
      </c>
      <c r="D760" s="2"/>
    </row>
    <row r="761" spans="1:4" x14ac:dyDescent="0.3">
      <c r="A761" s="2" t="s">
        <v>2140</v>
      </c>
      <c r="B761" s="2" t="s">
        <v>168</v>
      </c>
      <c r="C761" s="2" t="s">
        <v>2547</v>
      </c>
      <c r="D761" s="2"/>
    </row>
    <row r="762" spans="1:4" x14ac:dyDescent="0.3">
      <c r="A762" s="2" t="s">
        <v>2141</v>
      </c>
      <c r="B762" s="2" t="s">
        <v>168</v>
      </c>
      <c r="C762" s="2" t="s">
        <v>2547</v>
      </c>
      <c r="D762" s="2"/>
    </row>
    <row r="763" spans="1:4" x14ac:dyDescent="0.3">
      <c r="A763" s="2" t="s">
        <v>2142</v>
      </c>
      <c r="B763" s="2" t="s">
        <v>168</v>
      </c>
      <c r="C763" s="2" t="s">
        <v>2547</v>
      </c>
      <c r="D763" s="2"/>
    </row>
    <row r="764" spans="1:4" x14ac:dyDescent="0.3">
      <c r="A764" s="2" t="s">
        <v>2143</v>
      </c>
      <c r="B764" s="2" t="s">
        <v>168</v>
      </c>
      <c r="C764" s="2" t="s">
        <v>2547</v>
      </c>
      <c r="D764" s="2"/>
    </row>
    <row r="765" spans="1:4" x14ac:dyDescent="0.3">
      <c r="A765" s="2" t="s">
        <v>2144</v>
      </c>
      <c r="B765" s="2" t="s">
        <v>168</v>
      </c>
      <c r="C765" s="2" t="s">
        <v>2547</v>
      </c>
      <c r="D765" s="2"/>
    </row>
    <row r="766" spans="1:4" x14ac:dyDescent="0.3">
      <c r="A766" s="2" t="s">
        <v>2145</v>
      </c>
      <c r="B766" s="2" t="s">
        <v>168</v>
      </c>
      <c r="C766" s="2" t="s">
        <v>2547</v>
      </c>
      <c r="D766" s="2"/>
    </row>
    <row r="767" spans="1:4" x14ac:dyDescent="0.3">
      <c r="A767" s="2" t="s">
        <v>2146</v>
      </c>
      <c r="B767" s="2" t="s">
        <v>168</v>
      </c>
      <c r="C767" s="2" t="s">
        <v>2547</v>
      </c>
      <c r="D767" s="2"/>
    </row>
    <row r="768" spans="1:4" x14ac:dyDescent="0.3">
      <c r="A768" s="2" t="s">
        <v>2147</v>
      </c>
      <c r="B768" s="2" t="s">
        <v>168</v>
      </c>
      <c r="C768" s="2" t="s">
        <v>2547</v>
      </c>
      <c r="D768" s="2"/>
    </row>
    <row r="769" spans="1:4" x14ac:dyDescent="0.3">
      <c r="A769" s="2" t="s">
        <v>2148</v>
      </c>
      <c r="B769" s="2" t="s">
        <v>168</v>
      </c>
      <c r="C769" s="2" t="s">
        <v>2547</v>
      </c>
      <c r="D769" s="2"/>
    </row>
    <row r="770" spans="1:4" x14ac:dyDescent="0.3">
      <c r="A770" s="2" t="s">
        <v>2149</v>
      </c>
      <c r="B770" s="2" t="s">
        <v>168</v>
      </c>
      <c r="C770" s="2" t="s">
        <v>2547</v>
      </c>
      <c r="D770" s="2"/>
    </row>
    <row r="771" spans="1:4" x14ac:dyDescent="0.3">
      <c r="A771" s="2" t="s">
        <v>2150</v>
      </c>
      <c r="B771" s="2" t="s">
        <v>168</v>
      </c>
      <c r="C771" s="2" t="s">
        <v>2547</v>
      </c>
      <c r="D771" s="2"/>
    </row>
    <row r="772" spans="1:4" x14ac:dyDescent="0.3">
      <c r="A772" s="2" t="s">
        <v>2151</v>
      </c>
      <c r="B772" s="2" t="s">
        <v>168</v>
      </c>
      <c r="C772" s="2" t="s">
        <v>2547</v>
      </c>
      <c r="D772" s="2"/>
    </row>
    <row r="773" spans="1:4" x14ac:dyDescent="0.3">
      <c r="A773" s="2" t="s">
        <v>2152</v>
      </c>
      <c r="B773" s="2" t="s">
        <v>168</v>
      </c>
      <c r="C773" s="2" t="s">
        <v>2547</v>
      </c>
      <c r="D773" s="2"/>
    </row>
    <row r="774" spans="1:4" x14ac:dyDescent="0.3">
      <c r="A774" s="2" t="s">
        <v>2153</v>
      </c>
      <c r="B774" s="2" t="s">
        <v>168</v>
      </c>
      <c r="C774" s="2" t="s">
        <v>2547</v>
      </c>
      <c r="D774" s="2"/>
    </row>
    <row r="775" spans="1:4" x14ac:dyDescent="0.3">
      <c r="A775" s="2" t="s">
        <v>2154</v>
      </c>
      <c r="B775" s="2" t="s">
        <v>168</v>
      </c>
      <c r="C775" s="2" t="s">
        <v>2547</v>
      </c>
      <c r="D775" s="2"/>
    </row>
    <row r="776" spans="1:4" x14ac:dyDescent="0.3">
      <c r="A776" s="2" t="s">
        <v>2155</v>
      </c>
      <c r="B776" s="2" t="s">
        <v>168</v>
      </c>
      <c r="C776" s="2" t="s">
        <v>2547</v>
      </c>
      <c r="D776" s="2"/>
    </row>
    <row r="777" spans="1:4" x14ac:dyDescent="0.3">
      <c r="A777" s="2" t="s">
        <v>2156</v>
      </c>
      <c r="B777" s="2" t="s">
        <v>168</v>
      </c>
      <c r="C777" s="2" t="s">
        <v>2547</v>
      </c>
      <c r="D777" s="2"/>
    </row>
    <row r="778" spans="1:4" x14ac:dyDescent="0.3">
      <c r="A778" s="2" t="s">
        <v>2157</v>
      </c>
      <c r="B778" s="2" t="s">
        <v>168</v>
      </c>
      <c r="C778" s="2" t="s">
        <v>2547</v>
      </c>
      <c r="D778" s="2"/>
    </row>
    <row r="779" spans="1:4" x14ac:dyDescent="0.3">
      <c r="A779" s="2" t="s">
        <v>2158</v>
      </c>
      <c r="B779" s="2" t="s">
        <v>168</v>
      </c>
      <c r="C779" s="2" t="s">
        <v>2547</v>
      </c>
      <c r="D779" s="2"/>
    </row>
    <row r="780" spans="1:4" x14ac:dyDescent="0.3">
      <c r="A780" s="2" t="s">
        <v>2159</v>
      </c>
      <c r="B780" s="2" t="s">
        <v>168</v>
      </c>
      <c r="C780" s="2" t="s">
        <v>2547</v>
      </c>
      <c r="D780" s="2"/>
    </row>
    <row r="781" spans="1:4" x14ac:dyDescent="0.3">
      <c r="A781" s="2" t="s">
        <v>2160</v>
      </c>
      <c r="B781" s="2" t="s">
        <v>168</v>
      </c>
      <c r="C781" s="2" t="s">
        <v>2547</v>
      </c>
      <c r="D781" s="2"/>
    </row>
    <row r="782" spans="1:4" x14ac:dyDescent="0.3">
      <c r="A782" s="2" t="s">
        <v>2161</v>
      </c>
      <c r="B782" s="2" t="s">
        <v>168</v>
      </c>
      <c r="C782" s="2" t="s">
        <v>2547</v>
      </c>
      <c r="D782" s="2"/>
    </row>
    <row r="783" spans="1:4" x14ac:dyDescent="0.3">
      <c r="A783" s="2" t="s">
        <v>2162</v>
      </c>
      <c r="B783" s="2" t="s">
        <v>168</v>
      </c>
      <c r="C783" s="2" t="s">
        <v>2547</v>
      </c>
      <c r="D783" s="2"/>
    </row>
    <row r="784" spans="1:4" x14ac:dyDescent="0.3">
      <c r="A784" s="2" t="s">
        <v>2163</v>
      </c>
      <c r="B784" s="2" t="s">
        <v>168</v>
      </c>
      <c r="C784" s="2" t="s">
        <v>2547</v>
      </c>
      <c r="D784" s="2"/>
    </row>
    <row r="785" spans="1:4" x14ac:dyDescent="0.3">
      <c r="A785" s="2" t="s">
        <v>2164</v>
      </c>
      <c r="B785" s="2" t="s">
        <v>168</v>
      </c>
      <c r="C785" s="2" t="s">
        <v>2547</v>
      </c>
      <c r="D785" s="2"/>
    </row>
    <row r="786" spans="1:4" x14ac:dyDescent="0.3">
      <c r="A786" s="2" t="s">
        <v>2165</v>
      </c>
      <c r="B786" s="2" t="s">
        <v>168</v>
      </c>
      <c r="C786" s="2" t="s">
        <v>2547</v>
      </c>
      <c r="D786" s="2"/>
    </row>
    <row r="787" spans="1:4" x14ac:dyDescent="0.3">
      <c r="A787" s="2" t="s">
        <v>2166</v>
      </c>
      <c r="B787" s="2" t="s">
        <v>168</v>
      </c>
      <c r="C787" s="2" t="s">
        <v>2547</v>
      </c>
      <c r="D787" s="2"/>
    </row>
    <row r="788" spans="1:4" x14ac:dyDescent="0.3">
      <c r="A788" s="2" t="s">
        <v>2167</v>
      </c>
      <c r="B788" s="2" t="s">
        <v>168</v>
      </c>
      <c r="C788" s="2" t="s">
        <v>2547</v>
      </c>
      <c r="D788" s="2"/>
    </row>
    <row r="789" spans="1:4" x14ac:dyDescent="0.3">
      <c r="A789" s="2" t="s">
        <v>2168</v>
      </c>
      <c r="B789" s="2" t="s">
        <v>168</v>
      </c>
      <c r="C789" s="2" t="s">
        <v>2547</v>
      </c>
      <c r="D789" s="2"/>
    </row>
    <row r="790" spans="1:4" x14ac:dyDescent="0.3">
      <c r="A790" s="2" t="s">
        <v>2169</v>
      </c>
      <c r="B790" s="2" t="s">
        <v>168</v>
      </c>
      <c r="C790" s="2" t="s">
        <v>2547</v>
      </c>
      <c r="D790" s="2"/>
    </row>
    <row r="791" spans="1:4" x14ac:dyDescent="0.3">
      <c r="A791" s="2" t="s">
        <v>2170</v>
      </c>
      <c r="B791" s="2" t="s">
        <v>168</v>
      </c>
      <c r="C791" s="2" t="s">
        <v>2547</v>
      </c>
      <c r="D791" s="2"/>
    </row>
    <row r="792" spans="1:4" x14ac:dyDescent="0.3">
      <c r="A792" s="2" t="s">
        <v>2171</v>
      </c>
      <c r="B792" s="2" t="s">
        <v>168</v>
      </c>
      <c r="C792" s="2" t="s">
        <v>2547</v>
      </c>
      <c r="D792" s="2"/>
    </row>
    <row r="793" spans="1:4" x14ac:dyDescent="0.3">
      <c r="A793" s="2" t="s">
        <v>2172</v>
      </c>
      <c r="B793" s="2" t="s">
        <v>168</v>
      </c>
      <c r="C793" s="2" t="s">
        <v>2547</v>
      </c>
      <c r="D793" s="2"/>
    </row>
    <row r="794" spans="1:4" x14ac:dyDescent="0.3">
      <c r="A794" s="2" t="s">
        <v>2173</v>
      </c>
      <c r="B794" s="2" t="s">
        <v>168</v>
      </c>
      <c r="C794" s="2" t="s">
        <v>2547</v>
      </c>
      <c r="D794" s="2"/>
    </row>
    <row r="795" spans="1:4" x14ac:dyDescent="0.3">
      <c r="A795" s="2" t="s">
        <v>2174</v>
      </c>
      <c r="B795" s="2" t="s">
        <v>168</v>
      </c>
      <c r="C795" s="2" t="s">
        <v>2547</v>
      </c>
      <c r="D795" s="2"/>
    </row>
    <row r="796" spans="1:4" x14ac:dyDescent="0.3">
      <c r="A796" s="2" t="s">
        <v>2175</v>
      </c>
      <c r="B796" s="2" t="s">
        <v>168</v>
      </c>
      <c r="C796" s="2" t="s">
        <v>2547</v>
      </c>
      <c r="D796" s="2"/>
    </row>
    <row r="797" spans="1:4" x14ac:dyDescent="0.3">
      <c r="A797" s="2" t="s">
        <v>2176</v>
      </c>
      <c r="B797" s="2" t="s">
        <v>168</v>
      </c>
      <c r="C797" s="2" t="s">
        <v>2547</v>
      </c>
      <c r="D797" s="2"/>
    </row>
    <row r="798" spans="1:4" x14ac:dyDescent="0.3">
      <c r="A798" s="2" t="s">
        <v>2177</v>
      </c>
      <c r="B798" s="2" t="s">
        <v>168</v>
      </c>
      <c r="C798" s="2" t="s">
        <v>2547</v>
      </c>
      <c r="D798" s="2"/>
    </row>
    <row r="799" spans="1:4" x14ac:dyDescent="0.3">
      <c r="A799" s="2" t="s">
        <v>2178</v>
      </c>
      <c r="B799" s="2" t="s">
        <v>168</v>
      </c>
      <c r="C799" s="2" t="s">
        <v>2547</v>
      </c>
      <c r="D799" s="2"/>
    </row>
    <row r="800" spans="1:4" x14ac:dyDescent="0.3">
      <c r="A800" s="2" t="s">
        <v>2179</v>
      </c>
      <c r="B800" s="2" t="s">
        <v>168</v>
      </c>
      <c r="C800" s="2" t="s">
        <v>2547</v>
      </c>
      <c r="D800" s="2"/>
    </row>
    <row r="801" spans="1:4" x14ac:dyDescent="0.3">
      <c r="A801" s="2" t="s">
        <v>3011</v>
      </c>
      <c r="B801" s="2" t="s">
        <v>168</v>
      </c>
      <c r="C801" s="2" t="s">
        <v>2547</v>
      </c>
      <c r="D801" s="2"/>
    </row>
    <row r="802" spans="1:4" x14ac:dyDescent="0.3">
      <c r="A802" s="2" t="s">
        <v>2180</v>
      </c>
      <c r="B802" s="2" t="s">
        <v>168</v>
      </c>
      <c r="C802" s="2" t="s">
        <v>2547</v>
      </c>
      <c r="D802" s="2"/>
    </row>
    <row r="803" spans="1:4" x14ac:dyDescent="0.3">
      <c r="A803" s="2" t="s">
        <v>2181</v>
      </c>
      <c r="B803" s="2" t="s">
        <v>168</v>
      </c>
      <c r="C803" s="2" t="s">
        <v>2547</v>
      </c>
      <c r="D803" s="2"/>
    </row>
    <row r="804" spans="1:4" x14ac:dyDescent="0.3">
      <c r="A804" s="2" t="s">
        <v>2182</v>
      </c>
      <c r="B804" s="2" t="s">
        <v>168</v>
      </c>
      <c r="C804" s="2" t="s">
        <v>2547</v>
      </c>
      <c r="D804" s="2"/>
    </row>
    <row r="805" spans="1:4" x14ac:dyDescent="0.3">
      <c r="A805" s="2" t="s">
        <v>2183</v>
      </c>
      <c r="B805" s="2" t="s">
        <v>168</v>
      </c>
      <c r="C805" s="2" t="s">
        <v>2547</v>
      </c>
      <c r="D805" s="2"/>
    </row>
    <row r="806" spans="1:4" x14ac:dyDescent="0.3">
      <c r="A806" s="2" t="s">
        <v>2184</v>
      </c>
      <c r="B806" s="2" t="s">
        <v>168</v>
      </c>
      <c r="C806" s="2" t="s">
        <v>2547</v>
      </c>
      <c r="D806" s="2"/>
    </row>
    <row r="807" spans="1:4" x14ac:dyDescent="0.3">
      <c r="A807" s="2" t="s">
        <v>2185</v>
      </c>
      <c r="B807" s="2" t="s">
        <v>168</v>
      </c>
      <c r="C807" s="2" t="s">
        <v>2547</v>
      </c>
      <c r="D807" s="2"/>
    </row>
    <row r="808" spans="1:4" x14ac:dyDescent="0.3">
      <c r="A808" s="2" t="s">
        <v>2186</v>
      </c>
      <c r="B808" s="2" t="s">
        <v>168</v>
      </c>
      <c r="C808" s="2" t="s">
        <v>2547</v>
      </c>
      <c r="D808" s="2"/>
    </row>
    <row r="809" spans="1:4" x14ac:dyDescent="0.3">
      <c r="A809" s="2" t="s">
        <v>2187</v>
      </c>
      <c r="B809" s="2" t="s">
        <v>168</v>
      </c>
      <c r="C809" s="2" t="s">
        <v>2547</v>
      </c>
      <c r="D809" s="2"/>
    </row>
    <row r="810" spans="1:4" x14ac:dyDescent="0.3">
      <c r="A810" s="2" t="s">
        <v>2188</v>
      </c>
      <c r="B810" s="2" t="s">
        <v>168</v>
      </c>
      <c r="C810" s="2" t="s">
        <v>2547</v>
      </c>
      <c r="D810" s="2"/>
    </row>
    <row r="811" spans="1:4" x14ac:dyDescent="0.3">
      <c r="A811" s="2" t="s">
        <v>2189</v>
      </c>
      <c r="B811" s="2" t="s">
        <v>168</v>
      </c>
      <c r="C811" s="2" t="s">
        <v>2547</v>
      </c>
      <c r="D811" s="2"/>
    </row>
    <row r="812" spans="1:4" x14ac:dyDescent="0.3">
      <c r="A812" s="2" t="s">
        <v>2190</v>
      </c>
      <c r="B812" s="2" t="s">
        <v>168</v>
      </c>
      <c r="C812" s="2" t="s">
        <v>2547</v>
      </c>
      <c r="D812" s="2"/>
    </row>
    <row r="813" spans="1:4" x14ac:dyDescent="0.3">
      <c r="A813" s="2" t="s">
        <v>2191</v>
      </c>
      <c r="B813" s="2" t="s">
        <v>168</v>
      </c>
      <c r="C813" s="2" t="s">
        <v>2547</v>
      </c>
      <c r="D813" s="2"/>
    </row>
    <row r="814" spans="1:4" x14ac:dyDescent="0.3">
      <c r="A814" s="2" t="s">
        <v>2192</v>
      </c>
      <c r="B814" s="2" t="s">
        <v>168</v>
      </c>
      <c r="C814" s="2" t="s">
        <v>2547</v>
      </c>
      <c r="D814" s="2"/>
    </row>
    <row r="815" spans="1:4" x14ac:dyDescent="0.3">
      <c r="A815" s="2" t="s">
        <v>2193</v>
      </c>
      <c r="B815" s="2" t="s">
        <v>168</v>
      </c>
      <c r="C815" s="2" t="s">
        <v>2547</v>
      </c>
      <c r="D815" s="2"/>
    </row>
    <row r="816" spans="1:4" x14ac:dyDescent="0.3">
      <c r="A816" s="2" t="s">
        <v>2194</v>
      </c>
      <c r="B816" s="2" t="s">
        <v>168</v>
      </c>
      <c r="C816" s="2" t="s">
        <v>2547</v>
      </c>
      <c r="D816" s="2"/>
    </row>
    <row r="817" spans="1:4" x14ac:dyDescent="0.3">
      <c r="A817" s="2" t="s">
        <v>2195</v>
      </c>
      <c r="B817" s="2" t="s">
        <v>168</v>
      </c>
      <c r="C817" s="2" t="s">
        <v>2547</v>
      </c>
      <c r="D817" s="2"/>
    </row>
    <row r="818" spans="1:4" x14ac:dyDescent="0.3">
      <c r="A818" s="2" t="s">
        <v>2196</v>
      </c>
      <c r="B818" s="2" t="s">
        <v>168</v>
      </c>
      <c r="C818" s="2" t="s">
        <v>2547</v>
      </c>
      <c r="D818" s="2"/>
    </row>
    <row r="819" spans="1:4" x14ac:dyDescent="0.3">
      <c r="A819" s="2" t="s">
        <v>2197</v>
      </c>
      <c r="B819" s="2" t="s">
        <v>168</v>
      </c>
      <c r="C819" s="2" t="s">
        <v>2547</v>
      </c>
      <c r="D819" s="2"/>
    </row>
    <row r="820" spans="1:4" x14ac:dyDescent="0.3">
      <c r="A820" s="2" t="s">
        <v>2198</v>
      </c>
      <c r="B820" s="2" t="s">
        <v>168</v>
      </c>
      <c r="C820" s="2" t="s">
        <v>2547</v>
      </c>
      <c r="D820" s="2"/>
    </row>
    <row r="821" spans="1:4" x14ac:dyDescent="0.3">
      <c r="A821" s="2" t="s">
        <v>2199</v>
      </c>
      <c r="B821" s="2" t="s">
        <v>168</v>
      </c>
      <c r="C821" s="2" t="s">
        <v>2547</v>
      </c>
      <c r="D821" s="2"/>
    </row>
    <row r="822" spans="1:4" x14ac:dyDescent="0.3">
      <c r="A822" s="2" t="s">
        <v>2200</v>
      </c>
      <c r="B822" s="2" t="s">
        <v>168</v>
      </c>
      <c r="C822" s="2" t="s">
        <v>2547</v>
      </c>
      <c r="D822" s="2"/>
    </row>
    <row r="823" spans="1:4" x14ac:dyDescent="0.3">
      <c r="A823" s="2" t="s">
        <v>2201</v>
      </c>
      <c r="B823" s="2" t="s">
        <v>168</v>
      </c>
      <c r="C823" s="2" t="s">
        <v>2547</v>
      </c>
      <c r="D823" s="2"/>
    </row>
    <row r="824" spans="1:4" x14ac:dyDescent="0.3">
      <c r="A824" s="2" t="s">
        <v>2202</v>
      </c>
      <c r="B824" s="2" t="s">
        <v>168</v>
      </c>
      <c r="C824" s="2" t="s">
        <v>2547</v>
      </c>
      <c r="D824" s="2"/>
    </row>
    <row r="825" spans="1:4" x14ac:dyDescent="0.3">
      <c r="A825" s="2" t="s">
        <v>2203</v>
      </c>
      <c r="B825" s="2" t="s">
        <v>168</v>
      </c>
      <c r="C825" s="2" t="s">
        <v>2547</v>
      </c>
      <c r="D825" s="2"/>
    </row>
    <row r="826" spans="1:4" x14ac:dyDescent="0.3">
      <c r="A826" s="2" t="s">
        <v>2204</v>
      </c>
      <c r="B826" s="2" t="s">
        <v>168</v>
      </c>
      <c r="C826" s="2" t="s">
        <v>2547</v>
      </c>
      <c r="D826" s="2"/>
    </row>
    <row r="827" spans="1:4" x14ac:dyDescent="0.3">
      <c r="A827" s="2" t="s">
        <v>2205</v>
      </c>
      <c r="B827" s="2" t="s">
        <v>168</v>
      </c>
      <c r="C827" s="2" t="s">
        <v>2547</v>
      </c>
      <c r="D827" s="2"/>
    </row>
    <row r="828" spans="1:4" x14ac:dyDescent="0.3">
      <c r="A828" s="2" t="s">
        <v>3012</v>
      </c>
      <c r="B828" s="2" t="s">
        <v>1325</v>
      </c>
      <c r="C828" s="2" t="s">
        <v>2731</v>
      </c>
      <c r="D828" s="2"/>
    </row>
    <row r="829" spans="1:4" x14ac:dyDescent="0.3">
      <c r="A829" s="2" t="s">
        <v>3013</v>
      </c>
      <c r="B829" s="2" t="s">
        <v>1325</v>
      </c>
      <c r="C829" s="2" t="s">
        <v>2731</v>
      </c>
      <c r="D829" s="2"/>
    </row>
    <row r="830" spans="1:4" x14ac:dyDescent="0.3">
      <c r="A830" s="2" t="s">
        <v>3014</v>
      </c>
      <c r="B830" s="2" t="s">
        <v>1325</v>
      </c>
      <c r="C830" s="2" t="s">
        <v>2731</v>
      </c>
      <c r="D830" s="2"/>
    </row>
    <row r="831" spans="1:4" x14ac:dyDescent="0.3">
      <c r="A831" s="2" t="s">
        <v>3015</v>
      </c>
      <c r="B831" s="2" t="s">
        <v>1325</v>
      </c>
      <c r="C831" s="2" t="s">
        <v>2731</v>
      </c>
      <c r="D831" s="2"/>
    </row>
    <row r="832" spans="1:4" x14ac:dyDescent="0.3">
      <c r="A832" s="2" t="s">
        <v>3016</v>
      </c>
      <c r="B832" s="2" t="s">
        <v>1325</v>
      </c>
      <c r="C832" s="2" t="s">
        <v>2731</v>
      </c>
      <c r="D832" s="2"/>
    </row>
    <row r="833" spans="1:4" x14ac:dyDescent="0.3">
      <c r="A833" s="2" t="s">
        <v>3017</v>
      </c>
      <c r="B833" s="2" t="s">
        <v>1325</v>
      </c>
      <c r="C833" s="2" t="s">
        <v>2731</v>
      </c>
      <c r="D833" s="2"/>
    </row>
    <row r="834" spans="1:4" x14ac:dyDescent="0.3">
      <c r="A834" s="2" t="s">
        <v>3018</v>
      </c>
      <c r="B834" s="2" t="s">
        <v>1325</v>
      </c>
      <c r="C834" s="2" t="s">
        <v>2731</v>
      </c>
      <c r="D834" s="2"/>
    </row>
    <row r="835" spans="1:4" x14ac:dyDescent="0.3">
      <c r="A835" s="2" t="s">
        <v>3019</v>
      </c>
      <c r="B835" s="2" t="s">
        <v>1325</v>
      </c>
      <c r="C835" s="2" t="s">
        <v>2731</v>
      </c>
      <c r="D835" s="2"/>
    </row>
    <row r="836" spans="1:4" x14ac:dyDescent="0.3">
      <c r="A836" s="2" t="s">
        <v>3020</v>
      </c>
      <c r="B836" s="2" t="s">
        <v>1325</v>
      </c>
      <c r="C836" s="2" t="s">
        <v>2731</v>
      </c>
      <c r="D836" s="2"/>
    </row>
    <row r="837" spans="1:4" x14ac:dyDescent="0.3">
      <c r="A837" s="2" t="s">
        <v>3021</v>
      </c>
      <c r="B837" s="2" t="s">
        <v>1325</v>
      </c>
      <c r="C837" s="2" t="s">
        <v>2731</v>
      </c>
      <c r="D837" s="2"/>
    </row>
    <row r="838" spans="1:4" x14ac:dyDescent="0.3">
      <c r="A838" s="2" t="s">
        <v>3022</v>
      </c>
      <c r="B838" s="2" t="s">
        <v>1325</v>
      </c>
      <c r="C838" s="2" t="s">
        <v>2731</v>
      </c>
      <c r="D838" s="2"/>
    </row>
    <row r="839" spans="1:4" x14ac:dyDescent="0.3">
      <c r="A839" s="2" t="s">
        <v>3023</v>
      </c>
      <c r="B839" s="2" t="s">
        <v>1325</v>
      </c>
      <c r="C839" s="2" t="s">
        <v>2731</v>
      </c>
      <c r="D839" s="2"/>
    </row>
    <row r="840" spans="1:4" x14ac:dyDescent="0.3">
      <c r="A840" s="2" t="s">
        <v>3024</v>
      </c>
      <c r="B840" s="2" t="s">
        <v>1325</v>
      </c>
      <c r="C840" s="2" t="s">
        <v>2731</v>
      </c>
      <c r="D840" s="2"/>
    </row>
    <row r="841" spans="1:4" x14ac:dyDescent="0.3">
      <c r="A841" s="2" t="s">
        <v>3025</v>
      </c>
      <c r="B841" s="2" t="s">
        <v>1325</v>
      </c>
      <c r="C841" s="2" t="s">
        <v>2731</v>
      </c>
      <c r="D841" s="2"/>
    </row>
    <row r="842" spans="1:4" x14ac:dyDescent="0.3">
      <c r="A842" s="2" t="s">
        <v>3026</v>
      </c>
      <c r="B842" s="2" t="s">
        <v>1325</v>
      </c>
      <c r="C842" s="2" t="s">
        <v>2731</v>
      </c>
      <c r="D842" s="2"/>
    </row>
    <row r="843" spans="1:4" x14ac:dyDescent="0.3">
      <c r="A843" s="2" t="s">
        <v>3027</v>
      </c>
      <c r="B843" s="2" t="s">
        <v>1325</v>
      </c>
      <c r="C843" s="2" t="s">
        <v>2731</v>
      </c>
      <c r="D843" s="2"/>
    </row>
    <row r="844" spans="1:4" x14ac:dyDescent="0.3">
      <c r="A844" s="2" t="s">
        <v>3028</v>
      </c>
      <c r="B844" s="2" t="s">
        <v>1325</v>
      </c>
      <c r="C844" s="2" t="s">
        <v>2731</v>
      </c>
      <c r="D844" s="2"/>
    </row>
    <row r="845" spans="1:4" x14ac:dyDescent="0.3">
      <c r="A845" s="2" t="s">
        <v>3029</v>
      </c>
      <c r="B845" s="2" t="s">
        <v>1325</v>
      </c>
      <c r="C845" s="2" t="s">
        <v>2731</v>
      </c>
      <c r="D845" s="2"/>
    </row>
    <row r="846" spans="1:4" x14ac:dyDescent="0.3">
      <c r="A846" s="2" t="s">
        <v>3030</v>
      </c>
      <c r="B846" s="2" t="s">
        <v>1325</v>
      </c>
      <c r="C846" s="2" t="s">
        <v>2731</v>
      </c>
      <c r="D846" s="2"/>
    </row>
    <row r="847" spans="1:4" x14ac:dyDescent="0.3">
      <c r="A847" s="2" t="s">
        <v>3031</v>
      </c>
      <c r="B847" s="2" t="s">
        <v>1325</v>
      </c>
      <c r="C847" s="2" t="s">
        <v>2731</v>
      </c>
      <c r="D847" s="2"/>
    </row>
    <row r="848" spans="1:4" x14ac:dyDescent="0.3">
      <c r="A848" s="2" t="s">
        <v>3032</v>
      </c>
      <c r="B848" s="2" t="s">
        <v>1325</v>
      </c>
      <c r="C848" s="2" t="s">
        <v>2731</v>
      </c>
      <c r="D848" s="2"/>
    </row>
    <row r="849" spans="1:4" x14ac:dyDescent="0.3">
      <c r="A849" s="2" t="s">
        <v>3033</v>
      </c>
      <c r="B849" s="2" t="s">
        <v>1325</v>
      </c>
      <c r="C849" s="2" t="s">
        <v>2731</v>
      </c>
      <c r="D849" s="2"/>
    </row>
    <row r="850" spans="1:4" x14ac:dyDescent="0.3">
      <c r="A850" s="2" t="s">
        <v>3034</v>
      </c>
      <c r="B850" s="2" t="s">
        <v>1325</v>
      </c>
      <c r="C850" s="2" t="s">
        <v>2731</v>
      </c>
      <c r="D850" s="2"/>
    </row>
    <row r="851" spans="1:4" x14ac:dyDescent="0.3">
      <c r="A851" s="2" t="s">
        <v>3035</v>
      </c>
      <c r="B851" s="2" t="s">
        <v>1325</v>
      </c>
      <c r="C851" s="2" t="s">
        <v>2731</v>
      </c>
      <c r="D851" s="2"/>
    </row>
    <row r="852" spans="1:4" x14ac:dyDescent="0.3">
      <c r="A852" s="2" t="s">
        <v>3036</v>
      </c>
      <c r="B852" s="2" t="s">
        <v>1325</v>
      </c>
      <c r="C852" s="2" t="s">
        <v>2731</v>
      </c>
      <c r="D852" s="2"/>
    </row>
    <row r="853" spans="1:4" x14ac:dyDescent="0.3">
      <c r="A853" s="2" t="s">
        <v>3037</v>
      </c>
      <c r="B853" s="2" t="s">
        <v>1325</v>
      </c>
      <c r="C853" s="2" t="s">
        <v>2731</v>
      </c>
      <c r="D853" s="2"/>
    </row>
    <row r="854" spans="1:4" x14ac:dyDescent="0.3">
      <c r="A854" s="2" t="s">
        <v>3038</v>
      </c>
      <c r="B854" s="2" t="s">
        <v>1325</v>
      </c>
      <c r="C854" s="2" t="s">
        <v>2731</v>
      </c>
      <c r="D854" s="2"/>
    </row>
    <row r="855" spans="1:4" x14ac:dyDescent="0.3">
      <c r="A855" s="2" t="s">
        <v>3039</v>
      </c>
      <c r="B855" s="2" t="s">
        <v>1325</v>
      </c>
      <c r="C855" s="2" t="s">
        <v>2731</v>
      </c>
      <c r="D855" s="2"/>
    </row>
    <row r="856" spans="1:4" x14ac:dyDescent="0.3">
      <c r="A856" s="2" t="s">
        <v>3040</v>
      </c>
      <c r="B856" s="2" t="s">
        <v>1325</v>
      </c>
      <c r="C856" s="2" t="s">
        <v>2731</v>
      </c>
      <c r="D856" s="2"/>
    </row>
    <row r="857" spans="1:4" x14ac:dyDescent="0.3">
      <c r="A857" s="2" t="s">
        <v>3041</v>
      </c>
      <c r="B857" s="2" t="s">
        <v>1325</v>
      </c>
      <c r="C857" s="2" t="s">
        <v>2731</v>
      </c>
      <c r="D857" s="2"/>
    </row>
    <row r="858" spans="1:4" x14ac:dyDescent="0.3">
      <c r="A858" s="2" t="s">
        <v>3042</v>
      </c>
      <c r="B858" s="2" t="s">
        <v>1325</v>
      </c>
      <c r="C858" s="2" t="s">
        <v>2731</v>
      </c>
      <c r="D858" s="2"/>
    </row>
    <row r="859" spans="1:4" x14ac:dyDescent="0.3">
      <c r="A859" s="2" t="s">
        <v>3043</v>
      </c>
      <c r="B859" s="2" t="s">
        <v>1325</v>
      </c>
      <c r="C859" s="2" t="s">
        <v>2731</v>
      </c>
      <c r="D859" s="2"/>
    </row>
    <row r="860" spans="1:4" x14ac:dyDescent="0.3">
      <c r="A860" s="2" t="s">
        <v>3044</v>
      </c>
      <c r="B860" s="2" t="s">
        <v>1325</v>
      </c>
      <c r="C860" s="2" t="s">
        <v>2731</v>
      </c>
      <c r="D860" s="2"/>
    </row>
    <row r="861" spans="1:4" x14ac:dyDescent="0.3">
      <c r="A861" s="2" t="s">
        <v>3045</v>
      </c>
      <c r="B861" s="2" t="s">
        <v>1325</v>
      </c>
      <c r="C861" s="2" t="s">
        <v>2731</v>
      </c>
      <c r="D861" s="2"/>
    </row>
    <row r="862" spans="1:4" x14ac:dyDescent="0.3">
      <c r="A862" s="2" t="s">
        <v>3046</v>
      </c>
      <c r="B862" s="2" t="s">
        <v>1325</v>
      </c>
      <c r="C862" s="2" t="s">
        <v>2731</v>
      </c>
      <c r="D862" s="2"/>
    </row>
    <row r="863" spans="1:4" x14ac:dyDescent="0.3">
      <c r="A863" s="2" t="s">
        <v>3047</v>
      </c>
      <c r="B863" s="2" t="s">
        <v>1325</v>
      </c>
      <c r="C863" s="2" t="s">
        <v>2731</v>
      </c>
      <c r="D863" s="2"/>
    </row>
    <row r="864" spans="1:4" x14ac:dyDescent="0.3">
      <c r="A864" s="2" t="s">
        <v>3048</v>
      </c>
      <c r="B864" s="2" t="s">
        <v>1325</v>
      </c>
      <c r="C864" s="2" t="s">
        <v>2731</v>
      </c>
      <c r="D864" s="2"/>
    </row>
    <row r="865" spans="1:4" x14ac:dyDescent="0.3">
      <c r="A865" s="2" t="s">
        <v>3049</v>
      </c>
      <c r="B865" s="2" t="s">
        <v>1325</v>
      </c>
      <c r="C865" s="2" t="s">
        <v>2731</v>
      </c>
      <c r="D865" s="2"/>
    </row>
    <row r="866" spans="1:4" x14ac:dyDescent="0.3">
      <c r="A866" s="2" t="s">
        <v>3050</v>
      </c>
      <c r="B866" s="2" t="s">
        <v>1325</v>
      </c>
      <c r="C866" s="2" t="s">
        <v>2731</v>
      </c>
      <c r="D866" s="2"/>
    </row>
    <row r="867" spans="1:4" x14ac:dyDescent="0.3">
      <c r="A867" s="2" t="s">
        <v>3051</v>
      </c>
      <c r="B867" s="2" t="s">
        <v>1325</v>
      </c>
      <c r="C867" s="2" t="s">
        <v>2731</v>
      </c>
      <c r="D867" s="2"/>
    </row>
    <row r="868" spans="1:4" x14ac:dyDescent="0.3">
      <c r="A868" s="2" t="s">
        <v>3052</v>
      </c>
      <c r="B868" s="2" t="s">
        <v>1325</v>
      </c>
      <c r="C868" s="2" t="s">
        <v>2731</v>
      </c>
      <c r="D868" s="2"/>
    </row>
    <row r="869" spans="1:4" x14ac:dyDescent="0.3">
      <c r="A869" s="2" t="s">
        <v>3053</v>
      </c>
      <c r="B869" s="2" t="s">
        <v>1325</v>
      </c>
      <c r="C869" s="2" t="s">
        <v>2731</v>
      </c>
      <c r="D869" s="2"/>
    </row>
    <row r="870" spans="1:4" x14ac:dyDescent="0.3">
      <c r="A870" s="2" t="s">
        <v>3054</v>
      </c>
      <c r="B870" s="2" t="s">
        <v>1325</v>
      </c>
      <c r="C870" s="2" t="s">
        <v>2731</v>
      </c>
      <c r="D870" s="2"/>
    </row>
    <row r="871" spans="1:4" x14ac:dyDescent="0.3">
      <c r="A871" s="2" t="s">
        <v>3055</v>
      </c>
      <c r="B871" s="2" t="s">
        <v>1325</v>
      </c>
      <c r="C871" s="2" t="s">
        <v>2731</v>
      </c>
      <c r="D871" s="2"/>
    </row>
    <row r="872" spans="1:4" x14ac:dyDescent="0.3">
      <c r="A872" s="2" t="s">
        <v>3056</v>
      </c>
      <c r="B872" s="2" t="s">
        <v>1325</v>
      </c>
      <c r="C872" s="2" t="s">
        <v>2731</v>
      </c>
      <c r="D872" s="2"/>
    </row>
    <row r="873" spans="1:4" x14ac:dyDescent="0.3">
      <c r="A873" s="2" t="s">
        <v>3057</v>
      </c>
      <c r="B873" s="2" t="s">
        <v>1325</v>
      </c>
      <c r="C873" s="2" t="s">
        <v>2731</v>
      </c>
      <c r="D873" s="2"/>
    </row>
    <row r="874" spans="1:4" x14ac:dyDescent="0.3">
      <c r="A874" s="2" t="s">
        <v>3058</v>
      </c>
      <c r="B874" s="2" t="s">
        <v>1325</v>
      </c>
      <c r="C874" s="2" t="s">
        <v>2731</v>
      </c>
      <c r="D874" s="2"/>
    </row>
    <row r="875" spans="1:4" x14ac:dyDescent="0.3">
      <c r="A875" s="2" t="s">
        <v>3059</v>
      </c>
      <c r="B875" s="2" t="s">
        <v>1325</v>
      </c>
      <c r="C875" s="2" t="s">
        <v>2731</v>
      </c>
      <c r="D875" s="2"/>
    </row>
    <row r="876" spans="1:4" x14ac:dyDescent="0.3">
      <c r="A876" s="2" t="s">
        <v>3060</v>
      </c>
      <c r="B876" s="2" t="s">
        <v>1325</v>
      </c>
      <c r="C876" s="2" t="s">
        <v>2731</v>
      </c>
      <c r="D876" s="2"/>
    </row>
    <row r="877" spans="1:4" x14ac:dyDescent="0.3">
      <c r="A877" s="2" t="s">
        <v>3061</v>
      </c>
      <c r="B877" s="2" t="s">
        <v>1325</v>
      </c>
      <c r="C877" s="2" t="s">
        <v>2731</v>
      </c>
      <c r="D877" s="2"/>
    </row>
    <row r="878" spans="1:4" x14ac:dyDescent="0.3">
      <c r="A878" s="2" t="s">
        <v>3062</v>
      </c>
      <c r="B878" s="2" t="s">
        <v>1325</v>
      </c>
      <c r="C878" s="2" t="s">
        <v>2731</v>
      </c>
      <c r="D878" s="2"/>
    </row>
    <row r="879" spans="1:4" x14ac:dyDescent="0.3">
      <c r="A879" s="2" t="s">
        <v>3063</v>
      </c>
      <c r="B879" s="2" t="s">
        <v>1325</v>
      </c>
      <c r="C879" s="2" t="s">
        <v>2731</v>
      </c>
      <c r="D879" s="2"/>
    </row>
    <row r="880" spans="1:4" x14ac:dyDescent="0.3">
      <c r="A880" s="2" t="s">
        <v>3064</v>
      </c>
      <c r="B880" s="2" t="s">
        <v>1325</v>
      </c>
      <c r="C880" s="2" t="s">
        <v>2731</v>
      </c>
      <c r="D880" s="2"/>
    </row>
    <row r="881" spans="1:4" x14ac:dyDescent="0.3">
      <c r="A881" s="2" t="s">
        <v>3065</v>
      </c>
      <c r="B881" s="2" t="s">
        <v>1325</v>
      </c>
      <c r="C881" s="2" t="s">
        <v>2731</v>
      </c>
      <c r="D881" s="2"/>
    </row>
    <row r="882" spans="1:4" x14ac:dyDescent="0.3">
      <c r="A882" s="2" t="s">
        <v>3066</v>
      </c>
      <c r="B882" s="2" t="s">
        <v>1325</v>
      </c>
      <c r="C882" s="2" t="s">
        <v>2731</v>
      </c>
      <c r="D882" s="2"/>
    </row>
    <row r="883" spans="1:4" x14ac:dyDescent="0.3">
      <c r="A883" s="2" t="s">
        <v>3067</v>
      </c>
      <c r="B883" s="2" t="s">
        <v>1325</v>
      </c>
      <c r="C883" s="2" t="s">
        <v>2731</v>
      </c>
      <c r="D883" s="2"/>
    </row>
    <row r="884" spans="1:4" x14ac:dyDescent="0.3">
      <c r="A884" s="2" t="s">
        <v>3068</v>
      </c>
      <c r="B884" s="2" t="s">
        <v>1325</v>
      </c>
      <c r="C884" s="2" t="s">
        <v>2731</v>
      </c>
      <c r="D884" s="2"/>
    </row>
    <row r="885" spans="1:4" x14ac:dyDescent="0.3">
      <c r="A885" s="2" t="s">
        <v>3069</v>
      </c>
      <c r="B885" s="2" t="s">
        <v>1325</v>
      </c>
      <c r="C885" s="2" t="s">
        <v>2731</v>
      </c>
      <c r="D885" s="2"/>
    </row>
    <row r="886" spans="1:4" x14ac:dyDescent="0.3">
      <c r="A886" s="2" t="s">
        <v>3070</v>
      </c>
      <c r="B886" s="2" t="s">
        <v>1325</v>
      </c>
      <c r="C886" s="2" t="s">
        <v>2731</v>
      </c>
      <c r="D886" s="2"/>
    </row>
    <row r="887" spans="1:4" x14ac:dyDescent="0.3">
      <c r="A887" s="2" t="s">
        <v>3071</v>
      </c>
      <c r="B887" s="2" t="s">
        <v>1325</v>
      </c>
      <c r="C887" s="2" t="s">
        <v>2731</v>
      </c>
      <c r="D887" s="2"/>
    </row>
    <row r="888" spans="1:4" x14ac:dyDescent="0.3">
      <c r="A888" s="2" t="s">
        <v>3072</v>
      </c>
      <c r="B888" s="2" t="s">
        <v>1325</v>
      </c>
      <c r="C888" s="2" t="s">
        <v>2731</v>
      </c>
      <c r="D888" s="2"/>
    </row>
    <row r="889" spans="1:4" x14ac:dyDescent="0.3">
      <c r="A889" s="2" t="s">
        <v>3073</v>
      </c>
      <c r="B889" s="2" t="s">
        <v>1325</v>
      </c>
      <c r="C889" s="2" t="s">
        <v>2731</v>
      </c>
      <c r="D889" s="2"/>
    </row>
    <row r="890" spans="1:4" x14ac:dyDescent="0.3">
      <c r="A890" s="2" t="s">
        <v>3074</v>
      </c>
      <c r="B890" s="2" t="s">
        <v>1325</v>
      </c>
      <c r="C890" s="2" t="s">
        <v>2731</v>
      </c>
      <c r="D890" s="2"/>
    </row>
    <row r="891" spans="1:4" x14ac:dyDescent="0.3">
      <c r="A891" s="2" t="s">
        <v>3075</v>
      </c>
      <c r="B891" s="2" t="s">
        <v>1325</v>
      </c>
      <c r="C891" s="2" t="s">
        <v>2731</v>
      </c>
      <c r="D891" s="2"/>
    </row>
    <row r="892" spans="1:4" x14ac:dyDescent="0.3">
      <c r="A892" s="2" t="s">
        <v>3076</v>
      </c>
      <c r="B892" s="2" t="s">
        <v>1325</v>
      </c>
      <c r="C892" s="2" t="s">
        <v>2731</v>
      </c>
      <c r="D892" s="2"/>
    </row>
    <row r="893" spans="1:4" x14ac:dyDescent="0.3">
      <c r="A893" s="2" t="s">
        <v>3077</v>
      </c>
      <c r="B893" s="2" t="s">
        <v>1325</v>
      </c>
      <c r="C893" s="2" t="s">
        <v>2731</v>
      </c>
      <c r="D893" s="2"/>
    </row>
    <row r="894" spans="1:4" x14ac:dyDescent="0.3">
      <c r="A894" s="2" t="s">
        <v>3078</v>
      </c>
      <c r="B894" s="2" t="s">
        <v>1325</v>
      </c>
      <c r="C894" s="2" t="s">
        <v>2731</v>
      </c>
      <c r="D894" s="2"/>
    </row>
    <row r="895" spans="1:4" x14ac:dyDescent="0.3">
      <c r="A895" s="2" t="s">
        <v>3079</v>
      </c>
      <c r="B895" s="2" t="s">
        <v>1325</v>
      </c>
      <c r="C895" s="2" t="s">
        <v>2731</v>
      </c>
      <c r="D895" s="2"/>
    </row>
    <row r="896" spans="1:4" x14ac:dyDescent="0.3">
      <c r="A896" s="2" t="s">
        <v>3080</v>
      </c>
      <c r="B896" s="2" t="s">
        <v>1325</v>
      </c>
      <c r="C896" s="2" t="s">
        <v>2731</v>
      </c>
      <c r="D896" s="2"/>
    </row>
    <row r="897" spans="1:4" x14ac:dyDescent="0.3">
      <c r="A897" s="2" t="s">
        <v>3081</v>
      </c>
      <c r="B897" s="2" t="s">
        <v>1325</v>
      </c>
      <c r="C897" s="2" t="s">
        <v>2731</v>
      </c>
      <c r="D897" s="2"/>
    </row>
    <row r="898" spans="1:4" x14ac:dyDescent="0.3">
      <c r="A898" s="2" t="s">
        <v>3082</v>
      </c>
      <c r="B898" s="2" t="s">
        <v>1325</v>
      </c>
      <c r="C898" s="2" t="s">
        <v>2731</v>
      </c>
      <c r="D898" s="2"/>
    </row>
    <row r="899" spans="1:4" x14ac:dyDescent="0.3">
      <c r="A899" s="2" t="s">
        <v>3083</v>
      </c>
      <c r="B899" s="2" t="s">
        <v>1325</v>
      </c>
      <c r="C899" s="2" t="s">
        <v>2731</v>
      </c>
      <c r="D899" s="2"/>
    </row>
    <row r="900" spans="1:4" x14ac:dyDescent="0.3">
      <c r="A900" s="2" t="s">
        <v>3084</v>
      </c>
      <c r="B900" s="2" t="s">
        <v>1325</v>
      </c>
      <c r="C900" s="2" t="s">
        <v>2731</v>
      </c>
      <c r="D900" s="2"/>
    </row>
    <row r="901" spans="1:4" x14ac:dyDescent="0.3">
      <c r="A901" s="2" t="s">
        <v>3085</v>
      </c>
      <c r="B901" s="2" t="s">
        <v>1325</v>
      </c>
      <c r="C901" s="2" t="s">
        <v>2731</v>
      </c>
      <c r="D901" s="2"/>
    </row>
    <row r="902" spans="1:4" x14ac:dyDescent="0.3">
      <c r="A902" s="2" t="s">
        <v>3086</v>
      </c>
      <c r="B902" s="2" t="s">
        <v>1325</v>
      </c>
      <c r="C902" s="2" t="s">
        <v>2731</v>
      </c>
      <c r="D902" s="2"/>
    </row>
    <row r="903" spans="1:4" x14ac:dyDescent="0.3">
      <c r="A903" s="2" t="s">
        <v>3087</v>
      </c>
      <c r="B903" s="2" t="s">
        <v>1325</v>
      </c>
      <c r="C903" s="2" t="s">
        <v>2731</v>
      </c>
      <c r="D903" s="2"/>
    </row>
    <row r="904" spans="1:4" x14ac:dyDescent="0.3">
      <c r="A904" s="2" t="s">
        <v>3088</v>
      </c>
      <c r="B904" s="2" t="s">
        <v>1325</v>
      </c>
      <c r="C904" s="2" t="s">
        <v>2731</v>
      </c>
      <c r="D904" s="2"/>
    </row>
    <row r="905" spans="1:4" x14ac:dyDescent="0.3">
      <c r="A905" s="2" t="s">
        <v>3089</v>
      </c>
      <c r="B905" s="2" t="s">
        <v>1325</v>
      </c>
      <c r="C905" s="2" t="s">
        <v>2731</v>
      </c>
      <c r="D905" s="2"/>
    </row>
    <row r="906" spans="1:4" x14ac:dyDescent="0.3">
      <c r="A906" s="2" t="s">
        <v>2206</v>
      </c>
      <c r="B906" s="2" t="s">
        <v>35</v>
      </c>
      <c r="C906" s="2" t="s">
        <v>2598</v>
      </c>
      <c r="D906" s="2"/>
    </row>
    <row r="907" spans="1:4" x14ac:dyDescent="0.3">
      <c r="A907" s="2" t="s">
        <v>2207</v>
      </c>
      <c r="B907" s="2" t="s">
        <v>35</v>
      </c>
      <c r="C907" s="2" t="s">
        <v>2598</v>
      </c>
      <c r="D907" s="2"/>
    </row>
    <row r="908" spans="1:4" x14ac:dyDescent="0.3">
      <c r="A908" s="2" t="s">
        <v>2208</v>
      </c>
      <c r="B908" s="2" t="s">
        <v>35</v>
      </c>
      <c r="C908" s="2" t="s">
        <v>2598</v>
      </c>
      <c r="D908" s="2"/>
    </row>
    <row r="909" spans="1:4" x14ac:dyDescent="0.3">
      <c r="A909" s="2" t="s">
        <v>2209</v>
      </c>
      <c r="B909" s="2" t="s">
        <v>35</v>
      </c>
      <c r="C909" s="2" t="s">
        <v>2598</v>
      </c>
      <c r="D909" s="2"/>
    </row>
    <row r="910" spans="1:4" x14ac:dyDescent="0.3">
      <c r="A910" s="2" t="s">
        <v>2210</v>
      </c>
      <c r="B910" s="2" t="s">
        <v>35</v>
      </c>
      <c r="C910" s="2" t="s">
        <v>2598</v>
      </c>
      <c r="D910" s="2"/>
    </row>
    <row r="911" spans="1:4" x14ac:dyDescent="0.3">
      <c r="A911" s="2" t="s">
        <v>2211</v>
      </c>
      <c r="B911" s="2" t="s">
        <v>35</v>
      </c>
      <c r="C911" s="2" t="s">
        <v>2598</v>
      </c>
      <c r="D911" s="2"/>
    </row>
    <row r="912" spans="1:4" x14ac:dyDescent="0.3">
      <c r="A912" s="2" t="s">
        <v>2212</v>
      </c>
      <c r="B912" s="2" t="s">
        <v>35</v>
      </c>
      <c r="C912" s="2" t="s">
        <v>2598</v>
      </c>
      <c r="D912" s="2"/>
    </row>
    <row r="913" spans="1:4" x14ac:dyDescent="0.3">
      <c r="A913" s="2" t="s">
        <v>2213</v>
      </c>
      <c r="B913" s="2" t="s">
        <v>35</v>
      </c>
      <c r="C913" s="2" t="s">
        <v>2598</v>
      </c>
      <c r="D913" s="2"/>
    </row>
    <row r="914" spans="1:4" x14ac:dyDescent="0.3">
      <c r="A914" s="2" t="s">
        <v>2214</v>
      </c>
      <c r="B914" s="2" t="s">
        <v>35</v>
      </c>
      <c r="C914" s="2" t="s">
        <v>2598</v>
      </c>
      <c r="D914" s="2"/>
    </row>
    <row r="915" spans="1:4" x14ac:dyDescent="0.3">
      <c r="A915" s="2" t="s">
        <v>2215</v>
      </c>
      <c r="B915" s="2" t="s">
        <v>35</v>
      </c>
      <c r="C915" s="2" t="s">
        <v>2598</v>
      </c>
      <c r="D915" s="2"/>
    </row>
    <row r="916" spans="1:4" x14ac:dyDescent="0.3">
      <c r="A916" s="2" t="s">
        <v>2216</v>
      </c>
      <c r="B916" s="2" t="s">
        <v>35</v>
      </c>
      <c r="C916" s="2" t="s">
        <v>2598</v>
      </c>
      <c r="D916" s="2"/>
    </row>
    <row r="917" spans="1:4" x14ac:dyDescent="0.3">
      <c r="A917" s="2" t="s">
        <v>2217</v>
      </c>
      <c r="B917" s="2" t="s">
        <v>35</v>
      </c>
      <c r="C917" s="2" t="s">
        <v>2598</v>
      </c>
      <c r="D917" s="2"/>
    </row>
    <row r="918" spans="1:4" x14ac:dyDescent="0.3">
      <c r="A918" s="2" t="s">
        <v>2218</v>
      </c>
      <c r="B918" s="2" t="s">
        <v>35</v>
      </c>
      <c r="C918" s="2" t="s">
        <v>2598</v>
      </c>
      <c r="D918" s="2"/>
    </row>
    <row r="919" spans="1:4" x14ac:dyDescent="0.3">
      <c r="A919" s="2" t="s">
        <v>2219</v>
      </c>
      <c r="B919" s="2" t="s">
        <v>35</v>
      </c>
      <c r="C919" s="2" t="s">
        <v>2598</v>
      </c>
      <c r="D919" s="2"/>
    </row>
    <row r="920" spans="1:4" x14ac:dyDescent="0.3">
      <c r="A920" s="2" t="s">
        <v>2220</v>
      </c>
      <c r="B920" s="2" t="s">
        <v>35</v>
      </c>
      <c r="C920" s="2" t="s">
        <v>2598</v>
      </c>
      <c r="D920" s="2"/>
    </row>
    <row r="921" spans="1:4" x14ac:dyDescent="0.3">
      <c r="A921" s="2" t="s">
        <v>2221</v>
      </c>
      <c r="B921" s="2" t="s">
        <v>35</v>
      </c>
      <c r="C921" s="2" t="s">
        <v>2598</v>
      </c>
      <c r="D921" s="2"/>
    </row>
    <row r="922" spans="1:4" x14ac:dyDescent="0.3">
      <c r="A922" s="2" t="s">
        <v>2222</v>
      </c>
      <c r="B922" s="2" t="s">
        <v>35</v>
      </c>
      <c r="C922" s="2" t="s">
        <v>2598</v>
      </c>
      <c r="D922" s="2"/>
    </row>
    <row r="923" spans="1:4" x14ac:dyDescent="0.3">
      <c r="A923" s="2" t="s">
        <v>2223</v>
      </c>
      <c r="B923" s="2" t="s">
        <v>35</v>
      </c>
      <c r="C923" s="2" t="s">
        <v>2598</v>
      </c>
      <c r="D923" s="2"/>
    </row>
    <row r="924" spans="1:4" x14ac:dyDescent="0.3">
      <c r="A924" s="2" t="s">
        <v>2224</v>
      </c>
      <c r="B924" s="2" t="s">
        <v>35</v>
      </c>
      <c r="C924" s="2" t="s">
        <v>2598</v>
      </c>
      <c r="D924" s="2"/>
    </row>
    <row r="925" spans="1:4" x14ac:dyDescent="0.3">
      <c r="A925" s="2" t="s">
        <v>2225</v>
      </c>
      <c r="B925" s="2" t="s">
        <v>35</v>
      </c>
      <c r="C925" s="2" t="s">
        <v>2598</v>
      </c>
      <c r="D925" s="2"/>
    </row>
    <row r="926" spans="1:4" x14ac:dyDescent="0.3">
      <c r="A926" s="2" t="s">
        <v>2226</v>
      </c>
      <c r="B926" s="2" t="s">
        <v>35</v>
      </c>
      <c r="C926" s="2" t="s">
        <v>2598</v>
      </c>
      <c r="D926" s="2"/>
    </row>
    <row r="927" spans="1:4" x14ac:dyDescent="0.3">
      <c r="A927" s="2" t="s">
        <v>2227</v>
      </c>
      <c r="B927" s="2" t="s">
        <v>35</v>
      </c>
      <c r="C927" s="2" t="s">
        <v>2598</v>
      </c>
      <c r="D927" s="2"/>
    </row>
    <row r="928" spans="1:4" x14ac:dyDescent="0.3">
      <c r="A928" s="2" t="s">
        <v>2228</v>
      </c>
      <c r="B928" s="2" t="s">
        <v>35</v>
      </c>
      <c r="C928" s="2" t="s">
        <v>2598</v>
      </c>
      <c r="D928" s="2"/>
    </row>
    <row r="929" spans="1:4" x14ac:dyDescent="0.3">
      <c r="A929" s="2" t="s">
        <v>2229</v>
      </c>
      <c r="B929" s="2" t="s">
        <v>35</v>
      </c>
      <c r="C929" s="2" t="s">
        <v>2598</v>
      </c>
      <c r="D929" s="2"/>
    </row>
    <row r="930" spans="1:4" x14ac:dyDescent="0.3">
      <c r="A930" s="2" t="s">
        <v>2230</v>
      </c>
      <c r="B930" s="2" t="s">
        <v>35</v>
      </c>
      <c r="C930" s="2" t="s">
        <v>2598</v>
      </c>
      <c r="D930" s="2"/>
    </row>
    <row r="931" spans="1:4" x14ac:dyDescent="0.3">
      <c r="A931" s="2" t="s">
        <v>2231</v>
      </c>
      <c r="B931" s="2" t="s">
        <v>35</v>
      </c>
      <c r="C931" s="2" t="s">
        <v>2598</v>
      </c>
      <c r="D931" s="2"/>
    </row>
    <row r="932" spans="1:4" x14ac:dyDescent="0.3">
      <c r="A932" s="2" t="s">
        <v>2232</v>
      </c>
      <c r="B932" s="2" t="s">
        <v>35</v>
      </c>
      <c r="C932" s="2" t="s">
        <v>2598</v>
      </c>
      <c r="D932" s="2"/>
    </row>
    <row r="933" spans="1:4" x14ac:dyDescent="0.3">
      <c r="A933" s="2" t="s">
        <v>2233</v>
      </c>
      <c r="B933" s="2" t="s">
        <v>35</v>
      </c>
      <c r="C933" s="2" t="s">
        <v>2598</v>
      </c>
      <c r="D933" s="2"/>
    </row>
    <row r="934" spans="1:4" x14ac:dyDescent="0.3">
      <c r="A934" s="2" t="s">
        <v>2234</v>
      </c>
      <c r="B934" s="2" t="s">
        <v>35</v>
      </c>
      <c r="C934" s="2" t="s">
        <v>2598</v>
      </c>
      <c r="D934" s="2"/>
    </row>
    <row r="935" spans="1:4" x14ac:dyDescent="0.3">
      <c r="A935" s="2" t="s">
        <v>2235</v>
      </c>
      <c r="B935" s="2" t="s">
        <v>35</v>
      </c>
      <c r="C935" s="2" t="s">
        <v>2598</v>
      </c>
      <c r="D935" s="2"/>
    </row>
    <row r="936" spans="1:4" x14ac:dyDescent="0.3">
      <c r="A936" s="2" t="s">
        <v>2236</v>
      </c>
      <c r="B936" s="2" t="s">
        <v>35</v>
      </c>
      <c r="C936" s="2" t="s">
        <v>2598</v>
      </c>
      <c r="D936" s="2"/>
    </row>
    <row r="937" spans="1:4" x14ac:dyDescent="0.3">
      <c r="A937" s="2" t="s">
        <v>2237</v>
      </c>
      <c r="B937" s="2" t="s">
        <v>35</v>
      </c>
      <c r="C937" s="2" t="s">
        <v>2598</v>
      </c>
      <c r="D937" s="2"/>
    </row>
    <row r="938" spans="1:4" x14ac:dyDescent="0.3">
      <c r="A938" s="2" t="s">
        <v>2238</v>
      </c>
      <c r="B938" s="2" t="s">
        <v>35</v>
      </c>
      <c r="C938" s="2" t="s">
        <v>2598</v>
      </c>
      <c r="D938" s="2"/>
    </row>
    <row r="939" spans="1:4" x14ac:dyDescent="0.3">
      <c r="A939" s="2" t="s">
        <v>2239</v>
      </c>
      <c r="B939" s="2" t="s">
        <v>35</v>
      </c>
      <c r="C939" s="2" t="s">
        <v>2598</v>
      </c>
      <c r="D939" s="2"/>
    </row>
    <row r="940" spans="1:4" x14ac:dyDescent="0.3">
      <c r="A940" s="2" t="s">
        <v>2240</v>
      </c>
      <c r="B940" s="2" t="s">
        <v>35</v>
      </c>
      <c r="C940" s="2" t="s">
        <v>2598</v>
      </c>
      <c r="D940" s="2"/>
    </row>
    <row r="941" spans="1:4" x14ac:dyDescent="0.3">
      <c r="A941" s="2" t="s">
        <v>2241</v>
      </c>
      <c r="B941" s="2" t="s">
        <v>35</v>
      </c>
      <c r="C941" s="2" t="s">
        <v>2598</v>
      </c>
      <c r="D941" s="2"/>
    </row>
    <row r="942" spans="1:4" x14ac:dyDescent="0.3">
      <c r="A942" s="2" t="s">
        <v>2242</v>
      </c>
      <c r="B942" s="2" t="s">
        <v>35</v>
      </c>
      <c r="C942" s="2" t="s">
        <v>2598</v>
      </c>
      <c r="D942" s="2"/>
    </row>
    <row r="943" spans="1:4" x14ac:dyDescent="0.3">
      <c r="A943" s="2" t="s">
        <v>2243</v>
      </c>
      <c r="B943" s="2" t="s">
        <v>35</v>
      </c>
      <c r="C943" s="2" t="s">
        <v>2598</v>
      </c>
      <c r="D943" s="2"/>
    </row>
    <row r="944" spans="1:4" x14ac:dyDescent="0.3">
      <c r="A944" s="2" t="s">
        <v>2244</v>
      </c>
      <c r="B944" s="2" t="s">
        <v>35</v>
      </c>
      <c r="C944" s="2" t="s">
        <v>2598</v>
      </c>
      <c r="D944" s="2"/>
    </row>
    <row r="945" spans="1:4" x14ac:dyDescent="0.3">
      <c r="A945" s="2" t="s">
        <v>2245</v>
      </c>
      <c r="B945" s="2" t="s">
        <v>35</v>
      </c>
      <c r="C945" s="2" t="s">
        <v>2598</v>
      </c>
      <c r="D945" s="2"/>
    </row>
    <row r="946" spans="1:4" x14ac:dyDescent="0.3">
      <c r="A946" s="2" t="s">
        <v>2246</v>
      </c>
      <c r="B946" s="2" t="s">
        <v>35</v>
      </c>
      <c r="C946" s="2" t="s">
        <v>2598</v>
      </c>
      <c r="D946" s="2"/>
    </row>
    <row r="947" spans="1:4" x14ac:dyDescent="0.3">
      <c r="A947" s="2" t="s">
        <v>2247</v>
      </c>
      <c r="B947" s="2" t="s">
        <v>35</v>
      </c>
      <c r="C947" s="2" t="s">
        <v>2598</v>
      </c>
      <c r="D947" s="2"/>
    </row>
    <row r="948" spans="1:4" x14ac:dyDescent="0.3">
      <c r="A948" s="2" t="s">
        <v>2248</v>
      </c>
      <c r="B948" s="2" t="s">
        <v>35</v>
      </c>
      <c r="C948" s="2" t="s">
        <v>2598</v>
      </c>
      <c r="D948" s="2"/>
    </row>
    <row r="949" spans="1:4" x14ac:dyDescent="0.3">
      <c r="A949" s="2" t="s">
        <v>2249</v>
      </c>
      <c r="B949" s="2" t="s">
        <v>35</v>
      </c>
      <c r="C949" s="2" t="s">
        <v>2598</v>
      </c>
      <c r="D949" s="2"/>
    </row>
    <row r="950" spans="1:4" x14ac:dyDescent="0.3">
      <c r="A950" s="2" t="s">
        <v>2250</v>
      </c>
      <c r="B950" s="2" t="s">
        <v>35</v>
      </c>
      <c r="C950" s="2" t="s">
        <v>2598</v>
      </c>
      <c r="D950" s="2"/>
    </row>
    <row r="951" spans="1:4" x14ac:dyDescent="0.3">
      <c r="A951" s="2" t="s">
        <v>2251</v>
      </c>
      <c r="B951" s="2" t="s">
        <v>35</v>
      </c>
      <c r="C951" s="2" t="s">
        <v>2598</v>
      </c>
      <c r="D951" s="2"/>
    </row>
    <row r="952" spans="1:4" x14ac:dyDescent="0.3">
      <c r="A952" s="2" t="s">
        <v>2252</v>
      </c>
      <c r="B952" s="2" t="s">
        <v>35</v>
      </c>
      <c r="C952" s="2" t="s">
        <v>2598</v>
      </c>
      <c r="D952" s="2"/>
    </row>
    <row r="953" spans="1:4" x14ac:dyDescent="0.3">
      <c r="A953" s="2" t="s">
        <v>2253</v>
      </c>
      <c r="B953" s="2" t="s">
        <v>35</v>
      </c>
      <c r="C953" s="2" t="s">
        <v>2598</v>
      </c>
      <c r="D953" s="2"/>
    </row>
    <row r="954" spans="1:4" x14ac:dyDescent="0.3">
      <c r="A954" s="2" t="s">
        <v>2254</v>
      </c>
      <c r="B954" s="2" t="s">
        <v>35</v>
      </c>
      <c r="C954" s="2" t="s">
        <v>2598</v>
      </c>
      <c r="D954" s="2"/>
    </row>
    <row r="955" spans="1:4" x14ac:dyDescent="0.3">
      <c r="A955" s="2" t="s">
        <v>2255</v>
      </c>
      <c r="B955" s="2" t="s">
        <v>35</v>
      </c>
      <c r="C955" s="2" t="s">
        <v>2598</v>
      </c>
      <c r="D955" s="2"/>
    </row>
    <row r="956" spans="1:4" x14ac:dyDescent="0.3">
      <c r="A956" s="2" t="s">
        <v>2256</v>
      </c>
      <c r="B956" s="2" t="s">
        <v>35</v>
      </c>
      <c r="C956" s="2" t="s">
        <v>2598</v>
      </c>
      <c r="D956" s="2"/>
    </row>
    <row r="957" spans="1:4" x14ac:dyDescent="0.3">
      <c r="A957" s="2" t="s">
        <v>2257</v>
      </c>
      <c r="B957" s="2" t="s">
        <v>35</v>
      </c>
      <c r="C957" s="2" t="s">
        <v>2598</v>
      </c>
      <c r="D957" s="2"/>
    </row>
    <row r="958" spans="1:4" x14ac:dyDescent="0.3">
      <c r="A958" s="2" t="s">
        <v>2258</v>
      </c>
      <c r="B958" s="2" t="s">
        <v>35</v>
      </c>
      <c r="C958" s="2" t="s">
        <v>2598</v>
      </c>
      <c r="D958" s="2"/>
    </row>
    <row r="959" spans="1:4" x14ac:dyDescent="0.3">
      <c r="A959" s="2" t="s">
        <v>2259</v>
      </c>
      <c r="B959" s="2" t="s">
        <v>35</v>
      </c>
      <c r="C959" s="2" t="s">
        <v>2598</v>
      </c>
      <c r="D959" s="2"/>
    </row>
    <row r="960" spans="1:4" x14ac:dyDescent="0.3">
      <c r="A960" s="2" t="s">
        <v>2260</v>
      </c>
      <c r="B960" s="2" t="s">
        <v>35</v>
      </c>
      <c r="C960" s="2" t="s">
        <v>2598</v>
      </c>
      <c r="D960" s="2"/>
    </row>
    <row r="961" spans="1:4" x14ac:dyDescent="0.3">
      <c r="A961" s="2" t="s">
        <v>2261</v>
      </c>
      <c r="B961" s="2" t="s">
        <v>35</v>
      </c>
      <c r="C961" s="2" t="s">
        <v>2598</v>
      </c>
      <c r="D961" s="2"/>
    </row>
    <row r="962" spans="1:4" x14ac:dyDescent="0.3">
      <c r="A962" s="2" t="s">
        <v>2262</v>
      </c>
      <c r="B962" s="2" t="s">
        <v>35</v>
      </c>
      <c r="C962" s="2" t="s">
        <v>2598</v>
      </c>
      <c r="D962" s="2"/>
    </row>
    <row r="963" spans="1:4" x14ac:dyDescent="0.3">
      <c r="A963" s="2" t="s">
        <v>2263</v>
      </c>
      <c r="B963" s="2" t="s">
        <v>35</v>
      </c>
      <c r="C963" s="2" t="s">
        <v>2598</v>
      </c>
      <c r="D963" s="2"/>
    </row>
    <row r="964" spans="1:4" x14ac:dyDescent="0.3">
      <c r="A964" s="2" t="s">
        <v>2264</v>
      </c>
      <c r="B964" s="2" t="s">
        <v>35</v>
      </c>
      <c r="C964" s="2" t="s">
        <v>2598</v>
      </c>
      <c r="D964" s="2"/>
    </row>
    <row r="965" spans="1:4" x14ac:dyDescent="0.3">
      <c r="A965" s="2" t="s">
        <v>2265</v>
      </c>
      <c r="B965" s="2" t="s">
        <v>35</v>
      </c>
      <c r="C965" s="2" t="s">
        <v>2598</v>
      </c>
      <c r="D965" s="2"/>
    </row>
    <row r="966" spans="1:4" x14ac:dyDescent="0.3">
      <c r="A966" s="2" t="s">
        <v>2266</v>
      </c>
      <c r="B966" s="2" t="s">
        <v>35</v>
      </c>
      <c r="C966" s="2" t="s">
        <v>2598</v>
      </c>
      <c r="D966" s="2"/>
    </row>
    <row r="967" spans="1:4" x14ac:dyDescent="0.3">
      <c r="A967" s="2" t="s">
        <v>2267</v>
      </c>
      <c r="B967" s="2" t="s">
        <v>35</v>
      </c>
      <c r="C967" s="2" t="s">
        <v>2598</v>
      </c>
      <c r="D967" s="2"/>
    </row>
    <row r="968" spans="1:4" x14ac:dyDescent="0.3">
      <c r="A968" s="2" t="s">
        <v>2268</v>
      </c>
      <c r="B968" s="2" t="s">
        <v>35</v>
      </c>
      <c r="C968" s="2" t="s">
        <v>2598</v>
      </c>
      <c r="D968" s="2"/>
    </row>
    <row r="969" spans="1:4" x14ac:dyDescent="0.3">
      <c r="A969" s="2" t="s">
        <v>2269</v>
      </c>
      <c r="B969" s="2" t="s">
        <v>35</v>
      </c>
      <c r="C969" s="2" t="s">
        <v>2598</v>
      </c>
      <c r="D969" s="2"/>
    </row>
    <row r="970" spans="1:4" x14ac:dyDescent="0.3">
      <c r="A970" s="2" t="s">
        <v>2270</v>
      </c>
      <c r="B970" s="2" t="s">
        <v>35</v>
      </c>
      <c r="C970" s="2" t="s">
        <v>2598</v>
      </c>
      <c r="D970" s="2"/>
    </row>
    <row r="971" spans="1:4" x14ac:dyDescent="0.3">
      <c r="A971" s="2" t="s">
        <v>2271</v>
      </c>
      <c r="B971" s="2" t="s">
        <v>35</v>
      </c>
      <c r="C971" s="2" t="s">
        <v>2598</v>
      </c>
      <c r="D971" s="2"/>
    </row>
    <row r="972" spans="1:4" x14ac:dyDescent="0.3">
      <c r="A972" s="2" t="s">
        <v>2272</v>
      </c>
      <c r="B972" s="2" t="s">
        <v>35</v>
      </c>
      <c r="C972" s="2" t="s">
        <v>2598</v>
      </c>
      <c r="D972" s="2"/>
    </row>
    <row r="973" spans="1:4" x14ac:dyDescent="0.3">
      <c r="A973" s="2" t="s">
        <v>2273</v>
      </c>
      <c r="B973" s="2" t="s">
        <v>35</v>
      </c>
      <c r="C973" s="2" t="s">
        <v>2598</v>
      </c>
      <c r="D973" s="2"/>
    </row>
    <row r="974" spans="1:4" x14ac:dyDescent="0.3">
      <c r="A974" s="2" t="s">
        <v>2274</v>
      </c>
      <c r="B974" s="2" t="s">
        <v>35</v>
      </c>
      <c r="C974" s="2" t="s">
        <v>2598</v>
      </c>
      <c r="D974" s="2"/>
    </row>
    <row r="975" spans="1:4" x14ac:dyDescent="0.3">
      <c r="A975" s="2" t="s">
        <v>2275</v>
      </c>
      <c r="B975" s="2" t="s">
        <v>35</v>
      </c>
      <c r="C975" s="2" t="s">
        <v>2598</v>
      </c>
      <c r="D975" s="2"/>
    </row>
    <row r="976" spans="1:4" x14ac:dyDescent="0.3">
      <c r="A976" s="2" t="s">
        <v>2276</v>
      </c>
      <c r="B976" s="2" t="s">
        <v>35</v>
      </c>
      <c r="C976" s="2" t="s">
        <v>2598</v>
      </c>
      <c r="D976" s="2"/>
    </row>
    <row r="977" spans="1:4" x14ac:dyDescent="0.3">
      <c r="A977" s="2" t="s">
        <v>2277</v>
      </c>
      <c r="B977" s="2" t="s">
        <v>35</v>
      </c>
      <c r="C977" s="2" t="s">
        <v>2598</v>
      </c>
      <c r="D977" s="2"/>
    </row>
    <row r="978" spans="1:4" x14ac:dyDescent="0.3">
      <c r="A978" s="2" t="s">
        <v>2278</v>
      </c>
      <c r="B978" s="2" t="s">
        <v>35</v>
      </c>
      <c r="C978" s="2" t="s">
        <v>2598</v>
      </c>
      <c r="D978" s="2"/>
    </row>
    <row r="979" spans="1:4" x14ac:dyDescent="0.3">
      <c r="A979" s="2" t="s">
        <v>2279</v>
      </c>
      <c r="B979" s="2" t="s">
        <v>35</v>
      </c>
      <c r="C979" s="2" t="s">
        <v>2598</v>
      </c>
      <c r="D979" s="2"/>
    </row>
    <row r="980" spans="1:4" x14ac:dyDescent="0.3">
      <c r="A980" s="2" t="s">
        <v>2280</v>
      </c>
      <c r="B980" s="2" t="s">
        <v>35</v>
      </c>
      <c r="C980" s="2" t="s">
        <v>2598</v>
      </c>
      <c r="D980" s="2"/>
    </row>
    <row r="981" spans="1:4" x14ac:dyDescent="0.3">
      <c r="A981" s="2" t="s">
        <v>2281</v>
      </c>
      <c r="B981" s="2" t="s">
        <v>35</v>
      </c>
      <c r="C981" s="2" t="s">
        <v>2598</v>
      </c>
      <c r="D981" s="2"/>
    </row>
    <row r="982" spans="1:4" x14ac:dyDescent="0.3">
      <c r="A982" s="2" t="s">
        <v>2282</v>
      </c>
      <c r="B982" s="2" t="s">
        <v>35</v>
      </c>
      <c r="C982" s="2" t="s">
        <v>2598</v>
      </c>
      <c r="D982" s="2"/>
    </row>
    <row r="983" spans="1:4" x14ac:dyDescent="0.3">
      <c r="A983" s="2" t="s">
        <v>2283</v>
      </c>
      <c r="B983" s="2" t="s">
        <v>35</v>
      </c>
      <c r="C983" s="2" t="s">
        <v>2598</v>
      </c>
      <c r="D983" s="2"/>
    </row>
    <row r="984" spans="1:4" x14ac:dyDescent="0.3">
      <c r="A984" s="2" t="s">
        <v>2284</v>
      </c>
      <c r="B984" s="2" t="s">
        <v>35</v>
      </c>
      <c r="C984" s="2" t="s">
        <v>2598</v>
      </c>
      <c r="D984" s="2"/>
    </row>
    <row r="985" spans="1:4" x14ac:dyDescent="0.3">
      <c r="A985" s="2" t="s">
        <v>2285</v>
      </c>
      <c r="B985" s="2" t="s">
        <v>35</v>
      </c>
      <c r="C985" s="2" t="s">
        <v>2598</v>
      </c>
      <c r="D985" s="2"/>
    </row>
    <row r="986" spans="1:4" x14ac:dyDescent="0.3">
      <c r="A986" s="2" t="s">
        <v>2286</v>
      </c>
      <c r="B986" s="2" t="s">
        <v>35</v>
      </c>
      <c r="C986" s="2" t="s">
        <v>2598</v>
      </c>
      <c r="D986" s="2"/>
    </row>
    <row r="987" spans="1:4" x14ac:dyDescent="0.3">
      <c r="A987" s="2" t="s">
        <v>2287</v>
      </c>
      <c r="B987" s="2" t="s">
        <v>35</v>
      </c>
      <c r="C987" s="2" t="s">
        <v>2598</v>
      </c>
      <c r="D987" s="2"/>
    </row>
    <row r="988" spans="1:4" x14ac:dyDescent="0.3">
      <c r="A988" s="2" t="s">
        <v>2288</v>
      </c>
      <c r="B988" s="2" t="s">
        <v>35</v>
      </c>
      <c r="C988" s="2" t="s">
        <v>2598</v>
      </c>
      <c r="D988" s="2"/>
    </row>
    <row r="989" spans="1:4" x14ac:dyDescent="0.3">
      <c r="A989" s="2" t="s">
        <v>2289</v>
      </c>
      <c r="B989" s="2" t="s">
        <v>35</v>
      </c>
      <c r="C989" s="2" t="s">
        <v>2598</v>
      </c>
      <c r="D989" s="2"/>
    </row>
    <row r="990" spans="1:4" x14ac:dyDescent="0.3">
      <c r="A990" s="2" t="s">
        <v>2290</v>
      </c>
      <c r="B990" s="2" t="s">
        <v>35</v>
      </c>
      <c r="C990" s="2" t="s">
        <v>2598</v>
      </c>
      <c r="D990" s="2"/>
    </row>
    <row r="991" spans="1:4" x14ac:dyDescent="0.3">
      <c r="A991" s="2" t="s">
        <v>2291</v>
      </c>
      <c r="B991" s="2" t="s">
        <v>35</v>
      </c>
      <c r="C991" s="2" t="s">
        <v>2598</v>
      </c>
      <c r="D991" s="2"/>
    </row>
    <row r="992" spans="1:4" x14ac:dyDescent="0.3">
      <c r="A992" s="2" t="s">
        <v>2292</v>
      </c>
      <c r="B992" s="2" t="s">
        <v>35</v>
      </c>
      <c r="C992" s="2" t="s">
        <v>2598</v>
      </c>
      <c r="D992" s="2"/>
    </row>
    <row r="993" spans="1:4" x14ac:dyDescent="0.3">
      <c r="A993" s="2" t="s">
        <v>2293</v>
      </c>
      <c r="B993" s="2" t="s">
        <v>35</v>
      </c>
      <c r="C993" s="2" t="s">
        <v>2598</v>
      </c>
      <c r="D993" s="2"/>
    </row>
    <row r="994" spans="1:4" x14ac:dyDescent="0.3">
      <c r="A994" s="2" t="s">
        <v>2294</v>
      </c>
      <c r="B994" s="2" t="s">
        <v>35</v>
      </c>
      <c r="C994" s="2" t="s">
        <v>2598</v>
      </c>
      <c r="D994" s="2"/>
    </row>
    <row r="995" spans="1:4" x14ac:dyDescent="0.3">
      <c r="A995" s="2" t="s">
        <v>2295</v>
      </c>
      <c r="B995" s="2" t="s">
        <v>35</v>
      </c>
      <c r="C995" s="2" t="s">
        <v>2598</v>
      </c>
      <c r="D995" s="2"/>
    </row>
    <row r="996" spans="1:4" x14ac:dyDescent="0.3">
      <c r="A996" s="2" t="s">
        <v>2296</v>
      </c>
      <c r="B996" s="2" t="s">
        <v>35</v>
      </c>
      <c r="C996" s="2" t="s">
        <v>2598</v>
      </c>
      <c r="D996" s="2"/>
    </row>
    <row r="997" spans="1:4" x14ac:dyDescent="0.3">
      <c r="A997" s="2" t="s">
        <v>2297</v>
      </c>
      <c r="B997" s="2" t="s">
        <v>35</v>
      </c>
      <c r="C997" s="2" t="s">
        <v>2598</v>
      </c>
      <c r="D997" s="2"/>
    </row>
    <row r="998" spans="1:4" x14ac:dyDescent="0.3">
      <c r="A998" s="2" t="s">
        <v>2298</v>
      </c>
      <c r="B998" s="2" t="s">
        <v>35</v>
      </c>
      <c r="C998" s="2" t="s">
        <v>2598</v>
      </c>
      <c r="D998" s="2"/>
    </row>
    <row r="999" spans="1:4" x14ac:dyDescent="0.3">
      <c r="A999" s="2" t="s">
        <v>2299</v>
      </c>
      <c r="B999" s="2" t="s">
        <v>35</v>
      </c>
      <c r="C999" s="2" t="s">
        <v>2598</v>
      </c>
      <c r="D999" s="2"/>
    </row>
    <row r="1000" spans="1:4" x14ac:dyDescent="0.3">
      <c r="A1000" s="2" t="s">
        <v>2300</v>
      </c>
      <c r="B1000" s="2" t="s">
        <v>35</v>
      </c>
      <c r="C1000" s="2" t="s">
        <v>2598</v>
      </c>
      <c r="D1000" s="2"/>
    </row>
    <row r="1001" spans="1:4" x14ac:dyDescent="0.3">
      <c r="A1001" s="2" t="s">
        <v>2301</v>
      </c>
      <c r="B1001" s="2" t="s">
        <v>35</v>
      </c>
      <c r="C1001" s="2" t="s">
        <v>2598</v>
      </c>
      <c r="D1001" s="2"/>
    </row>
    <row r="1002" spans="1:4" x14ac:dyDescent="0.3">
      <c r="A1002" s="2" t="s">
        <v>2302</v>
      </c>
      <c r="B1002" s="2" t="s">
        <v>35</v>
      </c>
      <c r="C1002" s="2" t="s">
        <v>2598</v>
      </c>
      <c r="D1002" s="2"/>
    </row>
    <row r="1003" spans="1:4" x14ac:dyDescent="0.3">
      <c r="A1003" s="2" t="s">
        <v>2303</v>
      </c>
      <c r="B1003" s="2" t="s">
        <v>35</v>
      </c>
      <c r="C1003" s="2" t="s">
        <v>2598</v>
      </c>
      <c r="D1003" s="2"/>
    </row>
    <row r="1004" spans="1:4" x14ac:dyDescent="0.3">
      <c r="A1004" s="2" t="s">
        <v>2304</v>
      </c>
      <c r="B1004" s="2" t="s">
        <v>35</v>
      </c>
      <c r="C1004" s="2" t="s">
        <v>2598</v>
      </c>
      <c r="D1004" s="2"/>
    </row>
    <row r="1005" spans="1:4" x14ac:dyDescent="0.3">
      <c r="A1005" s="2" t="s">
        <v>2305</v>
      </c>
      <c r="B1005" s="2" t="s">
        <v>35</v>
      </c>
      <c r="C1005" s="2" t="s">
        <v>2598</v>
      </c>
      <c r="D1005" s="2"/>
    </row>
    <row r="1006" spans="1:4" x14ac:dyDescent="0.3">
      <c r="A1006" s="2" t="s">
        <v>2306</v>
      </c>
      <c r="B1006" s="2" t="s">
        <v>35</v>
      </c>
      <c r="C1006" s="2" t="s">
        <v>2598</v>
      </c>
      <c r="D1006" s="2"/>
    </row>
    <row r="1007" spans="1:4" x14ac:dyDescent="0.3">
      <c r="A1007" s="2" t="s">
        <v>2307</v>
      </c>
      <c r="B1007" s="2" t="s">
        <v>35</v>
      </c>
      <c r="C1007" s="2" t="s">
        <v>2598</v>
      </c>
      <c r="D1007" s="2"/>
    </row>
    <row r="1008" spans="1:4" x14ac:dyDescent="0.3">
      <c r="A1008" s="2" t="s">
        <v>2308</v>
      </c>
      <c r="B1008" s="2" t="s">
        <v>35</v>
      </c>
      <c r="C1008" s="2" t="s">
        <v>2598</v>
      </c>
      <c r="D1008" s="2"/>
    </row>
    <row r="1009" spans="1:4" x14ac:dyDescent="0.3">
      <c r="A1009" s="2" t="s">
        <v>2309</v>
      </c>
      <c r="B1009" s="2" t="s">
        <v>35</v>
      </c>
      <c r="C1009" s="2" t="s">
        <v>2598</v>
      </c>
      <c r="D1009" s="2"/>
    </row>
    <row r="1010" spans="1:4" x14ac:dyDescent="0.3">
      <c r="A1010" s="2" t="s">
        <v>2310</v>
      </c>
      <c r="B1010" s="2" t="s">
        <v>35</v>
      </c>
      <c r="C1010" s="2" t="s">
        <v>2598</v>
      </c>
      <c r="D1010" s="2"/>
    </row>
    <row r="1011" spans="1:4" x14ac:dyDescent="0.3">
      <c r="A1011" s="2" t="s">
        <v>2311</v>
      </c>
      <c r="B1011" s="2" t="s">
        <v>35</v>
      </c>
      <c r="C1011" s="2" t="s">
        <v>2598</v>
      </c>
      <c r="D1011" s="2"/>
    </row>
    <row r="1012" spans="1:4" x14ac:dyDescent="0.3">
      <c r="A1012" s="2" t="s">
        <v>2312</v>
      </c>
      <c r="B1012" s="2" t="s">
        <v>35</v>
      </c>
      <c r="C1012" s="2" t="s">
        <v>2598</v>
      </c>
      <c r="D1012" s="2"/>
    </row>
    <row r="1013" spans="1:4" x14ac:dyDescent="0.3">
      <c r="A1013" s="2" t="s">
        <v>2313</v>
      </c>
      <c r="B1013" s="2" t="s">
        <v>35</v>
      </c>
      <c r="C1013" s="2" t="s">
        <v>2598</v>
      </c>
      <c r="D1013" s="2"/>
    </row>
    <row r="1014" spans="1:4" x14ac:dyDescent="0.3">
      <c r="A1014" s="2" t="s">
        <v>2314</v>
      </c>
      <c r="B1014" s="2" t="s">
        <v>35</v>
      </c>
      <c r="C1014" s="2" t="s">
        <v>2598</v>
      </c>
      <c r="D1014" s="2"/>
    </row>
    <row r="1015" spans="1:4" x14ac:dyDescent="0.3">
      <c r="A1015" s="2" t="s">
        <v>2315</v>
      </c>
      <c r="B1015" s="2" t="s">
        <v>35</v>
      </c>
      <c r="C1015" s="2" t="s">
        <v>2598</v>
      </c>
      <c r="D1015" s="2"/>
    </row>
    <row r="1016" spans="1:4" x14ac:dyDescent="0.3">
      <c r="A1016" s="2" t="s">
        <v>2316</v>
      </c>
      <c r="B1016" s="2" t="s">
        <v>35</v>
      </c>
      <c r="C1016" s="2" t="s">
        <v>2598</v>
      </c>
      <c r="D1016" s="2"/>
    </row>
    <row r="1017" spans="1:4" x14ac:dyDescent="0.3">
      <c r="A1017" s="2" t="s">
        <v>2317</v>
      </c>
      <c r="B1017" s="2" t="s">
        <v>35</v>
      </c>
      <c r="C1017" s="2" t="s">
        <v>2598</v>
      </c>
      <c r="D1017" s="2"/>
    </row>
    <row r="1018" spans="1:4" x14ac:dyDescent="0.3">
      <c r="A1018" s="2" t="s">
        <v>2318</v>
      </c>
      <c r="B1018" s="2" t="s">
        <v>35</v>
      </c>
      <c r="C1018" s="2" t="s">
        <v>2598</v>
      </c>
      <c r="D1018" s="2"/>
    </row>
    <row r="1019" spans="1:4" x14ac:dyDescent="0.3">
      <c r="A1019" s="2" t="s">
        <v>2319</v>
      </c>
      <c r="B1019" s="2" t="s">
        <v>35</v>
      </c>
      <c r="C1019" s="2" t="s">
        <v>2598</v>
      </c>
      <c r="D1019" s="2"/>
    </row>
    <row r="1020" spans="1:4" x14ac:dyDescent="0.3">
      <c r="A1020" s="2" t="s">
        <v>2320</v>
      </c>
      <c r="B1020" s="2" t="s">
        <v>35</v>
      </c>
      <c r="C1020" s="2" t="s">
        <v>2598</v>
      </c>
      <c r="D1020" s="2"/>
    </row>
    <row r="1021" spans="1:4" x14ac:dyDescent="0.3">
      <c r="A1021" s="2" t="s">
        <v>2321</v>
      </c>
      <c r="B1021" s="2" t="s">
        <v>35</v>
      </c>
      <c r="C1021" s="2" t="s">
        <v>2598</v>
      </c>
      <c r="D1021" s="2"/>
    </row>
    <row r="1022" spans="1:4" x14ac:dyDescent="0.3">
      <c r="A1022" s="2" t="s">
        <v>2322</v>
      </c>
      <c r="B1022" s="2" t="s">
        <v>35</v>
      </c>
      <c r="C1022" s="2" t="s">
        <v>2598</v>
      </c>
      <c r="D1022" s="2"/>
    </row>
    <row r="1023" spans="1:4" x14ac:dyDescent="0.3">
      <c r="A1023" s="2" t="s">
        <v>2323</v>
      </c>
      <c r="B1023" s="2" t="s">
        <v>35</v>
      </c>
      <c r="C1023" s="2" t="s">
        <v>2598</v>
      </c>
      <c r="D1023" s="2"/>
    </row>
    <row r="1024" spans="1:4" x14ac:dyDescent="0.3">
      <c r="A1024" s="2" t="s">
        <v>2324</v>
      </c>
      <c r="B1024" s="2" t="s">
        <v>35</v>
      </c>
      <c r="C1024" s="2" t="s">
        <v>2598</v>
      </c>
      <c r="D1024" s="2"/>
    </row>
    <row r="1025" spans="1:4" x14ac:dyDescent="0.3">
      <c r="A1025" s="2" t="s">
        <v>2325</v>
      </c>
      <c r="B1025" s="2" t="s">
        <v>35</v>
      </c>
      <c r="C1025" s="2" t="s">
        <v>2598</v>
      </c>
      <c r="D1025" s="2"/>
    </row>
    <row r="1026" spans="1:4" x14ac:dyDescent="0.3">
      <c r="A1026" s="2" t="s">
        <v>2326</v>
      </c>
      <c r="B1026" s="2" t="s">
        <v>35</v>
      </c>
      <c r="C1026" s="2" t="s">
        <v>2598</v>
      </c>
      <c r="D1026" s="2"/>
    </row>
    <row r="1027" spans="1:4" x14ac:dyDescent="0.3">
      <c r="A1027" s="2" t="s">
        <v>2327</v>
      </c>
      <c r="B1027" s="2" t="s">
        <v>35</v>
      </c>
      <c r="C1027" s="2" t="s">
        <v>2598</v>
      </c>
      <c r="D1027" s="2"/>
    </row>
    <row r="1028" spans="1:4" x14ac:dyDescent="0.3">
      <c r="A1028" s="2" t="s">
        <v>2328</v>
      </c>
      <c r="B1028" s="2" t="s">
        <v>35</v>
      </c>
      <c r="C1028" s="2" t="s">
        <v>2598</v>
      </c>
      <c r="D1028" s="2"/>
    </row>
    <row r="1029" spans="1:4" x14ac:dyDescent="0.3">
      <c r="A1029" s="2" t="s">
        <v>2329</v>
      </c>
      <c r="B1029" s="2" t="s">
        <v>35</v>
      </c>
      <c r="C1029" s="2" t="s">
        <v>2598</v>
      </c>
      <c r="D1029" s="2"/>
    </row>
    <row r="1030" spans="1:4" x14ac:dyDescent="0.3">
      <c r="A1030" s="2" t="s">
        <v>2330</v>
      </c>
      <c r="B1030" s="2" t="s">
        <v>35</v>
      </c>
      <c r="C1030" s="2" t="s">
        <v>2598</v>
      </c>
      <c r="D1030" s="2"/>
    </row>
    <row r="1031" spans="1:4" x14ac:dyDescent="0.3">
      <c r="A1031" s="2" t="s">
        <v>2331</v>
      </c>
      <c r="B1031" s="2" t="s">
        <v>35</v>
      </c>
      <c r="C1031" s="2" t="s">
        <v>2598</v>
      </c>
      <c r="D1031" s="2"/>
    </row>
    <row r="1032" spans="1:4" x14ac:dyDescent="0.3">
      <c r="A1032" s="2" t="s">
        <v>2332</v>
      </c>
      <c r="B1032" s="2" t="s">
        <v>35</v>
      </c>
      <c r="C1032" s="2" t="s">
        <v>2598</v>
      </c>
      <c r="D1032" s="2"/>
    </row>
    <row r="1033" spans="1:4" x14ac:dyDescent="0.3">
      <c r="A1033" s="2" t="s">
        <v>2333</v>
      </c>
      <c r="B1033" s="2" t="s">
        <v>35</v>
      </c>
      <c r="C1033" s="2" t="s">
        <v>2598</v>
      </c>
      <c r="D1033" s="2"/>
    </row>
    <row r="1034" spans="1:4" x14ac:dyDescent="0.3">
      <c r="A1034" s="2" t="s">
        <v>2334</v>
      </c>
      <c r="B1034" s="2" t="s">
        <v>35</v>
      </c>
      <c r="C1034" s="2" t="s">
        <v>2598</v>
      </c>
      <c r="D1034" s="2"/>
    </row>
    <row r="1035" spans="1:4" x14ac:dyDescent="0.3">
      <c r="A1035" s="2" t="s">
        <v>2335</v>
      </c>
      <c r="B1035" s="2" t="s">
        <v>35</v>
      </c>
      <c r="C1035" s="2" t="s">
        <v>2598</v>
      </c>
      <c r="D1035" s="2"/>
    </row>
    <row r="1036" spans="1:4" x14ac:dyDescent="0.3">
      <c r="A1036" s="2" t="s">
        <v>2336</v>
      </c>
      <c r="B1036" s="2" t="s">
        <v>35</v>
      </c>
      <c r="C1036" s="2" t="s">
        <v>2598</v>
      </c>
      <c r="D1036" s="2"/>
    </row>
    <row r="1037" spans="1:4" x14ac:dyDescent="0.3">
      <c r="A1037" s="2" t="s">
        <v>2337</v>
      </c>
      <c r="B1037" s="2" t="s">
        <v>35</v>
      </c>
      <c r="C1037" s="2" t="s">
        <v>2598</v>
      </c>
      <c r="D1037" s="2"/>
    </row>
    <row r="1038" spans="1:4" x14ac:dyDescent="0.3">
      <c r="A1038" s="2" t="s">
        <v>2338</v>
      </c>
      <c r="B1038" s="2" t="s">
        <v>35</v>
      </c>
      <c r="C1038" s="2" t="s">
        <v>2598</v>
      </c>
      <c r="D1038" s="2"/>
    </row>
    <row r="1039" spans="1:4" x14ac:dyDescent="0.3">
      <c r="A1039" s="2" t="s">
        <v>2339</v>
      </c>
      <c r="B1039" s="2" t="s">
        <v>35</v>
      </c>
      <c r="C1039" s="2" t="s">
        <v>2598</v>
      </c>
      <c r="D1039" s="2"/>
    </row>
    <row r="1040" spans="1:4" x14ac:dyDescent="0.3">
      <c r="A1040" s="2" t="s">
        <v>2340</v>
      </c>
      <c r="B1040" s="2" t="s">
        <v>35</v>
      </c>
      <c r="C1040" s="2" t="s">
        <v>2598</v>
      </c>
      <c r="D1040" s="2"/>
    </row>
    <row r="1041" spans="1:4" x14ac:dyDescent="0.3">
      <c r="A1041" s="2" t="s">
        <v>3090</v>
      </c>
      <c r="B1041" s="2" t="s">
        <v>2601</v>
      </c>
      <c r="C1041" s="2" t="s">
        <v>2549</v>
      </c>
      <c r="D1041" s="2"/>
    </row>
    <row r="1042" spans="1:4" x14ac:dyDescent="0.3">
      <c r="A1042" s="2" t="s">
        <v>3091</v>
      </c>
      <c r="B1042" s="2" t="s">
        <v>2601</v>
      </c>
      <c r="C1042" s="2" t="s">
        <v>2549</v>
      </c>
      <c r="D1042" s="2"/>
    </row>
    <row r="1043" spans="1:4" x14ac:dyDescent="0.3">
      <c r="A1043" s="2" t="s">
        <v>3092</v>
      </c>
      <c r="B1043" s="2" t="s">
        <v>2601</v>
      </c>
      <c r="C1043" s="2" t="s">
        <v>2549</v>
      </c>
      <c r="D1043" s="2"/>
    </row>
    <row r="1044" spans="1:4" x14ac:dyDescent="0.3">
      <c r="A1044" s="2" t="s">
        <v>3093</v>
      </c>
      <c r="B1044" s="2" t="s">
        <v>2601</v>
      </c>
      <c r="C1044" s="2" t="s">
        <v>2549</v>
      </c>
      <c r="D1044" s="2"/>
    </row>
    <row r="1045" spans="1:4" x14ac:dyDescent="0.3">
      <c r="A1045" s="2" t="s">
        <v>3094</v>
      </c>
      <c r="B1045" s="2" t="s">
        <v>2601</v>
      </c>
      <c r="C1045" s="2" t="s">
        <v>2549</v>
      </c>
      <c r="D1045" s="2"/>
    </row>
    <row r="1046" spans="1:4" x14ac:dyDescent="0.3">
      <c r="A1046" s="2" t="s">
        <v>3095</v>
      </c>
      <c r="B1046" s="2" t="s">
        <v>2601</v>
      </c>
      <c r="C1046" s="2" t="s">
        <v>2549</v>
      </c>
      <c r="D1046" s="2"/>
    </row>
    <row r="1047" spans="1:4" x14ac:dyDescent="0.3">
      <c r="A1047" s="2" t="s">
        <v>3096</v>
      </c>
      <c r="B1047" s="2" t="s">
        <v>2601</v>
      </c>
      <c r="C1047" s="2" t="s">
        <v>2549</v>
      </c>
      <c r="D1047" s="2"/>
    </row>
    <row r="1048" spans="1:4" x14ac:dyDescent="0.3">
      <c r="A1048" s="2" t="s">
        <v>3097</v>
      </c>
      <c r="B1048" s="2" t="s">
        <v>2546</v>
      </c>
      <c r="C1048" s="2" t="s">
        <v>2708</v>
      </c>
      <c r="D1048" s="2"/>
    </row>
    <row r="1049" spans="1:4" x14ac:dyDescent="0.3">
      <c r="A1049" s="2" t="s">
        <v>3098</v>
      </c>
      <c r="B1049" s="2" t="s">
        <v>2546</v>
      </c>
      <c r="C1049" s="2" t="s">
        <v>2708</v>
      </c>
      <c r="D1049" s="2"/>
    </row>
    <row r="1050" spans="1:4" x14ac:dyDescent="0.3">
      <c r="A1050" s="2" t="s">
        <v>3099</v>
      </c>
      <c r="B1050" s="2" t="s">
        <v>2546</v>
      </c>
      <c r="C1050" s="2" t="s">
        <v>2708</v>
      </c>
      <c r="D1050" s="2"/>
    </row>
    <row r="1051" spans="1:4" x14ac:dyDescent="0.3">
      <c r="A1051" s="2" t="s">
        <v>3100</v>
      </c>
      <c r="B1051" s="2" t="s">
        <v>2546</v>
      </c>
      <c r="C1051" s="2" t="s">
        <v>2708</v>
      </c>
      <c r="D1051" s="2"/>
    </row>
    <row r="1052" spans="1:4" x14ac:dyDescent="0.3">
      <c r="A1052" s="2" t="s">
        <v>3101</v>
      </c>
      <c r="B1052" s="2" t="s">
        <v>2546</v>
      </c>
      <c r="C1052" s="2" t="s">
        <v>2708</v>
      </c>
      <c r="D1052" s="2"/>
    </row>
    <row r="1053" spans="1:4" x14ac:dyDescent="0.3">
      <c r="A1053" s="2" t="s">
        <v>3102</v>
      </c>
      <c r="B1053" s="2" t="s">
        <v>2546</v>
      </c>
      <c r="C1053" s="2" t="s">
        <v>2708</v>
      </c>
      <c r="D1053" s="2"/>
    </row>
    <row r="1054" spans="1:4" x14ac:dyDescent="0.3">
      <c r="A1054" s="2" t="s">
        <v>3103</v>
      </c>
      <c r="B1054" s="2" t="s">
        <v>2546</v>
      </c>
      <c r="C1054" s="2" t="s">
        <v>2708</v>
      </c>
      <c r="D1054" s="2"/>
    </row>
    <row r="1055" spans="1:4" x14ac:dyDescent="0.3">
      <c r="A1055" s="2" t="s">
        <v>3104</v>
      </c>
      <c r="B1055" s="2" t="s">
        <v>2546</v>
      </c>
      <c r="C1055" s="2" t="s">
        <v>2708</v>
      </c>
      <c r="D1055" s="2"/>
    </row>
    <row r="1056" spans="1:4" x14ac:dyDescent="0.3">
      <c r="A1056" s="2" t="s">
        <v>3105</v>
      </c>
      <c r="B1056" s="2" t="s">
        <v>2546</v>
      </c>
      <c r="C1056" s="2" t="s">
        <v>2708</v>
      </c>
      <c r="D1056" s="2"/>
    </row>
    <row r="1057" spans="1:4" x14ac:dyDescent="0.3">
      <c r="A1057" s="2" t="s">
        <v>3106</v>
      </c>
      <c r="B1057" s="2" t="s">
        <v>2556</v>
      </c>
      <c r="C1057" s="2" t="s">
        <v>2556</v>
      </c>
      <c r="D1057" s="2"/>
    </row>
    <row r="1058" spans="1:4" x14ac:dyDescent="0.3">
      <c r="A1058" s="2" t="s">
        <v>3107</v>
      </c>
      <c r="B1058" s="2" t="s">
        <v>2556</v>
      </c>
      <c r="C1058" s="2" t="s">
        <v>2556</v>
      </c>
      <c r="D1058" s="2"/>
    </row>
    <row r="1059" spans="1:4" x14ac:dyDescent="0.3">
      <c r="A1059" s="2" t="s">
        <v>3108</v>
      </c>
      <c r="B1059" s="2" t="s">
        <v>2556</v>
      </c>
      <c r="C1059" s="2" t="s">
        <v>2556</v>
      </c>
      <c r="D1059" s="2"/>
    </row>
    <row r="1060" spans="1:4" x14ac:dyDescent="0.3">
      <c r="A1060" t="s">
        <v>3109</v>
      </c>
      <c r="B1060" s="2" t="s">
        <v>2341</v>
      </c>
      <c r="C1060" s="2" t="s">
        <v>2341</v>
      </c>
    </row>
    <row r="1061" spans="1:4" x14ac:dyDescent="0.3">
      <c r="A1061" t="s">
        <v>3110</v>
      </c>
      <c r="B1061" s="2" t="s">
        <v>2341</v>
      </c>
      <c r="C1061" s="2" t="s">
        <v>2341</v>
      </c>
    </row>
    <row r="1062" spans="1:4" x14ac:dyDescent="0.3">
      <c r="A1062" t="s">
        <v>3111</v>
      </c>
      <c r="B1062" s="2" t="s">
        <v>2341</v>
      </c>
      <c r="C1062" s="2" t="s">
        <v>2341</v>
      </c>
    </row>
    <row r="1063" spans="1:4" x14ac:dyDescent="0.3">
      <c r="A1063" t="s">
        <v>3112</v>
      </c>
      <c r="B1063" s="2" t="s">
        <v>2341</v>
      </c>
      <c r="C1063" s="2" t="s">
        <v>2341</v>
      </c>
    </row>
    <row r="1064" spans="1:4" x14ac:dyDescent="0.3">
      <c r="A1064" t="s">
        <v>3113</v>
      </c>
      <c r="B1064" s="2" t="s">
        <v>2341</v>
      </c>
      <c r="C1064" s="2" t="s">
        <v>2341</v>
      </c>
    </row>
    <row r="1065" spans="1:4" x14ac:dyDescent="0.3">
      <c r="A1065" t="s">
        <v>3114</v>
      </c>
      <c r="B1065" s="2" t="s">
        <v>2341</v>
      </c>
      <c r="C1065" s="2" t="s">
        <v>2341</v>
      </c>
    </row>
    <row r="1066" spans="1:4" x14ac:dyDescent="0.3">
      <c r="A1066" t="s">
        <v>3115</v>
      </c>
      <c r="B1066" s="2" t="s">
        <v>2341</v>
      </c>
      <c r="C1066" s="2" t="s">
        <v>2341</v>
      </c>
    </row>
    <row r="1067" spans="1:4" x14ac:dyDescent="0.3">
      <c r="A1067" t="s">
        <v>3116</v>
      </c>
      <c r="B1067" s="2" t="s">
        <v>2341</v>
      </c>
      <c r="C1067" s="2" t="s">
        <v>2341</v>
      </c>
    </row>
    <row r="1068" spans="1:4" x14ac:dyDescent="0.3">
      <c r="A1068" t="s">
        <v>3117</v>
      </c>
      <c r="B1068" s="2" t="s">
        <v>2341</v>
      </c>
      <c r="C1068" s="2" t="s">
        <v>2341</v>
      </c>
    </row>
    <row r="1069" spans="1:4" x14ac:dyDescent="0.3">
      <c r="A1069" t="s">
        <v>3118</v>
      </c>
      <c r="B1069" s="2" t="s">
        <v>2341</v>
      </c>
      <c r="C1069" s="2" t="s">
        <v>2341</v>
      </c>
    </row>
    <row r="1070" spans="1:4" x14ac:dyDescent="0.3">
      <c r="A1070" t="s">
        <v>3119</v>
      </c>
      <c r="B1070" s="2" t="s">
        <v>2341</v>
      </c>
      <c r="C1070" s="2" t="s">
        <v>2341</v>
      </c>
    </row>
    <row r="1071" spans="1:4" x14ac:dyDescent="0.3">
      <c r="A1071" t="s">
        <v>3120</v>
      </c>
      <c r="B1071" s="2" t="s">
        <v>2341</v>
      </c>
      <c r="C1071" s="2" t="s">
        <v>2341</v>
      </c>
    </row>
    <row r="1072" spans="1:4" x14ac:dyDescent="0.3">
      <c r="A1072" t="s">
        <v>3121</v>
      </c>
      <c r="B1072" s="2" t="s">
        <v>2341</v>
      </c>
      <c r="C1072" s="2" t="s">
        <v>2341</v>
      </c>
    </row>
    <row r="1073" spans="1:3" x14ac:dyDescent="0.3">
      <c r="A1073" t="s">
        <v>3122</v>
      </c>
      <c r="B1073" s="2" t="s">
        <v>2341</v>
      </c>
      <c r="C1073" s="2" t="s">
        <v>2341</v>
      </c>
    </row>
    <row r="1074" spans="1:3" x14ac:dyDescent="0.3">
      <c r="A1074" t="s">
        <v>3123</v>
      </c>
      <c r="B1074" s="2" t="s">
        <v>2341</v>
      </c>
      <c r="C1074" s="2" t="s">
        <v>2341</v>
      </c>
    </row>
    <row r="1075" spans="1:3" x14ac:dyDescent="0.3">
      <c r="A1075" t="s">
        <v>3124</v>
      </c>
      <c r="B1075" s="2" t="s">
        <v>2341</v>
      </c>
      <c r="C1075" s="2" t="s">
        <v>2341</v>
      </c>
    </row>
    <row r="1076" spans="1:3" x14ac:dyDescent="0.3">
      <c r="A1076" t="s">
        <v>3125</v>
      </c>
      <c r="B1076" s="2" t="s">
        <v>2341</v>
      </c>
      <c r="C1076" s="2" t="s">
        <v>2341</v>
      </c>
    </row>
    <row r="1077" spans="1:3" x14ac:dyDescent="0.3">
      <c r="A1077" t="s">
        <v>3126</v>
      </c>
      <c r="B1077" s="2" t="s">
        <v>2341</v>
      </c>
      <c r="C1077" s="2" t="s">
        <v>2341</v>
      </c>
    </row>
    <row r="1078" spans="1:3" x14ac:dyDescent="0.3">
      <c r="A1078" t="s">
        <v>3127</v>
      </c>
      <c r="B1078" s="2" t="s">
        <v>2341</v>
      </c>
      <c r="C1078" s="2" t="s">
        <v>2341</v>
      </c>
    </row>
    <row r="1079" spans="1:3" x14ac:dyDescent="0.3">
      <c r="A1079" t="s">
        <v>3128</v>
      </c>
      <c r="B1079" s="2" t="s">
        <v>2341</v>
      </c>
      <c r="C1079" s="2" t="s">
        <v>2341</v>
      </c>
    </row>
    <row r="1080" spans="1:3" x14ac:dyDescent="0.3">
      <c r="A1080" t="s">
        <v>3129</v>
      </c>
      <c r="B1080" s="2" t="s">
        <v>2341</v>
      </c>
      <c r="C1080" s="2" t="s">
        <v>2341</v>
      </c>
    </row>
    <row r="1081" spans="1:3" x14ac:dyDescent="0.3">
      <c r="A1081" t="s">
        <v>3130</v>
      </c>
      <c r="B1081" s="2" t="s">
        <v>2341</v>
      </c>
      <c r="C1081" s="2" t="s">
        <v>2341</v>
      </c>
    </row>
    <row r="1082" spans="1:3" x14ac:dyDescent="0.3">
      <c r="A1082" t="s">
        <v>3131</v>
      </c>
      <c r="B1082" s="2" t="s">
        <v>2341</v>
      </c>
      <c r="C1082" s="2" t="s">
        <v>2341</v>
      </c>
    </row>
    <row r="1083" spans="1:3" x14ac:dyDescent="0.3">
      <c r="A1083" t="s">
        <v>3132</v>
      </c>
      <c r="B1083" s="2" t="s">
        <v>2341</v>
      </c>
      <c r="C1083" s="2" t="s">
        <v>2341</v>
      </c>
    </row>
    <row r="1084" spans="1:3" x14ac:dyDescent="0.3">
      <c r="A1084" t="s">
        <v>3133</v>
      </c>
      <c r="B1084" s="2" t="s">
        <v>2341</v>
      </c>
      <c r="C1084" s="2" t="s">
        <v>2341</v>
      </c>
    </row>
    <row r="1085" spans="1:3" x14ac:dyDescent="0.3">
      <c r="A1085" t="s">
        <v>3134</v>
      </c>
      <c r="B1085" s="2" t="s">
        <v>2341</v>
      </c>
      <c r="C1085" s="2" t="s">
        <v>2341</v>
      </c>
    </row>
    <row r="1086" spans="1:3" x14ac:dyDescent="0.3">
      <c r="A1086" t="s">
        <v>3135</v>
      </c>
      <c r="B1086" s="2" t="s">
        <v>2341</v>
      </c>
      <c r="C1086" s="2" t="s">
        <v>2341</v>
      </c>
    </row>
    <row r="1087" spans="1:3" x14ac:dyDescent="0.3">
      <c r="A1087" t="s">
        <v>3136</v>
      </c>
      <c r="B1087" s="2" t="s">
        <v>2341</v>
      </c>
      <c r="C1087" s="2" t="s">
        <v>2341</v>
      </c>
    </row>
    <row r="1088" spans="1:3" x14ac:dyDescent="0.3">
      <c r="A1088" t="s">
        <v>3137</v>
      </c>
      <c r="B1088" s="2" t="s">
        <v>2341</v>
      </c>
      <c r="C1088" s="2" t="s">
        <v>2341</v>
      </c>
    </row>
    <row r="1089" spans="1:3" x14ac:dyDescent="0.3">
      <c r="A1089" t="s">
        <v>3138</v>
      </c>
      <c r="B1089" s="2" t="s">
        <v>2341</v>
      </c>
      <c r="C1089" s="2" t="s">
        <v>2341</v>
      </c>
    </row>
    <row r="1090" spans="1:3" x14ac:dyDescent="0.3">
      <c r="A1090" t="s">
        <v>3139</v>
      </c>
      <c r="B1090" s="2" t="s">
        <v>2341</v>
      </c>
      <c r="C1090" s="2" t="s">
        <v>2341</v>
      </c>
    </row>
    <row r="1091" spans="1:3" x14ac:dyDescent="0.3">
      <c r="A1091" t="s">
        <v>3140</v>
      </c>
      <c r="B1091" s="2" t="s">
        <v>2341</v>
      </c>
      <c r="C1091" s="2" t="s">
        <v>2341</v>
      </c>
    </row>
    <row r="1092" spans="1:3" x14ac:dyDescent="0.3">
      <c r="A1092" t="s">
        <v>3141</v>
      </c>
      <c r="B1092" s="2" t="s">
        <v>2341</v>
      </c>
      <c r="C1092" s="2" t="s">
        <v>2341</v>
      </c>
    </row>
    <row r="1093" spans="1:3" x14ac:dyDescent="0.3">
      <c r="A1093" t="s">
        <v>3142</v>
      </c>
      <c r="B1093" s="2" t="s">
        <v>2341</v>
      </c>
      <c r="C1093" s="2" t="s">
        <v>2341</v>
      </c>
    </row>
    <row r="1094" spans="1:3" x14ac:dyDescent="0.3">
      <c r="A1094" t="s">
        <v>3143</v>
      </c>
      <c r="B1094" s="2" t="s">
        <v>2341</v>
      </c>
      <c r="C1094" s="2" t="s">
        <v>2341</v>
      </c>
    </row>
    <row r="1095" spans="1:3" x14ac:dyDescent="0.3">
      <c r="A1095" t="s">
        <v>3144</v>
      </c>
      <c r="B1095" s="2" t="s">
        <v>2341</v>
      </c>
      <c r="C1095" s="2" t="s">
        <v>2341</v>
      </c>
    </row>
    <row r="1096" spans="1:3" x14ac:dyDescent="0.3">
      <c r="A1096" t="s">
        <v>3145</v>
      </c>
      <c r="B1096" s="2" t="s">
        <v>2341</v>
      </c>
      <c r="C1096" s="2" t="s">
        <v>2341</v>
      </c>
    </row>
    <row r="1097" spans="1:3" x14ac:dyDescent="0.3">
      <c r="A1097" t="s">
        <v>3146</v>
      </c>
      <c r="B1097" s="2" t="s">
        <v>2341</v>
      </c>
      <c r="C1097" s="2" t="s">
        <v>2341</v>
      </c>
    </row>
    <row r="1098" spans="1:3" x14ac:dyDescent="0.3">
      <c r="A1098" t="s">
        <v>3147</v>
      </c>
      <c r="B1098" s="2" t="s">
        <v>2341</v>
      </c>
      <c r="C1098" s="2" t="s">
        <v>2341</v>
      </c>
    </row>
    <row r="1099" spans="1:3" x14ac:dyDescent="0.3">
      <c r="A1099" t="s">
        <v>3148</v>
      </c>
      <c r="B1099" s="2" t="s">
        <v>2341</v>
      </c>
      <c r="C1099" s="2" t="s">
        <v>2341</v>
      </c>
    </row>
    <row r="1100" spans="1:3" x14ac:dyDescent="0.3">
      <c r="A1100" t="s">
        <v>3149</v>
      </c>
      <c r="B1100" s="2" t="s">
        <v>2341</v>
      </c>
      <c r="C1100" s="2" t="s">
        <v>2341</v>
      </c>
    </row>
    <row r="1101" spans="1:3" x14ac:dyDescent="0.3">
      <c r="A1101" t="s">
        <v>3150</v>
      </c>
      <c r="B1101" s="2" t="s">
        <v>2341</v>
      </c>
      <c r="C1101" s="2" t="s">
        <v>2341</v>
      </c>
    </row>
    <row r="1102" spans="1:3" x14ac:dyDescent="0.3">
      <c r="A1102" t="s">
        <v>3151</v>
      </c>
      <c r="B1102" s="2" t="s">
        <v>2341</v>
      </c>
      <c r="C1102" s="2" t="s">
        <v>2341</v>
      </c>
    </row>
    <row r="1103" spans="1:3" x14ac:dyDescent="0.3">
      <c r="A1103" t="s">
        <v>3152</v>
      </c>
      <c r="B1103" s="2" t="s">
        <v>2341</v>
      </c>
      <c r="C1103" s="2" t="s">
        <v>2341</v>
      </c>
    </row>
    <row r="1104" spans="1:3" x14ac:dyDescent="0.3">
      <c r="A1104" t="s">
        <v>3153</v>
      </c>
      <c r="B1104" s="2" t="s">
        <v>2929</v>
      </c>
      <c r="C1104" s="2" t="s">
        <v>2929</v>
      </c>
    </row>
    <row r="1105" spans="1:3" x14ac:dyDescent="0.3">
      <c r="A1105" t="s">
        <v>3154</v>
      </c>
      <c r="B1105" s="2" t="s">
        <v>2929</v>
      </c>
      <c r="C1105" s="2" t="s">
        <v>2929</v>
      </c>
    </row>
    <row r="1106" spans="1:3" x14ac:dyDescent="0.3">
      <c r="A1106" t="s">
        <v>3155</v>
      </c>
      <c r="B1106" s="2" t="s">
        <v>2929</v>
      </c>
      <c r="C1106" s="2" t="s">
        <v>2929</v>
      </c>
    </row>
    <row r="1107" spans="1:3" x14ac:dyDescent="0.3">
      <c r="A1107" t="s">
        <v>3156</v>
      </c>
      <c r="B1107" s="2" t="s">
        <v>2929</v>
      </c>
      <c r="C1107" s="2" t="s">
        <v>2929</v>
      </c>
    </row>
    <row r="1108" spans="1:3" x14ac:dyDescent="0.3">
      <c r="A1108" t="s">
        <v>3157</v>
      </c>
      <c r="B1108" s="2" t="s">
        <v>2929</v>
      </c>
      <c r="C1108" s="2" t="s">
        <v>2929</v>
      </c>
    </row>
    <row r="1109" spans="1:3" x14ac:dyDescent="0.3">
      <c r="A1109" t="s">
        <v>3158</v>
      </c>
      <c r="B1109" s="2" t="s">
        <v>2929</v>
      </c>
      <c r="C1109" s="2" t="s">
        <v>2929</v>
      </c>
    </row>
    <row r="1110" spans="1:3" x14ac:dyDescent="0.3">
      <c r="A1110" t="s">
        <v>3159</v>
      </c>
      <c r="B1110" s="2" t="s">
        <v>2929</v>
      </c>
      <c r="C1110" s="2" t="s">
        <v>2929</v>
      </c>
    </row>
    <row r="1111" spans="1:3" x14ac:dyDescent="0.3">
      <c r="A1111" t="s">
        <v>3160</v>
      </c>
      <c r="B1111" s="2" t="s">
        <v>2929</v>
      </c>
      <c r="C1111" s="2" t="s">
        <v>2929</v>
      </c>
    </row>
    <row r="1112" spans="1:3" x14ac:dyDescent="0.3">
      <c r="A1112" t="s">
        <v>3161</v>
      </c>
      <c r="B1112" s="2" t="s">
        <v>2929</v>
      </c>
      <c r="C1112" s="2" t="s">
        <v>2929</v>
      </c>
    </row>
    <row r="1113" spans="1:3" x14ac:dyDescent="0.3">
      <c r="A1113" t="s">
        <v>3162</v>
      </c>
      <c r="B1113" s="2" t="s">
        <v>2929</v>
      </c>
      <c r="C1113" s="2" t="s">
        <v>2929</v>
      </c>
    </row>
    <row r="1114" spans="1:3" x14ac:dyDescent="0.3">
      <c r="A1114" t="s">
        <v>3163</v>
      </c>
      <c r="B1114" s="2" t="s">
        <v>2929</v>
      </c>
      <c r="C1114" s="2" t="s">
        <v>2929</v>
      </c>
    </row>
    <row r="1115" spans="1:3" x14ac:dyDescent="0.3">
      <c r="A1115" t="s">
        <v>3164</v>
      </c>
      <c r="B1115" s="2" t="s">
        <v>2929</v>
      </c>
      <c r="C1115" s="2" t="s">
        <v>2929</v>
      </c>
    </row>
    <row r="1116" spans="1:3" x14ac:dyDescent="0.3">
      <c r="A1116" t="s">
        <v>3165</v>
      </c>
      <c r="B1116" s="2" t="s">
        <v>2929</v>
      </c>
      <c r="C1116" s="2" t="s">
        <v>2929</v>
      </c>
    </row>
    <row r="1117" spans="1:3" x14ac:dyDescent="0.3">
      <c r="A1117" t="s">
        <v>3166</v>
      </c>
      <c r="B1117" s="2" t="s">
        <v>2929</v>
      </c>
      <c r="C1117" s="2" t="s">
        <v>2929</v>
      </c>
    </row>
    <row r="1118" spans="1:3" x14ac:dyDescent="0.3">
      <c r="A1118" t="s">
        <v>3167</v>
      </c>
      <c r="B1118" s="2" t="s">
        <v>2929</v>
      </c>
      <c r="C1118" s="2" t="s">
        <v>2929</v>
      </c>
    </row>
    <row r="1119" spans="1:3" x14ac:dyDescent="0.3">
      <c r="A1119" t="s">
        <v>3168</v>
      </c>
      <c r="B1119" s="2" t="s">
        <v>2929</v>
      </c>
      <c r="C1119" s="2" t="s">
        <v>2929</v>
      </c>
    </row>
    <row r="1120" spans="1:3" x14ac:dyDescent="0.3">
      <c r="A1120" t="s">
        <v>3169</v>
      </c>
      <c r="B1120" s="2" t="s">
        <v>2929</v>
      </c>
      <c r="C1120" s="2" t="s">
        <v>2929</v>
      </c>
    </row>
    <row r="1121" spans="1:3" x14ac:dyDescent="0.3">
      <c r="A1121" t="s">
        <v>3170</v>
      </c>
      <c r="B1121" s="2" t="s">
        <v>2929</v>
      </c>
      <c r="C1121" s="2" t="s">
        <v>2929</v>
      </c>
    </row>
    <row r="1122" spans="1:3" x14ac:dyDescent="0.3">
      <c r="A1122" t="s">
        <v>3171</v>
      </c>
      <c r="B1122" s="2" t="s">
        <v>2929</v>
      </c>
      <c r="C1122" s="2" t="s">
        <v>2929</v>
      </c>
    </row>
    <row r="1123" spans="1:3" x14ac:dyDescent="0.3">
      <c r="A1123" t="s">
        <v>3172</v>
      </c>
      <c r="B1123" s="2" t="s">
        <v>2929</v>
      </c>
      <c r="C1123" s="2" t="s">
        <v>2929</v>
      </c>
    </row>
    <row r="1124" spans="1:3" x14ac:dyDescent="0.3">
      <c r="A1124" t="s">
        <v>3173</v>
      </c>
      <c r="B1124" s="2" t="s">
        <v>2929</v>
      </c>
      <c r="C1124" s="2" t="s">
        <v>2929</v>
      </c>
    </row>
    <row r="1125" spans="1:3" x14ac:dyDescent="0.3">
      <c r="A1125" t="s">
        <v>3174</v>
      </c>
      <c r="B1125" s="2" t="s">
        <v>2929</v>
      </c>
      <c r="C1125" s="2" t="s">
        <v>2929</v>
      </c>
    </row>
    <row r="1126" spans="1:3" x14ac:dyDescent="0.3">
      <c r="A1126" t="s">
        <v>3175</v>
      </c>
      <c r="B1126" s="2" t="s">
        <v>2929</v>
      </c>
      <c r="C1126" s="2" t="s">
        <v>2929</v>
      </c>
    </row>
    <row r="1127" spans="1:3" x14ac:dyDescent="0.3">
      <c r="A1127" t="s">
        <v>3176</v>
      </c>
      <c r="B1127" s="2" t="s">
        <v>2929</v>
      </c>
      <c r="C1127" s="2" t="s">
        <v>2929</v>
      </c>
    </row>
    <row r="1128" spans="1:3" x14ac:dyDescent="0.3">
      <c r="A1128" t="s">
        <v>3177</v>
      </c>
      <c r="B1128" s="2" t="s">
        <v>2929</v>
      </c>
      <c r="C1128" s="2" t="s">
        <v>2929</v>
      </c>
    </row>
    <row r="1129" spans="1:3" x14ac:dyDescent="0.3">
      <c r="A1129" t="s">
        <v>3178</v>
      </c>
      <c r="B1129" s="2" t="s">
        <v>2929</v>
      </c>
      <c r="C1129" s="2" t="s">
        <v>2929</v>
      </c>
    </row>
    <row r="1130" spans="1:3" x14ac:dyDescent="0.3">
      <c r="A1130" t="s">
        <v>3179</v>
      </c>
      <c r="B1130" s="2" t="s">
        <v>2929</v>
      </c>
      <c r="C1130" s="2" t="s">
        <v>2929</v>
      </c>
    </row>
    <row r="1131" spans="1:3" x14ac:dyDescent="0.3">
      <c r="A1131" t="s">
        <v>3180</v>
      </c>
      <c r="B1131" s="2" t="s">
        <v>2929</v>
      </c>
      <c r="C1131" s="2" t="s">
        <v>2929</v>
      </c>
    </row>
    <row r="1132" spans="1:3" x14ac:dyDescent="0.3">
      <c r="A1132" t="s">
        <v>3181</v>
      </c>
      <c r="B1132" s="2" t="s">
        <v>2929</v>
      </c>
      <c r="C1132" s="2" t="s">
        <v>2929</v>
      </c>
    </row>
    <row r="1133" spans="1:3" x14ac:dyDescent="0.3">
      <c r="A1133" t="s">
        <v>3182</v>
      </c>
      <c r="B1133" s="2" t="s">
        <v>2929</v>
      </c>
      <c r="C1133" s="2" t="s">
        <v>2929</v>
      </c>
    </row>
    <row r="1134" spans="1:3" x14ac:dyDescent="0.3">
      <c r="A1134" t="s">
        <v>3183</v>
      </c>
      <c r="B1134" s="2" t="s">
        <v>2929</v>
      </c>
      <c r="C1134" s="2" t="s">
        <v>2929</v>
      </c>
    </row>
    <row r="1135" spans="1:3" x14ac:dyDescent="0.3">
      <c r="A1135" t="s">
        <v>3184</v>
      </c>
      <c r="B1135" s="2" t="s">
        <v>2929</v>
      </c>
      <c r="C1135" s="2" t="s">
        <v>2929</v>
      </c>
    </row>
    <row r="1136" spans="1:3" x14ac:dyDescent="0.3">
      <c r="A1136" t="s">
        <v>3185</v>
      </c>
      <c r="B1136" s="2" t="s">
        <v>2929</v>
      </c>
      <c r="C1136" s="2" t="s">
        <v>2929</v>
      </c>
    </row>
    <row r="1137" spans="1:3" x14ac:dyDescent="0.3">
      <c r="A1137" t="s">
        <v>3186</v>
      </c>
      <c r="B1137" s="2" t="s">
        <v>2929</v>
      </c>
      <c r="C1137" s="2" t="s">
        <v>2929</v>
      </c>
    </row>
    <row r="1138" spans="1:3" x14ac:dyDescent="0.3">
      <c r="A1138" t="s">
        <v>3187</v>
      </c>
      <c r="B1138" s="2" t="s">
        <v>2929</v>
      </c>
      <c r="C1138" s="2" t="s">
        <v>2929</v>
      </c>
    </row>
    <row r="1139" spans="1:3" x14ac:dyDescent="0.3">
      <c r="A1139" t="s">
        <v>3188</v>
      </c>
      <c r="B1139" s="2" t="s">
        <v>2929</v>
      </c>
      <c r="C1139" s="2" t="s">
        <v>2929</v>
      </c>
    </row>
    <row r="1140" spans="1:3" x14ac:dyDescent="0.3">
      <c r="A1140" t="s">
        <v>3189</v>
      </c>
      <c r="B1140" s="2" t="s">
        <v>2929</v>
      </c>
      <c r="C1140" s="2" t="s">
        <v>2929</v>
      </c>
    </row>
    <row r="1141" spans="1:3" x14ac:dyDescent="0.3">
      <c r="A1141" t="s">
        <v>3190</v>
      </c>
      <c r="B1141" s="2" t="s">
        <v>2929</v>
      </c>
      <c r="C1141" s="2" t="s">
        <v>2929</v>
      </c>
    </row>
    <row r="1142" spans="1:3" x14ac:dyDescent="0.3">
      <c r="A1142" t="s">
        <v>3191</v>
      </c>
      <c r="B1142" s="2" t="s">
        <v>2929</v>
      </c>
      <c r="C1142" s="2" t="s">
        <v>2929</v>
      </c>
    </row>
    <row r="1143" spans="1:3" x14ac:dyDescent="0.3">
      <c r="A1143" t="s">
        <v>3192</v>
      </c>
      <c r="B1143" s="2" t="s">
        <v>2929</v>
      </c>
      <c r="C1143" s="2" t="s">
        <v>2929</v>
      </c>
    </row>
    <row r="1144" spans="1:3" x14ac:dyDescent="0.3">
      <c r="A1144" t="s">
        <v>3193</v>
      </c>
      <c r="B1144" s="2" t="s">
        <v>2929</v>
      </c>
      <c r="C1144" s="2" t="s">
        <v>2929</v>
      </c>
    </row>
    <row r="1145" spans="1:3" x14ac:dyDescent="0.3">
      <c r="A1145" t="s">
        <v>3194</v>
      </c>
      <c r="B1145" s="2" t="s">
        <v>2929</v>
      </c>
      <c r="C1145" s="2" t="s">
        <v>2929</v>
      </c>
    </row>
    <row r="1146" spans="1:3" x14ac:dyDescent="0.3">
      <c r="A1146" t="s">
        <v>3195</v>
      </c>
      <c r="B1146" s="2" t="s">
        <v>2929</v>
      </c>
      <c r="C1146" s="2" t="s">
        <v>2929</v>
      </c>
    </row>
    <row r="1147" spans="1:3" x14ac:dyDescent="0.3">
      <c r="A1147" t="s">
        <v>3196</v>
      </c>
      <c r="B1147" s="2" t="s">
        <v>2929</v>
      </c>
      <c r="C1147" s="2" t="s">
        <v>2929</v>
      </c>
    </row>
    <row r="1148" spans="1:3" x14ac:dyDescent="0.3">
      <c r="A1148" t="s">
        <v>3197</v>
      </c>
      <c r="B1148" s="2" t="s">
        <v>2929</v>
      </c>
      <c r="C1148" s="2" t="s">
        <v>2929</v>
      </c>
    </row>
    <row r="1149" spans="1:3" x14ac:dyDescent="0.3">
      <c r="A1149" t="s">
        <v>3198</v>
      </c>
      <c r="B1149" s="2" t="s">
        <v>2929</v>
      </c>
      <c r="C1149" s="2" t="s">
        <v>2929</v>
      </c>
    </row>
    <row r="1150" spans="1:3" x14ac:dyDescent="0.3">
      <c r="A1150" t="s">
        <v>3199</v>
      </c>
      <c r="B1150" s="2" t="s">
        <v>2929</v>
      </c>
      <c r="C1150" s="2" t="s">
        <v>2929</v>
      </c>
    </row>
    <row r="1151" spans="1:3" x14ac:dyDescent="0.3">
      <c r="A1151" t="s">
        <v>3200</v>
      </c>
      <c r="B1151" s="2" t="s">
        <v>2929</v>
      </c>
      <c r="C1151" s="2" t="s">
        <v>2929</v>
      </c>
    </row>
    <row r="1152" spans="1:3" x14ac:dyDescent="0.3">
      <c r="A1152" t="s">
        <v>3201</v>
      </c>
      <c r="B1152" s="2" t="s">
        <v>2929</v>
      </c>
      <c r="C1152" s="2" t="s">
        <v>2929</v>
      </c>
    </row>
    <row r="1153" spans="1:3" x14ac:dyDescent="0.3">
      <c r="A1153" t="s">
        <v>3202</v>
      </c>
      <c r="B1153" s="2" t="s">
        <v>2929</v>
      </c>
      <c r="C1153" s="2" t="s">
        <v>2929</v>
      </c>
    </row>
    <row r="1154" spans="1:3" x14ac:dyDescent="0.3">
      <c r="A1154" t="s">
        <v>3203</v>
      </c>
      <c r="B1154" s="2" t="s">
        <v>2929</v>
      </c>
      <c r="C1154" s="2" t="s">
        <v>2929</v>
      </c>
    </row>
    <row r="1155" spans="1:3" x14ac:dyDescent="0.3">
      <c r="A1155" t="s">
        <v>3204</v>
      </c>
      <c r="B1155" s="2" t="s">
        <v>2342</v>
      </c>
      <c r="C1155" s="2" t="s">
        <v>2342</v>
      </c>
    </row>
    <row r="1156" spans="1:3" x14ac:dyDescent="0.3">
      <c r="A1156" t="s">
        <v>3205</v>
      </c>
      <c r="B1156" s="2" t="s">
        <v>2342</v>
      </c>
      <c r="C1156" s="2" t="s">
        <v>2342</v>
      </c>
    </row>
    <row r="1157" spans="1:3" x14ac:dyDescent="0.3">
      <c r="A1157" t="s">
        <v>3206</v>
      </c>
      <c r="B1157" s="2" t="s">
        <v>2342</v>
      </c>
      <c r="C1157" s="2" t="s">
        <v>2342</v>
      </c>
    </row>
    <row r="1158" spans="1:3" x14ac:dyDescent="0.3">
      <c r="A1158" t="s">
        <v>3207</v>
      </c>
      <c r="B1158" s="2" t="s">
        <v>2342</v>
      </c>
      <c r="C1158" s="2" t="s">
        <v>2342</v>
      </c>
    </row>
    <row r="1159" spans="1:3" x14ac:dyDescent="0.3">
      <c r="A1159" t="s">
        <v>3208</v>
      </c>
      <c r="B1159" s="2" t="s">
        <v>2342</v>
      </c>
      <c r="C1159" s="2" t="s">
        <v>2342</v>
      </c>
    </row>
    <row r="1160" spans="1:3" x14ac:dyDescent="0.3">
      <c r="A1160" t="s">
        <v>3209</v>
      </c>
      <c r="B1160" s="2" t="s">
        <v>2342</v>
      </c>
      <c r="C1160" s="2" t="s">
        <v>2342</v>
      </c>
    </row>
    <row r="1161" spans="1:3" x14ac:dyDescent="0.3">
      <c r="A1161" t="s">
        <v>3210</v>
      </c>
      <c r="B1161" s="2" t="s">
        <v>2342</v>
      </c>
      <c r="C1161" s="2" t="s">
        <v>2342</v>
      </c>
    </row>
    <row r="1162" spans="1:3" x14ac:dyDescent="0.3">
      <c r="A1162" t="s">
        <v>3211</v>
      </c>
      <c r="B1162" s="2" t="s">
        <v>2342</v>
      </c>
      <c r="C1162" s="2" t="s">
        <v>2342</v>
      </c>
    </row>
    <row r="1163" spans="1:3" x14ac:dyDescent="0.3">
      <c r="A1163" t="s">
        <v>3212</v>
      </c>
      <c r="B1163" s="2" t="s">
        <v>2342</v>
      </c>
      <c r="C1163" s="2" t="s">
        <v>2342</v>
      </c>
    </row>
    <row r="1164" spans="1:3" x14ac:dyDescent="0.3">
      <c r="A1164" t="s">
        <v>3213</v>
      </c>
      <c r="B1164" s="2" t="s">
        <v>2342</v>
      </c>
      <c r="C1164" s="2" t="s">
        <v>2342</v>
      </c>
    </row>
    <row r="1165" spans="1:3" x14ac:dyDescent="0.3">
      <c r="A1165" t="s">
        <v>3214</v>
      </c>
      <c r="B1165" s="2" t="s">
        <v>2342</v>
      </c>
      <c r="C1165" s="2" t="s">
        <v>2342</v>
      </c>
    </row>
    <row r="1166" spans="1:3" x14ac:dyDescent="0.3">
      <c r="A1166" t="s">
        <v>3215</v>
      </c>
      <c r="B1166" s="2" t="s">
        <v>2342</v>
      </c>
      <c r="C1166" s="2" t="s">
        <v>2342</v>
      </c>
    </row>
    <row r="1167" spans="1:3" x14ac:dyDescent="0.3">
      <c r="A1167" t="s">
        <v>3216</v>
      </c>
      <c r="B1167" s="2" t="s">
        <v>2342</v>
      </c>
      <c r="C1167" s="2" t="s">
        <v>2342</v>
      </c>
    </row>
    <row r="1168" spans="1:3" x14ac:dyDescent="0.3">
      <c r="A1168" t="s">
        <v>3217</v>
      </c>
      <c r="B1168" s="2" t="s">
        <v>2342</v>
      </c>
      <c r="C1168" s="2" t="s">
        <v>2342</v>
      </c>
    </row>
    <row r="1169" spans="1:3" x14ac:dyDescent="0.3">
      <c r="A1169" t="s">
        <v>3218</v>
      </c>
      <c r="B1169" s="2" t="s">
        <v>2342</v>
      </c>
      <c r="C1169" s="2" t="s">
        <v>2342</v>
      </c>
    </row>
    <row r="1170" spans="1:3" x14ac:dyDescent="0.3">
      <c r="A1170" t="s">
        <v>3219</v>
      </c>
      <c r="B1170" s="2" t="s">
        <v>2342</v>
      </c>
      <c r="C1170" s="2" t="s">
        <v>2342</v>
      </c>
    </row>
    <row r="1171" spans="1:3" x14ac:dyDescent="0.3">
      <c r="A1171" t="s">
        <v>3220</v>
      </c>
      <c r="B1171" s="2" t="s">
        <v>2342</v>
      </c>
      <c r="C1171" s="2" t="s">
        <v>2342</v>
      </c>
    </row>
    <row r="1172" spans="1:3" x14ac:dyDescent="0.3">
      <c r="A1172" t="s">
        <v>3221</v>
      </c>
      <c r="B1172" s="2" t="s">
        <v>2342</v>
      </c>
      <c r="C1172" s="2" t="s">
        <v>2342</v>
      </c>
    </row>
    <row r="1173" spans="1:3" x14ac:dyDescent="0.3">
      <c r="A1173" t="s">
        <v>3222</v>
      </c>
      <c r="B1173" s="2" t="s">
        <v>2342</v>
      </c>
      <c r="C1173" s="2" t="s">
        <v>2342</v>
      </c>
    </row>
    <row r="1174" spans="1:3" x14ac:dyDescent="0.3">
      <c r="A1174" t="s">
        <v>3223</v>
      </c>
      <c r="B1174" s="2" t="s">
        <v>2342</v>
      </c>
      <c r="C1174" s="2" t="s">
        <v>2342</v>
      </c>
    </row>
    <row r="1175" spans="1:3" x14ac:dyDescent="0.3">
      <c r="A1175" t="s">
        <v>3224</v>
      </c>
      <c r="B1175" s="2" t="s">
        <v>2342</v>
      </c>
      <c r="C1175" s="2" t="s">
        <v>2342</v>
      </c>
    </row>
    <row r="1176" spans="1:3" x14ac:dyDescent="0.3">
      <c r="A1176" t="s">
        <v>3225</v>
      </c>
      <c r="B1176" s="2" t="s">
        <v>2342</v>
      </c>
      <c r="C1176" s="2" t="s">
        <v>2342</v>
      </c>
    </row>
    <row r="1177" spans="1:3" x14ac:dyDescent="0.3">
      <c r="A1177" t="s">
        <v>3226</v>
      </c>
      <c r="B1177" s="2" t="s">
        <v>2342</v>
      </c>
      <c r="C1177" s="2" t="s">
        <v>2342</v>
      </c>
    </row>
    <row r="1178" spans="1:3" x14ac:dyDescent="0.3">
      <c r="A1178" t="s">
        <v>3227</v>
      </c>
      <c r="B1178" s="2" t="s">
        <v>2342</v>
      </c>
      <c r="C1178" s="2" t="s">
        <v>2342</v>
      </c>
    </row>
    <row r="1179" spans="1:3" x14ac:dyDescent="0.3">
      <c r="A1179" t="s">
        <v>3228</v>
      </c>
      <c r="B1179" s="2" t="s">
        <v>2342</v>
      </c>
      <c r="C1179" s="2" t="s">
        <v>2342</v>
      </c>
    </row>
    <row r="1180" spans="1:3" x14ac:dyDescent="0.3">
      <c r="A1180" t="s">
        <v>3229</v>
      </c>
      <c r="B1180" s="2" t="s">
        <v>2342</v>
      </c>
      <c r="C1180" s="2" t="s">
        <v>2342</v>
      </c>
    </row>
    <row r="1181" spans="1:3" x14ac:dyDescent="0.3">
      <c r="A1181" t="s">
        <v>3230</v>
      </c>
      <c r="B1181" s="2" t="s">
        <v>2342</v>
      </c>
      <c r="C1181" s="2" t="s">
        <v>2342</v>
      </c>
    </row>
    <row r="1182" spans="1:3" x14ac:dyDescent="0.3">
      <c r="A1182" t="s">
        <v>3231</v>
      </c>
      <c r="B1182" s="2" t="s">
        <v>2342</v>
      </c>
      <c r="C1182" s="2" t="s">
        <v>2342</v>
      </c>
    </row>
    <row r="1183" spans="1:3" x14ac:dyDescent="0.3">
      <c r="A1183" t="s">
        <v>3232</v>
      </c>
      <c r="B1183" s="2" t="s">
        <v>2342</v>
      </c>
      <c r="C1183" s="2" t="s">
        <v>2342</v>
      </c>
    </row>
    <row r="1184" spans="1:3" x14ac:dyDescent="0.3">
      <c r="A1184" t="s">
        <v>3233</v>
      </c>
      <c r="B1184" s="2" t="s">
        <v>2342</v>
      </c>
      <c r="C1184" s="2" t="s">
        <v>2342</v>
      </c>
    </row>
    <row r="1185" spans="1:3" x14ac:dyDescent="0.3">
      <c r="A1185" t="s">
        <v>3234</v>
      </c>
      <c r="B1185" s="2" t="s">
        <v>2342</v>
      </c>
      <c r="C1185" s="2" t="s">
        <v>2342</v>
      </c>
    </row>
    <row r="1186" spans="1:3" x14ac:dyDescent="0.3">
      <c r="A1186" t="s">
        <v>3235</v>
      </c>
      <c r="B1186" s="2" t="s">
        <v>2342</v>
      </c>
      <c r="C1186" s="2" t="s">
        <v>2342</v>
      </c>
    </row>
    <row r="1187" spans="1:3" x14ac:dyDescent="0.3">
      <c r="A1187" t="s">
        <v>3236</v>
      </c>
      <c r="B1187" s="2" t="s">
        <v>2342</v>
      </c>
      <c r="C1187" s="2" t="s">
        <v>2342</v>
      </c>
    </row>
    <row r="1188" spans="1:3" x14ac:dyDescent="0.3">
      <c r="A1188" t="s">
        <v>3237</v>
      </c>
      <c r="B1188" s="2" t="s">
        <v>2342</v>
      </c>
      <c r="C1188" s="2" t="s">
        <v>2342</v>
      </c>
    </row>
    <row r="1189" spans="1:3" x14ac:dyDescent="0.3">
      <c r="A1189" t="s">
        <v>3238</v>
      </c>
      <c r="B1189" s="2" t="s">
        <v>2342</v>
      </c>
      <c r="C1189" s="2" t="s">
        <v>2342</v>
      </c>
    </row>
    <row r="1190" spans="1:3" x14ac:dyDescent="0.3">
      <c r="A1190" t="s">
        <v>3239</v>
      </c>
      <c r="B1190" s="2" t="s">
        <v>2342</v>
      </c>
      <c r="C1190" s="2" t="s">
        <v>2342</v>
      </c>
    </row>
    <row r="1191" spans="1:3" x14ac:dyDescent="0.3">
      <c r="A1191" t="s">
        <v>3240</v>
      </c>
      <c r="B1191" s="2" t="s">
        <v>2342</v>
      </c>
      <c r="C1191" s="2" t="s">
        <v>2342</v>
      </c>
    </row>
    <row r="1192" spans="1:3" x14ac:dyDescent="0.3">
      <c r="A1192" t="s">
        <v>3241</v>
      </c>
      <c r="B1192" s="2" t="s">
        <v>2342</v>
      </c>
      <c r="C1192" s="2" t="s">
        <v>2342</v>
      </c>
    </row>
    <row r="1193" spans="1:3" x14ac:dyDescent="0.3">
      <c r="A1193" t="s">
        <v>3242</v>
      </c>
      <c r="B1193" s="2" t="s">
        <v>2342</v>
      </c>
      <c r="C1193" s="2" t="s">
        <v>2342</v>
      </c>
    </row>
    <row r="1194" spans="1:3" x14ac:dyDescent="0.3">
      <c r="A1194" t="s">
        <v>3243</v>
      </c>
      <c r="B1194" s="2" t="s">
        <v>2342</v>
      </c>
      <c r="C1194" s="2" t="s">
        <v>2342</v>
      </c>
    </row>
    <row r="1195" spans="1:3" x14ac:dyDescent="0.3">
      <c r="A1195" t="s">
        <v>3244</v>
      </c>
      <c r="B1195" s="2" t="s">
        <v>2342</v>
      </c>
      <c r="C1195" s="2" t="s">
        <v>2342</v>
      </c>
    </row>
    <row r="1196" spans="1:3" x14ac:dyDescent="0.3">
      <c r="A1196" t="s">
        <v>3245</v>
      </c>
      <c r="B1196" s="2" t="s">
        <v>2342</v>
      </c>
      <c r="C1196" s="2" t="s">
        <v>2342</v>
      </c>
    </row>
    <row r="1197" spans="1:3" x14ac:dyDescent="0.3">
      <c r="A1197" t="s">
        <v>3246</v>
      </c>
      <c r="B1197" s="2" t="s">
        <v>2342</v>
      </c>
      <c r="C1197" s="2" t="s">
        <v>2342</v>
      </c>
    </row>
    <row r="1198" spans="1:3" x14ac:dyDescent="0.3">
      <c r="A1198" t="s">
        <v>3247</v>
      </c>
      <c r="B1198" s="2" t="s">
        <v>2342</v>
      </c>
      <c r="C1198" s="2" t="s">
        <v>2342</v>
      </c>
    </row>
    <row r="1199" spans="1:3" x14ac:dyDescent="0.3">
      <c r="A1199" t="s">
        <v>3248</v>
      </c>
      <c r="B1199" s="2" t="s">
        <v>2342</v>
      </c>
      <c r="C1199" s="2" t="s">
        <v>2342</v>
      </c>
    </row>
    <row r="1200" spans="1:3" x14ac:dyDescent="0.3">
      <c r="A1200" t="s">
        <v>3249</v>
      </c>
      <c r="B1200" s="2" t="s">
        <v>2342</v>
      </c>
      <c r="C1200" s="2" t="s">
        <v>2342</v>
      </c>
    </row>
    <row r="1201" spans="1:3" x14ac:dyDescent="0.3">
      <c r="A1201" t="s">
        <v>3250</v>
      </c>
      <c r="B1201" s="2" t="s">
        <v>2342</v>
      </c>
      <c r="C1201" s="2" t="s">
        <v>2342</v>
      </c>
    </row>
    <row r="1202" spans="1:3" x14ac:dyDescent="0.3">
      <c r="A1202" t="s">
        <v>3251</v>
      </c>
      <c r="B1202" s="2" t="s">
        <v>2342</v>
      </c>
      <c r="C1202" s="2" t="s">
        <v>2342</v>
      </c>
    </row>
    <row r="1203" spans="1:3" x14ac:dyDescent="0.3">
      <c r="A1203" t="s">
        <v>3252</v>
      </c>
      <c r="B1203" s="2" t="s">
        <v>2342</v>
      </c>
      <c r="C1203" s="2" t="s">
        <v>2342</v>
      </c>
    </row>
    <row r="1204" spans="1:3" x14ac:dyDescent="0.3">
      <c r="A1204" t="s">
        <v>3253</v>
      </c>
      <c r="B1204" s="2" t="s">
        <v>2342</v>
      </c>
      <c r="C1204" s="2" t="s">
        <v>2342</v>
      </c>
    </row>
    <row r="1205" spans="1:3" x14ac:dyDescent="0.3">
      <c r="A1205" t="s">
        <v>3254</v>
      </c>
      <c r="B1205" s="2" t="s">
        <v>2342</v>
      </c>
      <c r="C1205" s="2" t="s">
        <v>2342</v>
      </c>
    </row>
    <row r="1206" spans="1:3" x14ac:dyDescent="0.3">
      <c r="A1206" t="s">
        <v>3255</v>
      </c>
      <c r="B1206" s="2" t="s">
        <v>2342</v>
      </c>
      <c r="C1206" s="2" t="s">
        <v>2342</v>
      </c>
    </row>
    <row r="1207" spans="1:3" x14ac:dyDescent="0.3">
      <c r="A1207" t="s">
        <v>3256</v>
      </c>
      <c r="B1207" s="2" t="s">
        <v>2342</v>
      </c>
      <c r="C1207" s="2" t="s">
        <v>2342</v>
      </c>
    </row>
    <row r="1208" spans="1:3" x14ac:dyDescent="0.3">
      <c r="A1208" t="s">
        <v>3257</v>
      </c>
      <c r="B1208" s="2" t="s">
        <v>2342</v>
      </c>
      <c r="C1208" s="2" t="s">
        <v>2342</v>
      </c>
    </row>
    <row r="1209" spans="1:3" x14ac:dyDescent="0.3">
      <c r="A1209" t="s">
        <v>3258</v>
      </c>
      <c r="B1209" s="2" t="s">
        <v>2342</v>
      </c>
      <c r="C1209" s="2" t="s">
        <v>2342</v>
      </c>
    </row>
    <row r="1210" spans="1:3" x14ac:dyDescent="0.3">
      <c r="A1210" t="s">
        <v>3259</v>
      </c>
      <c r="B1210" s="2" t="s">
        <v>2342</v>
      </c>
      <c r="C1210" s="2" t="s">
        <v>2342</v>
      </c>
    </row>
    <row r="1211" spans="1:3" x14ac:dyDescent="0.3">
      <c r="A1211" t="s">
        <v>3260</v>
      </c>
      <c r="B1211" s="2" t="s">
        <v>2342</v>
      </c>
      <c r="C1211" s="2" t="s">
        <v>2342</v>
      </c>
    </row>
    <row r="1212" spans="1:3" x14ac:dyDescent="0.3">
      <c r="A1212" t="s">
        <v>3261</v>
      </c>
      <c r="B1212" s="2" t="s">
        <v>2342</v>
      </c>
      <c r="C1212" s="2" t="s">
        <v>2342</v>
      </c>
    </row>
    <row r="1213" spans="1:3" x14ac:dyDescent="0.3">
      <c r="A1213" t="s">
        <v>3262</v>
      </c>
      <c r="B1213" s="2" t="s">
        <v>2342</v>
      </c>
      <c r="C1213" s="2" t="s">
        <v>2342</v>
      </c>
    </row>
    <row r="1214" spans="1:3" x14ac:dyDescent="0.3">
      <c r="A1214" t="s">
        <v>3263</v>
      </c>
      <c r="B1214" s="2" t="s">
        <v>2342</v>
      </c>
      <c r="C1214" s="2" t="s">
        <v>2342</v>
      </c>
    </row>
    <row r="1215" spans="1:3" x14ac:dyDescent="0.3">
      <c r="A1215" t="s">
        <v>3264</v>
      </c>
      <c r="B1215" s="2" t="s">
        <v>2342</v>
      </c>
      <c r="C1215" s="2" t="s">
        <v>2342</v>
      </c>
    </row>
    <row r="1216" spans="1:3" x14ac:dyDescent="0.3">
      <c r="A1216" t="s">
        <v>3265</v>
      </c>
      <c r="B1216" s="2" t="s">
        <v>2342</v>
      </c>
      <c r="C1216" s="2" t="s">
        <v>2342</v>
      </c>
    </row>
    <row r="1217" spans="1:3" x14ac:dyDescent="0.3">
      <c r="A1217" t="s">
        <v>3266</v>
      </c>
      <c r="B1217" s="2" t="s">
        <v>2342</v>
      </c>
      <c r="C1217" s="2" t="s">
        <v>2342</v>
      </c>
    </row>
    <row r="1218" spans="1:3" x14ac:dyDescent="0.3">
      <c r="A1218" t="s">
        <v>3267</v>
      </c>
      <c r="B1218" s="2" t="s">
        <v>2342</v>
      </c>
      <c r="C1218" s="2" t="s">
        <v>2342</v>
      </c>
    </row>
    <row r="1219" spans="1:3" x14ac:dyDescent="0.3">
      <c r="A1219" t="s">
        <v>3268</v>
      </c>
      <c r="B1219" s="2" t="s">
        <v>2342</v>
      </c>
      <c r="C1219" s="2" t="s">
        <v>2342</v>
      </c>
    </row>
    <row r="1220" spans="1:3" x14ac:dyDescent="0.3">
      <c r="A1220" t="s">
        <v>3269</v>
      </c>
      <c r="B1220" s="2" t="s">
        <v>2342</v>
      </c>
      <c r="C1220" s="2" t="s">
        <v>2342</v>
      </c>
    </row>
    <row r="1221" spans="1:3" x14ac:dyDescent="0.3">
      <c r="A1221" t="s">
        <v>3270</v>
      </c>
      <c r="B1221" s="2" t="s">
        <v>2342</v>
      </c>
      <c r="C1221" s="2" t="s">
        <v>2342</v>
      </c>
    </row>
    <row r="1222" spans="1:3" x14ac:dyDescent="0.3">
      <c r="A1222" t="s">
        <v>3271</v>
      </c>
      <c r="B1222" s="2" t="s">
        <v>2342</v>
      </c>
      <c r="C1222" s="2" t="s">
        <v>2342</v>
      </c>
    </row>
    <row r="1223" spans="1:3" x14ac:dyDescent="0.3">
      <c r="A1223" t="s">
        <v>3272</v>
      </c>
      <c r="B1223" s="2" t="s">
        <v>2342</v>
      </c>
      <c r="C1223" s="2" t="s">
        <v>2342</v>
      </c>
    </row>
    <row r="1224" spans="1:3" x14ac:dyDescent="0.3">
      <c r="A1224" t="s">
        <v>3273</v>
      </c>
      <c r="B1224" s="2" t="s">
        <v>2342</v>
      </c>
      <c r="C1224" s="2" t="s">
        <v>2342</v>
      </c>
    </row>
    <row r="1225" spans="1:3" x14ac:dyDescent="0.3">
      <c r="A1225" t="s">
        <v>3274</v>
      </c>
      <c r="B1225" s="2" t="s">
        <v>2342</v>
      </c>
      <c r="C1225" s="2" t="s">
        <v>2342</v>
      </c>
    </row>
    <row r="1226" spans="1:3" x14ac:dyDescent="0.3">
      <c r="A1226" t="s">
        <v>3275</v>
      </c>
      <c r="B1226" s="2" t="s">
        <v>2342</v>
      </c>
      <c r="C1226" s="2" t="s">
        <v>2342</v>
      </c>
    </row>
    <row r="1227" spans="1:3" x14ac:dyDescent="0.3">
      <c r="A1227" t="s">
        <v>3276</v>
      </c>
      <c r="B1227" s="2" t="s">
        <v>2342</v>
      </c>
      <c r="C1227" s="2" t="s">
        <v>2342</v>
      </c>
    </row>
    <row r="1228" spans="1:3" x14ac:dyDescent="0.3">
      <c r="A1228" t="s">
        <v>3277</v>
      </c>
      <c r="B1228" s="2" t="s">
        <v>2342</v>
      </c>
      <c r="C1228" s="2" t="s">
        <v>2342</v>
      </c>
    </row>
    <row r="1229" spans="1:3" x14ac:dyDescent="0.3">
      <c r="A1229" t="s">
        <v>3278</v>
      </c>
      <c r="B1229" s="2" t="s">
        <v>2342</v>
      </c>
      <c r="C1229" s="2" t="s">
        <v>2342</v>
      </c>
    </row>
    <row r="1230" spans="1:3" x14ac:dyDescent="0.3">
      <c r="A1230" t="s">
        <v>3279</v>
      </c>
      <c r="B1230" s="2" t="s">
        <v>2342</v>
      </c>
      <c r="C1230" s="2" t="s">
        <v>2342</v>
      </c>
    </row>
  </sheetData>
  <mergeCells count="2">
    <mergeCell ref="A1:D1"/>
    <mergeCell ref="H6:I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FB2314"/>
  <sheetViews>
    <sheetView tabSelected="1" topLeftCell="E5" zoomScale="85" zoomScaleNormal="85" workbookViewId="0">
      <selection activeCell="J495" sqref="J495"/>
    </sheetView>
  </sheetViews>
  <sheetFormatPr defaultColWidth="8.6640625" defaultRowHeight="14.4" outlineLevelRow="1" x14ac:dyDescent="0.3"/>
  <cols>
    <col min="1" max="1" width="32.5546875" bestFit="1" customWidth="1"/>
    <col min="2" max="2" width="18.109375" bestFit="1" customWidth="1"/>
    <col min="3" max="3" width="13" customWidth="1"/>
    <col min="4" max="4" width="71.5546875" bestFit="1" customWidth="1"/>
    <col min="5" max="5" width="68.109375" bestFit="1" customWidth="1"/>
    <col min="6" max="6" width="67.6640625" customWidth="1"/>
    <col min="7" max="7" width="20.21875" bestFit="1" customWidth="1"/>
    <col min="8" max="8" width="60.44140625" bestFit="1" customWidth="1"/>
    <col min="9" max="9" width="22.33203125" bestFit="1" customWidth="1"/>
    <col min="10" max="10" width="57.33203125" bestFit="1" customWidth="1"/>
    <col min="11" max="11" width="26" customWidth="1"/>
  </cols>
  <sheetData>
    <row r="1" spans="1:11" ht="19.2" customHeight="1" x14ac:dyDescent="0.3">
      <c r="A1" s="27" t="s">
        <v>0</v>
      </c>
      <c r="B1" s="28"/>
      <c r="C1" s="28"/>
      <c r="D1" s="28"/>
    </row>
    <row r="2" spans="1:11" ht="30" customHeight="1" x14ac:dyDescent="0.3">
      <c r="A2" s="12" t="s">
        <v>1</v>
      </c>
      <c r="B2" s="1" t="s">
        <v>2</v>
      </c>
      <c r="C2" s="1" t="s">
        <v>3</v>
      </c>
      <c r="D2" s="11" t="s">
        <v>4</v>
      </c>
      <c r="H2" s="11" t="s">
        <v>6792</v>
      </c>
      <c r="J2" s="11" t="s">
        <v>6793</v>
      </c>
      <c r="K2" s="11" t="s">
        <v>6794</v>
      </c>
    </row>
    <row r="3" spans="1:11" x14ac:dyDescent="0.3">
      <c r="A3" s="29" t="s">
        <v>770</v>
      </c>
      <c r="B3" s="28"/>
      <c r="C3" s="28"/>
      <c r="D3" s="28"/>
    </row>
    <row r="4" spans="1:11" outlineLevel="1" x14ac:dyDescent="0.3">
      <c r="A4" t="s">
        <v>771</v>
      </c>
      <c r="B4" t="s">
        <v>6</v>
      </c>
      <c r="C4" s="13" t="s">
        <v>7</v>
      </c>
      <c r="D4" t="s">
        <v>772</v>
      </c>
      <c r="E4" t="s">
        <v>6263</v>
      </c>
    </row>
    <row r="5" spans="1:11" outlineLevel="1" x14ac:dyDescent="0.3">
      <c r="A5" t="s">
        <v>773</v>
      </c>
      <c r="B5" t="s">
        <v>6</v>
      </c>
      <c r="C5" s="13" t="s">
        <v>7</v>
      </c>
      <c r="D5" t="s">
        <v>774</v>
      </c>
      <c r="E5" t="s">
        <v>6076</v>
      </c>
    </row>
    <row r="6" spans="1:11" outlineLevel="1" x14ac:dyDescent="0.3">
      <c r="A6" t="s">
        <v>775</v>
      </c>
      <c r="B6" t="s">
        <v>6</v>
      </c>
      <c r="C6" s="13" t="s">
        <v>7</v>
      </c>
      <c r="D6" t="s">
        <v>776</v>
      </c>
      <c r="E6" t="s">
        <v>6084</v>
      </c>
    </row>
    <row r="7" spans="1:11" outlineLevel="1" x14ac:dyDescent="0.3">
      <c r="A7" t="s">
        <v>777</v>
      </c>
      <c r="B7" t="s">
        <v>6</v>
      </c>
      <c r="C7" s="13" t="s">
        <v>7</v>
      </c>
      <c r="D7" t="s">
        <v>778</v>
      </c>
      <c r="E7" t="s">
        <v>6155</v>
      </c>
    </row>
    <row r="8" spans="1:11" outlineLevel="1" x14ac:dyDescent="0.3">
      <c r="A8" t="s">
        <v>779</v>
      </c>
      <c r="B8" t="s">
        <v>6</v>
      </c>
      <c r="C8" s="13" t="s">
        <v>7</v>
      </c>
      <c r="D8" t="s">
        <v>772</v>
      </c>
      <c r="E8" t="s">
        <v>6263</v>
      </c>
    </row>
    <row r="9" spans="1:11" outlineLevel="1" x14ac:dyDescent="0.3">
      <c r="A9" t="s">
        <v>780</v>
      </c>
      <c r="B9" t="s">
        <v>6</v>
      </c>
      <c r="C9" s="13" t="s">
        <v>7</v>
      </c>
      <c r="D9" t="s">
        <v>772</v>
      </c>
      <c r="E9" t="s">
        <v>6263</v>
      </c>
    </row>
    <row r="10" spans="1:11" outlineLevel="1" x14ac:dyDescent="0.3">
      <c r="A10" t="s">
        <v>781</v>
      </c>
      <c r="B10" t="s">
        <v>6</v>
      </c>
      <c r="C10" s="13" t="s">
        <v>7</v>
      </c>
      <c r="D10" t="s">
        <v>772</v>
      </c>
      <c r="E10" t="s">
        <v>6263</v>
      </c>
    </row>
    <row r="11" spans="1:11" outlineLevel="1" x14ac:dyDescent="0.3">
      <c r="A11" t="s">
        <v>782</v>
      </c>
      <c r="B11" t="s">
        <v>6</v>
      </c>
      <c r="C11" s="13" t="s">
        <v>7</v>
      </c>
      <c r="D11" t="s">
        <v>772</v>
      </c>
      <c r="E11" t="s">
        <v>6263</v>
      </c>
    </row>
    <row r="12" spans="1:11" outlineLevel="1" x14ac:dyDescent="0.3">
      <c r="A12" t="s">
        <v>783</v>
      </c>
      <c r="B12" t="s">
        <v>6</v>
      </c>
      <c r="C12" s="13" t="s">
        <v>7</v>
      </c>
      <c r="D12" t="s">
        <v>778</v>
      </c>
      <c r="E12" t="s">
        <v>6155</v>
      </c>
    </row>
    <row r="13" spans="1:11" outlineLevel="1" x14ac:dyDescent="0.3">
      <c r="A13" t="s">
        <v>784</v>
      </c>
      <c r="B13" t="s">
        <v>6</v>
      </c>
      <c r="C13" s="13" t="s">
        <v>7</v>
      </c>
      <c r="D13" t="s">
        <v>776</v>
      </c>
      <c r="E13" t="s">
        <v>6084</v>
      </c>
    </row>
    <row r="14" spans="1:11" outlineLevel="1" x14ac:dyDescent="0.3">
      <c r="A14" t="s">
        <v>785</v>
      </c>
      <c r="B14" t="s">
        <v>6</v>
      </c>
      <c r="C14" s="13" t="s">
        <v>7</v>
      </c>
      <c r="D14" t="s">
        <v>774</v>
      </c>
      <c r="E14" t="s">
        <v>6076</v>
      </c>
    </row>
    <row r="15" spans="1:11" outlineLevel="1" x14ac:dyDescent="0.3">
      <c r="A15" t="s">
        <v>786</v>
      </c>
      <c r="B15" t="s">
        <v>6</v>
      </c>
      <c r="C15" s="13" t="s">
        <v>7</v>
      </c>
      <c r="D15" t="s">
        <v>774</v>
      </c>
      <c r="E15" t="s">
        <v>6076</v>
      </c>
    </row>
    <row r="16" spans="1:11" outlineLevel="1" x14ac:dyDescent="0.3">
      <c r="A16" t="s">
        <v>787</v>
      </c>
      <c r="B16" t="s">
        <v>6</v>
      </c>
      <c r="C16" s="13" t="s">
        <v>7</v>
      </c>
      <c r="D16" t="s">
        <v>776</v>
      </c>
      <c r="E16" t="s">
        <v>6084</v>
      </c>
    </row>
    <row r="17" spans="1:11" outlineLevel="1" x14ac:dyDescent="0.3">
      <c r="A17" t="s">
        <v>788</v>
      </c>
      <c r="B17" t="s">
        <v>6</v>
      </c>
      <c r="C17" s="13" t="s">
        <v>7</v>
      </c>
      <c r="D17" t="s">
        <v>778</v>
      </c>
      <c r="E17" t="s">
        <v>6155</v>
      </c>
    </row>
    <row r="18" spans="1:11" outlineLevel="1" x14ac:dyDescent="0.3">
      <c r="A18" t="s">
        <v>789</v>
      </c>
      <c r="B18" t="s">
        <v>6</v>
      </c>
      <c r="C18" s="13" t="s">
        <v>7</v>
      </c>
      <c r="D18" t="s">
        <v>778</v>
      </c>
      <c r="E18" t="s">
        <v>6155</v>
      </c>
    </row>
    <row r="19" spans="1:11" outlineLevel="1" x14ac:dyDescent="0.3">
      <c r="A19" t="s">
        <v>790</v>
      </c>
      <c r="B19" t="s">
        <v>35</v>
      </c>
      <c r="C19" s="13" t="s">
        <v>7</v>
      </c>
      <c r="D19" s="13" t="s">
        <v>6656</v>
      </c>
      <c r="E19" t="s">
        <v>6590</v>
      </c>
    </row>
    <row r="20" spans="1:11" outlineLevel="1" x14ac:dyDescent="0.3">
      <c r="A20" t="s">
        <v>791</v>
      </c>
      <c r="B20" t="s">
        <v>35</v>
      </c>
      <c r="C20" s="13" t="s">
        <v>9</v>
      </c>
      <c r="D20" s="13" t="s">
        <v>792</v>
      </c>
      <c r="E20" t="s">
        <v>6363</v>
      </c>
    </row>
    <row r="21" spans="1:11" outlineLevel="1" x14ac:dyDescent="0.3">
      <c r="A21" t="s">
        <v>793</v>
      </c>
      <c r="B21" t="s">
        <v>35</v>
      </c>
      <c r="C21" s="13" t="s">
        <v>7</v>
      </c>
      <c r="D21" s="13" t="s">
        <v>794</v>
      </c>
      <c r="E21" t="s">
        <v>6455</v>
      </c>
      <c r="J21" t="s">
        <v>6795</v>
      </c>
      <c r="K21" t="s">
        <v>6796</v>
      </c>
    </row>
    <row r="22" spans="1:11" outlineLevel="1" x14ac:dyDescent="0.3">
      <c r="A22" t="s">
        <v>795</v>
      </c>
      <c r="B22" t="s">
        <v>35</v>
      </c>
      <c r="C22" s="13" t="s">
        <v>9</v>
      </c>
      <c r="D22" s="13" t="s">
        <v>6677</v>
      </c>
      <c r="E22" t="s">
        <v>6687</v>
      </c>
    </row>
    <row r="23" spans="1:11" outlineLevel="1" x14ac:dyDescent="0.3">
      <c r="A23" t="s">
        <v>796</v>
      </c>
      <c r="B23" t="s">
        <v>35</v>
      </c>
      <c r="C23" s="13" t="s">
        <v>9</v>
      </c>
      <c r="D23" s="13" t="s">
        <v>6677</v>
      </c>
      <c r="E23" t="s">
        <v>6687</v>
      </c>
    </row>
    <row r="24" spans="1:11" outlineLevel="1" x14ac:dyDescent="0.3">
      <c r="A24" t="s">
        <v>797</v>
      </c>
      <c r="B24" t="s">
        <v>35</v>
      </c>
      <c r="C24" s="13" t="s">
        <v>9</v>
      </c>
      <c r="D24" s="13" t="s">
        <v>6677</v>
      </c>
      <c r="E24" t="s">
        <v>6687</v>
      </c>
    </row>
    <row r="25" spans="1:11" outlineLevel="1" x14ac:dyDescent="0.3">
      <c r="A25" t="s">
        <v>798</v>
      </c>
      <c r="B25" t="s">
        <v>35</v>
      </c>
      <c r="C25" s="13" t="s">
        <v>9</v>
      </c>
      <c r="D25" s="13" t="s">
        <v>6677</v>
      </c>
      <c r="E25" t="s">
        <v>6687</v>
      </c>
    </row>
    <row r="26" spans="1:11" outlineLevel="1" x14ac:dyDescent="0.3">
      <c r="A26" t="s">
        <v>799</v>
      </c>
      <c r="B26" t="s">
        <v>35</v>
      </c>
      <c r="C26" s="13" t="s">
        <v>9</v>
      </c>
      <c r="D26" s="13" t="s">
        <v>6677</v>
      </c>
      <c r="E26" t="s">
        <v>6687</v>
      </c>
    </row>
    <row r="27" spans="1:11" outlineLevel="1" x14ac:dyDescent="0.3">
      <c r="A27" t="s">
        <v>800</v>
      </c>
      <c r="B27" t="s">
        <v>35</v>
      </c>
      <c r="C27" s="13" t="s">
        <v>9</v>
      </c>
      <c r="D27" s="13" t="s">
        <v>6678</v>
      </c>
      <c r="E27" t="s">
        <v>6688</v>
      </c>
    </row>
    <row r="28" spans="1:11" outlineLevel="1" x14ac:dyDescent="0.3">
      <c r="A28" t="s">
        <v>801</v>
      </c>
      <c r="B28" t="s">
        <v>35</v>
      </c>
      <c r="C28" s="13" t="s">
        <v>9</v>
      </c>
      <c r="D28" s="13" t="s">
        <v>6678</v>
      </c>
      <c r="E28" t="s">
        <v>6688</v>
      </c>
    </row>
    <row r="29" spans="1:11" outlineLevel="1" x14ac:dyDescent="0.3">
      <c r="A29" t="s">
        <v>802</v>
      </c>
      <c r="B29" t="s">
        <v>35</v>
      </c>
      <c r="C29" s="13" t="s">
        <v>9</v>
      </c>
      <c r="D29" s="13" t="s">
        <v>6678</v>
      </c>
      <c r="E29" t="s">
        <v>6688</v>
      </c>
    </row>
    <row r="30" spans="1:11" outlineLevel="1" x14ac:dyDescent="0.3">
      <c r="A30" t="s">
        <v>803</v>
      </c>
      <c r="B30" t="s">
        <v>35</v>
      </c>
      <c r="C30" s="13" t="s">
        <v>9</v>
      </c>
      <c r="D30" s="13" t="s">
        <v>6678</v>
      </c>
      <c r="E30" t="s">
        <v>6688</v>
      </c>
    </row>
    <row r="31" spans="1:11" outlineLevel="1" x14ac:dyDescent="0.3">
      <c r="A31" t="s">
        <v>804</v>
      </c>
      <c r="B31" t="s">
        <v>35</v>
      </c>
      <c r="C31" s="13" t="s">
        <v>9</v>
      </c>
      <c r="D31" s="13" t="s">
        <v>6677</v>
      </c>
      <c r="E31" t="s">
        <v>6687</v>
      </c>
    </row>
    <row r="32" spans="1:11" outlineLevel="1" x14ac:dyDescent="0.3">
      <c r="A32" t="s">
        <v>805</v>
      </c>
      <c r="B32" t="s">
        <v>35</v>
      </c>
      <c r="C32" s="13" t="s">
        <v>9</v>
      </c>
      <c r="D32" s="13" t="s">
        <v>6679</v>
      </c>
      <c r="E32" t="s">
        <v>6689</v>
      </c>
    </row>
    <row r="33" spans="1:5" outlineLevel="1" x14ac:dyDescent="0.3">
      <c r="A33" t="s">
        <v>806</v>
      </c>
      <c r="B33" t="s">
        <v>35</v>
      </c>
      <c r="C33" s="13" t="s">
        <v>9</v>
      </c>
      <c r="D33" s="13" t="s">
        <v>6677</v>
      </c>
      <c r="E33" t="s">
        <v>6687</v>
      </c>
    </row>
    <row r="34" spans="1:5" outlineLevel="1" x14ac:dyDescent="0.3">
      <c r="A34" t="s">
        <v>807</v>
      </c>
      <c r="B34" t="s">
        <v>35</v>
      </c>
      <c r="C34" s="13" t="s">
        <v>9</v>
      </c>
      <c r="D34" s="13" t="s">
        <v>6680</v>
      </c>
      <c r="E34" t="s">
        <v>6690</v>
      </c>
    </row>
    <row r="35" spans="1:5" outlineLevel="1" x14ac:dyDescent="0.3">
      <c r="A35" t="s">
        <v>808</v>
      </c>
      <c r="B35" t="s">
        <v>35</v>
      </c>
      <c r="C35" s="13" t="s">
        <v>9</v>
      </c>
      <c r="D35" s="13" t="s">
        <v>6681</v>
      </c>
      <c r="E35" t="s">
        <v>6689</v>
      </c>
    </row>
    <row r="36" spans="1:5" outlineLevel="1" x14ac:dyDescent="0.3">
      <c r="A36" t="s">
        <v>809</v>
      </c>
      <c r="B36" t="s">
        <v>35</v>
      </c>
      <c r="C36" s="13" t="s">
        <v>9</v>
      </c>
      <c r="D36" s="13" t="s">
        <v>6681</v>
      </c>
      <c r="E36" t="s">
        <v>6689</v>
      </c>
    </row>
    <row r="37" spans="1:5" outlineLevel="1" x14ac:dyDescent="0.3">
      <c r="A37" t="s">
        <v>810</v>
      </c>
      <c r="B37" t="s">
        <v>35</v>
      </c>
      <c r="C37" s="13" t="s">
        <v>9</v>
      </c>
      <c r="D37" s="13" t="s">
        <v>6678</v>
      </c>
      <c r="E37" t="s">
        <v>6688</v>
      </c>
    </row>
    <row r="38" spans="1:5" outlineLevel="1" x14ac:dyDescent="0.3">
      <c r="A38" t="s">
        <v>811</v>
      </c>
      <c r="B38" t="s">
        <v>35</v>
      </c>
      <c r="C38" s="13" t="s">
        <v>9</v>
      </c>
      <c r="D38" s="13" t="s">
        <v>6682</v>
      </c>
      <c r="E38" t="s">
        <v>6691</v>
      </c>
    </row>
    <row r="39" spans="1:5" outlineLevel="1" x14ac:dyDescent="0.3">
      <c r="A39" t="s">
        <v>812</v>
      </c>
      <c r="B39" t="s">
        <v>35</v>
      </c>
      <c r="C39" s="13" t="s">
        <v>9</v>
      </c>
      <c r="D39" s="13" t="s">
        <v>6678</v>
      </c>
      <c r="E39" t="s">
        <v>6688</v>
      </c>
    </row>
    <row r="40" spans="1:5" outlineLevel="1" x14ac:dyDescent="0.3">
      <c r="A40" t="s">
        <v>813</v>
      </c>
      <c r="B40" t="s">
        <v>35</v>
      </c>
      <c r="C40" s="13" t="s">
        <v>9</v>
      </c>
      <c r="D40" s="13" t="s">
        <v>6682</v>
      </c>
      <c r="E40" t="s">
        <v>6691</v>
      </c>
    </row>
    <row r="41" spans="1:5" outlineLevel="1" x14ac:dyDescent="0.3">
      <c r="A41" t="s">
        <v>814</v>
      </c>
      <c r="B41" t="s">
        <v>35</v>
      </c>
      <c r="C41" s="13" t="s">
        <v>9</v>
      </c>
      <c r="D41" s="13" t="s">
        <v>6682</v>
      </c>
      <c r="E41" t="s">
        <v>6691</v>
      </c>
    </row>
    <row r="42" spans="1:5" outlineLevel="1" x14ac:dyDescent="0.3">
      <c r="A42" t="s">
        <v>815</v>
      </c>
      <c r="B42" t="s">
        <v>35</v>
      </c>
      <c r="C42" s="13" t="s">
        <v>9</v>
      </c>
      <c r="D42" s="13" t="s">
        <v>6682</v>
      </c>
      <c r="E42" t="s">
        <v>6691</v>
      </c>
    </row>
    <row r="43" spans="1:5" outlineLevel="1" x14ac:dyDescent="0.3">
      <c r="A43" t="s">
        <v>816</v>
      </c>
      <c r="B43" t="s">
        <v>35</v>
      </c>
      <c r="C43" s="13" t="s">
        <v>9</v>
      </c>
      <c r="D43" s="13" t="s">
        <v>6683</v>
      </c>
      <c r="E43" t="s">
        <v>6692</v>
      </c>
    </row>
    <row r="44" spans="1:5" outlineLevel="1" x14ac:dyDescent="0.3">
      <c r="A44" t="s">
        <v>817</v>
      </c>
      <c r="B44" t="s">
        <v>35</v>
      </c>
      <c r="C44" s="13" t="s">
        <v>9</v>
      </c>
      <c r="D44" s="13" t="s">
        <v>6679</v>
      </c>
      <c r="E44" t="s">
        <v>6689</v>
      </c>
    </row>
    <row r="45" spans="1:5" outlineLevel="1" x14ac:dyDescent="0.3">
      <c r="A45" t="s">
        <v>818</v>
      </c>
      <c r="B45" t="s">
        <v>35</v>
      </c>
      <c r="C45" s="13" t="s">
        <v>9</v>
      </c>
      <c r="D45" s="13" t="s">
        <v>6683</v>
      </c>
      <c r="E45" t="s">
        <v>6692</v>
      </c>
    </row>
    <row r="46" spans="1:5" outlineLevel="1" x14ac:dyDescent="0.3">
      <c r="A46" t="s">
        <v>819</v>
      </c>
      <c r="B46" t="s">
        <v>35</v>
      </c>
      <c r="C46" s="13" t="s">
        <v>9</v>
      </c>
      <c r="D46" s="13" t="s">
        <v>6679</v>
      </c>
      <c r="E46" t="s">
        <v>6689</v>
      </c>
    </row>
    <row r="47" spans="1:5" outlineLevel="1" x14ac:dyDescent="0.3">
      <c r="A47" t="s">
        <v>820</v>
      </c>
      <c r="B47" t="s">
        <v>35</v>
      </c>
      <c r="C47" s="13" t="s">
        <v>9</v>
      </c>
      <c r="D47" s="13" t="s">
        <v>6683</v>
      </c>
      <c r="E47" t="s">
        <v>6692</v>
      </c>
    </row>
    <row r="48" spans="1:5" outlineLevel="1" x14ac:dyDescent="0.3">
      <c r="A48" t="s">
        <v>821</v>
      </c>
      <c r="B48" t="s">
        <v>35</v>
      </c>
      <c r="C48" s="13" t="s">
        <v>9</v>
      </c>
      <c r="D48" s="13" t="s">
        <v>6683</v>
      </c>
      <c r="E48" t="s">
        <v>6692</v>
      </c>
    </row>
    <row r="49" spans="1:5" outlineLevel="1" x14ac:dyDescent="0.3">
      <c r="A49" t="s">
        <v>822</v>
      </c>
      <c r="B49" t="s">
        <v>35</v>
      </c>
      <c r="C49" s="13" t="s">
        <v>9</v>
      </c>
      <c r="D49" s="13" t="s">
        <v>6684</v>
      </c>
      <c r="E49" t="s">
        <v>6693</v>
      </c>
    </row>
    <row r="50" spans="1:5" outlineLevel="1" x14ac:dyDescent="0.3">
      <c r="A50" t="s">
        <v>823</v>
      </c>
      <c r="B50" t="s">
        <v>35</v>
      </c>
      <c r="C50" s="13" t="s">
        <v>9</v>
      </c>
      <c r="D50" s="13" t="s">
        <v>6684</v>
      </c>
      <c r="E50" t="s">
        <v>6693</v>
      </c>
    </row>
    <row r="51" spans="1:5" outlineLevel="1" x14ac:dyDescent="0.3">
      <c r="A51" t="s">
        <v>824</v>
      </c>
      <c r="B51" t="s">
        <v>35</v>
      </c>
      <c r="C51" s="13" t="s">
        <v>9</v>
      </c>
      <c r="D51" s="13" t="s">
        <v>6684</v>
      </c>
      <c r="E51" t="s">
        <v>6693</v>
      </c>
    </row>
    <row r="52" spans="1:5" outlineLevel="1" x14ac:dyDescent="0.3">
      <c r="A52" t="s">
        <v>825</v>
      </c>
      <c r="B52" t="s">
        <v>35</v>
      </c>
      <c r="C52" s="13" t="s">
        <v>9</v>
      </c>
      <c r="D52" s="13" t="s">
        <v>6684</v>
      </c>
      <c r="E52" t="s">
        <v>6693</v>
      </c>
    </row>
    <row r="53" spans="1:5" outlineLevel="1" x14ac:dyDescent="0.3">
      <c r="A53" t="s">
        <v>826</v>
      </c>
      <c r="B53" t="s">
        <v>35</v>
      </c>
      <c r="C53" s="13" t="s">
        <v>9</v>
      </c>
      <c r="D53" s="13" t="s">
        <v>6683</v>
      </c>
      <c r="E53" t="s">
        <v>6692</v>
      </c>
    </row>
    <row r="54" spans="1:5" outlineLevel="1" x14ac:dyDescent="0.3">
      <c r="A54" t="s">
        <v>827</v>
      </c>
      <c r="B54" t="s">
        <v>35</v>
      </c>
      <c r="C54" s="13" t="s">
        <v>9</v>
      </c>
      <c r="D54" s="13" t="s">
        <v>6683</v>
      </c>
      <c r="E54" t="s">
        <v>6692</v>
      </c>
    </row>
    <row r="55" spans="1:5" outlineLevel="1" x14ac:dyDescent="0.3">
      <c r="A55" t="s">
        <v>828</v>
      </c>
      <c r="B55" t="s">
        <v>35</v>
      </c>
      <c r="C55" s="13" t="s">
        <v>9</v>
      </c>
      <c r="D55" s="13" t="s">
        <v>6682</v>
      </c>
      <c r="E55" t="s">
        <v>6691</v>
      </c>
    </row>
    <row r="56" spans="1:5" outlineLevel="1" x14ac:dyDescent="0.3">
      <c r="A56" t="s">
        <v>829</v>
      </c>
      <c r="B56" t="s">
        <v>35</v>
      </c>
      <c r="C56" s="13" t="s">
        <v>9</v>
      </c>
      <c r="D56" s="13" t="s">
        <v>6682</v>
      </c>
      <c r="E56" t="s">
        <v>6691</v>
      </c>
    </row>
    <row r="57" spans="1:5" outlineLevel="1" x14ac:dyDescent="0.3">
      <c r="A57" t="s">
        <v>830</v>
      </c>
      <c r="B57" t="s">
        <v>35</v>
      </c>
      <c r="C57" s="13" t="s">
        <v>9</v>
      </c>
      <c r="D57" s="13" t="s">
        <v>6679</v>
      </c>
      <c r="E57" t="s">
        <v>6689</v>
      </c>
    </row>
    <row r="58" spans="1:5" outlineLevel="1" x14ac:dyDescent="0.3">
      <c r="A58" t="s">
        <v>831</v>
      </c>
      <c r="B58" t="s">
        <v>35</v>
      </c>
      <c r="C58" s="13" t="s">
        <v>9</v>
      </c>
      <c r="D58" s="13" t="s">
        <v>6679</v>
      </c>
      <c r="E58" t="s">
        <v>6689</v>
      </c>
    </row>
    <row r="59" spans="1:5" outlineLevel="1" x14ac:dyDescent="0.3">
      <c r="A59" t="s">
        <v>832</v>
      </c>
      <c r="B59" t="s">
        <v>35</v>
      </c>
      <c r="C59" s="13" t="s">
        <v>9</v>
      </c>
      <c r="D59" s="13" t="s">
        <v>6680</v>
      </c>
      <c r="E59" t="s">
        <v>6694</v>
      </c>
    </row>
    <row r="60" spans="1:5" outlineLevel="1" x14ac:dyDescent="0.3">
      <c r="A60" t="s">
        <v>833</v>
      </c>
      <c r="B60" t="s">
        <v>35</v>
      </c>
      <c r="C60" s="13" t="s">
        <v>9</v>
      </c>
      <c r="D60" s="13" t="s">
        <v>6685</v>
      </c>
      <c r="E60" t="s">
        <v>6688</v>
      </c>
    </row>
    <row r="61" spans="1:5" outlineLevel="1" x14ac:dyDescent="0.3">
      <c r="A61" t="s">
        <v>834</v>
      </c>
      <c r="B61" t="s">
        <v>35</v>
      </c>
      <c r="C61" s="13" t="s">
        <v>9</v>
      </c>
      <c r="D61" s="13" t="s">
        <v>6677</v>
      </c>
      <c r="E61" t="s">
        <v>6687</v>
      </c>
    </row>
    <row r="62" spans="1:5" outlineLevel="1" x14ac:dyDescent="0.3">
      <c r="A62" t="s">
        <v>835</v>
      </c>
      <c r="B62" t="s">
        <v>35</v>
      </c>
      <c r="C62" s="13" t="s">
        <v>9</v>
      </c>
      <c r="D62" s="13" t="s">
        <v>6677</v>
      </c>
      <c r="E62" t="s">
        <v>6687</v>
      </c>
    </row>
    <row r="63" spans="1:5" outlineLevel="1" x14ac:dyDescent="0.3">
      <c r="A63" t="s">
        <v>836</v>
      </c>
      <c r="B63" t="s">
        <v>35</v>
      </c>
      <c r="C63" s="13" t="s">
        <v>9</v>
      </c>
      <c r="D63" s="13" t="s">
        <v>6677</v>
      </c>
      <c r="E63" t="s">
        <v>6687</v>
      </c>
    </row>
    <row r="64" spans="1:5" outlineLevel="1" x14ac:dyDescent="0.3">
      <c r="A64" t="s">
        <v>837</v>
      </c>
      <c r="B64" t="s">
        <v>35</v>
      </c>
      <c r="C64" s="13" t="s">
        <v>9</v>
      </c>
      <c r="D64" s="13" t="s">
        <v>6677</v>
      </c>
      <c r="E64" t="s">
        <v>6687</v>
      </c>
    </row>
    <row r="65" spans="1:11" outlineLevel="1" x14ac:dyDescent="0.3">
      <c r="A65" t="s">
        <v>838</v>
      </c>
      <c r="B65" t="s">
        <v>35</v>
      </c>
      <c r="C65" s="13" t="s">
        <v>9</v>
      </c>
      <c r="D65" s="13" t="s">
        <v>6684</v>
      </c>
      <c r="E65" t="s">
        <v>6693</v>
      </c>
    </row>
    <row r="66" spans="1:11" outlineLevel="1" x14ac:dyDescent="0.3">
      <c r="A66" t="s">
        <v>839</v>
      </c>
      <c r="B66" t="s">
        <v>35</v>
      </c>
      <c r="C66" s="13" t="s">
        <v>9</v>
      </c>
      <c r="D66" s="13" t="s">
        <v>6684</v>
      </c>
      <c r="E66" t="s">
        <v>6693</v>
      </c>
    </row>
    <row r="67" spans="1:11" outlineLevel="1" x14ac:dyDescent="0.3">
      <c r="A67" t="s">
        <v>840</v>
      </c>
      <c r="B67" t="s">
        <v>35</v>
      </c>
      <c r="C67" s="13" t="s">
        <v>9</v>
      </c>
      <c r="D67" s="13" t="s">
        <v>6683</v>
      </c>
      <c r="E67" t="s">
        <v>6692</v>
      </c>
    </row>
    <row r="68" spans="1:11" outlineLevel="1" x14ac:dyDescent="0.3">
      <c r="A68" t="s">
        <v>841</v>
      </c>
      <c r="B68" t="s">
        <v>35</v>
      </c>
      <c r="C68" s="13" t="s">
        <v>9</v>
      </c>
      <c r="D68" s="13" t="s">
        <v>6683</v>
      </c>
      <c r="E68" t="s">
        <v>6692</v>
      </c>
    </row>
    <row r="69" spans="1:11" outlineLevel="1" x14ac:dyDescent="0.3">
      <c r="A69" t="s">
        <v>842</v>
      </c>
      <c r="B69" t="s">
        <v>35</v>
      </c>
      <c r="C69" s="13" t="s">
        <v>9</v>
      </c>
      <c r="D69" s="13" t="s">
        <v>6679</v>
      </c>
      <c r="E69" t="s">
        <v>6689</v>
      </c>
    </row>
    <row r="70" spans="1:11" outlineLevel="1" x14ac:dyDescent="0.3">
      <c r="A70" t="s">
        <v>843</v>
      </c>
      <c r="B70" t="s">
        <v>35</v>
      </c>
      <c r="C70" s="13" t="s">
        <v>9</v>
      </c>
      <c r="D70" s="13" t="s">
        <v>6679</v>
      </c>
      <c r="E70" t="s">
        <v>6689</v>
      </c>
    </row>
    <row r="71" spans="1:11" outlineLevel="1" x14ac:dyDescent="0.3">
      <c r="A71" t="s">
        <v>844</v>
      </c>
      <c r="B71" t="s">
        <v>35</v>
      </c>
      <c r="C71" s="13" t="s">
        <v>9</v>
      </c>
      <c r="D71" s="13" t="s">
        <v>6678</v>
      </c>
      <c r="E71" t="s">
        <v>6688</v>
      </c>
    </row>
    <row r="72" spans="1:11" outlineLevel="1" x14ac:dyDescent="0.3">
      <c r="A72" t="s">
        <v>845</v>
      </c>
      <c r="B72" t="s">
        <v>35</v>
      </c>
      <c r="C72" s="13" t="s">
        <v>9</v>
      </c>
      <c r="D72" s="13" t="s">
        <v>6678</v>
      </c>
      <c r="E72" t="s">
        <v>6688</v>
      </c>
    </row>
    <row r="73" spans="1:11" outlineLevel="1" x14ac:dyDescent="0.3">
      <c r="A73" t="s">
        <v>846</v>
      </c>
      <c r="B73" t="s">
        <v>35</v>
      </c>
      <c r="C73" s="13" t="s">
        <v>9</v>
      </c>
      <c r="D73" s="13" t="s">
        <v>847</v>
      </c>
      <c r="E73" t="s">
        <v>6645</v>
      </c>
    </row>
    <row r="74" spans="1:11" outlineLevel="1" x14ac:dyDescent="0.3">
      <c r="A74" t="s">
        <v>848</v>
      </c>
      <c r="B74" t="s">
        <v>35</v>
      </c>
      <c r="C74" s="13" t="s">
        <v>9</v>
      </c>
      <c r="D74" s="13" t="s">
        <v>849</v>
      </c>
      <c r="E74" t="s">
        <v>6647</v>
      </c>
    </row>
    <row r="75" spans="1:11" outlineLevel="1" x14ac:dyDescent="0.3">
      <c r="A75" t="s">
        <v>850</v>
      </c>
      <c r="B75" t="s">
        <v>35</v>
      </c>
      <c r="C75" s="13" t="s">
        <v>9</v>
      </c>
      <c r="D75" s="13" t="s">
        <v>6657</v>
      </c>
      <c r="E75" t="s">
        <v>6592</v>
      </c>
    </row>
    <row r="76" spans="1:11" outlineLevel="1" x14ac:dyDescent="0.3">
      <c r="A76" t="s">
        <v>851</v>
      </c>
      <c r="B76" t="s">
        <v>35</v>
      </c>
      <c r="C76" s="13" t="s">
        <v>9</v>
      </c>
      <c r="D76" s="13" t="s">
        <v>6658</v>
      </c>
      <c r="E76" t="s">
        <v>6592</v>
      </c>
    </row>
    <row r="77" spans="1:11" outlineLevel="1" x14ac:dyDescent="0.3">
      <c r="A77" t="s">
        <v>852</v>
      </c>
      <c r="B77" t="s">
        <v>35</v>
      </c>
      <c r="C77" s="13" t="s">
        <v>9</v>
      </c>
      <c r="D77" s="13" t="s">
        <v>853</v>
      </c>
      <c r="E77" t="s">
        <v>6595</v>
      </c>
    </row>
    <row r="78" spans="1:11" outlineLevel="1" x14ac:dyDescent="0.3">
      <c r="A78" t="s">
        <v>854</v>
      </c>
      <c r="B78" t="s">
        <v>35</v>
      </c>
      <c r="C78" s="13" t="s">
        <v>9</v>
      </c>
      <c r="D78" s="13" t="s">
        <v>853</v>
      </c>
      <c r="E78" t="s">
        <v>6595</v>
      </c>
      <c r="J78" t="s">
        <v>6864</v>
      </c>
      <c r="K78" t="s">
        <v>6796</v>
      </c>
    </row>
    <row r="79" spans="1:11" outlineLevel="1" x14ac:dyDescent="0.3">
      <c r="A79" t="s">
        <v>855</v>
      </c>
      <c r="B79" t="s">
        <v>35</v>
      </c>
      <c r="C79" s="13" t="s">
        <v>9</v>
      </c>
      <c r="D79" s="13" t="s">
        <v>853</v>
      </c>
      <c r="E79" t="s">
        <v>6595</v>
      </c>
      <c r="J79" t="s">
        <v>6864</v>
      </c>
      <c r="K79" t="s">
        <v>6796</v>
      </c>
    </row>
    <row r="80" spans="1:11" outlineLevel="1" x14ac:dyDescent="0.3">
      <c r="A80" t="s">
        <v>856</v>
      </c>
      <c r="B80" t="s">
        <v>35</v>
      </c>
      <c r="C80" s="13" t="s">
        <v>9</v>
      </c>
      <c r="D80" s="13" t="s">
        <v>853</v>
      </c>
      <c r="E80" t="s">
        <v>6595</v>
      </c>
    </row>
    <row r="81" spans="1:11" outlineLevel="1" x14ac:dyDescent="0.3">
      <c r="A81" t="s">
        <v>857</v>
      </c>
      <c r="B81" t="s">
        <v>35</v>
      </c>
      <c r="C81" s="13" t="s">
        <v>9</v>
      </c>
      <c r="D81" s="13" t="s">
        <v>853</v>
      </c>
      <c r="E81" t="s">
        <v>6595</v>
      </c>
    </row>
    <row r="82" spans="1:11" outlineLevel="1" x14ac:dyDescent="0.3">
      <c r="A82" t="s">
        <v>858</v>
      </c>
      <c r="B82" t="s">
        <v>35</v>
      </c>
      <c r="C82" s="13" t="s">
        <v>9</v>
      </c>
      <c r="D82" s="13" t="s">
        <v>853</v>
      </c>
      <c r="E82" t="s">
        <v>6595</v>
      </c>
      <c r="J82" t="s">
        <v>6864</v>
      </c>
      <c r="K82" t="s">
        <v>6796</v>
      </c>
    </row>
    <row r="83" spans="1:11" outlineLevel="1" x14ac:dyDescent="0.3">
      <c r="A83" t="s">
        <v>859</v>
      </c>
      <c r="B83" t="s">
        <v>35</v>
      </c>
      <c r="C83" s="13" t="s">
        <v>7</v>
      </c>
      <c r="D83" s="13" t="s">
        <v>6686</v>
      </c>
      <c r="E83" t="s">
        <v>6695</v>
      </c>
    </row>
    <row r="84" spans="1:11" outlineLevel="1" x14ac:dyDescent="0.3">
      <c r="A84" t="s">
        <v>860</v>
      </c>
      <c r="B84" t="s">
        <v>35</v>
      </c>
      <c r="C84" s="13" t="s">
        <v>7</v>
      </c>
      <c r="D84" s="13" t="s">
        <v>6659</v>
      </c>
      <c r="E84" t="s">
        <v>6597</v>
      </c>
    </row>
    <row r="85" spans="1:11" outlineLevel="1" x14ac:dyDescent="0.3">
      <c r="A85" t="s">
        <v>861</v>
      </c>
      <c r="B85" t="s">
        <v>35</v>
      </c>
      <c r="C85" s="13" t="s">
        <v>7</v>
      </c>
      <c r="D85" s="13" t="s">
        <v>6660</v>
      </c>
      <c r="E85" t="s">
        <v>6599</v>
      </c>
    </row>
    <row r="86" spans="1:11" outlineLevel="1" x14ac:dyDescent="0.3">
      <c r="A86" t="s">
        <v>862</v>
      </c>
      <c r="B86" t="s">
        <v>35</v>
      </c>
      <c r="C86" s="13" t="s">
        <v>7</v>
      </c>
      <c r="D86" s="13" t="s">
        <v>6661</v>
      </c>
      <c r="E86" t="s">
        <v>6601</v>
      </c>
    </row>
    <row r="87" spans="1:11" outlineLevel="1" x14ac:dyDescent="0.3">
      <c r="A87" t="s">
        <v>863</v>
      </c>
      <c r="B87" t="s">
        <v>35</v>
      </c>
      <c r="C87" s="13" t="s">
        <v>7</v>
      </c>
      <c r="D87" s="13" t="s">
        <v>6662</v>
      </c>
      <c r="E87" t="s">
        <v>6603</v>
      </c>
    </row>
    <row r="88" spans="1:11" outlineLevel="1" x14ac:dyDescent="0.3">
      <c r="A88" t="s">
        <v>864</v>
      </c>
      <c r="B88" t="s">
        <v>35</v>
      </c>
      <c r="C88" s="13" t="s">
        <v>7</v>
      </c>
      <c r="D88" s="13" t="s">
        <v>865</v>
      </c>
      <c r="E88" t="s">
        <v>6499</v>
      </c>
    </row>
    <row r="89" spans="1:11" outlineLevel="1" x14ac:dyDescent="0.3">
      <c r="A89" t="s">
        <v>866</v>
      </c>
      <c r="B89" t="s">
        <v>35</v>
      </c>
      <c r="C89" s="13" t="s">
        <v>9</v>
      </c>
      <c r="D89" s="13" t="s">
        <v>867</v>
      </c>
      <c r="E89" t="s">
        <v>6575</v>
      </c>
      <c r="J89" t="s">
        <v>6797</v>
      </c>
      <c r="K89" t="s">
        <v>6798</v>
      </c>
    </row>
    <row r="90" spans="1:11" outlineLevel="1" x14ac:dyDescent="0.3">
      <c r="A90" t="s">
        <v>868</v>
      </c>
      <c r="B90" t="s">
        <v>35</v>
      </c>
      <c r="C90" s="13" t="s">
        <v>9</v>
      </c>
      <c r="D90" s="13" t="s">
        <v>867</v>
      </c>
      <c r="E90" t="s">
        <v>6575</v>
      </c>
      <c r="J90" t="s">
        <v>6797</v>
      </c>
      <c r="K90" t="s">
        <v>6798</v>
      </c>
    </row>
    <row r="91" spans="1:11" outlineLevel="1" x14ac:dyDescent="0.3">
      <c r="A91" t="s">
        <v>869</v>
      </c>
      <c r="B91" t="s">
        <v>35</v>
      </c>
      <c r="C91" s="13" t="s">
        <v>9</v>
      </c>
      <c r="D91" s="13" t="s">
        <v>867</v>
      </c>
      <c r="E91" t="s">
        <v>6575</v>
      </c>
      <c r="J91" t="s">
        <v>6797</v>
      </c>
      <c r="K91" t="s">
        <v>6798</v>
      </c>
    </row>
    <row r="92" spans="1:11" outlineLevel="1" x14ac:dyDescent="0.3">
      <c r="A92" t="s">
        <v>870</v>
      </c>
      <c r="B92" t="s">
        <v>35</v>
      </c>
      <c r="C92" s="13" t="s">
        <v>9</v>
      </c>
      <c r="D92" s="13" t="s">
        <v>867</v>
      </c>
      <c r="E92" t="s">
        <v>6575</v>
      </c>
    </row>
    <row r="93" spans="1:11" outlineLevel="1" x14ac:dyDescent="0.3">
      <c r="A93" t="s">
        <v>871</v>
      </c>
      <c r="B93" t="s">
        <v>35</v>
      </c>
      <c r="C93" s="13" t="s">
        <v>9</v>
      </c>
      <c r="D93" s="13" t="s">
        <v>872</v>
      </c>
      <c r="E93" t="s">
        <v>6575</v>
      </c>
    </row>
    <row r="94" spans="1:11" outlineLevel="1" x14ac:dyDescent="0.3">
      <c r="A94" t="s">
        <v>873</v>
      </c>
      <c r="B94" t="s">
        <v>35</v>
      </c>
      <c r="C94" s="13" t="s">
        <v>9</v>
      </c>
      <c r="D94" s="13" t="s">
        <v>872</v>
      </c>
      <c r="E94" t="s">
        <v>6575</v>
      </c>
    </row>
    <row r="95" spans="1:11" outlineLevel="1" x14ac:dyDescent="0.3">
      <c r="A95" t="s">
        <v>874</v>
      </c>
      <c r="B95" t="s">
        <v>35</v>
      </c>
      <c r="C95" s="13" t="s">
        <v>9</v>
      </c>
      <c r="D95" s="13" t="s">
        <v>872</v>
      </c>
      <c r="E95" t="s">
        <v>6575</v>
      </c>
    </row>
    <row r="96" spans="1:11" outlineLevel="1" x14ac:dyDescent="0.3">
      <c r="A96" t="s">
        <v>875</v>
      </c>
      <c r="B96" t="s">
        <v>35</v>
      </c>
      <c r="C96" s="13" t="s">
        <v>9</v>
      </c>
      <c r="D96" s="13" t="s">
        <v>876</v>
      </c>
      <c r="E96" t="s">
        <v>6605</v>
      </c>
    </row>
    <row r="97" spans="1:11" outlineLevel="1" x14ac:dyDescent="0.3">
      <c r="A97" t="s">
        <v>877</v>
      </c>
      <c r="B97" t="s">
        <v>35</v>
      </c>
      <c r="C97" s="13" t="s">
        <v>9</v>
      </c>
      <c r="D97" s="13" t="s">
        <v>878</v>
      </c>
      <c r="E97" t="s">
        <v>6605</v>
      </c>
    </row>
    <row r="98" spans="1:11" outlineLevel="1" x14ac:dyDescent="0.3">
      <c r="A98" t="s">
        <v>879</v>
      </c>
      <c r="B98" t="s">
        <v>35</v>
      </c>
      <c r="C98" s="13" t="s">
        <v>9</v>
      </c>
      <c r="D98" s="13" t="s">
        <v>880</v>
      </c>
      <c r="E98" t="s">
        <v>6605</v>
      </c>
    </row>
    <row r="99" spans="1:11" outlineLevel="1" x14ac:dyDescent="0.3">
      <c r="A99" t="s">
        <v>881</v>
      </c>
      <c r="B99" t="s">
        <v>35</v>
      </c>
      <c r="C99" s="13" t="s">
        <v>9</v>
      </c>
      <c r="D99" s="13" t="s">
        <v>880</v>
      </c>
      <c r="E99" t="s">
        <v>6605</v>
      </c>
    </row>
    <row r="100" spans="1:11" outlineLevel="1" x14ac:dyDescent="0.3">
      <c r="A100" t="s">
        <v>882</v>
      </c>
      <c r="B100" t="s">
        <v>35</v>
      </c>
      <c r="C100" s="13" t="s">
        <v>9</v>
      </c>
      <c r="D100" s="13" t="s">
        <v>883</v>
      </c>
      <c r="E100" t="s">
        <v>6572</v>
      </c>
      <c r="J100" t="s">
        <v>6799</v>
      </c>
      <c r="K100" t="s">
        <v>6798</v>
      </c>
    </row>
    <row r="101" spans="1:11" outlineLevel="1" x14ac:dyDescent="0.3">
      <c r="A101" t="s">
        <v>884</v>
      </c>
      <c r="B101" t="s">
        <v>35</v>
      </c>
      <c r="C101" s="13" t="s">
        <v>9</v>
      </c>
      <c r="D101" s="13" t="s">
        <v>885</v>
      </c>
      <c r="E101" t="s">
        <v>6567</v>
      </c>
      <c r="J101" t="s">
        <v>6799</v>
      </c>
      <c r="K101" t="s">
        <v>6798</v>
      </c>
    </row>
    <row r="102" spans="1:11" outlineLevel="1" x14ac:dyDescent="0.3">
      <c r="A102" t="s">
        <v>886</v>
      </c>
      <c r="B102" t="s">
        <v>35</v>
      </c>
      <c r="C102" s="13" t="s">
        <v>9</v>
      </c>
      <c r="D102" s="13" t="s">
        <v>885</v>
      </c>
      <c r="E102" t="s">
        <v>6567</v>
      </c>
      <c r="J102" t="s">
        <v>6799</v>
      </c>
      <c r="K102" t="s">
        <v>6798</v>
      </c>
    </row>
    <row r="103" spans="1:11" outlineLevel="1" x14ac:dyDescent="0.3">
      <c r="A103" t="s">
        <v>887</v>
      </c>
      <c r="B103" t="s">
        <v>35</v>
      </c>
      <c r="C103" s="13" t="s">
        <v>9</v>
      </c>
      <c r="D103" s="13" t="s">
        <v>888</v>
      </c>
      <c r="E103" t="s">
        <v>6558</v>
      </c>
    </row>
    <row r="104" spans="1:11" outlineLevel="1" x14ac:dyDescent="0.3">
      <c r="A104" t="s">
        <v>889</v>
      </c>
      <c r="B104" t="s">
        <v>35</v>
      </c>
      <c r="C104" s="13" t="s">
        <v>9</v>
      </c>
      <c r="D104" s="13" t="s">
        <v>888</v>
      </c>
      <c r="E104" t="s">
        <v>6558</v>
      </c>
      <c r="J104" t="s">
        <v>6800</v>
      </c>
      <c r="K104" t="s">
        <v>6798</v>
      </c>
    </row>
    <row r="105" spans="1:11" outlineLevel="1" x14ac:dyDescent="0.3">
      <c r="A105" t="s">
        <v>890</v>
      </c>
      <c r="B105" t="s">
        <v>35</v>
      </c>
      <c r="C105" s="13" t="s">
        <v>9</v>
      </c>
      <c r="D105" s="13" t="s">
        <v>888</v>
      </c>
      <c r="E105" t="s">
        <v>6558</v>
      </c>
      <c r="J105" t="s">
        <v>6800</v>
      </c>
      <c r="K105" t="s">
        <v>6798</v>
      </c>
    </row>
    <row r="106" spans="1:11" outlineLevel="1" x14ac:dyDescent="0.3">
      <c r="A106" t="s">
        <v>891</v>
      </c>
      <c r="B106" t="s">
        <v>35</v>
      </c>
      <c r="C106" s="13" t="s">
        <v>9</v>
      </c>
      <c r="D106" s="13" t="s">
        <v>892</v>
      </c>
      <c r="E106" t="s">
        <v>6563</v>
      </c>
      <c r="J106" t="s">
        <v>6800</v>
      </c>
      <c r="K106" t="s">
        <v>6798</v>
      </c>
    </row>
    <row r="107" spans="1:11" outlineLevel="1" x14ac:dyDescent="0.3">
      <c r="A107" t="s">
        <v>893</v>
      </c>
      <c r="B107" t="s">
        <v>35</v>
      </c>
      <c r="C107" s="13" t="s">
        <v>9</v>
      </c>
      <c r="D107" s="13" t="s">
        <v>892</v>
      </c>
      <c r="E107" t="s">
        <v>6563</v>
      </c>
      <c r="J107" t="s">
        <v>6800</v>
      </c>
      <c r="K107" t="s">
        <v>6798</v>
      </c>
    </row>
    <row r="108" spans="1:11" outlineLevel="1" x14ac:dyDescent="0.3">
      <c r="A108" t="s">
        <v>894</v>
      </c>
      <c r="B108" t="s">
        <v>35</v>
      </c>
      <c r="C108" s="13" t="s">
        <v>9</v>
      </c>
      <c r="D108" s="13" t="s">
        <v>892</v>
      </c>
      <c r="E108" t="s">
        <v>6563</v>
      </c>
    </row>
    <row r="109" spans="1:11" outlineLevel="1" x14ac:dyDescent="0.3">
      <c r="A109" t="s">
        <v>895</v>
      </c>
      <c r="B109" t="s">
        <v>35</v>
      </c>
      <c r="C109" s="13" t="s">
        <v>9</v>
      </c>
      <c r="D109" s="13" t="s">
        <v>6878</v>
      </c>
      <c r="E109" t="s">
        <v>6879</v>
      </c>
      <c r="J109" t="s">
        <v>6801</v>
      </c>
      <c r="K109" t="s">
        <v>6798</v>
      </c>
    </row>
    <row r="110" spans="1:11" outlineLevel="1" x14ac:dyDescent="0.3">
      <c r="A110" t="s">
        <v>896</v>
      </c>
      <c r="B110" t="s">
        <v>35</v>
      </c>
      <c r="C110" s="13" t="s">
        <v>9</v>
      </c>
      <c r="D110" s="13" t="s">
        <v>6878</v>
      </c>
      <c r="E110" t="s">
        <v>6879</v>
      </c>
      <c r="J110" t="s">
        <v>6801</v>
      </c>
      <c r="K110" t="s">
        <v>6798</v>
      </c>
    </row>
    <row r="111" spans="1:11" outlineLevel="1" x14ac:dyDescent="0.3">
      <c r="A111" t="s">
        <v>897</v>
      </c>
      <c r="B111" t="s">
        <v>35</v>
      </c>
      <c r="C111" s="13" t="s">
        <v>9</v>
      </c>
      <c r="D111" s="13" t="s">
        <v>899</v>
      </c>
      <c r="E111" t="s">
        <v>6587</v>
      </c>
    </row>
    <row r="112" spans="1:11" outlineLevel="1" x14ac:dyDescent="0.3">
      <c r="A112" t="s">
        <v>898</v>
      </c>
      <c r="B112" t="s">
        <v>35</v>
      </c>
      <c r="C112" s="13" t="s">
        <v>9</v>
      </c>
      <c r="D112" s="13" t="s">
        <v>899</v>
      </c>
      <c r="E112" t="s">
        <v>6587</v>
      </c>
    </row>
    <row r="113" spans="1:11" outlineLevel="1" x14ac:dyDescent="0.3">
      <c r="A113" t="s">
        <v>900</v>
      </c>
      <c r="B113" t="s">
        <v>35</v>
      </c>
      <c r="C113" s="13" t="s">
        <v>9</v>
      </c>
      <c r="D113" s="13" t="s">
        <v>899</v>
      </c>
      <c r="E113" t="s">
        <v>6587</v>
      </c>
    </row>
    <row r="114" spans="1:11" outlineLevel="1" x14ac:dyDescent="0.3">
      <c r="A114" t="s">
        <v>901</v>
      </c>
      <c r="B114" t="s">
        <v>35</v>
      </c>
      <c r="C114" s="13" t="s">
        <v>9</v>
      </c>
      <c r="D114" s="13" t="s">
        <v>899</v>
      </c>
      <c r="E114" t="s">
        <v>6587</v>
      </c>
    </row>
    <row r="115" spans="1:11" outlineLevel="1" x14ac:dyDescent="0.3">
      <c r="A115" t="s">
        <v>902</v>
      </c>
      <c r="B115" t="s">
        <v>35</v>
      </c>
      <c r="C115" s="13" t="s">
        <v>9</v>
      </c>
      <c r="D115" s="13" t="s">
        <v>903</v>
      </c>
      <c r="E115" t="s">
        <v>6584</v>
      </c>
    </row>
    <row r="116" spans="1:11" outlineLevel="1" x14ac:dyDescent="0.3">
      <c r="A116" t="s">
        <v>904</v>
      </c>
      <c r="B116" t="s">
        <v>35</v>
      </c>
      <c r="C116" s="13" t="s">
        <v>9</v>
      </c>
      <c r="D116" s="13" t="s">
        <v>903</v>
      </c>
      <c r="E116" t="s">
        <v>6584</v>
      </c>
    </row>
    <row r="117" spans="1:11" outlineLevel="1" x14ac:dyDescent="0.3">
      <c r="A117" t="s">
        <v>905</v>
      </c>
      <c r="B117" t="s">
        <v>35</v>
      </c>
      <c r="C117" s="13" t="s">
        <v>9</v>
      </c>
      <c r="D117" s="13" t="s">
        <v>903</v>
      </c>
      <c r="E117" t="s">
        <v>6584</v>
      </c>
    </row>
    <row r="118" spans="1:11" outlineLevel="1" x14ac:dyDescent="0.3">
      <c r="A118" t="s">
        <v>906</v>
      </c>
      <c r="B118" t="s">
        <v>35</v>
      </c>
      <c r="C118" t="s">
        <v>7</v>
      </c>
      <c r="D118" t="s">
        <v>907</v>
      </c>
      <c r="E118" t="s">
        <v>6207</v>
      </c>
      <c r="J118" t="s">
        <v>6795</v>
      </c>
      <c r="K118" t="s">
        <v>6802</v>
      </c>
    </row>
    <row r="119" spans="1:11" outlineLevel="1" x14ac:dyDescent="0.3">
      <c r="A119" t="s">
        <v>908</v>
      </c>
      <c r="B119" t="s">
        <v>35</v>
      </c>
      <c r="C119" s="13" t="s">
        <v>9</v>
      </c>
      <c r="D119" s="13" t="s">
        <v>909</v>
      </c>
      <c r="E119" t="s">
        <v>6104</v>
      </c>
    </row>
    <row r="120" spans="1:11" outlineLevel="1" x14ac:dyDescent="0.3">
      <c r="A120" t="s">
        <v>910</v>
      </c>
      <c r="B120" t="s">
        <v>35</v>
      </c>
      <c r="C120" s="13" t="s">
        <v>7</v>
      </c>
      <c r="D120" s="13" t="s">
        <v>911</v>
      </c>
      <c r="E120" t="s">
        <v>6073</v>
      </c>
      <c r="J120" t="s">
        <v>6262</v>
      </c>
      <c r="K120" t="s">
        <v>6803</v>
      </c>
    </row>
    <row r="121" spans="1:11" outlineLevel="1" x14ac:dyDescent="0.3">
      <c r="A121" t="s">
        <v>912</v>
      </c>
      <c r="B121" t="s">
        <v>35</v>
      </c>
      <c r="C121" s="13" t="s">
        <v>7</v>
      </c>
      <c r="D121" s="13" t="s">
        <v>913</v>
      </c>
      <c r="E121" t="s">
        <v>6257</v>
      </c>
      <c r="J121" t="s">
        <v>6804</v>
      </c>
      <c r="K121" t="s">
        <v>6805</v>
      </c>
    </row>
    <row r="122" spans="1:11" outlineLevel="1" x14ac:dyDescent="0.3">
      <c r="A122" t="s">
        <v>914</v>
      </c>
      <c r="B122" t="s">
        <v>35</v>
      </c>
      <c r="C122" s="13" t="s">
        <v>7</v>
      </c>
      <c r="D122" s="13" t="s">
        <v>915</v>
      </c>
      <c r="E122" t="s">
        <v>6608</v>
      </c>
    </row>
    <row r="123" spans="1:11" outlineLevel="1" x14ac:dyDescent="0.3">
      <c r="A123" t="s">
        <v>916</v>
      </c>
      <c r="B123" t="s">
        <v>35</v>
      </c>
      <c r="C123" s="13" t="s">
        <v>7</v>
      </c>
      <c r="D123" s="13" t="s">
        <v>917</v>
      </c>
      <c r="E123" t="s">
        <v>6087</v>
      </c>
    </row>
    <row r="124" spans="1:11" outlineLevel="1" x14ac:dyDescent="0.3">
      <c r="A124" t="s">
        <v>918</v>
      </c>
      <c r="B124" t="s">
        <v>35</v>
      </c>
      <c r="C124" s="13" t="s">
        <v>7</v>
      </c>
      <c r="D124" s="13" t="s">
        <v>919</v>
      </c>
      <c r="E124" t="s">
        <v>6090</v>
      </c>
    </row>
    <row r="125" spans="1:11" outlineLevel="1" x14ac:dyDescent="0.3">
      <c r="A125" s="34" t="s">
        <v>920</v>
      </c>
      <c r="B125" t="s">
        <v>35</v>
      </c>
      <c r="C125" t="s">
        <v>7</v>
      </c>
      <c r="D125" t="s">
        <v>921</v>
      </c>
      <c r="E125" t="s">
        <v>6109</v>
      </c>
      <c r="K125" t="s">
        <v>6806</v>
      </c>
    </row>
    <row r="126" spans="1:11" outlineLevel="1" x14ac:dyDescent="0.3">
      <c r="A126" t="s">
        <v>922</v>
      </c>
      <c r="B126" t="s">
        <v>35</v>
      </c>
      <c r="C126" t="s">
        <v>9</v>
      </c>
      <c r="D126" t="s">
        <v>923</v>
      </c>
      <c r="E126" t="s">
        <v>6112</v>
      </c>
    </row>
    <row r="127" spans="1:11" outlineLevel="1" x14ac:dyDescent="0.3">
      <c r="A127" t="s">
        <v>924</v>
      </c>
      <c r="B127" t="s">
        <v>35</v>
      </c>
      <c r="C127" t="s">
        <v>7</v>
      </c>
      <c r="D127" t="s">
        <v>925</v>
      </c>
      <c r="E127" t="s">
        <v>6610</v>
      </c>
    </row>
    <row r="128" spans="1:11" outlineLevel="1" x14ac:dyDescent="0.3">
      <c r="A128" t="s">
        <v>926</v>
      </c>
      <c r="B128" t="s">
        <v>35</v>
      </c>
      <c r="C128" s="13" t="s">
        <v>7</v>
      </c>
      <c r="D128" s="13" t="s">
        <v>927</v>
      </c>
      <c r="E128" t="s">
        <v>6076</v>
      </c>
      <c r="J128" t="s">
        <v>6807</v>
      </c>
      <c r="K128" t="s">
        <v>6803</v>
      </c>
    </row>
    <row r="129" spans="1:11" outlineLevel="1" x14ac:dyDescent="0.3">
      <c r="A129" t="s">
        <v>928</v>
      </c>
      <c r="B129" t="s">
        <v>35</v>
      </c>
      <c r="C129" s="13" t="s">
        <v>7</v>
      </c>
      <c r="D129" s="13" t="s">
        <v>927</v>
      </c>
      <c r="E129" t="s">
        <v>6076</v>
      </c>
      <c r="J129" t="s">
        <v>6807</v>
      </c>
      <c r="K129" t="s">
        <v>6803</v>
      </c>
    </row>
    <row r="130" spans="1:11" outlineLevel="1" x14ac:dyDescent="0.3">
      <c r="A130" t="s">
        <v>929</v>
      </c>
      <c r="B130" t="s">
        <v>35</v>
      </c>
      <c r="C130" s="13" t="s">
        <v>7</v>
      </c>
      <c r="D130" s="13" t="s">
        <v>930</v>
      </c>
      <c r="E130" t="s">
        <v>6084</v>
      </c>
      <c r="J130" t="s">
        <v>6808</v>
      </c>
      <c r="K130" t="s">
        <v>6803</v>
      </c>
    </row>
    <row r="131" spans="1:11" outlineLevel="1" x14ac:dyDescent="0.3">
      <c r="A131" t="s">
        <v>931</v>
      </c>
      <c r="B131" t="s">
        <v>35</v>
      </c>
      <c r="C131" s="13" t="s">
        <v>7</v>
      </c>
      <c r="D131" s="13" t="s">
        <v>930</v>
      </c>
      <c r="E131" t="s">
        <v>6084</v>
      </c>
      <c r="J131" t="s">
        <v>6808</v>
      </c>
      <c r="K131" t="s">
        <v>6803</v>
      </c>
    </row>
    <row r="132" spans="1:11" outlineLevel="1" x14ac:dyDescent="0.3">
      <c r="A132" t="s">
        <v>932</v>
      </c>
      <c r="B132" t="s">
        <v>35</v>
      </c>
      <c r="C132" s="13" t="s">
        <v>7</v>
      </c>
      <c r="D132" s="13" t="s">
        <v>933</v>
      </c>
      <c r="E132" t="s">
        <v>6155</v>
      </c>
      <c r="J132" t="s">
        <v>6867</v>
      </c>
      <c r="K132" t="s">
        <v>6809</v>
      </c>
    </row>
    <row r="133" spans="1:11" outlineLevel="1" x14ac:dyDescent="0.3">
      <c r="A133" t="s">
        <v>934</v>
      </c>
      <c r="B133" t="s">
        <v>35</v>
      </c>
      <c r="C133" s="13" t="s">
        <v>7</v>
      </c>
      <c r="D133" s="13" t="s">
        <v>933</v>
      </c>
      <c r="E133" t="s">
        <v>6155</v>
      </c>
      <c r="J133" t="s">
        <v>6867</v>
      </c>
      <c r="K133" t="s">
        <v>6809</v>
      </c>
    </row>
    <row r="134" spans="1:11" outlineLevel="1" x14ac:dyDescent="0.3">
      <c r="A134" t="s">
        <v>935</v>
      </c>
      <c r="B134" t="s">
        <v>35</v>
      </c>
      <c r="C134" s="13" t="s">
        <v>7</v>
      </c>
      <c r="D134" s="13" t="s">
        <v>933</v>
      </c>
      <c r="E134" t="s">
        <v>6155</v>
      </c>
      <c r="J134" t="s">
        <v>6867</v>
      </c>
      <c r="K134" t="s">
        <v>6809</v>
      </c>
    </row>
    <row r="135" spans="1:11" outlineLevel="1" x14ac:dyDescent="0.3">
      <c r="A135" t="s">
        <v>936</v>
      </c>
      <c r="B135" t="s">
        <v>35</v>
      </c>
      <c r="C135" s="13" t="s">
        <v>7</v>
      </c>
      <c r="D135" s="13" t="s">
        <v>937</v>
      </c>
      <c r="E135" t="s">
        <v>6263</v>
      </c>
      <c r="J135" t="s">
        <v>6810</v>
      </c>
      <c r="K135" t="s">
        <v>6805</v>
      </c>
    </row>
    <row r="136" spans="1:11" outlineLevel="1" x14ac:dyDescent="0.3">
      <c r="A136" t="s">
        <v>938</v>
      </c>
      <c r="B136" t="s">
        <v>35</v>
      </c>
      <c r="C136" s="13" t="s">
        <v>7</v>
      </c>
      <c r="D136" s="13" t="s">
        <v>937</v>
      </c>
      <c r="E136" t="s">
        <v>6263</v>
      </c>
      <c r="J136" t="s">
        <v>6810</v>
      </c>
      <c r="K136" t="s">
        <v>6805</v>
      </c>
    </row>
    <row r="137" spans="1:11" outlineLevel="1" x14ac:dyDescent="0.3">
      <c r="A137" t="s">
        <v>939</v>
      </c>
      <c r="B137" t="s">
        <v>35</v>
      </c>
      <c r="C137" s="13" t="s">
        <v>7</v>
      </c>
      <c r="D137" s="13" t="s">
        <v>937</v>
      </c>
      <c r="E137" t="s">
        <v>6263</v>
      </c>
      <c r="J137" t="s">
        <v>6810</v>
      </c>
      <c r="K137" t="s">
        <v>6805</v>
      </c>
    </row>
    <row r="138" spans="1:11" outlineLevel="1" x14ac:dyDescent="0.3">
      <c r="A138" t="s">
        <v>940</v>
      </c>
      <c r="B138" t="s">
        <v>35</v>
      </c>
      <c r="C138" s="13" t="s">
        <v>7</v>
      </c>
      <c r="D138" s="13" t="s">
        <v>937</v>
      </c>
      <c r="E138" t="s">
        <v>6263</v>
      </c>
      <c r="J138" t="s">
        <v>6810</v>
      </c>
      <c r="K138" t="s">
        <v>6805</v>
      </c>
    </row>
    <row r="139" spans="1:11" outlineLevel="1" x14ac:dyDescent="0.3">
      <c r="A139" t="s">
        <v>941</v>
      </c>
      <c r="B139" t="s">
        <v>35</v>
      </c>
      <c r="C139" s="13" t="s">
        <v>9</v>
      </c>
      <c r="D139" s="13" t="s">
        <v>942</v>
      </c>
      <c r="E139" t="s">
        <v>6247</v>
      </c>
      <c r="J139" t="s">
        <v>6804</v>
      </c>
      <c r="K139" t="s">
        <v>6805</v>
      </c>
    </row>
    <row r="140" spans="1:11" outlineLevel="1" x14ac:dyDescent="0.3">
      <c r="A140" t="s">
        <v>943</v>
      </c>
      <c r="B140" t="s">
        <v>35</v>
      </c>
      <c r="C140" s="13" t="s">
        <v>9</v>
      </c>
      <c r="D140" s="13" t="s">
        <v>942</v>
      </c>
      <c r="E140" t="s">
        <v>6247</v>
      </c>
      <c r="J140" t="s">
        <v>6804</v>
      </c>
      <c r="K140" t="s">
        <v>6805</v>
      </c>
    </row>
    <row r="141" spans="1:11" outlineLevel="1" x14ac:dyDescent="0.3">
      <c r="A141" t="s">
        <v>944</v>
      </c>
      <c r="B141" t="s">
        <v>35</v>
      </c>
      <c r="C141" s="13" t="s">
        <v>7</v>
      </c>
      <c r="D141" s="13" t="s">
        <v>945</v>
      </c>
      <c r="E141" t="s">
        <v>6249</v>
      </c>
      <c r="J141" t="s">
        <v>6811</v>
      </c>
      <c r="K141" t="s">
        <v>6805</v>
      </c>
    </row>
    <row r="142" spans="1:11" outlineLevel="1" x14ac:dyDescent="0.3">
      <c r="A142" t="s">
        <v>946</v>
      </c>
      <c r="B142" t="s">
        <v>35</v>
      </c>
      <c r="C142" s="13" t="s">
        <v>7</v>
      </c>
      <c r="D142" s="13" t="s">
        <v>947</v>
      </c>
      <c r="E142" t="s">
        <v>6613</v>
      </c>
    </row>
    <row r="143" spans="1:11" outlineLevel="1" x14ac:dyDescent="0.3">
      <c r="A143" t="s">
        <v>948</v>
      </c>
      <c r="B143" t="s">
        <v>35</v>
      </c>
      <c r="C143" s="13" t="s">
        <v>7</v>
      </c>
      <c r="D143" s="13" t="s">
        <v>947</v>
      </c>
      <c r="E143" t="s">
        <v>6613</v>
      </c>
      <c r="J143" t="s">
        <v>6812</v>
      </c>
      <c r="K143" t="s">
        <v>6805</v>
      </c>
    </row>
    <row r="144" spans="1:11" outlineLevel="1" x14ac:dyDescent="0.3">
      <c r="A144" t="s">
        <v>949</v>
      </c>
      <c r="B144" t="s">
        <v>35</v>
      </c>
      <c r="C144" s="13" t="s">
        <v>9</v>
      </c>
      <c r="D144" s="13" t="s">
        <v>950</v>
      </c>
      <c r="E144" t="s">
        <v>6167</v>
      </c>
    </row>
    <row r="145" spans="1:11" outlineLevel="1" x14ac:dyDescent="0.3">
      <c r="A145" t="s">
        <v>951</v>
      </c>
      <c r="B145" t="s">
        <v>35</v>
      </c>
      <c r="C145" s="13" t="s">
        <v>9</v>
      </c>
      <c r="D145" s="13" t="s">
        <v>950</v>
      </c>
      <c r="E145" t="s">
        <v>6167</v>
      </c>
      <c r="J145" t="s">
        <v>6813</v>
      </c>
      <c r="K145" t="s">
        <v>6803</v>
      </c>
    </row>
    <row r="146" spans="1:11" outlineLevel="1" x14ac:dyDescent="0.3">
      <c r="A146" t="s">
        <v>952</v>
      </c>
      <c r="B146" t="s">
        <v>35</v>
      </c>
      <c r="C146" s="13" t="s">
        <v>9</v>
      </c>
      <c r="D146" s="13" t="s">
        <v>953</v>
      </c>
      <c r="E146" t="s">
        <v>6185</v>
      </c>
    </row>
    <row r="147" spans="1:11" outlineLevel="1" x14ac:dyDescent="0.3">
      <c r="A147" s="25" t="s">
        <v>954</v>
      </c>
      <c r="B147" s="25" t="s">
        <v>35</v>
      </c>
      <c r="C147" s="26" t="s">
        <v>9</v>
      </c>
      <c r="D147" s="26" t="s">
        <v>6885</v>
      </c>
      <c r="E147" s="25" t="s">
        <v>6273</v>
      </c>
      <c r="F147" s="25"/>
      <c r="G147" s="25"/>
      <c r="H147" s="25"/>
      <c r="I147" s="25"/>
      <c r="J147" s="25" t="s">
        <v>6814</v>
      </c>
      <c r="K147" s="25" t="s">
        <v>6805</v>
      </c>
    </row>
    <row r="148" spans="1:11" outlineLevel="1" x14ac:dyDescent="0.3">
      <c r="A148" t="s">
        <v>955</v>
      </c>
      <c r="B148" t="s">
        <v>35</v>
      </c>
      <c r="C148" s="13" t="s">
        <v>7</v>
      </c>
      <c r="D148" s="13" t="s">
        <v>956</v>
      </c>
      <c r="E148" t="s">
        <v>6260</v>
      </c>
    </row>
    <row r="149" spans="1:11" outlineLevel="1" x14ac:dyDescent="0.3">
      <c r="A149" t="s">
        <v>957</v>
      </c>
      <c r="B149" t="s">
        <v>35</v>
      </c>
      <c r="C149" s="13" t="s">
        <v>9</v>
      </c>
      <c r="D149" s="13" t="s">
        <v>958</v>
      </c>
      <c r="E149" t="s">
        <v>6173</v>
      </c>
      <c r="J149" t="s">
        <v>6815</v>
      </c>
      <c r="K149" t="s">
        <v>6806</v>
      </c>
    </row>
    <row r="150" spans="1:11" outlineLevel="1" x14ac:dyDescent="0.3">
      <c r="A150" t="s">
        <v>959</v>
      </c>
      <c r="B150" t="s">
        <v>35</v>
      </c>
      <c r="C150" s="13" t="s">
        <v>9</v>
      </c>
      <c r="D150" s="13" t="s">
        <v>958</v>
      </c>
      <c r="E150" t="s">
        <v>6173</v>
      </c>
      <c r="J150" t="s">
        <v>6815</v>
      </c>
      <c r="K150" t="s">
        <v>6806</v>
      </c>
    </row>
    <row r="151" spans="1:11" outlineLevel="1" x14ac:dyDescent="0.3">
      <c r="A151" t="s">
        <v>960</v>
      </c>
      <c r="B151" t="s">
        <v>35</v>
      </c>
      <c r="C151" s="13" t="s">
        <v>9</v>
      </c>
      <c r="D151" s="13" t="s">
        <v>958</v>
      </c>
      <c r="E151" t="s">
        <v>6173</v>
      </c>
      <c r="J151" t="s">
        <v>6815</v>
      </c>
      <c r="K151" t="s">
        <v>6806</v>
      </c>
    </row>
    <row r="152" spans="1:11" outlineLevel="1" x14ac:dyDescent="0.3">
      <c r="A152" t="s">
        <v>961</v>
      </c>
      <c r="B152" t="s">
        <v>35</v>
      </c>
      <c r="C152" s="13" t="s">
        <v>9</v>
      </c>
      <c r="D152" s="13" t="s">
        <v>958</v>
      </c>
      <c r="E152" t="s">
        <v>6173</v>
      </c>
      <c r="J152" t="s">
        <v>6815</v>
      </c>
      <c r="K152" t="s">
        <v>6806</v>
      </c>
    </row>
    <row r="153" spans="1:11" outlineLevel="1" x14ac:dyDescent="0.3">
      <c r="A153" t="s">
        <v>962</v>
      </c>
      <c r="B153" t="s">
        <v>35</v>
      </c>
      <c r="C153" s="13" t="s">
        <v>9</v>
      </c>
      <c r="D153" s="13" t="s">
        <v>963</v>
      </c>
      <c r="E153" t="s">
        <v>6170</v>
      </c>
    </row>
    <row r="154" spans="1:11" outlineLevel="1" x14ac:dyDescent="0.3">
      <c r="A154" t="s">
        <v>964</v>
      </c>
      <c r="B154" t="s">
        <v>35</v>
      </c>
      <c r="C154" s="13" t="s">
        <v>7</v>
      </c>
      <c r="D154" s="13" t="s">
        <v>965</v>
      </c>
      <c r="E154" t="s">
        <v>6260</v>
      </c>
    </row>
    <row r="155" spans="1:11" outlineLevel="1" x14ac:dyDescent="0.3">
      <c r="A155" t="s">
        <v>966</v>
      </c>
      <c r="B155" t="s">
        <v>35</v>
      </c>
      <c r="C155" s="13" t="s">
        <v>7</v>
      </c>
      <c r="D155" s="13" t="s">
        <v>967</v>
      </c>
      <c r="E155" t="s">
        <v>6185</v>
      </c>
    </row>
    <row r="156" spans="1:11" outlineLevel="1" x14ac:dyDescent="0.3">
      <c r="A156" t="s">
        <v>167</v>
      </c>
      <c r="B156" t="s">
        <v>168</v>
      </c>
      <c r="C156" s="21"/>
    </row>
    <row r="157" spans="1:11" outlineLevel="1" x14ac:dyDescent="0.3">
      <c r="A157" t="s">
        <v>968</v>
      </c>
      <c r="B157" t="s">
        <v>168</v>
      </c>
      <c r="C157" s="13" t="s">
        <v>9</v>
      </c>
      <c r="D157" s="13" t="s">
        <v>969</v>
      </c>
      <c r="E157" t="s">
        <v>6351</v>
      </c>
    </row>
    <row r="158" spans="1:11" outlineLevel="1" x14ac:dyDescent="0.3">
      <c r="A158" t="s">
        <v>970</v>
      </c>
      <c r="B158" t="s">
        <v>168</v>
      </c>
      <c r="C158" s="13" t="s">
        <v>9</v>
      </c>
      <c r="D158" s="13" t="s">
        <v>971</v>
      </c>
      <c r="E158" t="s">
        <v>6354</v>
      </c>
      <c r="J158" t="s">
        <v>6816</v>
      </c>
      <c r="K158" t="s">
        <v>6817</v>
      </c>
    </row>
    <row r="159" spans="1:11" outlineLevel="1" x14ac:dyDescent="0.3">
      <c r="A159" t="s">
        <v>972</v>
      </c>
      <c r="B159" t="s">
        <v>168</v>
      </c>
      <c r="C159" s="13" t="s">
        <v>9</v>
      </c>
      <c r="D159" s="13" t="s">
        <v>973</v>
      </c>
      <c r="E159" t="s">
        <v>6357</v>
      </c>
      <c r="J159" t="s">
        <v>6818</v>
      </c>
      <c r="K159" t="s">
        <v>6817</v>
      </c>
    </row>
    <row r="160" spans="1:11" outlineLevel="1" x14ac:dyDescent="0.3">
      <c r="A160" t="s">
        <v>974</v>
      </c>
      <c r="B160" t="s">
        <v>168</v>
      </c>
      <c r="C160" s="13" t="s">
        <v>9</v>
      </c>
      <c r="D160" s="13" t="s">
        <v>975</v>
      </c>
      <c r="E160" t="s">
        <v>6336</v>
      </c>
      <c r="J160" t="s">
        <v>6819</v>
      </c>
      <c r="K160" t="s">
        <v>6817</v>
      </c>
    </row>
    <row r="161" spans="1:11" outlineLevel="1" x14ac:dyDescent="0.3">
      <c r="A161" t="s">
        <v>976</v>
      </c>
      <c r="B161" t="s">
        <v>168</v>
      </c>
      <c r="C161" s="13" t="s">
        <v>9</v>
      </c>
      <c r="D161" s="13" t="s">
        <v>975</v>
      </c>
      <c r="E161" t="s">
        <v>6336</v>
      </c>
      <c r="J161" t="s">
        <v>6819</v>
      </c>
      <c r="K161" t="s">
        <v>6817</v>
      </c>
    </row>
    <row r="162" spans="1:11" outlineLevel="1" x14ac:dyDescent="0.3">
      <c r="A162" t="s">
        <v>977</v>
      </c>
      <c r="B162" t="s">
        <v>168</v>
      </c>
      <c r="C162" s="13" t="s">
        <v>9</v>
      </c>
      <c r="D162" s="13" t="s">
        <v>978</v>
      </c>
      <c r="E162" t="s">
        <v>6339</v>
      </c>
      <c r="J162" t="s">
        <v>6865</v>
      </c>
      <c r="K162" t="s">
        <v>6817</v>
      </c>
    </row>
    <row r="163" spans="1:11" outlineLevel="1" x14ac:dyDescent="0.3">
      <c r="A163" t="s">
        <v>979</v>
      </c>
      <c r="B163" t="s">
        <v>168</v>
      </c>
      <c r="C163" s="13" t="s">
        <v>9</v>
      </c>
      <c r="D163" s="13" t="s">
        <v>978</v>
      </c>
      <c r="E163" t="s">
        <v>6339</v>
      </c>
    </row>
    <row r="164" spans="1:11" outlineLevel="1" x14ac:dyDescent="0.3">
      <c r="A164" t="s">
        <v>980</v>
      </c>
      <c r="B164" t="s">
        <v>168</v>
      </c>
      <c r="C164" s="13" t="s">
        <v>9</v>
      </c>
      <c r="D164" s="13" t="s">
        <v>978</v>
      </c>
      <c r="E164" t="s">
        <v>6339</v>
      </c>
    </row>
    <row r="165" spans="1:11" outlineLevel="1" x14ac:dyDescent="0.3">
      <c r="A165" t="s">
        <v>981</v>
      </c>
      <c r="B165" t="s">
        <v>168</v>
      </c>
      <c r="C165" s="13" t="s">
        <v>9</v>
      </c>
      <c r="D165" s="13" t="s">
        <v>978</v>
      </c>
      <c r="E165" t="s">
        <v>6339</v>
      </c>
    </row>
    <row r="166" spans="1:11" outlineLevel="1" x14ac:dyDescent="0.3">
      <c r="A166" t="s">
        <v>982</v>
      </c>
      <c r="B166" t="s">
        <v>168</v>
      </c>
      <c r="C166" s="13" t="s">
        <v>9</v>
      </c>
      <c r="D166" s="13" t="s">
        <v>978</v>
      </c>
      <c r="E166" t="s">
        <v>6339</v>
      </c>
      <c r="J166" t="s">
        <v>6865</v>
      </c>
      <c r="K166" t="s">
        <v>6817</v>
      </c>
    </row>
    <row r="167" spans="1:11" outlineLevel="1" x14ac:dyDescent="0.3">
      <c r="A167" t="s">
        <v>983</v>
      </c>
      <c r="B167" t="s">
        <v>168</v>
      </c>
      <c r="C167" s="13" t="s">
        <v>9</v>
      </c>
      <c r="D167" s="13" t="s">
        <v>978</v>
      </c>
      <c r="E167" t="s">
        <v>6339</v>
      </c>
    </row>
    <row r="168" spans="1:11" outlineLevel="1" x14ac:dyDescent="0.3">
      <c r="A168" t="s">
        <v>984</v>
      </c>
      <c r="B168" t="s">
        <v>168</v>
      </c>
      <c r="C168" s="13" t="s">
        <v>9</v>
      </c>
      <c r="D168" s="13" t="s">
        <v>978</v>
      </c>
      <c r="E168" t="s">
        <v>6339</v>
      </c>
    </row>
    <row r="169" spans="1:11" outlineLevel="1" x14ac:dyDescent="0.3">
      <c r="A169" t="s">
        <v>985</v>
      </c>
      <c r="B169" t="s">
        <v>168</v>
      </c>
      <c r="C169" s="13" t="s">
        <v>9</v>
      </c>
      <c r="D169" s="13" t="s">
        <v>978</v>
      </c>
      <c r="E169" t="s">
        <v>6339</v>
      </c>
    </row>
    <row r="170" spans="1:11" outlineLevel="1" x14ac:dyDescent="0.3">
      <c r="A170" t="s">
        <v>986</v>
      </c>
      <c r="B170" t="s">
        <v>168</v>
      </c>
      <c r="C170" s="13" t="s">
        <v>9</v>
      </c>
      <c r="D170" s="13" t="s">
        <v>987</v>
      </c>
      <c r="E170" t="s">
        <v>6342</v>
      </c>
    </row>
    <row r="171" spans="1:11" outlineLevel="1" x14ac:dyDescent="0.3">
      <c r="A171" t="s">
        <v>988</v>
      </c>
      <c r="B171" t="s">
        <v>168</v>
      </c>
      <c r="C171" s="13" t="s">
        <v>9</v>
      </c>
      <c r="D171" s="13" t="s">
        <v>987</v>
      </c>
      <c r="E171" t="s">
        <v>6342</v>
      </c>
      <c r="J171" t="s">
        <v>6820</v>
      </c>
      <c r="K171" t="s">
        <v>6817</v>
      </c>
    </row>
    <row r="172" spans="1:11" outlineLevel="1" x14ac:dyDescent="0.3">
      <c r="A172" t="s">
        <v>989</v>
      </c>
      <c r="B172" t="s">
        <v>168</v>
      </c>
      <c r="C172" s="13" t="s">
        <v>9</v>
      </c>
      <c r="D172" s="13" t="s">
        <v>987</v>
      </c>
      <c r="E172" t="s">
        <v>6342</v>
      </c>
      <c r="J172" t="s">
        <v>6820</v>
      </c>
      <c r="K172" t="s">
        <v>6817</v>
      </c>
    </row>
    <row r="173" spans="1:11" outlineLevel="1" x14ac:dyDescent="0.3">
      <c r="A173" t="s">
        <v>990</v>
      </c>
      <c r="B173" t="s">
        <v>168</v>
      </c>
      <c r="C173" s="13" t="s">
        <v>9</v>
      </c>
      <c r="D173" s="13" t="s">
        <v>987</v>
      </c>
      <c r="E173" t="s">
        <v>6342</v>
      </c>
    </row>
    <row r="174" spans="1:11" outlineLevel="1" x14ac:dyDescent="0.3">
      <c r="A174" t="s">
        <v>991</v>
      </c>
      <c r="B174" t="s">
        <v>168</v>
      </c>
      <c r="C174" s="13" t="s">
        <v>9</v>
      </c>
      <c r="D174" s="13" t="s">
        <v>987</v>
      </c>
      <c r="E174" t="s">
        <v>6342</v>
      </c>
    </row>
    <row r="175" spans="1:11" outlineLevel="1" x14ac:dyDescent="0.3">
      <c r="A175" t="s">
        <v>992</v>
      </c>
      <c r="B175" t="s">
        <v>168</v>
      </c>
      <c r="C175" s="13" t="s">
        <v>9</v>
      </c>
      <c r="D175" s="13" t="s">
        <v>987</v>
      </c>
      <c r="E175" t="s">
        <v>6342</v>
      </c>
      <c r="J175" s="13" t="s">
        <v>987</v>
      </c>
      <c r="K175" t="s">
        <v>6817</v>
      </c>
    </row>
    <row r="176" spans="1:11" outlineLevel="1" x14ac:dyDescent="0.3">
      <c r="A176" t="s">
        <v>993</v>
      </c>
      <c r="B176" t="s">
        <v>168</v>
      </c>
      <c r="C176" s="13" t="s">
        <v>9</v>
      </c>
      <c r="D176" s="13" t="s">
        <v>987</v>
      </c>
      <c r="E176" t="s">
        <v>6342</v>
      </c>
      <c r="J176" t="s">
        <v>6820</v>
      </c>
      <c r="K176" t="s">
        <v>6817</v>
      </c>
    </row>
    <row r="177" spans="1:11" outlineLevel="1" x14ac:dyDescent="0.3">
      <c r="A177" t="s">
        <v>994</v>
      </c>
      <c r="B177" t="s">
        <v>168</v>
      </c>
      <c r="C177" s="13" t="s">
        <v>9</v>
      </c>
      <c r="D177" s="13" t="s">
        <v>987</v>
      </c>
      <c r="E177" t="s">
        <v>6342</v>
      </c>
    </row>
    <row r="178" spans="1:11" outlineLevel="1" x14ac:dyDescent="0.3">
      <c r="A178" t="s">
        <v>995</v>
      </c>
      <c r="B178" t="s">
        <v>168</v>
      </c>
      <c r="C178" s="13" t="s">
        <v>9</v>
      </c>
      <c r="D178" s="13" t="s">
        <v>996</v>
      </c>
      <c r="E178" t="s">
        <v>6360</v>
      </c>
      <c r="J178" t="s">
        <v>6821</v>
      </c>
      <c r="K178" t="s">
        <v>6817</v>
      </c>
    </row>
    <row r="179" spans="1:11" outlineLevel="1" x14ac:dyDescent="0.3">
      <c r="A179" t="s">
        <v>997</v>
      </c>
      <c r="B179" t="s">
        <v>168</v>
      </c>
      <c r="C179" s="13" t="s">
        <v>9</v>
      </c>
      <c r="D179" s="13" t="s">
        <v>998</v>
      </c>
      <c r="E179" t="s">
        <v>6346</v>
      </c>
      <c r="K179" t="s">
        <v>6822</v>
      </c>
    </row>
    <row r="180" spans="1:11" outlineLevel="1" x14ac:dyDescent="0.3">
      <c r="A180" t="s">
        <v>999</v>
      </c>
      <c r="B180" t="s">
        <v>168</v>
      </c>
      <c r="C180" s="13" t="s">
        <v>9</v>
      </c>
      <c r="D180" s="13" t="s">
        <v>998</v>
      </c>
      <c r="E180" t="s">
        <v>6346</v>
      </c>
      <c r="K180" t="s">
        <v>6817</v>
      </c>
    </row>
    <row r="181" spans="1:11" outlineLevel="1" x14ac:dyDescent="0.3">
      <c r="A181" t="s">
        <v>1000</v>
      </c>
      <c r="B181" t="s">
        <v>168</v>
      </c>
      <c r="C181" s="13" t="s">
        <v>9</v>
      </c>
      <c r="D181" s="13" t="s">
        <v>998</v>
      </c>
      <c r="E181" t="s">
        <v>6346</v>
      </c>
    </row>
    <row r="182" spans="1:11" outlineLevel="1" x14ac:dyDescent="0.3">
      <c r="A182" t="s">
        <v>1001</v>
      </c>
      <c r="B182" t="s">
        <v>168</v>
      </c>
      <c r="C182" s="13" t="s">
        <v>9</v>
      </c>
      <c r="D182" s="13" t="s">
        <v>998</v>
      </c>
      <c r="E182" t="s">
        <v>6346</v>
      </c>
    </row>
    <row r="183" spans="1:11" outlineLevel="1" x14ac:dyDescent="0.3">
      <c r="A183" t="s">
        <v>1002</v>
      </c>
      <c r="B183" t="s">
        <v>168</v>
      </c>
      <c r="C183" s="13" t="s">
        <v>9</v>
      </c>
      <c r="D183" s="13" t="s">
        <v>1003</v>
      </c>
      <c r="E183" t="s">
        <v>6390</v>
      </c>
    </row>
    <row r="184" spans="1:11" outlineLevel="1" x14ac:dyDescent="0.3">
      <c r="A184" t="s">
        <v>1004</v>
      </c>
      <c r="B184" t="s">
        <v>168</v>
      </c>
      <c r="C184" s="13" t="s">
        <v>9</v>
      </c>
      <c r="D184" s="13" t="s">
        <v>1003</v>
      </c>
      <c r="E184" t="s">
        <v>6390</v>
      </c>
    </row>
    <row r="185" spans="1:11" outlineLevel="1" x14ac:dyDescent="0.3">
      <c r="A185" t="s">
        <v>1005</v>
      </c>
      <c r="B185" t="s">
        <v>168</v>
      </c>
      <c r="C185" s="13" t="s">
        <v>9</v>
      </c>
      <c r="D185" s="13" t="s">
        <v>1006</v>
      </c>
      <c r="E185" t="s">
        <v>6394</v>
      </c>
      <c r="J185" t="s">
        <v>6866</v>
      </c>
      <c r="K185" t="s">
        <v>6822</v>
      </c>
    </row>
    <row r="186" spans="1:11" outlineLevel="1" x14ac:dyDescent="0.3">
      <c r="A186" t="s">
        <v>1007</v>
      </c>
      <c r="B186" t="s">
        <v>168</v>
      </c>
      <c r="C186" s="13" t="s">
        <v>9</v>
      </c>
      <c r="D186" s="13" t="s">
        <v>1006</v>
      </c>
      <c r="E186" t="s">
        <v>6394</v>
      </c>
      <c r="J186" t="s">
        <v>6866</v>
      </c>
      <c r="K186" t="s">
        <v>6822</v>
      </c>
    </row>
    <row r="187" spans="1:11" outlineLevel="1" x14ac:dyDescent="0.3">
      <c r="A187" t="s">
        <v>1008</v>
      </c>
      <c r="B187" t="s">
        <v>168</v>
      </c>
      <c r="C187" s="13" t="s">
        <v>7</v>
      </c>
      <c r="D187" s="13" t="s">
        <v>1009</v>
      </c>
      <c r="E187" t="s">
        <v>6366</v>
      </c>
    </row>
    <row r="188" spans="1:11" outlineLevel="1" x14ac:dyDescent="0.3">
      <c r="A188" t="s">
        <v>1010</v>
      </c>
      <c r="B188" t="s">
        <v>168</v>
      </c>
      <c r="C188" s="13" t="s">
        <v>9</v>
      </c>
      <c r="D188" s="13" t="s">
        <v>1011</v>
      </c>
      <c r="E188" t="s">
        <v>6379</v>
      </c>
      <c r="J188" t="s">
        <v>6823</v>
      </c>
      <c r="K188" t="s">
        <v>6817</v>
      </c>
    </row>
    <row r="189" spans="1:11" outlineLevel="1" x14ac:dyDescent="0.3">
      <c r="A189" t="s">
        <v>1012</v>
      </c>
      <c r="B189" t="s">
        <v>168</v>
      </c>
      <c r="C189" s="13" t="s">
        <v>9</v>
      </c>
      <c r="D189" s="13" t="s">
        <v>1011</v>
      </c>
      <c r="E189" t="s">
        <v>6379</v>
      </c>
      <c r="J189" t="s">
        <v>6823</v>
      </c>
      <c r="K189" t="s">
        <v>6817</v>
      </c>
    </row>
    <row r="190" spans="1:11" outlineLevel="1" x14ac:dyDescent="0.3">
      <c r="A190" t="s">
        <v>1013</v>
      </c>
      <c r="B190" t="s">
        <v>168</v>
      </c>
      <c r="C190" s="13" t="s">
        <v>9</v>
      </c>
      <c r="D190" s="13" t="s">
        <v>1011</v>
      </c>
      <c r="E190" t="s">
        <v>6379</v>
      </c>
      <c r="J190" t="s">
        <v>6823</v>
      </c>
      <c r="K190" t="s">
        <v>6817</v>
      </c>
    </row>
    <row r="191" spans="1:11" outlineLevel="1" x14ac:dyDescent="0.3">
      <c r="A191" t="s">
        <v>1014</v>
      </c>
      <c r="B191" t="s">
        <v>168</v>
      </c>
      <c r="C191" s="13" t="s">
        <v>9</v>
      </c>
      <c r="D191" s="13" t="s">
        <v>1015</v>
      </c>
      <c r="E191" t="s">
        <v>6379</v>
      </c>
      <c r="K191" t="s">
        <v>6796</v>
      </c>
    </row>
    <row r="192" spans="1:11" outlineLevel="1" x14ac:dyDescent="0.3">
      <c r="A192" t="s">
        <v>1016</v>
      </c>
      <c r="B192" t="s">
        <v>168</v>
      </c>
      <c r="C192" s="13" t="s">
        <v>9</v>
      </c>
      <c r="D192" s="13" t="s">
        <v>1015</v>
      </c>
      <c r="E192" t="s">
        <v>6379</v>
      </c>
      <c r="K192" t="s">
        <v>6796</v>
      </c>
    </row>
    <row r="193" spans="1:11" outlineLevel="1" x14ac:dyDescent="0.3">
      <c r="A193" t="s">
        <v>1017</v>
      </c>
      <c r="B193" t="s">
        <v>168</v>
      </c>
      <c r="C193" s="13" t="s">
        <v>9</v>
      </c>
      <c r="D193" s="13" t="s">
        <v>1015</v>
      </c>
      <c r="E193" t="s">
        <v>6379</v>
      </c>
    </row>
    <row r="194" spans="1:11" outlineLevel="1" x14ac:dyDescent="0.3">
      <c r="A194" t="s">
        <v>1018</v>
      </c>
      <c r="B194" t="s">
        <v>168</v>
      </c>
      <c r="C194" s="13" t="s">
        <v>9</v>
      </c>
      <c r="D194" s="13" t="s">
        <v>1019</v>
      </c>
      <c r="E194" t="s">
        <v>6382</v>
      </c>
      <c r="J194" t="s">
        <v>6824</v>
      </c>
      <c r="K194" t="s">
        <v>6817</v>
      </c>
    </row>
    <row r="195" spans="1:11" outlineLevel="1" x14ac:dyDescent="0.3">
      <c r="A195" t="s">
        <v>1020</v>
      </c>
      <c r="B195" t="s">
        <v>168</v>
      </c>
      <c r="C195" s="13" t="s">
        <v>9</v>
      </c>
      <c r="D195" s="13" t="s">
        <v>1021</v>
      </c>
      <c r="E195" t="s">
        <v>6616</v>
      </c>
    </row>
    <row r="196" spans="1:11" outlineLevel="1" x14ac:dyDescent="0.3">
      <c r="A196" t="s">
        <v>1022</v>
      </c>
      <c r="B196" t="s">
        <v>168</v>
      </c>
      <c r="C196" s="13" t="s">
        <v>9</v>
      </c>
      <c r="D196" s="13" t="s">
        <v>1021</v>
      </c>
      <c r="E196" t="s">
        <v>6616</v>
      </c>
      <c r="J196" t="s">
        <v>6825</v>
      </c>
      <c r="K196" t="s">
        <v>6822</v>
      </c>
    </row>
    <row r="197" spans="1:11" outlineLevel="1" x14ac:dyDescent="0.3">
      <c r="A197" t="s">
        <v>1023</v>
      </c>
      <c r="B197" t="s">
        <v>168</v>
      </c>
      <c r="C197" s="13" t="s">
        <v>9</v>
      </c>
      <c r="D197" s="13" t="s">
        <v>1024</v>
      </c>
      <c r="E197" t="s">
        <v>6616</v>
      </c>
    </row>
    <row r="198" spans="1:11" outlineLevel="1" x14ac:dyDescent="0.3">
      <c r="A198" t="s">
        <v>1025</v>
      </c>
      <c r="B198" t="s">
        <v>168</v>
      </c>
      <c r="C198" s="13" t="s">
        <v>9</v>
      </c>
      <c r="D198" s="13" t="s">
        <v>1024</v>
      </c>
      <c r="E198" t="s">
        <v>6616</v>
      </c>
    </row>
    <row r="199" spans="1:11" outlineLevel="1" x14ac:dyDescent="0.3">
      <c r="A199" t="s">
        <v>1026</v>
      </c>
      <c r="B199" t="s">
        <v>168</v>
      </c>
      <c r="C199" s="13" t="s">
        <v>9</v>
      </c>
      <c r="D199" s="13" t="s">
        <v>1027</v>
      </c>
      <c r="E199" t="s">
        <v>6471</v>
      </c>
    </row>
    <row r="200" spans="1:11" outlineLevel="1" x14ac:dyDescent="0.3">
      <c r="A200" t="s">
        <v>1028</v>
      </c>
      <c r="B200" t="s">
        <v>168</v>
      </c>
      <c r="C200" s="13" t="s">
        <v>9</v>
      </c>
      <c r="D200" s="13" t="s">
        <v>1029</v>
      </c>
      <c r="E200" t="s">
        <v>6468</v>
      </c>
    </row>
    <row r="201" spans="1:11" outlineLevel="1" x14ac:dyDescent="0.3">
      <c r="A201" t="s">
        <v>1030</v>
      </c>
      <c r="B201" t="s">
        <v>168</v>
      </c>
      <c r="C201" s="13" t="s">
        <v>9</v>
      </c>
      <c r="D201" s="13" t="s">
        <v>1031</v>
      </c>
      <c r="E201" t="s">
        <v>6319</v>
      </c>
    </row>
    <row r="202" spans="1:11" outlineLevel="1" x14ac:dyDescent="0.3">
      <c r="A202" t="s">
        <v>1032</v>
      </c>
      <c r="B202" t="s">
        <v>168</v>
      </c>
      <c r="C202" s="13" t="s">
        <v>9</v>
      </c>
      <c r="D202" s="13" t="s">
        <v>1019</v>
      </c>
      <c r="E202" t="s">
        <v>6382</v>
      </c>
      <c r="K202" t="s">
        <v>6817</v>
      </c>
    </row>
    <row r="203" spans="1:11" outlineLevel="1" x14ac:dyDescent="0.3">
      <c r="A203" t="s">
        <v>1033</v>
      </c>
      <c r="B203" t="s">
        <v>168</v>
      </c>
      <c r="C203" s="13" t="s">
        <v>9</v>
      </c>
      <c r="D203" s="13" t="s">
        <v>1031</v>
      </c>
      <c r="E203" t="s">
        <v>6319</v>
      </c>
    </row>
    <row r="204" spans="1:11" outlineLevel="1" x14ac:dyDescent="0.3">
      <c r="A204" t="s">
        <v>1034</v>
      </c>
      <c r="B204" t="s">
        <v>168</v>
      </c>
      <c r="C204" s="13" t="s">
        <v>9</v>
      </c>
      <c r="D204" s="13" t="s">
        <v>1035</v>
      </c>
      <c r="E204" t="s">
        <v>6369</v>
      </c>
      <c r="J204" t="s">
        <v>6826</v>
      </c>
      <c r="K204" t="s">
        <v>6817</v>
      </c>
    </row>
    <row r="205" spans="1:11" outlineLevel="1" x14ac:dyDescent="0.3">
      <c r="A205" t="s">
        <v>1036</v>
      </c>
      <c r="B205" t="s">
        <v>168</v>
      </c>
      <c r="C205" s="13" t="s">
        <v>9</v>
      </c>
      <c r="D205" s="13" t="s">
        <v>1035</v>
      </c>
      <c r="E205" t="s">
        <v>6369</v>
      </c>
      <c r="J205" t="s">
        <v>6826</v>
      </c>
      <c r="K205" t="s">
        <v>6817</v>
      </c>
    </row>
    <row r="206" spans="1:11" outlineLevel="1" x14ac:dyDescent="0.3">
      <c r="A206" t="s">
        <v>1037</v>
      </c>
      <c r="B206" t="s">
        <v>168</v>
      </c>
      <c r="C206" s="13" t="s">
        <v>9</v>
      </c>
      <c r="D206" s="13" t="s">
        <v>1035</v>
      </c>
      <c r="E206" t="s">
        <v>6369</v>
      </c>
      <c r="J206" t="s">
        <v>6826</v>
      </c>
      <c r="K206" t="s">
        <v>6796</v>
      </c>
    </row>
    <row r="207" spans="1:11" outlineLevel="1" x14ac:dyDescent="0.3">
      <c r="A207" t="s">
        <v>1038</v>
      </c>
      <c r="B207" t="s">
        <v>168</v>
      </c>
      <c r="C207" s="13" t="s">
        <v>9</v>
      </c>
      <c r="D207" s="13" t="s">
        <v>6663</v>
      </c>
      <c r="E207" t="s">
        <v>6650</v>
      </c>
      <c r="K207" t="s">
        <v>6827</v>
      </c>
    </row>
    <row r="208" spans="1:11" outlineLevel="1" x14ac:dyDescent="0.3">
      <c r="A208" t="s">
        <v>1039</v>
      </c>
      <c r="B208" t="s">
        <v>168</v>
      </c>
      <c r="C208" s="13" t="s">
        <v>9</v>
      </c>
      <c r="D208" s="13" t="s">
        <v>6663</v>
      </c>
      <c r="E208" t="s">
        <v>6650</v>
      </c>
      <c r="K208" t="s">
        <v>6827</v>
      </c>
    </row>
    <row r="209" spans="1:11" outlineLevel="1" x14ac:dyDescent="0.3">
      <c r="A209" t="s">
        <v>1040</v>
      </c>
      <c r="B209" t="s">
        <v>168</v>
      </c>
      <c r="C209" s="13" t="s">
        <v>9</v>
      </c>
      <c r="D209" s="13" t="s">
        <v>6663</v>
      </c>
      <c r="E209" t="s">
        <v>6650</v>
      </c>
      <c r="K209" t="s">
        <v>6827</v>
      </c>
    </row>
    <row r="210" spans="1:11" outlineLevel="1" x14ac:dyDescent="0.3">
      <c r="A210" t="s">
        <v>1041</v>
      </c>
      <c r="B210" t="s">
        <v>168</v>
      </c>
      <c r="C210" s="13" t="s">
        <v>9</v>
      </c>
      <c r="D210" s="13" t="s">
        <v>6663</v>
      </c>
      <c r="E210" t="s">
        <v>6650</v>
      </c>
      <c r="K210" t="s">
        <v>6827</v>
      </c>
    </row>
    <row r="211" spans="1:11" outlineLevel="1" x14ac:dyDescent="0.3">
      <c r="A211" t="s">
        <v>1042</v>
      </c>
      <c r="B211" t="s">
        <v>168</v>
      </c>
      <c r="C211" s="13" t="s">
        <v>9</v>
      </c>
      <c r="D211" s="13" t="s">
        <v>6663</v>
      </c>
      <c r="E211" t="s">
        <v>6650</v>
      </c>
      <c r="K211" t="s">
        <v>6827</v>
      </c>
    </row>
    <row r="212" spans="1:11" outlineLevel="1" x14ac:dyDescent="0.3">
      <c r="A212" t="s">
        <v>1043</v>
      </c>
      <c r="B212" t="s">
        <v>168</v>
      </c>
      <c r="C212" s="13" t="s">
        <v>9</v>
      </c>
      <c r="D212" s="13" t="s">
        <v>6663</v>
      </c>
      <c r="E212" t="s">
        <v>6650</v>
      </c>
    </row>
    <row r="213" spans="1:11" outlineLevel="1" x14ac:dyDescent="0.3">
      <c r="A213" t="s">
        <v>1044</v>
      </c>
      <c r="B213" t="s">
        <v>168</v>
      </c>
      <c r="C213" s="13" t="s">
        <v>9</v>
      </c>
      <c r="D213" s="13" t="s">
        <v>1045</v>
      </c>
      <c r="E213" t="s">
        <v>6313</v>
      </c>
    </row>
    <row r="214" spans="1:11" outlineLevel="1" x14ac:dyDescent="0.3">
      <c r="A214" t="s">
        <v>1046</v>
      </c>
      <c r="B214" t="s">
        <v>168</v>
      </c>
      <c r="C214" s="13" t="s">
        <v>9</v>
      </c>
      <c r="D214" s="13" t="s">
        <v>1045</v>
      </c>
      <c r="E214" t="s">
        <v>6313</v>
      </c>
    </row>
    <row r="215" spans="1:11" outlineLevel="1" x14ac:dyDescent="0.3">
      <c r="A215" t="s">
        <v>1047</v>
      </c>
      <c r="B215" t="s">
        <v>168</v>
      </c>
      <c r="C215" s="13" t="s">
        <v>9</v>
      </c>
      <c r="D215" s="13" t="s">
        <v>1045</v>
      </c>
      <c r="E215" t="s">
        <v>6313</v>
      </c>
      <c r="K215" t="s">
        <v>6827</v>
      </c>
    </row>
    <row r="216" spans="1:11" outlineLevel="1" x14ac:dyDescent="0.3">
      <c r="A216" t="s">
        <v>1048</v>
      </c>
      <c r="B216" t="s">
        <v>168</v>
      </c>
      <c r="C216" s="13" t="s">
        <v>9</v>
      </c>
      <c r="D216" s="13" t="s">
        <v>1045</v>
      </c>
      <c r="E216" t="s">
        <v>6313</v>
      </c>
    </row>
    <row r="217" spans="1:11" outlineLevel="1" x14ac:dyDescent="0.3">
      <c r="A217" t="s">
        <v>1049</v>
      </c>
      <c r="B217" t="s">
        <v>168</v>
      </c>
      <c r="C217" s="13" t="s">
        <v>9</v>
      </c>
      <c r="D217" s="13" t="s">
        <v>1045</v>
      </c>
      <c r="E217" t="s">
        <v>6313</v>
      </c>
    </row>
    <row r="218" spans="1:11" outlineLevel="1" x14ac:dyDescent="0.3">
      <c r="A218" t="s">
        <v>1050</v>
      </c>
      <c r="B218" t="s">
        <v>168</v>
      </c>
      <c r="C218" s="13" t="s">
        <v>9</v>
      </c>
      <c r="D218" s="13" t="s">
        <v>1045</v>
      </c>
      <c r="E218" t="s">
        <v>6313</v>
      </c>
      <c r="K218" t="s">
        <v>6827</v>
      </c>
    </row>
    <row r="219" spans="1:11" outlineLevel="1" x14ac:dyDescent="0.3">
      <c r="A219" t="s">
        <v>1051</v>
      </c>
      <c r="B219" t="s">
        <v>168</v>
      </c>
      <c r="C219" s="13" t="s">
        <v>9</v>
      </c>
      <c r="D219" s="13" t="s">
        <v>1045</v>
      </c>
      <c r="E219" t="s">
        <v>6313</v>
      </c>
      <c r="K219" t="s">
        <v>6827</v>
      </c>
    </row>
    <row r="220" spans="1:11" outlineLevel="1" x14ac:dyDescent="0.3">
      <c r="A220" t="s">
        <v>1052</v>
      </c>
      <c r="B220" t="s">
        <v>168</v>
      </c>
      <c r="C220" s="13" t="s">
        <v>9</v>
      </c>
      <c r="D220" s="13" t="s">
        <v>1045</v>
      </c>
      <c r="E220" t="s">
        <v>6313</v>
      </c>
      <c r="K220" t="s">
        <v>6827</v>
      </c>
    </row>
    <row r="221" spans="1:11" outlineLevel="1" x14ac:dyDescent="0.3">
      <c r="A221" t="s">
        <v>1053</v>
      </c>
      <c r="B221" t="s">
        <v>168</v>
      </c>
      <c r="C221" s="13" t="s">
        <v>9</v>
      </c>
      <c r="D221" s="13" t="s">
        <v>1045</v>
      </c>
      <c r="E221" t="s">
        <v>6313</v>
      </c>
      <c r="K221" t="s">
        <v>6827</v>
      </c>
    </row>
    <row r="222" spans="1:11" outlineLevel="1" x14ac:dyDescent="0.3">
      <c r="A222" t="s">
        <v>1054</v>
      </c>
      <c r="B222" t="s">
        <v>168</v>
      </c>
      <c r="C222" s="13" t="s">
        <v>9</v>
      </c>
      <c r="D222" s="13" t="s">
        <v>1055</v>
      </c>
      <c r="E222" t="s">
        <v>6316</v>
      </c>
      <c r="K222" t="s">
        <v>6827</v>
      </c>
    </row>
    <row r="223" spans="1:11" outlineLevel="1" x14ac:dyDescent="0.3">
      <c r="A223" t="s">
        <v>1056</v>
      </c>
      <c r="B223" t="s">
        <v>168</v>
      </c>
      <c r="C223" s="13" t="s">
        <v>9</v>
      </c>
      <c r="D223" s="13" t="s">
        <v>1055</v>
      </c>
      <c r="E223" t="s">
        <v>6316</v>
      </c>
      <c r="K223" t="s">
        <v>6827</v>
      </c>
    </row>
    <row r="224" spans="1:11" outlineLevel="1" x14ac:dyDescent="0.3">
      <c r="A224" t="s">
        <v>1057</v>
      </c>
      <c r="B224" t="s">
        <v>168</v>
      </c>
      <c r="C224" s="13" t="s">
        <v>9</v>
      </c>
      <c r="D224" s="13" t="s">
        <v>1058</v>
      </c>
      <c r="E224" t="s">
        <v>6322</v>
      </c>
      <c r="K224" t="s">
        <v>6827</v>
      </c>
    </row>
    <row r="225" spans="1:11" outlineLevel="1" x14ac:dyDescent="0.3">
      <c r="A225" t="s">
        <v>1059</v>
      </c>
      <c r="B225" t="s">
        <v>168</v>
      </c>
      <c r="C225" s="13" t="s">
        <v>9</v>
      </c>
      <c r="D225" s="13" t="s">
        <v>1060</v>
      </c>
      <c r="E225" t="s">
        <v>6325</v>
      </c>
      <c r="K225" t="s">
        <v>6827</v>
      </c>
    </row>
    <row r="226" spans="1:11" outlineLevel="1" x14ac:dyDescent="0.3">
      <c r="A226" t="s">
        <v>1061</v>
      </c>
      <c r="B226" t="s">
        <v>168</v>
      </c>
      <c r="C226" s="13" t="s">
        <v>9</v>
      </c>
      <c r="D226" s="13" t="s">
        <v>1062</v>
      </c>
      <c r="E226" t="s">
        <v>6328</v>
      </c>
      <c r="K226" t="s">
        <v>6827</v>
      </c>
    </row>
    <row r="227" spans="1:11" outlineLevel="1" x14ac:dyDescent="0.3">
      <c r="A227" t="s">
        <v>1063</v>
      </c>
      <c r="B227" t="s">
        <v>168</v>
      </c>
      <c r="C227" s="13" t="s">
        <v>9</v>
      </c>
      <c r="D227" s="13" t="s">
        <v>1064</v>
      </c>
      <c r="E227" t="s">
        <v>6328</v>
      </c>
    </row>
    <row r="228" spans="1:11" outlineLevel="1" x14ac:dyDescent="0.3">
      <c r="A228" t="s">
        <v>1065</v>
      </c>
      <c r="B228" t="s">
        <v>168</v>
      </c>
      <c r="C228" s="13" t="s">
        <v>9</v>
      </c>
      <c r="D228" s="13" t="s">
        <v>1066</v>
      </c>
      <c r="E228" t="s">
        <v>6333</v>
      </c>
      <c r="K228" t="s">
        <v>6827</v>
      </c>
    </row>
    <row r="229" spans="1:11" outlineLevel="1" x14ac:dyDescent="0.3">
      <c r="A229" t="s">
        <v>1067</v>
      </c>
      <c r="B229" t="s">
        <v>168</v>
      </c>
      <c r="C229" s="13" t="s">
        <v>9</v>
      </c>
      <c r="D229" s="13" t="s">
        <v>1066</v>
      </c>
      <c r="E229" t="s">
        <v>6333</v>
      </c>
    </row>
    <row r="230" spans="1:11" outlineLevel="1" x14ac:dyDescent="0.3">
      <c r="A230" t="s">
        <v>1068</v>
      </c>
      <c r="B230" t="s">
        <v>168</v>
      </c>
      <c r="C230" s="13" t="s">
        <v>9</v>
      </c>
      <c r="D230" s="13" t="s">
        <v>1066</v>
      </c>
      <c r="E230" t="s">
        <v>6333</v>
      </c>
    </row>
    <row r="231" spans="1:11" outlineLevel="1" x14ac:dyDescent="0.3">
      <c r="A231" t="s">
        <v>1069</v>
      </c>
      <c r="B231" t="s">
        <v>168</v>
      </c>
      <c r="C231" s="13" t="s">
        <v>9</v>
      </c>
      <c r="D231" s="13" t="s">
        <v>1066</v>
      </c>
      <c r="E231" t="s">
        <v>6333</v>
      </c>
    </row>
    <row r="232" spans="1:11" outlineLevel="1" x14ac:dyDescent="0.3">
      <c r="A232" t="s">
        <v>1070</v>
      </c>
      <c r="B232" t="s">
        <v>168</v>
      </c>
      <c r="C232" s="13" t="s">
        <v>9</v>
      </c>
      <c r="D232" s="13" t="s">
        <v>1066</v>
      </c>
      <c r="E232" t="s">
        <v>6333</v>
      </c>
    </row>
    <row r="233" spans="1:11" outlineLevel="1" x14ac:dyDescent="0.3">
      <c r="A233" t="s">
        <v>1071</v>
      </c>
      <c r="B233" t="s">
        <v>168</v>
      </c>
      <c r="C233" s="13" t="s">
        <v>9</v>
      </c>
      <c r="D233" s="13" t="s">
        <v>1072</v>
      </c>
      <c r="E233" t="s">
        <v>6502</v>
      </c>
      <c r="J233" t="s">
        <v>6872</v>
      </c>
      <c r="K233" t="s">
        <v>6827</v>
      </c>
    </row>
    <row r="234" spans="1:11" outlineLevel="1" x14ac:dyDescent="0.3">
      <c r="A234" t="s">
        <v>1073</v>
      </c>
      <c r="B234" t="s">
        <v>168</v>
      </c>
      <c r="C234" s="13" t="s">
        <v>9</v>
      </c>
      <c r="D234" s="13" t="s">
        <v>1074</v>
      </c>
      <c r="E234" t="s">
        <v>6505</v>
      </c>
      <c r="J234" t="s">
        <v>6873</v>
      </c>
      <c r="K234" t="s">
        <v>6827</v>
      </c>
    </row>
    <row r="235" spans="1:11" outlineLevel="1" x14ac:dyDescent="0.3">
      <c r="A235" t="s">
        <v>1075</v>
      </c>
      <c r="B235" t="s">
        <v>168</v>
      </c>
      <c r="C235" s="13" t="s">
        <v>9</v>
      </c>
      <c r="D235" s="13" t="s">
        <v>1076</v>
      </c>
      <c r="E235" t="s">
        <v>6508</v>
      </c>
    </row>
    <row r="236" spans="1:11" outlineLevel="1" x14ac:dyDescent="0.3">
      <c r="A236" t="s">
        <v>1077</v>
      </c>
      <c r="B236" t="s">
        <v>168</v>
      </c>
      <c r="C236" s="13" t="s">
        <v>9</v>
      </c>
      <c r="D236" s="13" t="s">
        <v>1078</v>
      </c>
      <c r="E236" t="s">
        <v>6511</v>
      </c>
    </row>
    <row r="237" spans="1:11" outlineLevel="1" x14ac:dyDescent="0.3">
      <c r="A237" t="s">
        <v>1079</v>
      </c>
      <c r="B237" t="s">
        <v>168</v>
      </c>
      <c r="C237" s="13" t="s">
        <v>9</v>
      </c>
      <c r="D237" s="13" t="s">
        <v>1080</v>
      </c>
      <c r="E237" t="s">
        <v>6653</v>
      </c>
    </row>
    <row r="238" spans="1:11" outlineLevel="1" x14ac:dyDescent="0.3">
      <c r="A238" t="s">
        <v>1081</v>
      </c>
      <c r="B238" t="s">
        <v>168</v>
      </c>
      <c r="C238" s="13" t="s">
        <v>9</v>
      </c>
      <c r="D238" s="13" t="s">
        <v>1074</v>
      </c>
      <c r="E238" t="s">
        <v>6505</v>
      </c>
      <c r="J238" t="s">
        <v>6873</v>
      </c>
      <c r="K238" t="s">
        <v>6827</v>
      </c>
    </row>
    <row r="239" spans="1:11" outlineLevel="1" x14ac:dyDescent="0.3">
      <c r="A239" t="s">
        <v>1082</v>
      </c>
      <c r="B239" t="s">
        <v>168</v>
      </c>
      <c r="C239" s="13" t="s">
        <v>9</v>
      </c>
      <c r="D239" s="13" t="s">
        <v>1083</v>
      </c>
      <c r="E239" t="s">
        <v>6519</v>
      </c>
    </row>
    <row r="240" spans="1:11" outlineLevel="1" x14ac:dyDescent="0.3">
      <c r="A240" t="s">
        <v>1084</v>
      </c>
      <c r="B240" t="s">
        <v>168</v>
      </c>
      <c r="C240" s="13" t="s">
        <v>9</v>
      </c>
      <c r="D240" s="13" t="s">
        <v>1085</v>
      </c>
      <c r="E240" t="s">
        <v>6696</v>
      </c>
    </row>
    <row r="241" spans="1:11" outlineLevel="1" x14ac:dyDescent="0.3">
      <c r="A241" t="s">
        <v>1086</v>
      </c>
      <c r="B241" t="s">
        <v>168</v>
      </c>
      <c r="C241" s="13" t="s">
        <v>9</v>
      </c>
      <c r="D241" s="13" t="s">
        <v>1083</v>
      </c>
      <c r="E241" t="s">
        <v>6519</v>
      </c>
      <c r="J241" t="s">
        <v>6828</v>
      </c>
      <c r="K241" t="s">
        <v>6827</v>
      </c>
    </row>
    <row r="242" spans="1:11" outlineLevel="1" x14ac:dyDescent="0.3">
      <c r="A242" t="s">
        <v>1087</v>
      </c>
      <c r="B242" t="s">
        <v>168</v>
      </c>
      <c r="C242" s="13" t="s">
        <v>9</v>
      </c>
      <c r="D242" s="13" t="s">
        <v>1088</v>
      </c>
      <c r="E242" t="s">
        <v>6696</v>
      </c>
    </row>
    <row r="243" spans="1:11" outlineLevel="1" x14ac:dyDescent="0.3">
      <c r="A243" t="s">
        <v>1089</v>
      </c>
      <c r="B243" t="s">
        <v>168</v>
      </c>
      <c r="C243" s="13" t="s">
        <v>7</v>
      </c>
      <c r="D243" s="13" t="s">
        <v>1090</v>
      </c>
      <c r="E243" t="s">
        <v>6543</v>
      </c>
      <c r="J243" t="s">
        <v>6829</v>
      </c>
      <c r="K243" t="s">
        <v>6830</v>
      </c>
    </row>
    <row r="244" spans="1:11" outlineLevel="1" x14ac:dyDescent="0.3">
      <c r="A244" t="s">
        <v>1091</v>
      </c>
      <c r="B244" t="s">
        <v>168</v>
      </c>
      <c r="C244" s="13" t="s">
        <v>7</v>
      </c>
      <c r="D244" s="13" t="s">
        <v>1090</v>
      </c>
      <c r="E244" t="s">
        <v>6543</v>
      </c>
    </row>
    <row r="245" spans="1:11" outlineLevel="1" x14ac:dyDescent="0.3">
      <c r="A245" t="s">
        <v>1092</v>
      </c>
      <c r="B245" t="s">
        <v>168</v>
      </c>
      <c r="C245" s="13" t="s">
        <v>9</v>
      </c>
      <c r="D245" s="13" t="s">
        <v>1093</v>
      </c>
      <c r="E245" t="s">
        <v>6540</v>
      </c>
      <c r="J245" t="s">
        <v>6831</v>
      </c>
      <c r="K245" t="s">
        <v>6830</v>
      </c>
    </row>
    <row r="246" spans="1:11" outlineLevel="1" x14ac:dyDescent="0.3">
      <c r="A246" t="s">
        <v>1094</v>
      </c>
      <c r="B246" t="s">
        <v>168</v>
      </c>
      <c r="C246" s="13" t="s">
        <v>9</v>
      </c>
      <c r="D246" t="s">
        <v>6874</v>
      </c>
      <c r="E246" t="s">
        <v>6875</v>
      </c>
      <c r="K246" t="s">
        <v>6827</v>
      </c>
    </row>
    <row r="247" spans="1:11" outlineLevel="1" x14ac:dyDescent="0.3">
      <c r="A247" t="s">
        <v>1096</v>
      </c>
      <c r="B247" t="s">
        <v>168</v>
      </c>
      <c r="C247" s="13" t="s">
        <v>9</v>
      </c>
      <c r="D247" s="13" t="s">
        <v>6876</v>
      </c>
      <c r="E247" t="s">
        <v>6877</v>
      </c>
      <c r="K247" t="s">
        <v>6827</v>
      </c>
    </row>
    <row r="248" spans="1:11" outlineLevel="1" x14ac:dyDescent="0.3">
      <c r="A248" t="s">
        <v>1097</v>
      </c>
      <c r="B248" t="s">
        <v>168</v>
      </c>
      <c r="C248" s="13" t="s">
        <v>9</v>
      </c>
      <c r="D248" s="13" t="s">
        <v>1098</v>
      </c>
      <c r="E248" t="s">
        <v>6525</v>
      </c>
      <c r="K248" t="s">
        <v>6827</v>
      </c>
    </row>
    <row r="249" spans="1:11" outlineLevel="1" x14ac:dyDescent="0.3">
      <c r="A249" t="s">
        <v>1099</v>
      </c>
      <c r="B249" t="s">
        <v>168</v>
      </c>
      <c r="C249" s="13" t="s">
        <v>9</v>
      </c>
      <c r="D249" s="13" t="s">
        <v>1100</v>
      </c>
      <c r="E249" t="s">
        <v>6528</v>
      </c>
      <c r="K249" t="s">
        <v>6827</v>
      </c>
    </row>
    <row r="250" spans="1:11" outlineLevel="1" x14ac:dyDescent="0.3">
      <c r="A250" t="s">
        <v>1101</v>
      </c>
      <c r="B250" t="s">
        <v>168</v>
      </c>
      <c r="C250" s="13" t="s">
        <v>9</v>
      </c>
      <c r="D250" s="13" t="s">
        <v>1102</v>
      </c>
      <c r="E250" t="s">
        <v>6531</v>
      </c>
      <c r="J250" t="s">
        <v>6832</v>
      </c>
      <c r="K250" t="s">
        <v>6830</v>
      </c>
    </row>
    <row r="251" spans="1:11" outlineLevel="1" x14ac:dyDescent="0.3">
      <c r="A251" t="s">
        <v>1103</v>
      </c>
      <c r="B251" t="s">
        <v>168</v>
      </c>
      <c r="C251" s="13" t="s">
        <v>9</v>
      </c>
      <c r="D251" s="13" t="s">
        <v>1095</v>
      </c>
      <c r="E251" t="s">
        <v>6534</v>
      </c>
    </row>
    <row r="252" spans="1:11" outlineLevel="1" x14ac:dyDescent="0.3">
      <c r="A252" t="s">
        <v>1104</v>
      </c>
      <c r="B252" t="s">
        <v>168</v>
      </c>
      <c r="C252" s="13" t="s">
        <v>9</v>
      </c>
      <c r="D252" s="13" t="s">
        <v>1080</v>
      </c>
      <c r="E252" t="s">
        <v>6653</v>
      </c>
    </row>
    <row r="253" spans="1:11" outlineLevel="1" x14ac:dyDescent="0.3">
      <c r="A253" t="s">
        <v>1105</v>
      </c>
      <c r="B253" t="s">
        <v>168</v>
      </c>
      <c r="C253" s="13" t="s">
        <v>9</v>
      </c>
      <c r="D253" s="13" t="s">
        <v>1080</v>
      </c>
      <c r="E253" t="s">
        <v>6653</v>
      </c>
    </row>
    <row r="254" spans="1:11" outlineLevel="1" x14ac:dyDescent="0.3">
      <c r="A254" t="s">
        <v>1106</v>
      </c>
      <c r="B254" t="s">
        <v>168</v>
      </c>
      <c r="C254" s="13" t="s">
        <v>9</v>
      </c>
      <c r="D254" s="13" t="s">
        <v>1080</v>
      </c>
      <c r="E254" t="s">
        <v>6653</v>
      </c>
      <c r="K254" t="s">
        <v>6827</v>
      </c>
    </row>
    <row r="255" spans="1:11" outlineLevel="1" x14ac:dyDescent="0.3">
      <c r="A255" t="s">
        <v>1107</v>
      </c>
      <c r="B255" t="s">
        <v>168</v>
      </c>
      <c r="C255" s="13" t="s">
        <v>9</v>
      </c>
      <c r="D255" s="13" t="s">
        <v>1080</v>
      </c>
      <c r="E255" t="s">
        <v>6653</v>
      </c>
      <c r="K255" t="s">
        <v>6827</v>
      </c>
    </row>
    <row r="256" spans="1:11" outlineLevel="1" x14ac:dyDescent="0.3">
      <c r="A256" t="s">
        <v>1108</v>
      </c>
      <c r="B256" t="s">
        <v>168</v>
      </c>
      <c r="C256" s="13" t="s">
        <v>9</v>
      </c>
      <c r="D256" s="13" t="s">
        <v>1080</v>
      </c>
      <c r="E256" t="s">
        <v>6653</v>
      </c>
    </row>
    <row r="257" spans="1:11" outlineLevel="1" x14ac:dyDescent="0.3">
      <c r="A257" t="s">
        <v>1109</v>
      </c>
      <c r="B257" t="s">
        <v>168</v>
      </c>
      <c r="C257" s="13" t="s">
        <v>9</v>
      </c>
      <c r="D257" s="13" t="s">
        <v>1080</v>
      </c>
      <c r="E257" t="s">
        <v>6653</v>
      </c>
    </row>
    <row r="258" spans="1:11" outlineLevel="1" x14ac:dyDescent="0.3">
      <c r="A258" t="s">
        <v>1110</v>
      </c>
      <c r="B258" t="s">
        <v>168</v>
      </c>
      <c r="C258" s="13" t="s">
        <v>7</v>
      </c>
      <c r="D258" s="13" t="s">
        <v>1111</v>
      </c>
      <c r="E258" t="s">
        <v>6550</v>
      </c>
    </row>
    <row r="259" spans="1:11" outlineLevel="1" x14ac:dyDescent="0.3">
      <c r="A259" t="s">
        <v>1112</v>
      </c>
      <c r="B259" t="s">
        <v>168</v>
      </c>
      <c r="C259" s="13" t="s">
        <v>9</v>
      </c>
      <c r="D259" s="13" t="s">
        <v>1113</v>
      </c>
      <c r="E259" t="s">
        <v>6400</v>
      </c>
    </row>
    <row r="260" spans="1:11" outlineLevel="1" x14ac:dyDescent="0.3">
      <c r="A260" t="s">
        <v>1114</v>
      </c>
      <c r="B260" t="s">
        <v>168</v>
      </c>
      <c r="C260" s="13" t="s">
        <v>9</v>
      </c>
      <c r="D260" s="13" t="s">
        <v>1113</v>
      </c>
      <c r="E260" t="s">
        <v>6400</v>
      </c>
    </row>
    <row r="261" spans="1:11" outlineLevel="1" x14ac:dyDescent="0.3">
      <c r="A261" t="s">
        <v>1115</v>
      </c>
      <c r="B261" t="s">
        <v>168</v>
      </c>
      <c r="C261" s="13" t="s">
        <v>9</v>
      </c>
      <c r="D261" s="13" t="s">
        <v>1113</v>
      </c>
      <c r="E261" t="s">
        <v>6400</v>
      </c>
    </row>
    <row r="262" spans="1:11" outlineLevel="1" x14ac:dyDescent="0.3">
      <c r="A262" t="s">
        <v>1116</v>
      </c>
      <c r="B262" t="s">
        <v>168</v>
      </c>
      <c r="C262" s="13" t="s">
        <v>9</v>
      </c>
      <c r="D262" s="13" t="s">
        <v>1113</v>
      </c>
      <c r="E262" t="s">
        <v>6400</v>
      </c>
    </row>
    <row r="263" spans="1:11" outlineLevel="1" x14ac:dyDescent="0.3">
      <c r="A263" t="s">
        <v>1117</v>
      </c>
      <c r="B263" t="s">
        <v>168</v>
      </c>
      <c r="C263" s="13" t="s">
        <v>9</v>
      </c>
      <c r="D263" s="13" t="s">
        <v>6664</v>
      </c>
      <c r="E263" t="s">
        <v>6403</v>
      </c>
      <c r="K263" t="s">
        <v>6830</v>
      </c>
    </row>
    <row r="264" spans="1:11" outlineLevel="1" x14ac:dyDescent="0.3">
      <c r="A264" t="s">
        <v>1118</v>
      </c>
      <c r="B264" t="s">
        <v>168</v>
      </c>
      <c r="C264" s="13" t="s">
        <v>9</v>
      </c>
      <c r="D264" s="13" t="s">
        <v>6665</v>
      </c>
      <c r="E264" t="s">
        <v>6406</v>
      </c>
      <c r="K264" t="s">
        <v>6830</v>
      </c>
    </row>
    <row r="265" spans="1:11" outlineLevel="1" x14ac:dyDescent="0.3">
      <c r="A265" t="s">
        <v>1119</v>
      </c>
      <c r="B265" t="s">
        <v>168</v>
      </c>
      <c r="C265" s="13" t="s">
        <v>9</v>
      </c>
      <c r="D265" s="13" t="s">
        <v>1120</v>
      </c>
      <c r="E265" t="s">
        <v>6409</v>
      </c>
      <c r="K265" t="s">
        <v>6830</v>
      </c>
    </row>
    <row r="266" spans="1:11" outlineLevel="1" x14ac:dyDescent="0.3">
      <c r="A266" t="s">
        <v>1121</v>
      </c>
      <c r="B266" t="s">
        <v>168</v>
      </c>
      <c r="C266" s="13" t="s">
        <v>9</v>
      </c>
      <c r="D266" s="13" t="s">
        <v>1122</v>
      </c>
      <c r="E266" t="s">
        <v>6412</v>
      </c>
      <c r="K266" t="s">
        <v>6830</v>
      </c>
    </row>
    <row r="267" spans="1:11" outlineLevel="1" x14ac:dyDescent="0.3">
      <c r="A267" t="s">
        <v>1123</v>
      </c>
      <c r="B267" t="s">
        <v>168</v>
      </c>
      <c r="C267" s="13" t="s">
        <v>9</v>
      </c>
      <c r="D267" s="13" t="s">
        <v>1124</v>
      </c>
      <c r="E267" t="s">
        <v>6415</v>
      </c>
      <c r="K267" t="s">
        <v>6830</v>
      </c>
    </row>
    <row r="268" spans="1:11" outlineLevel="1" x14ac:dyDescent="0.3">
      <c r="A268" t="s">
        <v>1125</v>
      </c>
      <c r="B268" t="s">
        <v>168</v>
      </c>
      <c r="C268" s="13" t="s">
        <v>9</v>
      </c>
      <c r="D268" s="13" t="s">
        <v>1126</v>
      </c>
      <c r="E268" t="s">
        <v>6418</v>
      </c>
      <c r="K268" t="s">
        <v>6830</v>
      </c>
    </row>
    <row r="269" spans="1:11" outlineLevel="1" x14ac:dyDescent="0.3">
      <c r="A269" t="s">
        <v>1127</v>
      </c>
      <c r="B269" t="s">
        <v>168</v>
      </c>
      <c r="C269" s="13" t="s">
        <v>9</v>
      </c>
      <c r="D269" s="13" t="s">
        <v>1128</v>
      </c>
      <c r="E269" t="s">
        <v>6421</v>
      </c>
      <c r="K269" t="s">
        <v>6830</v>
      </c>
    </row>
    <row r="270" spans="1:11" outlineLevel="1" x14ac:dyDescent="0.3">
      <c r="A270" t="s">
        <v>1129</v>
      </c>
      <c r="B270" t="s">
        <v>168</v>
      </c>
      <c r="C270" s="13" t="s">
        <v>9</v>
      </c>
      <c r="D270" s="13" t="s">
        <v>1130</v>
      </c>
      <c r="E270" t="s">
        <v>6424</v>
      </c>
      <c r="K270" t="s">
        <v>6830</v>
      </c>
    </row>
    <row r="271" spans="1:11" outlineLevel="1" x14ac:dyDescent="0.3">
      <c r="A271" t="s">
        <v>1131</v>
      </c>
      <c r="B271" t="s">
        <v>168</v>
      </c>
      <c r="C271" s="13" t="s">
        <v>9</v>
      </c>
      <c r="D271" s="13" t="s">
        <v>1132</v>
      </c>
      <c r="E271" t="s">
        <v>6427</v>
      </c>
      <c r="K271" t="s">
        <v>6830</v>
      </c>
    </row>
    <row r="272" spans="1:11" outlineLevel="1" x14ac:dyDescent="0.3">
      <c r="A272" t="s">
        <v>1133</v>
      </c>
      <c r="B272" t="s">
        <v>168</v>
      </c>
      <c r="C272" s="13" t="s">
        <v>9</v>
      </c>
      <c r="D272" s="13" t="s">
        <v>1134</v>
      </c>
      <c r="E272" t="s">
        <v>6430</v>
      </c>
      <c r="K272" t="s">
        <v>6830</v>
      </c>
    </row>
    <row r="273" spans="1:11" outlineLevel="1" x14ac:dyDescent="0.3">
      <c r="A273" t="s">
        <v>1135</v>
      </c>
      <c r="B273" t="s">
        <v>168</v>
      </c>
      <c r="C273" s="13" t="s">
        <v>9</v>
      </c>
      <c r="D273" s="13" t="s">
        <v>1136</v>
      </c>
      <c r="E273" t="s">
        <v>6433</v>
      </c>
      <c r="K273" t="s">
        <v>6830</v>
      </c>
    </row>
    <row r="274" spans="1:11" outlineLevel="1" x14ac:dyDescent="0.3">
      <c r="A274" t="s">
        <v>1137</v>
      </c>
      <c r="B274" t="s">
        <v>168</v>
      </c>
      <c r="C274" s="13" t="s">
        <v>9</v>
      </c>
      <c r="D274" s="13" t="s">
        <v>1138</v>
      </c>
      <c r="E274" t="s">
        <v>6436</v>
      </c>
    </row>
    <row r="275" spans="1:11" outlineLevel="1" x14ac:dyDescent="0.3">
      <c r="A275" t="s">
        <v>1139</v>
      </c>
      <c r="B275" t="s">
        <v>168</v>
      </c>
      <c r="C275" s="13" t="s">
        <v>9</v>
      </c>
      <c r="D275" s="13" t="s">
        <v>1140</v>
      </c>
      <c r="E275" t="s">
        <v>6439</v>
      </c>
      <c r="K275" t="s">
        <v>6830</v>
      </c>
    </row>
    <row r="276" spans="1:11" outlineLevel="1" x14ac:dyDescent="0.3">
      <c r="A276" t="s">
        <v>1141</v>
      </c>
      <c r="B276" t="s">
        <v>168</v>
      </c>
      <c r="C276" s="13" t="s">
        <v>9</v>
      </c>
      <c r="D276" s="13" t="s">
        <v>1142</v>
      </c>
      <c r="E276" t="s">
        <v>6442</v>
      </c>
      <c r="K276" t="s">
        <v>6830</v>
      </c>
    </row>
    <row r="277" spans="1:11" outlineLevel="1" x14ac:dyDescent="0.3">
      <c r="A277" t="s">
        <v>1143</v>
      </c>
      <c r="B277" t="s">
        <v>168</v>
      </c>
      <c r="C277" s="13" t="s">
        <v>9</v>
      </c>
      <c r="D277" s="13" t="s">
        <v>1144</v>
      </c>
      <c r="E277" t="s">
        <v>6445</v>
      </c>
      <c r="K277" t="s">
        <v>6830</v>
      </c>
    </row>
    <row r="278" spans="1:11" outlineLevel="1" x14ac:dyDescent="0.3">
      <c r="A278" t="s">
        <v>1145</v>
      </c>
      <c r="B278" t="s">
        <v>168</v>
      </c>
      <c r="C278" s="13" t="s">
        <v>9</v>
      </c>
      <c r="D278" s="13" t="s">
        <v>1146</v>
      </c>
      <c r="E278" t="s">
        <v>6448</v>
      </c>
      <c r="K278" t="s">
        <v>6830</v>
      </c>
    </row>
    <row r="279" spans="1:11" outlineLevel="1" x14ac:dyDescent="0.3">
      <c r="A279" t="s">
        <v>1147</v>
      </c>
      <c r="B279" t="s">
        <v>168</v>
      </c>
      <c r="C279" s="13" t="s">
        <v>9</v>
      </c>
      <c r="D279" s="13" t="s">
        <v>1148</v>
      </c>
      <c r="E279" t="s">
        <v>6451</v>
      </c>
      <c r="K279" t="s">
        <v>6830</v>
      </c>
    </row>
    <row r="280" spans="1:11" outlineLevel="1" x14ac:dyDescent="0.3">
      <c r="A280" t="s">
        <v>1149</v>
      </c>
      <c r="B280" t="s">
        <v>168</v>
      </c>
      <c r="C280" s="13" t="s">
        <v>7</v>
      </c>
      <c r="D280" s="13" t="s">
        <v>1150</v>
      </c>
      <c r="E280" t="s">
        <v>6555</v>
      </c>
    </row>
    <row r="281" spans="1:11" outlineLevel="1" x14ac:dyDescent="0.3">
      <c r="A281" t="s">
        <v>1151</v>
      </c>
      <c r="B281" t="s">
        <v>168</v>
      </c>
      <c r="C281" s="13" t="s">
        <v>7</v>
      </c>
      <c r="D281" s="13" t="s">
        <v>1150</v>
      </c>
      <c r="E281" t="s">
        <v>6555</v>
      </c>
      <c r="J281" t="s">
        <v>6833</v>
      </c>
      <c r="K281" t="s">
        <v>6830</v>
      </c>
    </row>
    <row r="282" spans="1:11" outlineLevel="1" x14ac:dyDescent="0.3">
      <c r="A282" t="s">
        <v>1152</v>
      </c>
      <c r="B282" t="s">
        <v>168</v>
      </c>
      <c r="C282" s="13" t="s">
        <v>7</v>
      </c>
      <c r="D282" s="13" t="s">
        <v>1150</v>
      </c>
      <c r="E282" t="s">
        <v>6555</v>
      </c>
    </row>
    <row r="283" spans="1:11" outlineLevel="1" x14ac:dyDescent="0.3">
      <c r="A283" t="s">
        <v>1153</v>
      </c>
      <c r="B283" t="s">
        <v>168</v>
      </c>
      <c r="C283" s="13" t="s">
        <v>7</v>
      </c>
      <c r="D283" s="13" t="s">
        <v>1150</v>
      </c>
      <c r="E283" t="s">
        <v>6555</v>
      </c>
    </row>
    <row r="284" spans="1:11" outlineLevel="1" x14ac:dyDescent="0.3">
      <c r="A284" t="s">
        <v>1154</v>
      </c>
      <c r="B284" t="s">
        <v>168</v>
      </c>
      <c r="C284" s="13" t="s">
        <v>7</v>
      </c>
      <c r="D284" s="13" t="s">
        <v>1155</v>
      </c>
      <c r="E284" t="s">
        <v>6546</v>
      </c>
      <c r="K284" t="s">
        <v>6830</v>
      </c>
    </row>
    <row r="285" spans="1:11" outlineLevel="1" x14ac:dyDescent="0.3">
      <c r="A285" t="s">
        <v>1156</v>
      </c>
      <c r="B285" t="s">
        <v>168</v>
      </c>
      <c r="C285" s="13" t="s">
        <v>9</v>
      </c>
      <c r="D285" s="13" t="s">
        <v>1157</v>
      </c>
      <c r="E285" t="s">
        <v>6224</v>
      </c>
    </row>
    <row r="286" spans="1:11" outlineLevel="1" x14ac:dyDescent="0.3">
      <c r="A286" t="s">
        <v>1158</v>
      </c>
      <c r="B286" t="s">
        <v>168</v>
      </c>
      <c r="C286" s="13" t="s">
        <v>9</v>
      </c>
      <c r="D286" s="13" t="s">
        <v>1157</v>
      </c>
      <c r="E286" t="s">
        <v>6224</v>
      </c>
    </row>
    <row r="287" spans="1:11" outlineLevel="1" x14ac:dyDescent="0.3">
      <c r="A287" t="s">
        <v>1159</v>
      </c>
      <c r="B287" t="s">
        <v>168</v>
      </c>
      <c r="C287" s="13" t="s">
        <v>9</v>
      </c>
      <c r="D287" s="13" t="s">
        <v>1157</v>
      </c>
      <c r="E287" t="s">
        <v>6224</v>
      </c>
    </row>
    <row r="288" spans="1:11" outlineLevel="1" x14ac:dyDescent="0.3">
      <c r="A288" t="s">
        <v>1160</v>
      </c>
      <c r="B288" t="s">
        <v>168</v>
      </c>
      <c r="C288" s="13" t="s">
        <v>9</v>
      </c>
      <c r="D288" s="13" t="s">
        <v>1157</v>
      </c>
      <c r="E288" t="s">
        <v>6224</v>
      </c>
    </row>
    <row r="289" spans="1:11" outlineLevel="1" x14ac:dyDescent="0.3">
      <c r="A289" t="s">
        <v>1161</v>
      </c>
      <c r="B289" t="s">
        <v>168</v>
      </c>
      <c r="C289" s="13" t="s">
        <v>9</v>
      </c>
      <c r="D289" s="13" t="s">
        <v>1157</v>
      </c>
      <c r="E289" t="s">
        <v>6224</v>
      </c>
    </row>
    <row r="290" spans="1:11" outlineLevel="1" x14ac:dyDescent="0.3">
      <c r="A290" t="s">
        <v>1162</v>
      </c>
      <c r="B290" t="s">
        <v>168</v>
      </c>
      <c r="C290" s="13" t="s">
        <v>9</v>
      </c>
      <c r="D290" s="13" t="s">
        <v>1157</v>
      </c>
      <c r="E290" t="s">
        <v>6224</v>
      </c>
    </row>
    <row r="291" spans="1:11" outlineLevel="1" x14ac:dyDescent="0.3">
      <c r="A291" t="s">
        <v>1163</v>
      </c>
      <c r="B291" t="s">
        <v>168</v>
      </c>
      <c r="C291" s="13" t="s">
        <v>9</v>
      </c>
      <c r="D291" s="13" t="s">
        <v>1157</v>
      </c>
      <c r="E291" t="s">
        <v>6224</v>
      </c>
    </row>
    <row r="292" spans="1:11" outlineLevel="1" x14ac:dyDescent="0.3">
      <c r="A292" t="s">
        <v>1164</v>
      </c>
      <c r="B292" t="s">
        <v>168</v>
      </c>
      <c r="C292" s="13" t="s">
        <v>9</v>
      </c>
      <c r="D292" s="13" t="s">
        <v>1157</v>
      </c>
      <c r="E292" t="s">
        <v>6224</v>
      </c>
    </row>
    <row r="293" spans="1:11" outlineLevel="1" x14ac:dyDescent="0.3">
      <c r="A293" t="s">
        <v>1165</v>
      </c>
      <c r="B293" t="s">
        <v>168</v>
      </c>
      <c r="C293" s="13" t="s">
        <v>9</v>
      </c>
      <c r="D293" s="13" t="s">
        <v>6666</v>
      </c>
      <c r="E293" t="s">
        <v>6230</v>
      </c>
    </row>
    <row r="294" spans="1:11" outlineLevel="1" x14ac:dyDescent="0.3">
      <c r="A294" t="s">
        <v>1166</v>
      </c>
      <c r="B294" t="s">
        <v>168</v>
      </c>
      <c r="C294" s="13" t="s">
        <v>9</v>
      </c>
      <c r="D294" s="13" t="s">
        <v>1167</v>
      </c>
      <c r="E294" t="s">
        <v>6230</v>
      </c>
      <c r="J294" t="s">
        <v>6834</v>
      </c>
      <c r="K294" t="s">
        <v>6835</v>
      </c>
    </row>
    <row r="295" spans="1:11" outlineLevel="1" x14ac:dyDescent="0.3">
      <c r="A295" t="s">
        <v>1168</v>
      </c>
      <c r="B295" t="s">
        <v>168</v>
      </c>
      <c r="C295" s="13" t="s">
        <v>9</v>
      </c>
      <c r="D295" s="13" t="s">
        <v>1167</v>
      </c>
      <c r="E295" t="s">
        <v>6230</v>
      </c>
      <c r="J295" t="s">
        <v>6834</v>
      </c>
      <c r="K295" t="s">
        <v>6835</v>
      </c>
    </row>
    <row r="296" spans="1:11" outlineLevel="1" x14ac:dyDescent="0.3">
      <c r="A296" t="s">
        <v>1169</v>
      </c>
      <c r="B296" t="s">
        <v>168</v>
      </c>
      <c r="C296" s="13" t="s">
        <v>9</v>
      </c>
      <c r="D296" s="13" t="s">
        <v>1170</v>
      </c>
      <c r="E296" t="s">
        <v>6244</v>
      </c>
    </row>
    <row r="297" spans="1:11" outlineLevel="1" x14ac:dyDescent="0.3">
      <c r="A297" t="s">
        <v>1171</v>
      </c>
      <c r="B297" t="s">
        <v>168</v>
      </c>
      <c r="C297" s="13" t="s">
        <v>9</v>
      </c>
      <c r="D297" s="13" t="s">
        <v>1170</v>
      </c>
      <c r="E297" t="s">
        <v>6244</v>
      </c>
    </row>
    <row r="298" spans="1:11" outlineLevel="1" x14ac:dyDescent="0.3">
      <c r="A298" t="s">
        <v>1172</v>
      </c>
      <c r="B298" t="s">
        <v>168</v>
      </c>
      <c r="C298" s="13" t="s">
        <v>9</v>
      </c>
      <c r="D298" s="13" t="s">
        <v>1170</v>
      </c>
      <c r="E298" t="s">
        <v>6244</v>
      </c>
    </row>
    <row r="299" spans="1:11" outlineLevel="1" x14ac:dyDescent="0.3">
      <c r="A299" t="s">
        <v>1173</v>
      </c>
      <c r="B299" t="s">
        <v>168</v>
      </c>
      <c r="C299" t="s">
        <v>9</v>
      </c>
      <c r="D299" t="s">
        <v>1174</v>
      </c>
      <c r="E299" t="s">
        <v>6236</v>
      </c>
    </row>
    <row r="300" spans="1:11" outlineLevel="1" x14ac:dyDescent="0.3">
      <c r="A300" t="s">
        <v>1175</v>
      </c>
      <c r="B300" t="s">
        <v>168</v>
      </c>
      <c r="C300" t="s">
        <v>9</v>
      </c>
      <c r="D300" t="s">
        <v>1176</v>
      </c>
      <c r="E300" t="s">
        <v>6233</v>
      </c>
      <c r="J300" t="s">
        <v>6836</v>
      </c>
      <c r="K300" t="s">
        <v>6835</v>
      </c>
    </row>
    <row r="301" spans="1:11" outlineLevel="1" x14ac:dyDescent="0.3">
      <c r="A301" t="s">
        <v>1177</v>
      </c>
      <c r="B301" t="s">
        <v>168</v>
      </c>
      <c r="C301" t="s">
        <v>9</v>
      </c>
      <c r="D301" t="s">
        <v>1176</v>
      </c>
      <c r="E301" t="s">
        <v>6233</v>
      </c>
      <c r="J301" t="s">
        <v>6836</v>
      </c>
      <c r="K301" t="s">
        <v>6835</v>
      </c>
    </row>
    <row r="302" spans="1:11" outlineLevel="1" x14ac:dyDescent="0.3">
      <c r="A302" t="s">
        <v>1178</v>
      </c>
      <c r="B302" t="s">
        <v>168</v>
      </c>
      <c r="C302" t="s">
        <v>9</v>
      </c>
      <c r="D302" t="s">
        <v>1176</v>
      </c>
      <c r="E302" t="s">
        <v>6233</v>
      </c>
    </row>
    <row r="303" spans="1:11" outlineLevel="1" x14ac:dyDescent="0.3">
      <c r="A303" t="s">
        <v>1179</v>
      </c>
      <c r="B303" t="s">
        <v>168</v>
      </c>
      <c r="C303" t="s">
        <v>9</v>
      </c>
      <c r="D303" t="s">
        <v>1180</v>
      </c>
      <c r="E303" t="s">
        <v>6242</v>
      </c>
    </row>
    <row r="304" spans="1:11" outlineLevel="1" x14ac:dyDescent="0.3">
      <c r="A304" t="s">
        <v>1181</v>
      </c>
      <c r="B304" t="s">
        <v>168</v>
      </c>
      <c r="C304" s="13" t="s">
        <v>9</v>
      </c>
      <c r="D304" s="13" t="s">
        <v>1182</v>
      </c>
      <c r="E304" t="s">
        <v>6239</v>
      </c>
      <c r="J304" t="s">
        <v>6837</v>
      </c>
      <c r="K304" t="s">
        <v>6838</v>
      </c>
    </row>
    <row r="305" spans="1:11" outlineLevel="1" x14ac:dyDescent="0.3">
      <c r="A305" t="s">
        <v>1183</v>
      </c>
      <c r="B305" t="s">
        <v>168</v>
      </c>
      <c r="C305" s="13" t="s">
        <v>9</v>
      </c>
      <c r="D305" s="13" t="s">
        <v>1182</v>
      </c>
      <c r="E305" t="s">
        <v>6239</v>
      </c>
      <c r="J305" t="s">
        <v>6837</v>
      </c>
      <c r="K305" t="s">
        <v>6838</v>
      </c>
    </row>
    <row r="306" spans="1:11" outlineLevel="1" x14ac:dyDescent="0.3">
      <c r="A306" t="s">
        <v>1184</v>
      </c>
      <c r="B306" t="s">
        <v>168</v>
      </c>
      <c r="C306" s="13" t="s">
        <v>9</v>
      </c>
      <c r="D306" s="13" t="s">
        <v>1182</v>
      </c>
      <c r="E306" t="s">
        <v>6239</v>
      </c>
      <c r="J306" t="s">
        <v>6837</v>
      </c>
      <c r="K306" t="s">
        <v>6838</v>
      </c>
    </row>
    <row r="307" spans="1:11" outlineLevel="1" x14ac:dyDescent="0.3">
      <c r="A307" t="s">
        <v>1185</v>
      </c>
      <c r="B307" t="s">
        <v>168</v>
      </c>
      <c r="C307" s="13" t="s">
        <v>9</v>
      </c>
      <c r="D307" s="13" t="s">
        <v>1182</v>
      </c>
      <c r="E307" t="s">
        <v>6239</v>
      </c>
      <c r="J307" t="s">
        <v>6837</v>
      </c>
      <c r="K307" t="s">
        <v>6838</v>
      </c>
    </row>
    <row r="308" spans="1:11" outlineLevel="1" x14ac:dyDescent="0.3">
      <c r="A308" t="s">
        <v>1186</v>
      </c>
      <c r="B308" t="s">
        <v>168</v>
      </c>
      <c r="C308" s="13" t="s">
        <v>9</v>
      </c>
      <c r="D308" s="13" t="s">
        <v>1157</v>
      </c>
      <c r="E308" t="s">
        <v>6224</v>
      </c>
      <c r="J308" t="s">
        <v>6868</v>
      </c>
      <c r="K308" t="s">
        <v>6835</v>
      </c>
    </row>
    <row r="309" spans="1:11" outlineLevel="1" x14ac:dyDescent="0.3">
      <c r="A309" t="s">
        <v>1187</v>
      </c>
      <c r="B309" t="s">
        <v>168</v>
      </c>
      <c r="C309" s="13" t="s">
        <v>9</v>
      </c>
      <c r="D309" s="13" t="s">
        <v>1188</v>
      </c>
      <c r="E309" t="s">
        <v>6618</v>
      </c>
      <c r="J309" t="s">
        <v>6869</v>
      </c>
      <c r="K309" t="s">
        <v>6839</v>
      </c>
    </row>
    <row r="310" spans="1:11" outlineLevel="1" x14ac:dyDescent="0.3">
      <c r="A310" t="s">
        <v>1189</v>
      </c>
      <c r="B310" t="s">
        <v>168</v>
      </c>
      <c r="C310" s="13" t="s">
        <v>9</v>
      </c>
      <c r="D310" s="13" t="s">
        <v>1188</v>
      </c>
      <c r="E310" t="s">
        <v>6618</v>
      </c>
      <c r="J310" t="s">
        <v>6869</v>
      </c>
      <c r="K310" t="s">
        <v>6839</v>
      </c>
    </row>
    <row r="311" spans="1:11" outlineLevel="1" x14ac:dyDescent="0.3">
      <c r="A311" t="s">
        <v>1190</v>
      </c>
      <c r="B311" t="s">
        <v>168</v>
      </c>
      <c r="C311" s="13" t="s">
        <v>9</v>
      </c>
      <c r="D311" s="13" t="s">
        <v>1191</v>
      </c>
      <c r="E311" t="s">
        <v>6655</v>
      </c>
      <c r="J311" t="s">
        <v>6870</v>
      </c>
      <c r="K311" t="s">
        <v>6839</v>
      </c>
    </row>
    <row r="312" spans="1:11" outlineLevel="1" x14ac:dyDescent="0.3">
      <c r="A312" t="s">
        <v>1192</v>
      </c>
      <c r="B312" t="s">
        <v>168</v>
      </c>
      <c r="C312" s="13" t="s">
        <v>9</v>
      </c>
      <c r="D312" s="13" t="s">
        <v>1191</v>
      </c>
      <c r="E312" t="s">
        <v>6655</v>
      </c>
      <c r="J312" t="s">
        <v>6870</v>
      </c>
      <c r="K312" t="s">
        <v>6839</v>
      </c>
    </row>
    <row r="313" spans="1:11" outlineLevel="1" x14ac:dyDescent="0.3">
      <c r="A313" t="s">
        <v>1193</v>
      </c>
      <c r="B313" t="s">
        <v>168</v>
      </c>
      <c r="C313" s="13" t="s">
        <v>9</v>
      </c>
      <c r="D313" s="13" t="s">
        <v>1191</v>
      </c>
      <c r="E313" t="s">
        <v>6655</v>
      </c>
      <c r="J313" t="s">
        <v>6870</v>
      </c>
      <c r="K313" t="s">
        <v>6839</v>
      </c>
    </row>
    <row r="314" spans="1:11" outlineLevel="1" x14ac:dyDescent="0.3">
      <c r="A314" t="s">
        <v>1194</v>
      </c>
      <c r="B314" t="s">
        <v>168</v>
      </c>
      <c r="C314" s="13" t="s">
        <v>9</v>
      </c>
      <c r="D314" s="13" t="s">
        <v>1191</v>
      </c>
      <c r="E314" t="s">
        <v>6655</v>
      </c>
      <c r="J314" t="s">
        <v>6870</v>
      </c>
      <c r="K314" t="s">
        <v>6839</v>
      </c>
    </row>
    <row r="315" spans="1:11" outlineLevel="1" x14ac:dyDescent="0.3">
      <c r="A315" t="s">
        <v>1195</v>
      </c>
      <c r="B315" t="s">
        <v>168</v>
      </c>
      <c r="C315" s="13" t="s">
        <v>9</v>
      </c>
      <c r="D315" s="13" t="s">
        <v>1191</v>
      </c>
      <c r="E315" t="s">
        <v>6655</v>
      </c>
      <c r="J315" t="s">
        <v>6870</v>
      </c>
      <c r="K315" t="s">
        <v>6839</v>
      </c>
    </row>
    <row r="316" spans="1:11" outlineLevel="1" x14ac:dyDescent="0.3">
      <c r="A316" t="s">
        <v>1196</v>
      </c>
      <c r="B316" t="s">
        <v>168</v>
      </c>
      <c r="C316" s="13" t="s">
        <v>9</v>
      </c>
      <c r="D316" s="13" t="s">
        <v>1191</v>
      </c>
      <c r="E316" t="s">
        <v>6655</v>
      </c>
      <c r="J316" t="s">
        <v>6870</v>
      </c>
      <c r="K316" t="s">
        <v>6840</v>
      </c>
    </row>
    <row r="317" spans="1:11" outlineLevel="1" x14ac:dyDescent="0.3">
      <c r="A317" t="s">
        <v>1197</v>
      </c>
      <c r="B317" t="s">
        <v>168</v>
      </c>
      <c r="C317" s="13" t="s">
        <v>9</v>
      </c>
      <c r="D317" s="13" t="s">
        <v>1191</v>
      </c>
      <c r="E317" t="s">
        <v>6655</v>
      </c>
      <c r="J317" t="s">
        <v>6870</v>
      </c>
      <c r="K317" t="s">
        <v>6840</v>
      </c>
    </row>
    <row r="318" spans="1:11" outlineLevel="1" x14ac:dyDescent="0.3">
      <c r="A318" t="s">
        <v>1198</v>
      </c>
      <c r="B318" t="s">
        <v>168</v>
      </c>
      <c r="C318" s="13" t="s">
        <v>9</v>
      </c>
      <c r="D318" s="13" t="s">
        <v>1191</v>
      </c>
      <c r="E318" t="s">
        <v>6655</v>
      </c>
      <c r="J318" t="s">
        <v>6869</v>
      </c>
      <c r="K318" t="s">
        <v>6840</v>
      </c>
    </row>
    <row r="319" spans="1:11" outlineLevel="1" x14ac:dyDescent="0.3">
      <c r="A319" t="s">
        <v>1199</v>
      </c>
      <c r="B319" t="s">
        <v>168</v>
      </c>
      <c r="C319" s="13" t="s">
        <v>9</v>
      </c>
      <c r="D319" s="13" t="s">
        <v>1188</v>
      </c>
      <c r="E319" t="s">
        <v>6618</v>
      </c>
      <c r="J319" t="s">
        <v>6869</v>
      </c>
      <c r="K319" t="s">
        <v>6839</v>
      </c>
    </row>
    <row r="320" spans="1:11" outlineLevel="1" x14ac:dyDescent="0.3">
      <c r="A320" t="s">
        <v>1200</v>
      </c>
      <c r="B320" t="s">
        <v>168</v>
      </c>
      <c r="C320" s="13" t="s">
        <v>9</v>
      </c>
      <c r="D320" s="13" t="s">
        <v>1188</v>
      </c>
      <c r="E320" t="s">
        <v>6618</v>
      </c>
      <c r="J320" t="s">
        <v>6869</v>
      </c>
      <c r="K320" t="s">
        <v>6839</v>
      </c>
    </row>
    <row r="321" spans="1:1022 1025:2046 2049:3070 3073:4094 4097:5118 5121:6142 6145:7166 7169:8190 8193:9214 9217:10238 10241:11262 11265:12286 12289:13310 13313:14334 14337:15358 15361:16382" outlineLevel="1" x14ac:dyDescent="0.3">
      <c r="A321" t="s">
        <v>1201</v>
      </c>
      <c r="B321" t="s">
        <v>168</v>
      </c>
      <c r="C321" s="13" t="s">
        <v>9</v>
      </c>
      <c r="D321" s="13" t="s">
        <v>1191</v>
      </c>
      <c r="E321" t="s">
        <v>6655</v>
      </c>
      <c r="J321" t="s">
        <v>6870</v>
      </c>
      <c r="K321" t="s">
        <v>6839</v>
      </c>
    </row>
    <row r="322" spans="1:1022 1025:2046 2049:3070 3073:4094 4097:5118 5121:6142 6145:7166 7169:8190 8193:9214 9217:10238 10241:11262 11265:12286 12289:13310 13313:14334 14337:15358 15361:16382" outlineLevel="1" x14ac:dyDescent="0.3">
      <c r="A322" t="s">
        <v>1202</v>
      </c>
      <c r="B322" t="s">
        <v>168</v>
      </c>
      <c r="C322" s="13" t="s">
        <v>9</v>
      </c>
      <c r="D322" s="13" t="s">
        <v>1191</v>
      </c>
      <c r="E322" t="s">
        <v>6655</v>
      </c>
      <c r="J322" t="s">
        <v>6870</v>
      </c>
      <c r="K322" t="s">
        <v>6839</v>
      </c>
    </row>
    <row r="323" spans="1:1022 1025:2046 2049:3070 3073:4094 4097:5118 5121:6142 6145:7166 7169:8190 8193:9214 9217:10238 10241:11262 11265:12286 12289:13310 13313:14334 14337:15358 15361:16382" outlineLevel="1" x14ac:dyDescent="0.3">
      <c r="A323" t="s">
        <v>1203</v>
      </c>
      <c r="B323" t="s">
        <v>168</v>
      </c>
      <c r="C323" s="13" t="s">
        <v>9</v>
      </c>
      <c r="D323" s="13" t="s">
        <v>1191</v>
      </c>
      <c r="E323" t="s">
        <v>6655</v>
      </c>
      <c r="J323" t="s">
        <v>6870</v>
      </c>
      <c r="K323" t="s">
        <v>6839</v>
      </c>
    </row>
    <row r="324" spans="1:1022 1025:2046 2049:3070 3073:4094 4097:5118 5121:6142 6145:7166 7169:8190 8193:9214 9217:10238 10241:11262 11265:12286 12289:13310 13313:14334 14337:15358 15361:16382" outlineLevel="1" x14ac:dyDescent="0.3">
      <c r="A324" t="s">
        <v>1204</v>
      </c>
      <c r="B324" t="s">
        <v>168</v>
      </c>
      <c r="C324" s="13" t="s">
        <v>9</v>
      </c>
      <c r="D324" s="13" t="s">
        <v>1191</v>
      </c>
      <c r="E324" t="s">
        <v>6655</v>
      </c>
      <c r="J324" t="s">
        <v>6870</v>
      </c>
      <c r="K324" t="s">
        <v>6839</v>
      </c>
    </row>
    <row r="325" spans="1:1022 1025:2046 2049:3070 3073:4094 4097:5118 5121:6142 6145:7166 7169:8190 8193:9214 9217:10238 10241:11262 11265:12286 12289:13310 13313:14334 14337:15358 15361:16382" outlineLevel="1" x14ac:dyDescent="0.3">
      <c r="A325" t="s">
        <v>1205</v>
      </c>
      <c r="B325" t="s">
        <v>168</v>
      </c>
      <c r="C325" s="13" t="s">
        <v>9</v>
      </c>
      <c r="D325" s="13" t="s">
        <v>1191</v>
      </c>
      <c r="E325" t="s">
        <v>6655</v>
      </c>
      <c r="J325" t="s">
        <v>6870</v>
      </c>
      <c r="K325" t="s">
        <v>6839</v>
      </c>
    </row>
    <row r="326" spans="1:1022 1025:2046 2049:3070 3073:4094 4097:5118 5121:6142 6145:7166 7169:8190 8193:9214 9217:10238 10241:11262 11265:12286 12289:13310 13313:14334 14337:15358 15361:16382" outlineLevel="1" x14ac:dyDescent="0.3">
      <c r="A326" t="s">
        <v>1206</v>
      </c>
      <c r="B326" t="s">
        <v>168</v>
      </c>
      <c r="C326" s="13" t="s">
        <v>9</v>
      </c>
      <c r="D326" s="13" t="s">
        <v>1191</v>
      </c>
      <c r="E326" t="s">
        <v>6655</v>
      </c>
      <c r="J326" t="s">
        <v>6870</v>
      </c>
      <c r="K326" t="s">
        <v>6840</v>
      </c>
    </row>
    <row r="327" spans="1:1022 1025:2046 2049:3070 3073:4094 4097:5118 5121:6142 6145:7166 7169:8190 8193:9214 9217:10238 10241:11262 11265:12286 12289:13310 13313:14334 14337:15358 15361:16382" outlineLevel="1" x14ac:dyDescent="0.3">
      <c r="A327" t="s">
        <v>1207</v>
      </c>
      <c r="B327" t="s">
        <v>168</v>
      </c>
      <c r="C327" s="13" t="s">
        <v>9</v>
      </c>
      <c r="D327" s="13" t="s">
        <v>1191</v>
      </c>
      <c r="E327" t="s">
        <v>6655</v>
      </c>
      <c r="J327" t="s">
        <v>6870</v>
      </c>
      <c r="K327" t="s">
        <v>6840</v>
      </c>
    </row>
    <row r="328" spans="1:1022 1025:2046 2049:3070 3073:4094 4097:5118 5121:6142 6145:7166 7169:8190 8193:9214 9217:10238 10241:11262 11265:12286 12289:13310 13313:14334 14337:15358 15361:16382" s="13" customFormat="1" outlineLevel="1" x14ac:dyDescent="0.3">
      <c r="A328" t="s">
        <v>1208</v>
      </c>
      <c r="B328" t="s">
        <v>168</v>
      </c>
      <c r="C328" s="13" t="s">
        <v>9</v>
      </c>
      <c r="D328" s="13" t="s">
        <v>1191</v>
      </c>
      <c r="E328" t="s">
        <v>6655</v>
      </c>
      <c r="F328"/>
      <c r="I328"/>
      <c r="J328" t="s">
        <v>6870</v>
      </c>
      <c r="K328" t="s">
        <v>6840</v>
      </c>
      <c r="M328"/>
      <c r="N328"/>
      <c r="Q328"/>
      <c r="R328"/>
      <c r="U328"/>
      <c r="V328"/>
      <c r="Y328"/>
      <c r="Z328"/>
      <c r="AC328"/>
      <c r="AD328"/>
      <c r="AG328"/>
      <c r="AH328"/>
      <c r="AK328"/>
      <c r="AL328"/>
      <c r="AO328"/>
      <c r="AP328"/>
      <c r="AS328"/>
      <c r="AT328"/>
      <c r="AW328"/>
      <c r="AX328"/>
      <c r="BA328"/>
      <c r="BB328"/>
      <c r="BE328"/>
      <c r="BF328"/>
      <c r="BI328"/>
      <c r="BJ328"/>
      <c r="BM328"/>
      <c r="BN328"/>
      <c r="BQ328"/>
      <c r="BR328"/>
      <c r="BU328"/>
      <c r="BV328"/>
      <c r="BY328"/>
      <c r="BZ328"/>
      <c r="CC328"/>
      <c r="CD328"/>
      <c r="CG328"/>
      <c r="CH328"/>
      <c r="CK328"/>
      <c r="CL328"/>
      <c r="CO328"/>
      <c r="CP328"/>
      <c r="CS328"/>
      <c r="CT328"/>
      <c r="CW328"/>
      <c r="CX328"/>
      <c r="DA328"/>
      <c r="DB328"/>
      <c r="DE328"/>
      <c r="DF328"/>
      <c r="DI328"/>
      <c r="DJ328"/>
      <c r="DM328"/>
      <c r="DN328"/>
      <c r="DQ328"/>
      <c r="DR328"/>
      <c r="DU328"/>
      <c r="DV328"/>
      <c r="DY328"/>
      <c r="DZ328"/>
      <c r="EC328"/>
      <c r="ED328"/>
      <c r="EG328"/>
      <c r="EH328"/>
      <c r="EK328"/>
      <c r="EL328"/>
      <c r="EO328"/>
      <c r="EP328"/>
      <c r="ES328"/>
      <c r="ET328"/>
      <c r="EW328"/>
      <c r="EX328"/>
      <c r="FA328"/>
      <c r="FB328"/>
      <c r="FE328"/>
      <c r="FF328"/>
      <c r="FI328"/>
      <c r="FJ328"/>
      <c r="FM328"/>
      <c r="FN328"/>
      <c r="FQ328"/>
      <c r="FR328"/>
      <c r="FU328"/>
      <c r="FV328"/>
      <c r="FY328"/>
      <c r="FZ328"/>
      <c r="GC328"/>
      <c r="GD328"/>
      <c r="GG328"/>
      <c r="GH328"/>
      <c r="GK328"/>
      <c r="GL328"/>
      <c r="GO328"/>
      <c r="GP328"/>
      <c r="GS328"/>
      <c r="GT328"/>
      <c r="GW328"/>
      <c r="GX328"/>
      <c r="HA328"/>
      <c r="HB328"/>
      <c r="HE328"/>
      <c r="HF328"/>
      <c r="HI328"/>
      <c r="HJ328"/>
      <c r="HM328"/>
      <c r="HN328"/>
      <c r="HQ328"/>
      <c r="HR328"/>
      <c r="HU328"/>
      <c r="HV328"/>
      <c r="HY328"/>
      <c r="HZ328"/>
      <c r="IC328"/>
      <c r="ID328"/>
      <c r="IG328"/>
      <c r="IH328"/>
      <c r="IK328"/>
      <c r="IL328"/>
      <c r="IO328"/>
      <c r="IP328"/>
      <c r="IS328"/>
      <c r="IT328"/>
      <c r="IW328"/>
      <c r="IX328"/>
      <c r="JA328"/>
      <c r="JB328"/>
      <c r="JE328"/>
      <c r="JF328"/>
      <c r="JI328"/>
      <c r="JJ328"/>
      <c r="JM328"/>
      <c r="JN328"/>
      <c r="JQ328"/>
      <c r="JR328"/>
      <c r="JU328"/>
      <c r="JV328"/>
      <c r="JY328"/>
      <c r="JZ328"/>
      <c r="KC328"/>
      <c r="KD328"/>
      <c r="KG328"/>
      <c r="KH328"/>
      <c r="KK328"/>
      <c r="KL328"/>
      <c r="KO328"/>
      <c r="KP328"/>
      <c r="KS328"/>
      <c r="KT328"/>
      <c r="KW328"/>
      <c r="KX328"/>
      <c r="LA328"/>
      <c r="LB328"/>
      <c r="LE328"/>
      <c r="LF328"/>
      <c r="LI328"/>
      <c r="LJ328"/>
      <c r="LM328"/>
      <c r="LN328"/>
      <c r="LQ328"/>
      <c r="LR328"/>
      <c r="LU328"/>
      <c r="LV328"/>
      <c r="LY328"/>
      <c r="LZ328"/>
      <c r="MC328"/>
      <c r="MD328"/>
      <c r="MG328"/>
      <c r="MH328"/>
      <c r="MK328"/>
      <c r="ML328"/>
      <c r="MO328"/>
      <c r="MP328"/>
      <c r="MS328"/>
      <c r="MT328"/>
      <c r="MW328"/>
      <c r="MX328"/>
      <c r="NA328"/>
      <c r="NB328"/>
      <c r="NE328"/>
      <c r="NF328"/>
      <c r="NI328"/>
      <c r="NJ328"/>
      <c r="NM328"/>
      <c r="NN328"/>
      <c r="NQ328"/>
      <c r="NR328"/>
      <c r="NU328"/>
      <c r="NV328"/>
      <c r="NY328"/>
      <c r="NZ328"/>
      <c r="OC328"/>
      <c r="OD328"/>
      <c r="OG328"/>
      <c r="OH328"/>
      <c r="OK328"/>
      <c r="OL328"/>
      <c r="OO328"/>
      <c r="OP328"/>
      <c r="OS328"/>
      <c r="OT328"/>
      <c r="OW328"/>
      <c r="OX328"/>
      <c r="PA328"/>
      <c r="PB328"/>
      <c r="PE328"/>
      <c r="PF328"/>
      <c r="PI328"/>
      <c r="PJ328"/>
      <c r="PM328"/>
      <c r="PN328"/>
      <c r="PQ328"/>
      <c r="PR328"/>
      <c r="PU328"/>
      <c r="PV328"/>
      <c r="PY328"/>
      <c r="PZ328"/>
      <c r="QC328"/>
      <c r="QD328"/>
      <c r="QG328"/>
      <c r="QH328"/>
      <c r="QK328"/>
      <c r="QL328"/>
      <c r="QO328"/>
      <c r="QP328"/>
      <c r="QS328"/>
      <c r="QT328"/>
      <c r="QW328"/>
      <c r="QX328"/>
      <c r="RA328"/>
      <c r="RB328"/>
      <c r="RE328"/>
      <c r="RF328"/>
      <c r="RI328"/>
      <c r="RJ328"/>
      <c r="RM328"/>
      <c r="RN328"/>
      <c r="RQ328"/>
      <c r="RR328"/>
      <c r="RU328"/>
      <c r="RV328"/>
      <c r="RY328"/>
      <c r="RZ328"/>
      <c r="SC328"/>
      <c r="SD328"/>
      <c r="SG328"/>
      <c r="SH328"/>
      <c r="SK328"/>
      <c r="SL328"/>
      <c r="SO328"/>
      <c r="SP328"/>
      <c r="SS328"/>
      <c r="ST328"/>
      <c r="SW328"/>
      <c r="SX328"/>
      <c r="TA328"/>
      <c r="TB328"/>
      <c r="TE328"/>
      <c r="TF328"/>
      <c r="TI328"/>
      <c r="TJ328"/>
      <c r="TM328"/>
      <c r="TN328"/>
      <c r="TQ328"/>
      <c r="TR328"/>
      <c r="TU328"/>
      <c r="TV328"/>
      <c r="TY328"/>
      <c r="TZ328"/>
      <c r="UC328"/>
      <c r="UD328"/>
      <c r="UG328"/>
      <c r="UH328"/>
      <c r="UK328"/>
      <c r="UL328"/>
      <c r="UO328"/>
      <c r="UP328"/>
      <c r="US328"/>
      <c r="UT328"/>
      <c r="UW328"/>
      <c r="UX328"/>
      <c r="VA328"/>
      <c r="VB328"/>
      <c r="VE328"/>
      <c r="VF328"/>
      <c r="VI328"/>
      <c r="VJ328"/>
      <c r="VM328"/>
      <c r="VN328"/>
      <c r="VQ328"/>
      <c r="VR328"/>
      <c r="VU328"/>
      <c r="VV328"/>
      <c r="VY328"/>
      <c r="VZ328"/>
      <c r="WC328"/>
      <c r="WD328"/>
      <c r="WG328"/>
      <c r="WH328"/>
      <c r="WK328"/>
      <c r="WL328"/>
      <c r="WO328"/>
      <c r="WP328"/>
      <c r="WS328"/>
      <c r="WT328"/>
      <c r="WW328"/>
      <c r="WX328"/>
      <c r="XA328"/>
      <c r="XB328"/>
      <c r="XE328"/>
      <c r="XF328"/>
      <c r="XI328"/>
      <c r="XJ328"/>
      <c r="XM328"/>
      <c r="XN328"/>
      <c r="XQ328"/>
      <c r="XR328"/>
      <c r="XU328"/>
      <c r="XV328"/>
      <c r="XY328"/>
      <c r="XZ328"/>
      <c r="YC328"/>
      <c r="YD328"/>
      <c r="YG328"/>
      <c r="YH328"/>
      <c r="YK328"/>
      <c r="YL328"/>
      <c r="YO328"/>
      <c r="YP328"/>
      <c r="YS328"/>
      <c r="YT328"/>
      <c r="YW328"/>
      <c r="YX328"/>
      <c r="ZA328"/>
      <c r="ZB328"/>
      <c r="ZE328"/>
      <c r="ZF328"/>
      <c r="ZI328"/>
      <c r="ZJ328"/>
      <c r="ZM328"/>
      <c r="ZN328"/>
      <c r="ZQ328"/>
      <c r="ZR328"/>
      <c r="ZU328"/>
      <c r="ZV328"/>
      <c r="ZY328"/>
      <c r="ZZ328"/>
      <c r="AAC328"/>
      <c r="AAD328"/>
      <c r="AAG328"/>
      <c r="AAH328"/>
      <c r="AAK328"/>
      <c r="AAL328"/>
      <c r="AAO328"/>
      <c r="AAP328"/>
      <c r="AAS328"/>
      <c r="AAT328"/>
      <c r="AAW328"/>
      <c r="AAX328"/>
      <c r="ABA328"/>
      <c r="ABB328"/>
      <c r="ABE328"/>
      <c r="ABF328"/>
      <c r="ABI328"/>
      <c r="ABJ328"/>
      <c r="ABM328"/>
      <c r="ABN328"/>
      <c r="ABQ328"/>
      <c r="ABR328"/>
      <c r="ABU328"/>
      <c r="ABV328"/>
      <c r="ABY328"/>
      <c r="ABZ328"/>
      <c r="ACC328"/>
      <c r="ACD328"/>
      <c r="ACG328"/>
      <c r="ACH328"/>
      <c r="ACK328"/>
      <c r="ACL328"/>
      <c r="ACO328"/>
      <c r="ACP328"/>
      <c r="ACS328"/>
      <c r="ACT328"/>
      <c r="ACW328"/>
      <c r="ACX328"/>
      <c r="ADA328"/>
      <c r="ADB328"/>
      <c r="ADE328"/>
      <c r="ADF328"/>
      <c r="ADI328"/>
      <c r="ADJ328"/>
      <c r="ADM328"/>
      <c r="ADN328"/>
      <c r="ADQ328"/>
      <c r="ADR328"/>
      <c r="ADU328"/>
      <c r="ADV328"/>
      <c r="ADY328"/>
      <c r="ADZ328"/>
      <c r="AEC328"/>
      <c r="AED328"/>
      <c r="AEG328"/>
      <c r="AEH328"/>
      <c r="AEK328"/>
      <c r="AEL328"/>
      <c r="AEO328"/>
      <c r="AEP328"/>
      <c r="AES328"/>
      <c r="AET328"/>
      <c r="AEW328"/>
      <c r="AEX328"/>
      <c r="AFA328"/>
      <c r="AFB328"/>
      <c r="AFE328"/>
      <c r="AFF328"/>
      <c r="AFI328"/>
      <c r="AFJ328"/>
      <c r="AFM328"/>
      <c r="AFN328"/>
      <c r="AFQ328"/>
      <c r="AFR328"/>
      <c r="AFU328"/>
      <c r="AFV328"/>
      <c r="AFY328"/>
      <c r="AFZ328"/>
      <c r="AGC328"/>
      <c r="AGD328"/>
      <c r="AGG328"/>
      <c r="AGH328"/>
      <c r="AGK328"/>
      <c r="AGL328"/>
      <c r="AGO328"/>
      <c r="AGP328"/>
      <c r="AGS328"/>
      <c r="AGT328"/>
      <c r="AGW328"/>
      <c r="AGX328"/>
      <c r="AHA328"/>
      <c r="AHB328"/>
      <c r="AHE328"/>
      <c r="AHF328"/>
      <c r="AHI328"/>
      <c r="AHJ328"/>
      <c r="AHM328"/>
      <c r="AHN328"/>
      <c r="AHQ328"/>
      <c r="AHR328"/>
      <c r="AHU328"/>
      <c r="AHV328"/>
      <c r="AHY328"/>
      <c r="AHZ328"/>
      <c r="AIC328"/>
      <c r="AID328"/>
      <c r="AIG328"/>
      <c r="AIH328"/>
      <c r="AIK328"/>
      <c r="AIL328"/>
      <c r="AIO328"/>
      <c r="AIP328"/>
      <c r="AIS328"/>
      <c r="AIT328"/>
      <c r="AIW328"/>
      <c r="AIX328"/>
      <c r="AJA328"/>
      <c r="AJB328"/>
      <c r="AJE328"/>
      <c r="AJF328"/>
      <c r="AJI328"/>
      <c r="AJJ328"/>
      <c r="AJM328"/>
      <c r="AJN328"/>
      <c r="AJQ328"/>
      <c r="AJR328"/>
      <c r="AJU328"/>
      <c r="AJV328"/>
      <c r="AJY328"/>
      <c r="AJZ328"/>
      <c r="AKC328"/>
      <c r="AKD328"/>
      <c r="AKG328"/>
      <c r="AKH328"/>
      <c r="AKK328"/>
      <c r="AKL328"/>
      <c r="AKO328"/>
      <c r="AKP328"/>
      <c r="AKS328"/>
      <c r="AKT328"/>
      <c r="AKW328"/>
      <c r="AKX328"/>
      <c r="ALA328"/>
      <c r="ALB328"/>
      <c r="ALE328"/>
      <c r="ALF328"/>
      <c r="ALI328"/>
      <c r="ALJ328"/>
      <c r="ALM328"/>
      <c r="ALN328"/>
      <c r="ALQ328"/>
      <c r="ALR328"/>
      <c r="ALU328"/>
      <c r="ALV328"/>
      <c r="ALY328"/>
      <c r="ALZ328"/>
      <c r="AMC328"/>
      <c r="AMD328"/>
      <c r="AMG328"/>
      <c r="AMH328"/>
      <c r="AMK328"/>
      <c r="AML328"/>
      <c r="AMO328"/>
      <c r="AMP328"/>
      <c r="AMS328"/>
      <c r="AMT328"/>
      <c r="AMW328"/>
      <c r="AMX328"/>
      <c r="ANA328"/>
      <c r="ANB328"/>
      <c r="ANE328"/>
      <c r="ANF328"/>
      <c r="ANI328"/>
      <c r="ANJ328"/>
      <c r="ANM328"/>
      <c r="ANN328"/>
      <c r="ANQ328"/>
      <c r="ANR328"/>
      <c r="ANU328"/>
      <c r="ANV328"/>
      <c r="ANY328"/>
      <c r="ANZ328"/>
      <c r="AOC328"/>
      <c r="AOD328"/>
      <c r="AOG328"/>
      <c r="AOH328"/>
      <c r="AOK328"/>
      <c r="AOL328"/>
      <c r="AOO328"/>
      <c r="AOP328"/>
      <c r="AOS328"/>
      <c r="AOT328"/>
      <c r="AOW328"/>
      <c r="AOX328"/>
      <c r="APA328"/>
      <c r="APB328"/>
      <c r="APE328"/>
      <c r="APF328"/>
      <c r="API328"/>
      <c r="APJ328"/>
      <c r="APM328"/>
      <c r="APN328"/>
      <c r="APQ328"/>
      <c r="APR328"/>
      <c r="APU328"/>
      <c r="APV328"/>
      <c r="APY328"/>
      <c r="APZ328"/>
      <c r="AQC328"/>
      <c r="AQD328"/>
      <c r="AQG328"/>
      <c r="AQH328"/>
      <c r="AQK328"/>
      <c r="AQL328"/>
      <c r="AQO328"/>
      <c r="AQP328"/>
      <c r="AQS328"/>
      <c r="AQT328"/>
      <c r="AQW328"/>
      <c r="AQX328"/>
      <c r="ARA328"/>
      <c r="ARB328"/>
      <c r="ARE328"/>
      <c r="ARF328"/>
      <c r="ARI328"/>
      <c r="ARJ328"/>
      <c r="ARM328"/>
      <c r="ARN328"/>
      <c r="ARQ328"/>
      <c r="ARR328"/>
      <c r="ARU328"/>
      <c r="ARV328"/>
      <c r="ARY328"/>
      <c r="ARZ328"/>
      <c r="ASC328"/>
      <c r="ASD328"/>
      <c r="ASG328"/>
      <c r="ASH328"/>
      <c r="ASK328"/>
      <c r="ASL328"/>
      <c r="ASO328"/>
      <c r="ASP328"/>
      <c r="ASS328"/>
      <c r="AST328"/>
      <c r="ASW328"/>
      <c r="ASX328"/>
      <c r="ATA328"/>
      <c r="ATB328"/>
      <c r="ATE328"/>
      <c r="ATF328"/>
      <c r="ATI328"/>
      <c r="ATJ328"/>
      <c r="ATM328"/>
      <c r="ATN328"/>
      <c r="ATQ328"/>
      <c r="ATR328"/>
      <c r="ATU328"/>
      <c r="ATV328"/>
      <c r="ATY328"/>
      <c r="ATZ328"/>
      <c r="AUC328"/>
      <c r="AUD328"/>
      <c r="AUG328"/>
      <c r="AUH328"/>
      <c r="AUK328"/>
      <c r="AUL328"/>
      <c r="AUO328"/>
      <c r="AUP328"/>
      <c r="AUS328"/>
      <c r="AUT328"/>
      <c r="AUW328"/>
      <c r="AUX328"/>
      <c r="AVA328"/>
      <c r="AVB328"/>
      <c r="AVE328"/>
      <c r="AVF328"/>
      <c r="AVI328"/>
      <c r="AVJ328"/>
      <c r="AVM328"/>
      <c r="AVN328"/>
      <c r="AVQ328"/>
      <c r="AVR328"/>
      <c r="AVU328"/>
      <c r="AVV328"/>
      <c r="AVY328"/>
      <c r="AVZ328"/>
      <c r="AWC328"/>
      <c r="AWD328"/>
      <c r="AWG328"/>
      <c r="AWH328"/>
      <c r="AWK328"/>
      <c r="AWL328"/>
      <c r="AWO328"/>
      <c r="AWP328"/>
      <c r="AWS328"/>
      <c r="AWT328"/>
      <c r="AWW328"/>
      <c r="AWX328"/>
      <c r="AXA328"/>
      <c r="AXB328"/>
      <c r="AXE328"/>
      <c r="AXF328"/>
      <c r="AXI328"/>
      <c r="AXJ328"/>
      <c r="AXM328"/>
      <c r="AXN328"/>
      <c r="AXQ328"/>
      <c r="AXR328"/>
      <c r="AXU328"/>
      <c r="AXV328"/>
      <c r="AXY328"/>
      <c r="AXZ328"/>
      <c r="AYC328"/>
      <c r="AYD328"/>
      <c r="AYG328"/>
      <c r="AYH328"/>
      <c r="AYK328"/>
      <c r="AYL328"/>
      <c r="AYO328"/>
      <c r="AYP328"/>
      <c r="AYS328"/>
      <c r="AYT328"/>
      <c r="AYW328"/>
      <c r="AYX328"/>
      <c r="AZA328"/>
      <c r="AZB328"/>
      <c r="AZE328"/>
      <c r="AZF328"/>
      <c r="AZI328"/>
      <c r="AZJ328"/>
      <c r="AZM328"/>
      <c r="AZN328"/>
      <c r="AZQ328"/>
      <c r="AZR328"/>
      <c r="AZU328"/>
      <c r="AZV328"/>
      <c r="AZY328"/>
      <c r="AZZ328"/>
      <c r="BAC328"/>
      <c r="BAD328"/>
      <c r="BAG328"/>
      <c r="BAH328"/>
      <c r="BAK328"/>
      <c r="BAL328"/>
      <c r="BAO328"/>
      <c r="BAP328"/>
      <c r="BAS328"/>
      <c r="BAT328"/>
      <c r="BAW328"/>
      <c r="BAX328"/>
      <c r="BBA328"/>
      <c r="BBB328"/>
      <c r="BBE328"/>
      <c r="BBF328"/>
      <c r="BBI328"/>
      <c r="BBJ328"/>
      <c r="BBM328"/>
      <c r="BBN328"/>
      <c r="BBQ328"/>
      <c r="BBR328"/>
      <c r="BBU328"/>
      <c r="BBV328"/>
      <c r="BBY328"/>
      <c r="BBZ328"/>
      <c r="BCC328"/>
      <c r="BCD328"/>
      <c r="BCG328"/>
      <c r="BCH328"/>
      <c r="BCK328"/>
      <c r="BCL328"/>
      <c r="BCO328"/>
      <c r="BCP328"/>
      <c r="BCS328"/>
      <c r="BCT328"/>
      <c r="BCW328"/>
      <c r="BCX328"/>
      <c r="BDA328"/>
      <c r="BDB328"/>
      <c r="BDE328"/>
      <c r="BDF328"/>
      <c r="BDI328"/>
      <c r="BDJ328"/>
      <c r="BDM328"/>
      <c r="BDN328"/>
      <c r="BDQ328"/>
      <c r="BDR328"/>
      <c r="BDU328"/>
      <c r="BDV328"/>
      <c r="BDY328"/>
      <c r="BDZ328"/>
      <c r="BEC328"/>
      <c r="BED328"/>
      <c r="BEG328"/>
      <c r="BEH328"/>
      <c r="BEK328"/>
      <c r="BEL328"/>
      <c r="BEO328"/>
      <c r="BEP328"/>
      <c r="BES328"/>
      <c r="BET328"/>
      <c r="BEW328"/>
      <c r="BEX328"/>
      <c r="BFA328"/>
      <c r="BFB328"/>
      <c r="BFE328"/>
      <c r="BFF328"/>
      <c r="BFI328"/>
      <c r="BFJ328"/>
      <c r="BFM328"/>
      <c r="BFN328"/>
      <c r="BFQ328"/>
      <c r="BFR328"/>
      <c r="BFU328"/>
      <c r="BFV328"/>
      <c r="BFY328"/>
      <c r="BFZ328"/>
      <c r="BGC328"/>
      <c r="BGD328"/>
      <c r="BGG328"/>
      <c r="BGH328"/>
      <c r="BGK328"/>
      <c r="BGL328"/>
      <c r="BGO328"/>
      <c r="BGP328"/>
      <c r="BGS328"/>
      <c r="BGT328"/>
      <c r="BGW328"/>
      <c r="BGX328"/>
      <c r="BHA328"/>
      <c r="BHB328"/>
      <c r="BHE328"/>
      <c r="BHF328"/>
      <c r="BHI328"/>
      <c r="BHJ328"/>
      <c r="BHM328"/>
      <c r="BHN328"/>
      <c r="BHQ328"/>
      <c r="BHR328"/>
      <c r="BHU328"/>
      <c r="BHV328"/>
      <c r="BHY328"/>
      <c r="BHZ328"/>
      <c r="BIC328"/>
      <c r="BID328"/>
      <c r="BIG328"/>
      <c r="BIH328"/>
      <c r="BIK328"/>
      <c r="BIL328"/>
      <c r="BIO328"/>
      <c r="BIP328"/>
      <c r="BIS328"/>
      <c r="BIT328"/>
      <c r="BIW328"/>
      <c r="BIX328"/>
      <c r="BJA328"/>
      <c r="BJB328"/>
      <c r="BJE328"/>
      <c r="BJF328"/>
      <c r="BJI328"/>
      <c r="BJJ328"/>
      <c r="BJM328"/>
      <c r="BJN328"/>
      <c r="BJQ328"/>
      <c r="BJR328"/>
      <c r="BJU328"/>
      <c r="BJV328"/>
      <c r="BJY328"/>
      <c r="BJZ328"/>
      <c r="BKC328"/>
      <c r="BKD328"/>
      <c r="BKG328"/>
      <c r="BKH328"/>
      <c r="BKK328"/>
      <c r="BKL328"/>
      <c r="BKO328"/>
      <c r="BKP328"/>
      <c r="BKS328"/>
      <c r="BKT328"/>
      <c r="BKW328"/>
      <c r="BKX328"/>
      <c r="BLA328"/>
      <c r="BLB328"/>
      <c r="BLE328"/>
      <c r="BLF328"/>
      <c r="BLI328"/>
      <c r="BLJ328"/>
      <c r="BLM328"/>
      <c r="BLN328"/>
      <c r="BLQ328"/>
      <c r="BLR328"/>
      <c r="BLU328"/>
      <c r="BLV328"/>
      <c r="BLY328"/>
      <c r="BLZ328"/>
      <c r="BMC328"/>
      <c r="BMD328"/>
      <c r="BMG328"/>
      <c r="BMH328"/>
      <c r="BMK328"/>
      <c r="BML328"/>
      <c r="BMO328"/>
      <c r="BMP328"/>
      <c r="BMS328"/>
      <c r="BMT328"/>
      <c r="BMW328"/>
      <c r="BMX328"/>
      <c r="BNA328"/>
      <c r="BNB328"/>
      <c r="BNE328"/>
      <c r="BNF328"/>
      <c r="BNI328"/>
      <c r="BNJ328"/>
      <c r="BNM328"/>
      <c r="BNN328"/>
      <c r="BNQ328"/>
      <c r="BNR328"/>
      <c r="BNU328"/>
      <c r="BNV328"/>
      <c r="BNY328"/>
      <c r="BNZ328"/>
      <c r="BOC328"/>
      <c r="BOD328"/>
      <c r="BOG328"/>
      <c r="BOH328"/>
      <c r="BOK328"/>
      <c r="BOL328"/>
      <c r="BOO328"/>
      <c r="BOP328"/>
      <c r="BOS328"/>
      <c r="BOT328"/>
      <c r="BOW328"/>
      <c r="BOX328"/>
      <c r="BPA328"/>
      <c r="BPB328"/>
      <c r="BPE328"/>
      <c r="BPF328"/>
      <c r="BPI328"/>
      <c r="BPJ328"/>
      <c r="BPM328"/>
      <c r="BPN328"/>
      <c r="BPQ328"/>
      <c r="BPR328"/>
      <c r="BPU328"/>
      <c r="BPV328"/>
      <c r="BPY328"/>
      <c r="BPZ328"/>
      <c r="BQC328"/>
      <c r="BQD328"/>
      <c r="BQG328"/>
      <c r="BQH328"/>
      <c r="BQK328"/>
      <c r="BQL328"/>
      <c r="BQO328"/>
      <c r="BQP328"/>
      <c r="BQS328"/>
      <c r="BQT328"/>
      <c r="BQW328"/>
      <c r="BQX328"/>
      <c r="BRA328"/>
      <c r="BRB328"/>
      <c r="BRE328"/>
      <c r="BRF328"/>
      <c r="BRI328"/>
      <c r="BRJ328"/>
      <c r="BRM328"/>
      <c r="BRN328"/>
      <c r="BRQ328"/>
      <c r="BRR328"/>
      <c r="BRU328"/>
      <c r="BRV328"/>
      <c r="BRY328"/>
      <c r="BRZ328"/>
      <c r="BSC328"/>
      <c r="BSD328"/>
      <c r="BSG328"/>
      <c r="BSH328"/>
      <c r="BSK328"/>
      <c r="BSL328"/>
      <c r="BSO328"/>
      <c r="BSP328"/>
      <c r="BSS328"/>
      <c r="BST328"/>
      <c r="BSW328"/>
      <c r="BSX328"/>
      <c r="BTA328"/>
      <c r="BTB328"/>
      <c r="BTE328"/>
      <c r="BTF328"/>
      <c r="BTI328"/>
      <c r="BTJ328"/>
      <c r="BTM328"/>
      <c r="BTN328"/>
      <c r="BTQ328"/>
      <c r="BTR328"/>
      <c r="BTU328"/>
      <c r="BTV328"/>
      <c r="BTY328"/>
      <c r="BTZ328"/>
      <c r="BUC328"/>
      <c r="BUD328"/>
      <c r="BUG328"/>
      <c r="BUH328"/>
      <c r="BUK328"/>
      <c r="BUL328"/>
      <c r="BUO328"/>
      <c r="BUP328"/>
      <c r="BUS328"/>
      <c r="BUT328"/>
      <c r="BUW328"/>
      <c r="BUX328"/>
      <c r="BVA328"/>
      <c r="BVB328"/>
      <c r="BVE328"/>
      <c r="BVF328"/>
      <c r="BVI328"/>
      <c r="BVJ328"/>
      <c r="BVM328"/>
      <c r="BVN328"/>
      <c r="BVQ328"/>
      <c r="BVR328"/>
      <c r="BVU328"/>
      <c r="BVV328"/>
      <c r="BVY328"/>
      <c r="BVZ328"/>
      <c r="BWC328"/>
      <c r="BWD328"/>
      <c r="BWG328"/>
      <c r="BWH328"/>
      <c r="BWK328"/>
      <c r="BWL328"/>
      <c r="BWO328"/>
      <c r="BWP328"/>
      <c r="BWS328"/>
      <c r="BWT328"/>
      <c r="BWW328"/>
      <c r="BWX328"/>
      <c r="BXA328"/>
      <c r="BXB328"/>
      <c r="BXE328"/>
      <c r="BXF328"/>
      <c r="BXI328"/>
      <c r="BXJ328"/>
      <c r="BXM328"/>
      <c r="BXN328"/>
      <c r="BXQ328"/>
      <c r="BXR328"/>
      <c r="BXU328"/>
      <c r="BXV328"/>
      <c r="BXY328"/>
      <c r="BXZ328"/>
      <c r="BYC328"/>
      <c r="BYD328"/>
      <c r="BYG328"/>
      <c r="BYH328"/>
      <c r="BYK328"/>
      <c r="BYL328"/>
      <c r="BYO328"/>
      <c r="BYP328"/>
      <c r="BYS328"/>
      <c r="BYT328"/>
      <c r="BYW328"/>
      <c r="BYX328"/>
      <c r="BZA328"/>
      <c r="BZB328"/>
      <c r="BZE328"/>
      <c r="BZF328"/>
      <c r="BZI328"/>
      <c r="BZJ328"/>
      <c r="BZM328"/>
      <c r="BZN328"/>
      <c r="BZQ328"/>
      <c r="BZR328"/>
      <c r="BZU328"/>
      <c r="BZV328"/>
      <c r="BZY328"/>
      <c r="BZZ328"/>
      <c r="CAC328"/>
      <c r="CAD328"/>
      <c r="CAG328"/>
      <c r="CAH328"/>
      <c r="CAK328"/>
      <c r="CAL328"/>
      <c r="CAO328"/>
      <c r="CAP328"/>
      <c r="CAS328"/>
      <c r="CAT328"/>
      <c r="CAW328"/>
      <c r="CAX328"/>
      <c r="CBA328"/>
      <c r="CBB328"/>
      <c r="CBE328"/>
      <c r="CBF328"/>
      <c r="CBI328"/>
      <c r="CBJ328"/>
      <c r="CBM328"/>
      <c r="CBN328"/>
      <c r="CBQ328"/>
      <c r="CBR328"/>
      <c r="CBU328"/>
      <c r="CBV328"/>
      <c r="CBY328"/>
      <c r="CBZ328"/>
      <c r="CCC328"/>
      <c r="CCD328"/>
      <c r="CCG328"/>
      <c r="CCH328"/>
      <c r="CCK328"/>
      <c r="CCL328"/>
      <c r="CCO328"/>
      <c r="CCP328"/>
      <c r="CCS328"/>
      <c r="CCT328"/>
      <c r="CCW328"/>
      <c r="CCX328"/>
      <c r="CDA328"/>
      <c r="CDB328"/>
      <c r="CDE328"/>
      <c r="CDF328"/>
      <c r="CDI328"/>
      <c r="CDJ328"/>
      <c r="CDM328"/>
      <c r="CDN328"/>
      <c r="CDQ328"/>
      <c r="CDR328"/>
      <c r="CDU328"/>
      <c r="CDV328"/>
      <c r="CDY328"/>
      <c r="CDZ328"/>
      <c r="CEC328"/>
      <c r="CED328"/>
      <c r="CEG328"/>
      <c r="CEH328"/>
      <c r="CEK328"/>
      <c r="CEL328"/>
      <c r="CEO328"/>
      <c r="CEP328"/>
      <c r="CES328"/>
      <c r="CET328"/>
      <c r="CEW328"/>
      <c r="CEX328"/>
      <c r="CFA328"/>
      <c r="CFB328"/>
      <c r="CFE328"/>
      <c r="CFF328"/>
      <c r="CFI328"/>
      <c r="CFJ328"/>
      <c r="CFM328"/>
      <c r="CFN328"/>
      <c r="CFQ328"/>
      <c r="CFR328"/>
      <c r="CFU328"/>
      <c r="CFV328"/>
      <c r="CFY328"/>
      <c r="CFZ328"/>
      <c r="CGC328"/>
      <c r="CGD328"/>
      <c r="CGG328"/>
      <c r="CGH328"/>
      <c r="CGK328"/>
      <c r="CGL328"/>
      <c r="CGO328"/>
      <c r="CGP328"/>
      <c r="CGS328"/>
      <c r="CGT328"/>
      <c r="CGW328"/>
      <c r="CGX328"/>
      <c r="CHA328"/>
      <c r="CHB328"/>
      <c r="CHE328"/>
      <c r="CHF328"/>
      <c r="CHI328"/>
      <c r="CHJ328"/>
      <c r="CHM328"/>
      <c r="CHN328"/>
      <c r="CHQ328"/>
      <c r="CHR328"/>
      <c r="CHU328"/>
      <c r="CHV328"/>
      <c r="CHY328"/>
      <c r="CHZ328"/>
      <c r="CIC328"/>
      <c r="CID328"/>
      <c r="CIG328"/>
      <c r="CIH328"/>
      <c r="CIK328"/>
      <c r="CIL328"/>
      <c r="CIO328"/>
      <c r="CIP328"/>
      <c r="CIS328"/>
      <c r="CIT328"/>
      <c r="CIW328"/>
      <c r="CIX328"/>
      <c r="CJA328"/>
      <c r="CJB328"/>
      <c r="CJE328"/>
      <c r="CJF328"/>
      <c r="CJI328"/>
      <c r="CJJ328"/>
      <c r="CJM328"/>
      <c r="CJN328"/>
      <c r="CJQ328"/>
      <c r="CJR328"/>
      <c r="CJU328"/>
      <c r="CJV328"/>
      <c r="CJY328"/>
      <c r="CJZ328"/>
      <c r="CKC328"/>
      <c r="CKD328"/>
      <c r="CKG328"/>
      <c r="CKH328"/>
      <c r="CKK328"/>
      <c r="CKL328"/>
      <c r="CKO328"/>
      <c r="CKP328"/>
      <c r="CKS328"/>
      <c r="CKT328"/>
      <c r="CKW328"/>
      <c r="CKX328"/>
      <c r="CLA328"/>
      <c r="CLB328"/>
      <c r="CLE328"/>
      <c r="CLF328"/>
      <c r="CLI328"/>
      <c r="CLJ328"/>
      <c r="CLM328"/>
      <c r="CLN328"/>
      <c r="CLQ328"/>
      <c r="CLR328"/>
      <c r="CLU328"/>
      <c r="CLV328"/>
      <c r="CLY328"/>
      <c r="CLZ328"/>
      <c r="CMC328"/>
      <c r="CMD328"/>
      <c r="CMG328"/>
      <c r="CMH328"/>
      <c r="CMK328"/>
      <c r="CML328"/>
      <c r="CMO328"/>
      <c r="CMP328"/>
      <c r="CMS328"/>
      <c r="CMT328"/>
      <c r="CMW328"/>
      <c r="CMX328"/>
      <c r="CNA328"/>
      <c r="CNB328"/>
      <c r="CNE328"/>
      <c r="CNF328"/>
      <c r="CNI328"/>
      <c r="CNJ328"/>
      <c r="CNM328"/>
      <c r="CNN328"/>
      <c r="CNQ328"/>
      <c r="CNR328"/>
      <c r="CNU328"/>
      <c r="CNV328"/>
      <c r="CNY328"/>
      <c r="CNZ328"/>
      <c r="COC328"/>
      <c r="COD328"/>
      <c r="COG328"/>
      <c r="COH328"/>
      <c r="COK328"/>
      <c r="COL328"/>
      <c r="COO328"/>
      <c r="COP328"/>
      <c r="COS328"/>
      <c r="COT328"/>
      <c r="COW328"/>
      <c r="COX328"/>
      <c r="CPA328"/>
      <c r="CPB328"/>
      <c r="CPE328"/>
      <c r="CPF328"/>
      <c r="CPI328"/>
      <c r="CPJ328"/>
      <c r="CPM328"/>
      <c r="CPN328"/>
      <c r="CPQ328"/>
      <c r="CPR328"/>
      <c r="CPU328"/>
      <c r="CPV328"/>
      <c r="CPY328"/>
      <c r="CPZ328"/>
      <c r="CQC328"/>
      <c r="CQD328"/>
      <c r="CQG328"/>
      <c r="CQH328"/>
      <c r="CQK328"/>
      <c r="CQL328"/>
      <c r="CQO328"/>
      <c r="CQP328"/>
      <c r="CQS328"/>
      <c r="CQT328"/>
      <c r="CQW328"/>
      <c r="CQX328"/>
      <c r="CRA328"/>
      <c r="CRB328"/>
      <c r="CRE328"/>
      <c r="CRF328"/>
      <c r="CRI328"/>
      <c r="CRJ328"/>
      <c r="CRM328"/>
      <c r="CRN328"/>
      <c r="CRQ328"/>
      <c r="CRR328"/>
      <c r="CRU328"/>
      <c r="CRV328"/>
      <c r="CRY328"/>
      <c r="CRZ328"/>
      <c r="CSC328"/>
      <c r="CSD328"/>
      <c r="CSG328"/>
      <c r="CSH328"/>
      <c r="CSK328"/>
      <c r="CSL328"/>
      <c r="CSO328"/>
      <c r="CSP328"/>
      <c r="CSS328"/>
      <c r="CST328"/>
      <c r="CSW328"/>
      <c r="CSX328"/>
      <c r="CTA328"/>
      <c r="CTB328"/>
      <c r="CTE328"/>
      <c r="CTF328"/>
      <c r="CTI328"/>
      <c r="CTJ328"/>
      <c r="CTM328"/>
      <c r="CTN328"/>
      <c r="CTQ328"/>
      <c r="CTR328"/>
      <c r="CTU328"/>
      <c r="CTV328"/>
      <c r="CTY328"/>
      <c r="CTZ328"/>
      <c r="CUC328"/>
      <c r="CUD328"/>
      <c r="CUG328"/>
      <c r="CUH328"/>
      <c r="CUK328"/>
      <c r="CUL328"/>
      <c r="CUO328"/>
      <c r="CUP328"/>
      <c r="CUS328"/>
      <c r="CUT328"/>
      <c r="CUW328"/>
      <c r="CUX328"/>
      <c r="CVA328"/>
      <c r="CVB328"/>
      <c r="CVE328"/>
      <c r="CVF328"/>
      <c r="CVI328"/>
      <c r="CVJ328"/>
      <c r="CVM328"/>
      <c r="CVN328"/>
      <c r="CVQ328"/>
      <c r="CVR328"/>
      <c r="CVU328"/>
      <c r="CVV328"/>
      <c r="CVY328"/>
      <c r="CVZ328"/>
      <c r="CWC328"/>
      <c r="CWD328"/>
      <c r="CWG328"/>
      <c r="CWH328"/>
      <c r="CWK328"/>
      <c r="CWL328"/>
      <c r="CWO328"/>
      <c r="CWP328"/>
      <c r="CWS328"/>
      <c r="CWT328"/>
      <c r="CWW328"/>
      <c r="CWX328"/>
      <c r="CXA328"/>
      <c r="CXB328"/>
      <c r="CXE328"/>
      <c r="CXF328"/>
      <c r="CXI328"/>
      <c r="CXJ328"/>
      <c r="CXM328"/>
      <c r="CXN328"/>
      <c r="CXQ328"/>
      <c r="CXR328"/>
      <c r="CXU328"/>
      <c r="CXV328"/>
      <c r="CXY328"/>
      <c r="CXZ328"/>
      <c r="CYC328"/>
      <c r="CYD328"/>
      <c r="CYG328"/>
      <c r="CYH328"/>
      <c r="CYK328"/>
      <c r="CYL328"/>
      <c r="CYO328"/>
      <c r="CYP328"/>
      <c r="CYS328"/>
      <c r="CYT328"/>
      <c r="CYW328"/>
      <c r="CYX328"/>
      <c r="CZA328"/>
      <c r="CZB328"/>
      <c r="CZE328"/>
      <c r="CZF328"/>
      <c r="CZI328"/>
      <c r="CZJ328"/>
      <c r="CZM328"/>
      <c r="CZN328"/>
      <c r="CZQ328"/>
      <c r="CZR328"/>
      <c r="CZU328"/>
      <c r="CZV328"/>
      <c r="CZY328"/>
      <c r="CZZ328"/>
      <c r="DAC328"/>
      <c r="DAD328"/>
      <c r="DAG328"/>
      <c r="DAH328"/>
      <c r="DAK328"/>
      <c r="DAL328"/>
      <c r="DAO328"/>
      <c r="DAP328"/>
      <c r="DAS328"/>
      <c r="DAT328"/>
      <c r="DAW328"/>
      <c r="DAX328"/>
      <c r="DBA328"/>
      <c r="DBB328"/>
      <c r="DBE328"/>
      <c r="DBF328"/>
      <c r="DBI328"/>
      <c r="DBJ328"/>
      <c r="DBM328"/>
      <c r="DBN328"/>
      <c r="DBQ328"/>
      <c r="DBR328"/>
      <c r="DBU328"/>
      <c r="DBV328"/>
      <c r="DBY328"/>
      <c r="DBZ328"/>
      <c r="DCC328"/>
      <c r="DCD328"/>
      <c r="DCG328"/>
      <c r="DCH328"/>
      <c r="DCK328"/>
      <c r="DCL328"/>
      <c r="DCO328"/>
      <c r="DCP328"/>
      <c r="DCS328"/>
      <c r="DCT328"/>
      <c r="DCW328"/>
      <c r="DCX328"/>
      <c r="DDA328"/>
      <c r="DDB328"/>
      <c r="DDE328"/>
      <c r="DDF328"/>
      <c r="DDI328"/>
      <c r="DDJ328"/>
      <c r="DDM328"/>
      <c r="DDN328"/>
      <c r="DDQ328"/>
      <c r="DDR328"/>
      <c r="DDU328"/>
      <c r="DDV328"/>
      <c r="DDY328"/>
      <c r="DDZ328"/>
      <c r="DEC328"/>
      <c r="DED328"/>
      <c r="DEG328"/>
      <c r="DEH328"/>
      <c r="DEK328"/>
      <c r="DEL328"/>
      <c r="DEO328"/>
      <c r="DEP328"/>
      <c r="DES328"/>
      <c r="DET328"/>
      <c r="DEW328"/>
      <c r="DEX328"/>
      <c r="DFA328"/>
      <c r="DFB328"/>
      <c r="DFE328"/>
      <c r="DFF328"/>
      <c r="DFI328"/>
      <c r="DFJ328"/>
      <c r="DFM328"/>
      <c r="DFN328"/>
      <c r="DFQ328"/>
      <c r="DFR328"/>
      <c r="DFU328"/>
      <c r="DFV328"/>
      <c r="DFY328"/>
      <c r="DFZ328"/>
      <c r="DGC328"/>
      <c r="DGD328"/>
      <c r="DGG328"/>
      <c r="DGH328"/>
      <c r="DGK328"/>
      <c r="DGL328"/>
      <c r="DGO328"/>
      <c r="DGP328"/>
      <c r="DGS328"/>
      <c r="DGT328"/>
      <c r="DGW328"/>
      <c r="DGX328"/>
      <c r="DHA328"/>
      <c r="DHB328"/>
      <c r="DHE328"/>
      <c r="DHF328"/>
      <c r="DHI328"/>
      <c r="DHJ328"/>
      <c r="DHM328"/>
      <c r="DHN328"/>
      <c r="DHQ328"/>
      <c r="DHR328"/>
      <c r="DHU328"/>
      <c r="DHV328"/>
      <c r="DHY328"/>
      <c r="DHZ328"/>
      <c r="DIC328"/>
      <c r="DID328"/>
      <c r="DIG328"/>
      <c r="DIH328"/>
      <c r="DIK328"/>
      <c r="DIL328"/>
      <c r="DIO328"/>
      <c r="DIP328"/>
      <c r="DIS328"/>
      <c r="DIT328"/>
      <c r="DIW328"/>
      <c r="DIX328"/>
      <c r="DJA328"/>
      <c r="DJB328"/>
      <c r="DJE328"/>
      <c r="DJF328"/>
      <c r="DJI328"/>
      <c r="DJJ328"/>
      <c r="DJM328"/>
      <c r="DJN328"/>
      <c r="DJQ328"/>
      <c r="DJR328"/>
      <c r="DJU328"/>
      <c r="DJV328"/>
      <c r="DJY328"/>
      <c r="DJZ328"/>
      <c r="DKC328"/>
      <c r="DKD328"/>
      <c r="DKG328"/>
      <c r="DKH328"/>
      <c r="DKK328"/>
      <c r="DKL328"/>
      <c r="DKO328"/>
      <c r="DKP328"/>
      <c r="DKS328"/>
      <c r="DKT328"/>
      <c r="DKW328"/>
      <c r="DKX328"/>
      <c r="DLA328"/>
      <c r="DLB328"/>
      <c r="DLE328"/>
      <c r="DLF328"/>
      <c r="DLI328"/>
      <c r="DLJ328"/>
      <c r="DLM328"/>
      <c r="DLN328"/>
      <c r="DLQ328"/>
      <c r="DLR328"/>
      <c r="DLU328"/>
      <c r="DLV328"/>
      <c r="DLY328"/>
      <c r="DLZ328"/>
      <c r="DMC328"/>
      <c r="DMD328"/>
      <c r="DMG328"/>
      <c r="DMH328"/>
      <c r="DMK328"/>
      <c r="DML328"/>
      <c r="DMO328"/>
      <c r="DMP328"/>
      <c r="DMS328"/>
      <c r="DMT328"/>
      <c r="DMW328"/>
      <c r="DMX328"/>
      <c r="DNA328"/>
      <c r="DNB328"/>
      <c r="DNE328"/>
      <c r="DNF328"/>
      <c r="DNI328"/>
      <c r="DNJ328"/>
      <c r="DNM328"/>
      <c r="DNN328"/>
      <c r="DNQ328"/>
      <c r="DNR328"/>
      <c r="DNU328"/>
      <c r="DNV328"/>
      <c r="DNY328"/>
      <c r="DNZ328"/>
      <c r="DOC328"/>
      <c r="DOD328"/>
      <c r="DOG328"/>
      <c r="DOH328"/>
      <c r="DOK328"/>
      <c r="DOL328"/>
      <c r="DOO328"/>
      <c r="DOP328"/>
      <c r="DOS328"/>
      <c r="DOT328"/>
      <c r="DOW328"/>
      <c r="DOX328"/>
      <c r="DPA328"/>
      <c r="DPB328"/>
      <c r="DPE328"/>
      <c r="DPF328"/>
      <c r="DPI328"/>
      <c r="DPJ328"/>
      <c r="DPM328"/>
      <c r="DPN328"/>
      <c r="DPQ328"/>
      <c r="DPR328"/>
      <c r="DPU328"/>
      <c r="DPV328"/>
      <c r="DPY328"/>
      <c r="DPZ328"/>
      <c r="DQC328"/>
      <c r="DQD328"/>
      <c r="DQG328"/>
      <c r="DQH328"/>
      <c r="DQK328"/>
      <c r="DQL328"/>
      <c r="DQO328"/>
      <c r="DQP328"/>
      <c r="DQS328"/>
      <c r="DQT328"/>
      <c r="DQW328"/>
      <c r="DQX328"/>
      <c r="DRA328"/>
      <c r="DRB328"/>
      <c r="DRE328"/>
      <c r="DRF328"/>
      <c r="DRI328"/>
      <c r="DRJ328"/>
      <c r="DRM328"/>
      <c r="DRN328"/>
      <c r="DRQ328"/>
      <c r="DRR328"/>
      <c r="DRU328"/>
      <c r="DRV328"/>
      <c r="DRY328"/>
      <c r="DRZ328"/>
      <c r="DSC328"/>
      <c r="DSD328"/>
      <c r="DSG328"/>
      <c r="DSH328"/>
      <c r="DSK328"/>
      <c r="DSL328"/>
      <c r="DSO328"/>
      <c r="DSP328"/>
      <c r="DSS328"/>
      <c r="DST328"/>
      <c r="DSW328"/>
      <c r="DSX328"/>
      <c r="DTA328"/>
      <c r="DTB328"/>
      <c r="DTE328"/>
      <c r="DTF328"/>
      <c r="DTI328"/>
      <c r="DTJ328"/>
      <c r="DTM328"/>
      <c r="DTN328"/>
      <c r="DTQ328"/>
      <c r="DTR328"/>
      <c r="DTU328"/>
      <c r="DTV328"/>
      <c r="DTY328"/>
      <c r="DTZ328"/>
      <c r="DUC328"/>
      <c r="DUD328"/>
      <c r="DUG328"/>
      <c r="DUH328"/>
      <c r="DUK328"/>
      <c r="DUL328"/>
      <c r="DUO328"/>
      <c r="DUP328"/>
      <c r="DUS328"/>
      <c r="DUT328"/>
      <c r="DUW328"/>
      <c r="DUX328"/>
      <c r="DVA328"/>
      <c r="DVB328"/>
      <c r="DVE328"/>
      <c r="DVF328"/>
      <c r="DVI328"/>
      <c r="DVJ328"/>
      <c r="DVM328"/>
      <c r="DVN328"/>
      <c r="DVQ328"/>
      <c r="DVR328"/>
      <c r="DVU328"/>
      <c r="DVV328"/>
      <c r="DVY328"/>
      <c r="DVZ328"/>
      <c r="DWC328"/>
      <c r="DWD328"/>
      <c r="DWG328"/>
      <c r="DWH328"/>
      <c r="DWK328"/>
      <c r="DWL328"/>
      <c r="DWO328"/>
      <c r="DWP328"/>
      <c r="DWS328"/>
      <c r="DWT328"/>
      <c r="DWW328"/>
      <c r="DWX328"/>
      <c r="DXA328"/>
      <c r="DXB328"/>
      <c r="DXE328"/>
      <c r="DXF328"/>
      <c r="DXI328"/>
      <c r="DXJ328"/>
      <c r="DXM328"/>
      <c r="DXN328"/>
      <c r="DXQ328"/>
      <c r="DXR328"/>
      <c r="DXU328"/>
      <c r="DXV328"/>
      <c r="DXY328"/>
      <c r="DXZ328"/>
      <c r="DYC328"/>
      <c r="DYD328"/>
      <c r="DYG328"/>
      <c r="DYH328"/>
      <c r="DYK328"/>
      <c r="DYL328"/>
      <c r="DYO328"/>
      <c r="DYP328"/>
      <c r="DYS328"/>
      <c r="DYT328"/>
      <c r="DYW328"/>
      <c r="DYX328"/>
      <c r="DZA328"/>
      <c r="DZB328"/>
      <c r="DZE328"/>
      <c r="DZF328"/>
      <c r="DZI328"/>
      <c r="DZJ328"/>
      <c r="DZM328"/>
      <c r="DZN328"/>
      <c r="DZQ328"/>
      <c r="DZR328"/>
      <c r="DZU328"/>
      <c r="DZV328"/>
      <c r="DZY328"/>
      <c r="DZZ328"/>
      <c r="EAC328"/>
      <c r="EAD328"/>
      <c r="EAG328"/>
      <c r="EAH328"/>
      <c r="EAK328"/>
      <c r="EAL328"/>
      <c r="EAO328"/>
      <c r="EAP328"/>
      <c r="EAS328"/>
      <c r="EAT328"/>
      <c r="EAW328"/>
      <c r="EAX328"/>
      <c r="EBA328"/>
      <c r="EBB328"/>
      <c r="EBE328"/>
      <c r="EBF328"/>
      <c r="EBI328"/>
      <c r="EBJ328"/>
      <c r="EBM328"/>
      <c r="EBN328"/>
      <c r="EBQ328"/>
      <c r="EBR328"/>
      <c r="EBU328"/>
      <c r="EBV328"/>
      <c r="EBY328"/>
      <c r="EBZ328"/>
      <c r="ECC328"/>
      <c r="ECD328"/>
      <c r="ECG328"/>
      <c r="ECH328"/>
      <c r="ECK328"/>
      <c r="ECL328"/>
      <c r="ECO328"/>
      <c r="ECP328"/>
      <c r="ECS328"/>
      <c r="ECT328"/>
      <c r="ECW328"/>
      <c r="ECX328"/>
      <c r="EDA328"/>
      <c r="EDB328"/>
      <c r="EDE328"/>
      <c r="EDF328"/>
      <c r="EDI328"/>
      <c r="EDJ328"/>
      <c r="EDM328"/>
      <c r="EDN328"/>
      <c r="EDQ328"/>
      <c r="EDR328"/>
      <c r="EDU328"/>
      <c r="EDV328"/>
      <c r="EDY328"/>
      <c r="EDZ328"/>
      <c r="EEC328"/>
      <c r="EED328"/>
      <c r="EEG328"/>
      <c r="EEH328"/>
      <c r="EEK328"/>
      <c r="EEL328"/>
      <c r="EEO328"/>
      <c r="EEP328"/>
      <c r="EES328"/>
      <c r="EET328"/>
      <c r="EEW328"/>
      <c r="EEX328"/>
      <c r="EFA328"/>
      <c r="EFB328"/>
      <c r="EFE328"/>
      <c r="EFF328"/>
      <c r="EFI328"/>
      <c r="EFJ328"/>
      <c r="EFM328"/>
      <c r="EFN328"/>
      <c r="EFQ328"/>
      <c r="EFR328"/>
      <c r="EFU328"/>
      <c r="EFV328"/>
      <c r="EFY328"/>
      <c r="EFZ328"/>
      <c r="EGC328"/>
      <c r="EGD328"/>
      <c r="EGG328"/>
      <c r="EGH328"/>
      <c r="EGK328"/>
      <c r="EGL328"/>
      <c r="EGO328"/>
      <c r="EGP328"/>
      <c r="EGS328"/>
      <c r="EGT328"/>
      <c r="EGW328"/>
      <c r="EGX328"/>
      <c r="EHA328"/>
      <c r="EHB328"/>
      <c r="EHE328"/>
      <c r="EHF328"/>
      <c r="EHI328"/>
      <c r="EHJ328"/>
      <c r="EHM328"/>
      <c r="EHN328"/>
      <c r="EHQ328"/>
      <c r="EHR328"/>
      <c r="EHU328"/>
      <c r="EHV328"/>
      <c r="EHY328"/>
      <c r="EHZ328"/>
      <c r="EIC328"/>
      <c r="EID328"/>
      <c r="EIG328"/>
      <c r="EIH328"/>
      <c r="EIK328"/>
      <c r="EIL328"/>
      <c r="EIO328"/>
      <c r="EIP328"/>
      <c r="EIS328"/>
      <c r="EIT328"/>
      <c r="EIW328"/>
      <c r="EIX328"/>
      <c r="EJA328"/>
      <c r="EJB328"/>
      <c r="EJE328"/>
      <c r="EJF328"/>
      <c r="EJI328"/>
      <c r="EJJ328"/>
      <c r="EJM328"/>
      <c r="EJN328"/>
      <c r="EJQ328"/>
      <c r="EJR328"/>
      <c r="EJU328"/>
      <c r="EJV328"/>
      <c r="EJY328"/>
      <c r="EJZ328"/>
      <c r="EKC328"/>
      <c r="EKD328"/>
      <c r="EKG328"/>
      <c r="EKH328"/>
      <c r="EKK328"/>
      <c r="EKL328"/>
      <c r="EKO328"/>
      <c r="EKP328"/>
      <c r="EKS328"/>
      <c r="EKT328"/>
      <c r="EKW328"/>
      <c r="EKX328"/>
      <c r="ELA328"/>
      <c r="ELB328"/>
      <c r="ELE328"/>
      <c r="ELF328"/>
      <c r="ELI328"/>
      <c r="ELJ328"/>
      <c r="ELM328"/>
      <c r="ELN328"/>
      <c r="ELQ328"/>
      <c r="ELR328"/>
      <c r="ELU328"/>
      <c r="ELV328"/>
      <c r="ELY328"/>
      <c r="ELZ328"/>
      <c r="EMC328"/>
      <c r="EMD328"/>
      <c r="EMG328"/>
      <c r="EMH328"/>
      <c r="EMK328"/>
      <c r="EML328"/>
      <c r="EMO328"/>
      <c r="EMP328"/>
      <c r="EMS328"/>
      <c r="EMT328"/>
      <c r="EMW328"/>
      <c r="EMX328"/>
      <c r="ENA328"/>
      <c r="ENB328"/>
      <c r="ENE328"/>
      <c r="ENF328"/>
      <c r="ENI328"/>
      <c r="ENJ328"/>
      <c r="ENM328"/>
      <c r="ENN328"/>
      <c r="ENQ328"/>
      <c r="ENR328"/>
      <c r="ENU328"/>
      <c r="ENV328"/>
      <c r="ENY328"/>
      <c r="ENZ328"/>
      <c r="EOC328"/>
      <c r="EOD328"/>
      <c r="EOG328"/>
      <c r="EOH328"/>
      <c r="EOK328"/>
      <c r="EOL328"/>
      <c r="EOO328"/>
      <c r="EOP328"/>
      <c r="EOS328"/>
      <c r="EOT328"/>
      <c r="EOW328"/>
      <c r="EOX328"/>
      <c r="EPA328"/>
      <c r="EPB328"/>
      <c r="EPE328"/>
      <c r="EPF328"/>
      <c r="EPI328"/>
      <c r="EPJ328"/>
      <c r="EPM328"/>
      <c r="EPN328"/>
      <c r="EPQ328"/>
      <c r="EPR328"/>
      <c r="EPU328"/>
      <c r="EPV328"/>
      <c r="EPY328"/>
      <c r="EPZ328"/>
      <c r="EQC328"/>
      <c r="EQD328"/>
      <c r="EQG328"/>
      <c r="EQH328"/>
      <c r="EQK328"/>
      <c r="EQL328"/>
      <c r="EQO328"/>
      <c r="EQP328"/>
      <c r="EQS328"/>
      <c r="EQT328"/>
      <c r="EQW328"/>
      <c r="EQX328"/>
      <c r="ERA328"/>
      <c r="ERB328"/>
      <c r="ERE328"/>
      <c r="ERF328"/>
      <c r="ERI328"/>
      <c r="ERJ328"/>
      <c r="ERM328"/>
      <c r="ERN328"/>
      <c r="ERQ328"/>
      <c r="ERR328"/>
      <c r="ERU328"/>
      <c r="ERV328"/>
      <c r="ERY328"/>
      <c r="ERZ328"/>
      <c r="ESC328"/>
      <c r="ESD328"/>
      <c r="ESG328"/>
      <c r="ESH328"/>
      <c r="ESK328"/>
      <c r="ESL328"/>
      <c r="ESO328"/>
      <c r="ESP328"/>
      <c r="ESS328"/>
      <c r="EST328"/>
      <c r="ESW328"/>
      <c r="ESX328"/>
      <c r="ETA328"/>
      <c r="ETB328"/>
      <c r="ETE328"/>
      <c r="ETF328"/>
      <c r="ETI328"/>
      <c r="ETJ328"/>
      <c r="ETM328"/>
      <c r="ETN328"/>
      <c r="ETQ328"/>
      <c r="ETR328"/>
      <c r="ETU328"/>
      <c r="ETV328"/>
      <c r="ETY328"/>
      <c r="ETZ328"/>
      <c r="EUC328"/>
      <c r="EUD328"/>
      <c r="EUG328"/>
      <c r="EUH328"/>
      <c r="EUK328"/>
      <c r="EUL328"/>
      <c r="EUO328"/>
      <c r="EUP328"/>
      <c r="EUS328"/>
      <c r="EUT328"/>
      <c r="EUW328"/>
      <c r="EUX328"/>
      <c r="EVA328"/>
      <c r="EVB328"/>
      <c r="EVE328"/>
      <c r="EVF328"/>
      <c r="EVI328"/>
      <c r="EVJ328"/>
      <c r="EVM328"/>
      <c r="EVN328"/>
      <c r="EVQ328"/>
      <c r="EVR328"/>
      <c r="EVU328"/>
      <c r="EVV328"/>
      <c r="EVY328"/>
      <c r="EVZ328"/>
      <c r="EWC328"/>
      <c r="EWD328"/>
      <c r="EWG328"/>
      <c r="EWH328"/>
      <c r="EWK328"/>
      <c r="EWL328"/>
      <c r="EWO328"/>
      <c r="EWP328"/>
      <c r="EWS328"/>
      <c r="EWT328"/>
      <c r="EWW328"/>
      <c r="EWX328"/>
      <c r="EXA328"/>
      <c r="EXB328"/>
      <c r="EXE328"/>
      <c r="EXF328"/>
      <c r="EXI328"/>
      <c r="EXJ328"/>
      <c r="EXM328"/>
      <c r="EXN328"/>
      <c r="EXQ328"/>
      <c r="EXR328"/>
      <c r="EXU328"/>
      <c r="EXV328"/>
      <c r="EXY328"/>
      <c r="EXZ328"/>
      <c r="EYC328"/>
      <c r="EYD328"/>
      <c r="EYG328"/>
      <c r="EYH328"/>
      <c r="EYK328"/>
      <c r="EYL328"/>
      <c r="EYO328"/>
      <c r="EYP328"/>
      <c r="EYS328"/>
      <c r="EYT328"/>
      <c r="EYW328"/>
      <c r="EYX328"/>
      <c r="EZA328"/>
      <c r="EZB328"/>
      <c r="EZE328"/>
      <c r="EZF328"/>
      <c r="EZI328"/>
      <c r="EZJ328"/>
      <c r="EZM328"/>
      <c r="EZN328"/>
      <c r="EZQ328"/>
      <c r="EZR328"/>
      <c r="EZU328"/>
      <c r="EZV328"/>
      <c r="EZY328"/>
      <c r="EZZ328"/>
      <c r="FAC328"/>
      <c r="FAD328"/>
      <c r="FAG328"/>
      <c r="FAH328"/>
      <c r="FAK328"/>
      <c r="FAL328"/>
      <c r="FAO328"/>
      <c r="FAP328"/>
      <c r="FAS328"/>
      <c r="FAT328"/>
      <c r="FAW328"/>
      <c r="FAX328"/>
      <c r="FBA328"/>
      <c r="FBB328"/>
      <c r="FBE328"/>
      <c r="FBF328"/>
      <c r="FBI328"/>
      <c r="FBJ328"/>
      <c r="FBM328"/>
      <c r="FBN328"/>
      <c r="FBQ328"/>
      <c r="FBR328"/>
      <c r="FBU328"/>
      <c r="FBV328"/>
      <c r="FBY328"/>
      <c r="FBZ328"/>
      <c r="FCC328"/>
      <c r="FCD328"/>
      <c r="FCG328"/>
      <c r="FCH328"/>
      <c r="FCK328"/>
      <c r="FCL328"/>
      <c r="FCO328"/>
      <c r="FCP328"/>
      <c r="FCS328"/>
      <c r="FCT328"/>
      <c r="FCW328"/>
      <c r="FCX328"/>
      <c r="FDA328"/>
      <c r="FDB328"/>
      <c r="FDE328"/>
      <c r="FDF328"/>
      <c r="FDI328"/>
      <c r="FDJ328"/>
      <c r="FDM328"/>
      <c r="FDN328"/>
      <c r="FDQ328"/>
      <c r="FDR328"/>
      <c r="FDU328"/>
      <c r="FDV328"/>
      <c r="FDY328"/>
      <c r="FDZ328"/>
      <c r="FEC328"/>
      <c r="FED328"/>
      <c r="FEG328"/>
      <c r="FEH328"/>
      <c r="FEK328"/>
      <c r="FEL328"/>
      <c r="FEO328"/>
      <c r="FEP328"/>
      <c r="FES328"/>
      <c r="FET328"/>
      <c r="FEW328"/>
      <c r="FEX328"/>
      <c r="FFA328"/>
      <c r="FFB328"/>
      <c r="FFE328"/>
      <c r="FFF328"/>
      <c r="FFI328"/>
      <c r="FFJ328"/>
      <c r="FFM328"/>
      <c r="FFN328"/>
      <c r="FFQ328"/>
      <c r="FFR328"/>
      <c r="FFU328"/>
      <c r="FFV328"/>
      <c r="FFY328"/>
      <c r="FFZ328"/>
      <c r="FGC328"/>
      <c r="FGD328"/>
      <c r="FGG328"/>
      <c r="FGH328"/>
      <c r="FGK328"/>
      <c r="FGL328"/>
      <c r="FGO328"/>
      <c r="FGP328"/>
      <c r="FGS328"/>
      <c r="FGT328"/>
      <c r="FGW328"/>
      <c r="FGX328"/>
      <c r="FHA328"/>
      <c r="FHB328"/>
      <c r="FHE328"/>
      <c r="FHF328"/>
      <c r="FHI328"/>
      <c r="FHJ328"/>
      <c r="FHM328"/>
      <c r="FHN328"/>
      <c r="FHQ328"/>
      <c r="FHR328"/>
      <c r="FHU328"/>
      <c r="FHV328"/>
      <c r="FHY328"/>
      <c r="FHZ328"/>
      <c r="FIC328"/>
      <c r="FID328"/>
      <c r="FIG328"/>
      <c r="FIH328"/>
      <c r="FIK328"/>
      <c r="FIL328"/>
      <c r="FIO328"/>
      <c r="FIP328"/>
      <c r="FIS328"/>
      <c r="FIT328"/>
      <c r="FIW328"/>
      <c r="FIX328"/>
      <c r="FJA328"/>
      <c r="FJB328"/>
      <c r="FJE328"/>
      <c r="FJF328"/>
      <c r="FJI328"/>
      <c r="FJJ328"/>
      <c r="FJM328"/>
      <c r="FJN328"/>
      <c r="FJQ328"/>
      <c r="FJR328"/>
      <c r="FJU328"/>
      <c r="FJV328"/>
      <c r="FJY328"/>
      <c r="FJZ328"/>
      <c r="FKC328"/>
      <c r="FKD328"/>
      <c r="FKG328"/>
      <c r="FKH328"/>
      <c r="FKK328"/>
      <c r="FKL328"/>
      <c r="FKO328"/>
      <c r="FKP328"/>
      <c r="FKS328"/>
      <c r="FKT328"/>
      <c r="FKW328"/>
      <c r="FKX328"/>
      <c r="FLA328"/>
      <c r="FLB328"/>
      <c r="FLE328"/>
      <c r="FLF328"/>
      <c r="FLI328"/>
      <c r="FLJ328"/>
      <c r="FLM328"/>
      <c r="FLN328"/>
      <c r="FLQ328"/>
      <c r="FLR328"/>
      <c r="FLU328"/>
      <c r="FLV328"/>
      <c r="FLY328"/>
      <c r="FLZ328"/>
      <c r="FMC328"/>
      <c r="FMD328"/>
      <c r="FMG328"/>
      <c r="FMH328"/>
      <c r="FMK328"/>
      <c r="FML328"/>
      <c r="FMO328"/>
      <c r="FMP328"/>
      <c r="FMS328"/>
      <c r="FMT328"/>
      <c r="FMW328"/>
      <c r="FMX328"/>
      <c r="FNA328"/>
      <c r="FNB328"/>
      <c r="FNE328"/>
      <c r="FNF328"/>
      <c r="FNI328"/>
      <c r="FNJ328"/>
      <c r="FNM328"/>
      <c r="FNN328"/>
      <c r="FNQ328"/>
      <c r="FNR328"/>
      <c r="FNU328"/>
      <c r="FNV328"/>
      <c r="FNY328"/>
      <c r="FNZ328"/>
      <c r="FOC328"/>
      <c r="FOD328"/>
      <c r="FOG328"/>
      <c r="FOH328"/>
      <c r="FOK328"/>
      <c r="FOL328"/>
      <c r="FOO328"/>
      <c r="FOP328"/>
      <c r="FOS328"/>
      <c r="FOT328"/>
      <c r="FOW328"/>
      <c r="FOX328"/>
      <c r="FPA328"/>
      <c r="FPB328"/>
      <c r="FPE328"/>
      <c r="FPF328"/>
      <c r="FPI328"/>
      <c r="FPJ328"/>
      <c r="FPM328"/>
      <c r="FPN328"/>
      <c r="FPQ328"/>
      <c r="FPR328"/>
      <c r="FPU328"/>
      <c r="FPV328"/>
      <c r="FPY328"/>
      <c r="FPZ328"/>
      <c r="FQC328"/>
      <c r="FQD328"/>
      <c r="FQG328"/>
      <c r="FQH328"/>
      <c r="FQK328"/>
      <c r="FQL328"/>
      <c r="FQO328"/>
      <c r="FQP328"/>
      <c r="FQS328"/>
      <c r="FQT328"/>
      <c r="FQW328"/>
      <c r="FQX328"/>
      <c r="FRA328"/>
      <c r="FRB328"/>
      <c r="FRE328"/>
      <c r="FRF328"/>
      <c r="FRI328"/>
      <c r="FRJ328"/>
      <c r="FRM328"/>
      <c r="FRN328"/>
      <c r="FRQ328"/>
      <c r="FRR328"/>
      <c r="FRU328"/>
      <c r="FRV328"/>
      <c r="FRY328"/>
      <c r="FRZ328"/>
      <c r="FSC328"/>
      <c r="FSD328"/>
      <c r="FSG328"/>
      <c r="FSH328"/>
      <c r="FSK328"/>
      <c r="FSL328"/>
      <c r="FSO328"/>
      <c r="FSP328"/>
      <c r="FSS328"/>
      <c r="FST328"/>
      <c r="FSW328"/>
      <c r="FSX328"/>
      <c r="FTA328"/>
      <c r="FTB328"/>
      <c r="FTE328"/>
      <c r="FTF328"/>
      <c r="FTI328"/>
      <c r="FTJ328"/>
      <c r="FTM328"/>
      <c r="FTN328"/>
      <c r="FTQ328"/>
      <c r="FTR328"/>
      <c r="FTU328"/>
      <c r="FTV328"/>
      <c r="FTY328"/>
      <c r="FTZ328"/>
      <c r="FUC328"/>
      <c r="FUD328"/>
      <c r="FUG328"/>
      <c r="FUH328"/>
      <c r="FUK328"/>
      <c r="FUL328"/>
      <c r="FUO328"/>
      <c r="FUP328"/>
      <c r="FUS328"/>
      <c r="FUT328"/>
      <c r="FUW328"/>
      <c r="FUX328"/>
      <c r="FVA328"/>
      <c r="FVB328"/>
      <c r="FVE328"/>
      <c r="FVF328"/>
      <c r="FVI328"/>
      <c r="FVJ328"/>
      <c r="FVM328"/>
      <c r="FVN328"/>
      <c r="FVQ328"/>
      <c r="FVR328"/>
      <c r="FVU328"/>
      <c r="FVV328"/>
      <c r="FVY328"/>
      <c r="FVZ328"/>
      <c r="FWC328"/>
      <c r="FWD328"/>
      <c r="FWG328"/>
      <c r="FWH328"/>
      <c r="FWK328"/>
      <c r="FWL328"/>
      <c r="FWO328"/>
      <c r="FWP328"/>
      <c r="FWS328"/>
      <c r="FWT328"/>
      <c r="FWW328"/>
      <c r="FWX328"/>
      <c r="FXA328"/>
      <c r="FXB328"/>
      <c r="FXE328"/>
      <c r="FXF328"/>
      <c r="FXI328"/>
      <c r="FXJ328"/>
      <c r="FXM328"/>
      <c r="FXN328"/>
      <c r="FXQ328"/>
      <c r="FXR328"/>
      <c r="FXU328"/>
      <c r="FXV328"/>
      <c r="FXY328"/>
      <c r="FXZ328"/>
      <c r="FYC328"/>
      <c r="FYD328"/>
      <c r="FYG328"/>
      <c r="FYH328"/>
      <c r="FYK328"/>
      <c r="FYL328"/>
      <c r="FYO328"/>
      <c r="FYP328"/>
      <c r="FYS328"/>
      <c r="FYT328"/>
      <c r="FYW328"/>
      <c r="FYX328"/>
      <c r="FZA328"/>
      <c r="FZB328"/>
      <c r="FZE328"/>
      <c r="FZF328"/>
      <c r="FZI328"/>
      <c r="FZJ328"/>
      <c r="FZM328"/>
      <c r="FZN328"/>
      <c r="FZQ328"/>
      <c r="FZR328"/>
      <c r="FZU328"/>
      <c r="FZV328"/>
      <c r="FZY328"/>
      <c r="FZZ328"/>
      <c r="GAC328"/>
      <c r="GAD328"/>
      <c r="GAG328"/>
      <c r="GAH328"/>
      <c r="GAK328"/>
      <c r="GAL328"/>
      <c r="GAO328"/>
      <c r="GAP328"/>
      <c r="GAS328"/>
      <c r="GAT328"/>
      <c r="GAW328"/>
      <c r="GAX328"/>
      <c r="GBA328"/>
      <c r="GBB328"/>
      <c r="GBE328"/>
      <c r="GBF328"/>
      <c r="GBI328"/>
      <c r="GBJ328"/>
      <c r="GBM328"/>
      <c r="GBN328"/>
      <c r="GBQ328"/>
      <c r="GBR328"/>
      <c r="GBU328"/>
      <c r="GBV328"/>
      <c r="GBY328"/>
      <c r="GBZ328"/>
      <c r="GCC328"/>
      <c r="GCD328"/>
      <c r="GCG328"/>
      <c r="GCH328"/>
      <c r="GCK328"/>
      <c r="GCL328"/>
      <c r="GCO328"/>
      <c r="GCP328"/>
      <c r="GCS328"/>
      <c r="GCT328"/>
      <c r="GCW328"/>
      <c r="GCX328"/>
      <c r="GDA328"/>
      <c r="GDB328"/>
      <c r="GDE328"/>
      <c r="GDF328"/>
      <c r="GDI328"/>
      <c r="GDJ328"/>
      <c r="GDM328"/>
      <c r="GDN328"/>
      <c r="GDQ328"/>
      <c r="GDR328"/>
      <c r="GDU328"/>
      <c r="GDV328"/>
      <c r="GDY328"/>
      <c r="GDZ328"/>
      <c r="GEC328"/>
      <c r="GED328"/>
      <c r="GEG328"/>
      <c r="GEH328"/>
      <c r="GEK328"/>
      <c r="GEL328"/>
      <c r="GEO328"/>
      <c r="GEP328"/>
      <c r="GES328"/>
      <c r="GET328"/>
      <c r="GEW328"/>
      <c r="GEX328"/>
      <c r="GFA328"/>
      <c r="GFB328"/>
      <c r="GFE328"/>
      <c r="GFF328"/>
      <c r="GFI328"/>
      <c r="GFJ328"/>
      <c r="GFM328"/>
      <c r="GFN328"/>
      <c r="GFQ328"/>
      <c r="GFR328"/>
      <c r="GFU328"/>
      <c r="GFV328"/>
      <c r="GFY328"/>
      <c r="GFZ328"/>
      <c r="GGC328"/>
      <c r="GGD328"/>
      <c r="GGG328"/>
      <c r="GGH328"/>
      <c r="GGK328"/>
      <c r="GGL328"/>
      <c r="GGO328"/>
      <c r="GGP328"/>
      <c r="GGS328"/>
      <c r="GGT328"/>
      <c r="GGW328"/>
      <c r="GGX328"/>
      <c r="GHA328"/>
      <c r="GHB328"/>
      <c r="GHE328"/>
      <c r="GHF328"/>
      <c r="GHI328"/>
      <c r="GHJ328"/>
      <c r="GHM328"/>
      <c r="GHN328"/>
      <c r="GHQ328"/>
      <c r="GHR328"/>
      <c r="GHU328"/>
      <c r="GHV328"/>
      <c r="GHY328"/>
      <c r="GHZ328"/>
      <c r="GIC328"/>
      <c r="GID328"/>
      <c r="GIG328"/>
      <c r="GIH328"/>
      <c r="GIK328"/>
      <c r="GIL328"/>
      <c r="GIO328"/>
      <c r="GIP328"/>
      <c r="GIS328"/>
      <c r="GIT328"/>
      <c r="GIW328"/>
      <c r="GIX328"/>
      <c r="GJA328"/>
      <c r="GJB328"/>
      <c r="GJE328"/>
      <c r="GJF328"/>
      <c r="GJI328"/>
      <c r="GJJ328"/>
      <c r="GJM328"/>
      <c r="GJN328"/>
      <c r="GJQ328"/>
      <c r="GJR328"/>
      <c r="GJU328"/>
      <c r="GJV328"/>
      <c r="GJY328"/>
      <c r="GJZ328"/>
      <c r="GKC328"/>
      <c r="GKD328"/>
      <c r="GKG328"/>
      <c r="GKH328"/>
      <c r="GKK328"/>
      <c r="GKL328"/>
      <c r="GKO328"/>
      <c r="GKP328"/>
      <c r="GKS328"/>
      <c r="GKT328"/>
      <c r="GKW328"/>
      <c r="GKX328"/>
      <c r="GLA328"/>
      <c r="GLB328"/>
      <c r="GLE328"/>
      <c r="GLF328"/>
      <c r="GLI328"/>
      <c r="GLJ328"/>
      <c r="GLM328"/>
      <c r="GLN328"/>
      <c r="GLQ328"/>
      <c r="GLR328"/>
      <c r="GLU328"/>
      <c r="GLV328"/>
      <c r="GLY328"/>
      <c r="GLZ328"/>
      <c r="GMC328"/>
      <c r="GMD328"/>
      <c r="GMG328"/>
      <c r="GMH328"/>
      <c r="GMK328"/>
      <c r="GML328"/>
      <c r="GMO328"/>
      <c r="GMP328"/>
      <c r="GMS328"/>
      <c r="GMT328"/>
      <c r="GMW328"/>
      <c r="GMX328"/>
      <c r="GNA328"/>
      <c r="GNB328"/>
      <c r="GNE328"/>
      <c r="GNF328"/>
      <c r="GNI328"/>
      <c r="GNJ328"/>
      <c r="GNM328"/>
      <c r="GNN328"/>
      <c r="GNQ328"/>
      <c r="GNR328"/>
      <c r="GNU328"/>
      <c r="GNV328"/>
      <c r="GNY328"/>
      <c r="GNZ328"/>
      <c r="GOC328"/>
      <c r="GOD328"/>
      <c r="GOG328"/>
      <c r="GOH328"/>
      <c r="GOK328"/>
      <c r="GOL328"/>
      <c r="GOO328"/>
      <c r="GOP328"/>
      <c r="GOS328"/>
      <c r="GOT328"/>
      <c r="GOW328"/>
      <c r="GOX328"/>
      <c r="GPA328"/>
      <c r="GPB328"/>
      <c r="GPE328"/>
      <c r="GPF328"/>
      <c r="GPI328"/>
      <c r="GPJ328"/>
      <c r="GPM328"/>
      <c r="GPN328"/>
      <c r="GPQ328"/>
      <c r="GPR328"/>
      <c r="GPU328"/>
      <c r="GPV328"/>
      <c r="GPY328"/>
      <c r="GPZ328"/>
      <c r="GQC328"/>
      <c r="GQD328"/>
      <c r="GQG328"/>
      <c r="GQH328"/>
      <c r="GQK328"/>
      <c r="GQL328"/>
      <c r="GQO328"/>
      <c r="GQP328"/>
      <c r="GQS328"/>
      <c r="GQT328"/>
      <c r="GQW328"/>
      <c r="GQX328"/>
      <c r="GRA328"/>
      <c r="GRB328"/>
      <c r="GRE328"/>
      <c r="GRF328"/>
      <c r="GRI328"/>
      <c r="GRJ328"/>
      <c r="GRM328"/>
      <c r="GRN328"/>
      <c r="GRQ328"/>
      <c r="GRR328"/>
      <c r="GRU328"/>
      <c r="GRV328"/>
      <c r="GRY328"/>
      <c r="GRZ328"/>
      <c r="GSC328"/>
      <c r="GSD328"/>
      <c r="GSG328"/>
      <c r="GSH328"/>
      <c r="GSK328"/>
      <c r="GSL328"/>
      <c r="GSO328"/>
      <c r="GSP328"/>
      <c r="GSS328"/>
      <c r="GST328"/>
      <c r="GSW328"/>
      <c r="GSX328"/>
      <c r="GTA328"/>
      <c r="GTB328"/>
      <c r="GTE328"/>
      <c r="GTF328"/>
      <c r="GTI328"/>
      <c r="GTJ328"/>
      <c r="GTM328"/>
      <c r="GTN328"/>
      <c r="GTQ328"/>
      <c r="GTR328"/>
      <c r="GTU328"/>
      <c r="GTV328"/>
      <c r="GTY328"/>
      <c r="GTZ328"/>
      <c r="GUC328"/>
      <c r="GUD328"/>
      <c r="GUG328"/>
      <c r="GUH328"/>
      <c r="GUK328"/>
      <c r="GUL328"/>
      <c r="GUO328"/>
      <c r="GUP328"/>
      <c r="GUS328"/>
      <c r="GUT328"/>
      <c r="GUW328"/>
      <c r="GUX328"/>
      <c r="GVA328"/>
      <c r="GVB328"/>
      <c r="GVE328"/>
      <c r="GVF328"/>
      <c r="GVI328"/>
      <c r="GVJ328"/>
      <c r="GVM328"/>
      <c r="GVN328"/>
      <c r="GVQ328"/>
      <c r="GVR328"/>
      <c r="GVU328"/>
      <c r="GVV328"/>
      <c r="GVY328"/>
      <c r="GVZ328"/>
      <c r="GWC328"/>
      <c r="GWD328"/>
      <c r="GWG328"/>
      <c r="GWH328"/>
      <c r="GWK328"/>
      <c r="GWL328"/>
      <c r="GWO328"/>
      <c r="GWP328"/>
      <c r="GWS328"/>
      <c r="GWT328"/>
      <c r="GWW328"/>
      <c r="GWX328"/>
      <c r="GXA328"/>
      <c r="GXB328"/>
      <c r="GXE328"/>
      <c r="GXF328"/>
      <c r="GXI328"/>
      <c r="GXJ328"/>
      <c r="GXM328"/>
      <c r="GXN328"/>
      <c r="GXQ328"/>
      <c r="GXR328"/>
      <c r="GXU328"/>
      <c r="GXV328"/>
      <c r="GXY328"/>
      <c r="GXZ328"/>
      <c r="GYC328"/>
      <c r="GYD328"/>
      <c r="GYG328"/>
      <c r="GYH328"/>
      <c r="GYK328"/>
      <c r="GYL328"/>
      <c r="GYO328"/>
      <c r="GYP328"/>
      <c r="GYS328"/>
      <c r="GYT328"/>
      <c r="GYW328"/>
      <c r="GYX328"/>
      <c r="GZA328"/>
      <c r="GZB328"/>
      <c r="GZE328"/>
      <c r="GZF328"/>
      <c r="GZI328"/>
      <c r="GZJ328"/>
      <c r="GZM328"/>
      <c r="GZN328"/>
      <c r="GZQ328"/>
      <c r="GZR328"/>
      <c r="GZU328"/>
      <c r="GZV328"/>
      <c r="GZY328"/>
      <c r="GZZ328"/>
      <c r="HAC328"/>
      <c r="HAD328"/>
      <c r="HAG328"/>
      <c r="HAH328"/>
      <c r="HAK328"/>
      <c r="HAL328"/>
      <c r="HAO328"/>
      <c r="HAP328"/>
      <c r="HAS328"/>
      <c r="HAT328"/>
      <c r="HAW328"/>
      <c r="HAX328"/>
      <c r="HBA328"/>
      <c r="HBB328"/>
      <c r="HBE328"/>
      <c r="HBF328"/>
      <c r="HBI328"/>
      <c r="HBJ328"/>
      <c r="HBM328"/>
      <c r="HBN328"/>
      <c r="HBQ328"/>
      <c r="HBR328"/>
      <c r="HBU328"/>
      <c r="HBV328"/>
      <c r="HBY328"/>
      <c r="HBZ328"/>
      <c r="HCC328"/>
      <c r="HCD328"/>
      <c r="HCG328"/>
      <c r="HCH328"/>
      <c r="HCK328"/>
      <c r="HCL328"/>
      <c r="HCO328"/>
      <c r="HCP328"/>
      <c r="HCS328"/>
      <c r="HCT328"/>
      <c r="HCW328"/>
      <c r="HCX328"/>
      <c r="HDA328"/>
      <c r="HDB328"/>
      <c r="HDE328"/>
      <c r="HDF328"/>
      <c r="HDI328"/>
      <c r="HDJ328"/>
      <c r="HDM328"/>
      <c r="HDN328"/>
      <c r="HDQ328"/>
      <c r="HDR328"/>
      <c r="HDU328"/>
      <c r="HDV328"/>
      <c r="HDY328"/>
      <c r="HDZ328"/>
      <c r="HEC328"/>
      <c r="HED328"/>
      <c r="HEG328"/>
      <c r="HEH328"/>
      <c r="HEK328"/>
      <c r="HEL328"/>
      <c r="HEO328"/>
      <c r="HEP328"/>
      <c r="HES328"/>
      <c r="HET328"/>
      <c r="HEW328"/>
      <c r="HEX328"/>
      <c r="HFA328"/>
      <c r="HFB328"/>
      <c r="HFE328"/>
      <c r="HFF328"/>
      <c r="HFI328"/>
      <c r="HFJ328"/>
      <c r="HFM328"/>
      <c r="HFN328"/>
      <c r="HFQ328"/>
      <c r="HFR328"/>
      <c r="HFU328"/>
      <c r="HFV328"/>
      <c r="HFY328"/>
      <c r="HFZ328"/>
      <c r="HGC328"/>
      <c r="HGD328"/>
      <c r="HGG328"/>
      <c r="HGH328"/>
      <c r="HGK328"/>
      <c r="HGL328"/>
      <c r="HGO328"/>
      <c r="HGP328"/>
      <c r="HGS328"/>
      <c r="HGT328"/>
      <c r="HGW328"/>
      <c r="HGX328"/>
      <c r="HHA328"/>
      <c r="HHB328"/>
      <c r="HHE328"/>
      <c r="HHF328"/>
      <c r="HHI328"/>
      <c r="HHJ328"/>
      <c r="HHM328"/>
      <c r="HHN328"/>
      <c r="HHQ328"/>
      <c r="HHR328"/>
      <c r="HHU328"/>
      <c r="HHV328"/>
      <c r="HHY328"/>
      <c r="HHZ328"/>
      <c r="HIC328"/>
      <c r="HID328"/>
      <c r="HIG328"/>
      <c r="HIH328"/>
      <c r="HIK328"/>
      <c r="HIL328"/>
      <c r="HIO328"/>
      <c r="HIP328"/>
      <c r="HIS328"/>
      <c r="HIT328"/>
      <c r="HIW328"/>
      <c r="HIX328"/>
      <c r="HJA328"/>
      <c r="HJB328"/>
      <c r="HJE328"/>
      <c r="HJF328"/>
      <c r="HJI328"/>
      <c r="HJJ328"/>
      <c r="HJM328"/>
      <c r="HJN328"/>
      <c r="HJQ328"/>
      <c r="HJR328"/>
      <c r="HJU328"/>
      <c r="HJV328"/>
      <c r="HJY328"/>
      <c r="HJZ328"/>
      <c r="HKC328"/>
      <c r="HKD328"/>
      <c r="HKG328"/>
      <c r="HKH328"/>
      <c r="HKK328"/>
      <c r="HKL328"/>
      <c r="HKO328"/>
      <c r="HKP328"/>
      <c r="HKS328"/>
      <c r="HKT328"/>
      <c r="HKW328"/>
      <c r="HKX328"/>
      <c r="HLA328"/>
      <c r="HLB328"/>
      <c r="HLE328"/>
      <c r="HLF328"/>
      <c r="HLI328"/>
      <c r="HLJ328"/>
      <c r="HLM328"/>
      <c r="HLN328"/>
      <c r="HLQ328"/>
      <c r="HLR328"/>
      <c r="HLU328"/>
      <c r="HLV328"/>
      <c r="HLY328"/>
      <c r="HLZ328"/>
      <c r="HMC328"/>
      <c r="HMD328"/>
      <c r="HMG328"/>
      <c r="HMH328"/>
      <c r="HMK328"/>
      <c r="HML328"/>
      <c r="HMO328"/>
      <c r="HMP328"/>
      <c r="HMS328"/>
      <c r="HMT328"/>
      <c r="HMW328"/>
      <c r="HMX328"/>
      <c r="HNA328"/>
      <c r="HNB328"/>
      <c r="HNE328"/>
      <c r="HNF328"/>
      <c r="HNI328"/>
      <c r="HNJ328"/>
      <c r="HNM328"/>
      <c r="HNN328"/>
      <c r="HNQ328"/>
      <c r="HNR328"/>
      <c r="HNU328"/>
      <c r="HNV328"/>
      <c r="HNY328"/>
      <c r="HNZ328"/>
      <c r="HOC328"/>
      <c r="HOD328"/>
      <c r="HOG328"/>
      <c r="HOH328"/>
      <c r="HOK328"/>
      <c r="HOL328"/>
      <c r="HOO328"/>
      <c r="HOP328"/>
      <c r="HOS328"/>
      <c r="HOT328"/>
      <c r="HOW328"/>
      <c r="HOX328"/>
      <c r="HPA328"/>
      <c r="HPB328"/>
      <c r="HPE328"/>
      <c r="HPF328"/>
      <c r="HPI328"/>
      <c r="HPJ328"/>
      <c r="HPM328"/>
      <c r="HPN328"/>
      <c r="HPQ328"/>
      <c r="HPR328"/>
      <c r="HPU328"/>
      <c r="HPV328"/>
      <c r="HPY328"/>
      <c r="HPZ328"/>
      <c r="HQC328"/>
      <c r="HQD328"/>
      <c r="HQG328"/>
      <c r="HQH328"/>
      <c r="HQK328"/>
      <c r="HQL328"/>
      <c r="HQO328"/>
      <c r="HQP328"/>
      <c r="HQS328"/>
      <c r="HQT328"/>
      <c r="HQW328"/>
      <c r="HQX328"/>
      <c r="HRA328"/>
      <c r="HRB328"/>
      <c r="HRE328"/>
      <c r="HRF328"/>
      <c r="HRI328"/>
      <c r="HRJ328"/>
      <c r="HRM328"/>
      <c r="HRN328"/>
      <c r="HRQ328"/>
      <c r="HRR328"/>
      <c r="HRU328"/>
      <c r="HRV328"/>
      <c r="HRY328"/>
      <c r="HRZ328"/>
      <c r="HSC328"/>
      <c r="HSD328"/>
      <c r="HSG328"/>
      <c r="HSH328"/>
      <c r="HSK328"/>
      <c r="HSL328"/>
      <c r="HSO328"/>
      <c r="HSP328"/>
      <c r="HSS328"/>
      <c r="HST328"/>
      <c r="HSW328"/>
      <c r="HSX328"/>
      <c r="HTA328"/>
      <c r="HTB328"/>
      <c r="HTE328"/>
      <c r="HTF328"/>
      <c r="HTI328"/>
      <c r="HTJ328"/>
      <c r="HTM328"/>
      <c r="HTN328"/>
      <c r="HTQ328"/>
      <c r="HTR328"/>
      <c r="HTU328"/>
      <c r="HTV328"/>
      <c r="HTY328"/>
      <c r="HTZ328"/>
      <c r="HUC328"/>
      <c r="HUD328"/>
      <c r="HUG328"/>
      <c r="HUH328"/>
      <c r="HUK328"/>
      <c r="HUL328"/>
      <c r="HUO328"/>
      <c r="HUP328"/>
      <c r="HUS328"/>
      <c r="HUT328"/>
      <c r="HUW328"/>
      <c r="HUX328"/>
      <c r="HVA328"/>
      <c r="HVB328"/>
      <c r="HVE328"/>
      <c r="HVF328"/>
      <c r="HVI328"/>
      <c r="HVJ328"/>
      <c r="HVM328"/>
      <c r="HVN328"/>
      <c r="HVQ328"/>
      <c r="HVR328"/>
      <c r="HVU328"/>
      <c r="HVV328"/>
      <c r="HVY328"/>
      <c r="HVZ328"/>
      <c r="HWC328"/>
      <c r="HWD328"/>
      <c r="HWG328"/>
      <c r="HWH328"/>
      <c r="HWK328"/>
      <c r="HWL328"/>
      <c r="HWO328"/>
      <c r="HWP328"/>
      <c r="HWS328"/>
      <c r="HWT328"/>
      <c r="HWW328"/>
      <c r="HWX328"/>
      <c r="HXA328"/>
      <c r="HXB328"/>
      <c r="HXE328"/>
      <c r="HXF328"/>
      <c r="HXI328"/>
      <c r="HXJ328"/>
      <c r="HXM328"/>
      <c r="HXN328"/>
      <c r="HXQ328"/>
      <c r="HXR328"/>
      <c r="HXU328"/>
      <c r="HXV328"/>
      <c r="HXY328"/>
      <c r="HXZ328"/>
      <c r="HYC328"/>
      <c r="HYD328"/>
      <c r="HYG328"/>
      <c r="HYH328"/>
      <c r="HYK328"/>
      <c r="HYL328"/>
      <c r="HYO328"/>
      <c r="HYP328"/>
      <c r="HYS328"/>
      <c r="HYT328"/>
      <c r="HYW328"/>
      <c r="HYX328"/>
      <c r="HZA328"/>
      <c r="HZB328"/>
      <c r="HZE328"/>
      <c r="HZF328"/>
      <c r="HZI328"/>
      <c r="HZJ328"/>
      <c r="HZM328"/>
      <c r="HZN328"/>
      <c r="HZQ328"/>
      <c r="HZR328"/>
      <c r="HZU328"/>
      <c r="HZV328"/>
      <c r="HZY328"/>
      <c r="HZZ328"/>
      <c r="IAC328"/>
      <c r="IAD328"/>
      <c r="IAG328"/>
      <c r="IAH328"/>
      <c r="IAK328"/>
      <c r="IAL328"/>
      <c r="IAO328"/>
      <c r="IAP328"/>
      <c r="IAS328"/>
      <c r="IAT328"/>
      <c r="IAW328"/>
      <c r="IAX328"/>
      <c r="IBA328"/>
      <c r="IBB328"/>
      <c r="IBE328"/>
      <c r="IBF328"/>
      <c r="IBI328"/>
      <c r="IBJ328"/>
      <c r="IBM328"/>
      <c r="IBN328"/>
      <c r="IBQ328"/>
      <c r="IBR328"/>
      <c r="IBU328"/>
      <c r="IBV328"/>
      <c r="IBY328"/>
      <c r="IBZ328"/>
      <c r="ICC328"/>
      <c r="ICD328"/>
      <c r="ICG328"/>
      <c r="ICH328"/>
      <c r="ICK328"/>
      <c r="ICL328"/>
      <c r="ICO328"/>
      <c r="ICP328"/>
      <c r="ICS328"/>
      <c r="ICT328"/>
      <c r="ICW328"/>
      <c r="ICX328"/>
      <c r="IDA328"/>
      <c r="IDB328"/>
      <c r="IDE328"/>
      <c r="IDF328"/>
      <c r="IDI328"/>
      <c r="IDJ328"/>
      <c r="IDM328"/>
      <c r="IDN328"/>
      <c r="IDQ328"/>
      <c r="IDR328"/>
      <c r="IDU328"/>
      <c r="IDV328"/>
      <c r="IDY328"/>
      <c r="IDZ328"/>
      <c r="IEC328"/>
      <c r="IED328"/>
      <c r="IEG328"/>
      <c r="IEH328"/>
      <c r="IEK328"/>
      <c r="IEL328"/>
      <c r="IEO328"/>
      <c r="IEP328"/>
      <c r="IES328"/>
      <c r="IET328"/>
      <c r="IEW328"/>
      <c r="IEX328"/>
      <c r="IFA328"/>
      <c r="IFB328"/>
      <c r="IFE328"/>
      <c r="IFF328"/>
      <c r="IFI328"/>
      <c r="IFJ328"/>
      <c r="IFM328"/>
      <c r="IFN328"/>
      <c r="IFQ328"/>
      <c r="IFR328"/>
      <c r="IFU328"/>
      <c r="IFV328"/>
      <c r="IFY328"/>
      <c r="IFZ328"/>
      <c r="IGC328"/>
      <c r="IGD328"/>
      <c r="IGG328"/>
      <c r="IGH328"/>
      <c r="IGK328"/>
      <c r="IGL328"/>
      <c r="IGO328"/>
      <c r="IGP328"/>
      <c r="IGS328"/>
      <c r="IGT328"/>
      <c r="IGW328"/>
      <c r="IGX328"/>
      <c r="IHA328"/>
      <c r="IHB328"/>
      <c r="IHE328"/>
      <c r="IHF328"/>
      <c r="IHI328"/>
      <c r="IHJ328"/>
      <c r="IHM328"/>
      <c r="IHN328"/>
      <c r="IHQ328"/>
      <c r="IHR328"/>
      <c r="IHU328"/>
      <c r="IHV328"/>
      <c r="IHY328"/>
      <c r="IHZ328"/>
      <c r="IIC328"/>
      <c r="IID328"/>
      <c r="IIG328"/>
      <c r="IIH328"/>
      <c r="IIK328"/>
      <c r="IIL328"/>
      <c r="IIO328"/>
      <c r="IIP328"/>
      <c r="IIS328"/>
      <c r="IIT328"/>
      <c r="IIW328"/>
      <c r="IIX328"/>
      <c r="IJA328"/>
      <c r="IJB328"/>
      <c r="IJE328"/>
      <c r="IJF328"/>
      <c r="IJI328"/>
      <c r="IJJ328"/>
      <c r="IJM328"/>
      <c r="IJN328"/>
      <c r="IJQ328"/>
      <c r="IJR328"/>
      <c r="IJU328"/>
      <c r="IJV328"/>
      <c r="IJY328"/>
      <c r="IJZ328"/>
      <c r="IKC328"/>
      <c r="IKD328"/>
      <c r="IKG328"/>
      <c r="IKH328"/>
      <c r="IKK328"/>
      <c r="IKL328"/>
      <c r="IKO328"/>
      <c r="IKP328"/>
      <c r="IKS328"/>
      <c r="IKT328"/>
      <c r="IKW328"/>
      <c r="IKX328"/>
      <c r="ILA328"/>
      <c r="ILB328"/>
      <c r="ILE328"/>
      <c r="ILF328"/>
      <c r="ILI328"/>
      <c r="ILJ328"/>
      <c r="ILM328"/>
      <c r="ILN328"/>
      <c r="ILQ328"/>
      <c r="ILR328"/>
      <c r="ILU328"/>
      <c r="ILV328"/>
      <c r="ILY328"/>
      <c r="ILZ328"/>
      <c r="IMC328"/>
      <c r="IMD328"/>
      <c r="IMG328"/>
      <c r="IMH328"/>
      <c r="IMK328"/>
      <c r="IML328"/>
      <c r="IMO328"/>
      <c r="IMP328"/>
      <c r="IMS328"/>
      <c r="IMT328"/>
      <c r="IMW328"/>
      <c r="IMX328"/>
      <c r="INA328"/>
      <c r="INB328"/>
      <c r="INE328"/>
      <c r="INF328"/>
      <c r="INI328"/>
      <c r="INJ328"/>
      <c r="INM328"/>
      <c r="INN328"/>
      <c r="INQ328"/>
      <c r="INR328"/>
      <c r="INU328"/>
      <c r="INV328"/>
      <c r="INY328"/>
      <c r="INZ328"/>
      <c r="IOC328"/>
      <c r="IOD328"/>
      <c r="IOG328"/>
      <c r="IOH328"/>
      <c r="IOK328"/>
      <c r="IOL328"/>
      <c r="IOO328"/>
      <c r="IOP328"/>
      <c r="IOS328"/>
      <c r="IOT328"/>
      <c r="IOW328"/>
      <c r="IOX328"/>
      <c r="IPA328"/>
      <c r="IPB328"/>
      <c r="IPE328"/>
      <c r="IPF328"/>
      <c r="IPI328"/>
      <c r="IPJ328"/>
      <c r="IPM328"/>
      <c r="IPN328"/>
      <c r="IPQ328"/>
      <c r="IPR328"/>
      <c r="IPU328"/>
      <c r="IPV328"/>
      <c r="IPY328"/>
      <c r="IPZ328"/>
      <c r="IQC328"/>
      <c r="IQD328"/>
      <c r="IQG328"/>
      <c r="IQH328"/>
      <c r="IQK328"/>
      <c r="IQL328"/>
      <c r="IQO328"/>
      <c r="IQP328"/>
      <c r="IQS328"/>
      <c r="IQT328"/>
      <c r="IQW328"/>
      <c r="IQX328"/>
      <c r="IRA328"/>
      <c r="IRB328"/>
      <c r="IRE328"/>
      <c r="IRF328"/>
      <c r="IRI328"/>
      <c r="IRJ328"/>
      <c r="IRM328"/>
      <c r="IRN328"/>
      <c r="IRQ328"/>
      <c r="IRR328"/>
      <c r="IRU328"/>
      <c r="IRV328"/>
      <c r="IRY328"/>
      <c r="IRZ328"/>
      <c r="ISC328"/>
      <c r="ISD328"/>
      <c r="ISG328"/>
      <c r="ISH328"/>
      <c r="ISK328"/>
      <c r="ISL328"/>
      <c r="ISO328"/>
      <c r="ISP328"/>
      <c r="ISS328"/>
      <c r="IST328"/>
      <c r="ISW328"/>
      <c r="ISX328"/>
      <c r="ITA328"/>
      <c r="ITB328"/>
      <c r="ITE328"/>
      <c r="ITF328"/>
      <c r="ITI328"/>
      <c r="ITJ328"/>
      <c r="ITM328"/>
      <c r="ITN328"/>
      <c r="ITQ328"/>
      <c r="ITR328"/>
      <c r="ITU328"/>
      <c r="ITV328"/>
      <c r="ITY328"/>
      <c r="ITZ328"/>
      <c r="IUC328"/>
      <c r="IUD328"/>
      <c r="IUG328"/>
      <c r="IUH328"/>
      <c r="IUK328"/>
      <c r="IUL328"/>
      <c r="IUO328"/>
      <c r="IUP328"/>
      <c r="IUS328"/>
      <c r="IUT328"/>
      <c r="IUW328"/>
      <c r="IUX328"/>
      <c r="IVA328"/>
      <c r="IVB328"/>
      <c r="IVE328"/>
      <c r="IVF328"/>
      <c r="IVI328"/>
      <c r="IVJ328"/>
      <c r="IVM328"/>
      <c r="IVN328"/>
      <c r="IVQ328"/>
      <c r="IVR328"/>
      <c r="IVU328"/>
      <c r="IVV328"/>
      <c r="IVY328"/>
      <c r="IVZ328"/>
      <c r="IWC328"/>
      <c r="IWD328"/>
      <c r="IWG328"/>
      <c r="IWH328"/>
      <c r="IWK328"/>
      <c r="IWL328"/>
      <c r="IWO328"/>
      <c r="IWP328"/>
      <c r="IWS328"/>
      <c r="IWT328"/>
      <c r="IWW328"/>
      <c r="IWX328"/>
      <c r="IXA328"/>
      <c r="IXB328"/>
      <c r="IXE328"/>
      <c r="IXF328"/>
      <c r="IXI328"/>
      <c r="IXJ328"/>
      <c r="IXM328"/>
      <c r="IXN328"/>
      <c r="IXQ328"/>
      <c r="IXR328"/>
      <c r="IXU328"/>
      <c r="IXV328"/>
      <c r="IXY328"/>
      <c r="IXZ328"/>
      <c r="IYC328"/>
      <c r="IYD328"/>
      <c r="IYG328"/>
      <c r="IYH328"/>
      <c r="IYK328"/>
      <c r="IYL328"/>
      <c r="IYO328"/>
      <c r="IYP328"/>
      <c r="IYS328"/>
      <c r="IYT328"/>
      <c r="IYW328"/>
      <c r="IYX328"/>
      <c r="IZA328"/>
      <c r="IZB328"/>
      <c r="IZE328"/>
      <c r="IZF328"/>
      <c r="IZI328"/>
      <c r="IZJ328"/>
      <c r="IZM328"/>
      <c r="IZN328"/>
      <c r="IZQ328"/>
      <c r="IZR328"/>
      <c r="IZU328"/>
      <c r="IZV328"/>
      <c r="IZY328"/>
      <c r="IZZ328"/>
      <c r="JAC328"/>
      <c r="JAD328"/>
      <c r="JAG328"/>
      <c r="JAH328"/>
      <c r="JAK328"/>
      <c r="JAL328"/>
      <c r="JAO328"/>
      <c r="JAP328"/>
      <c r="JAS328"/>
      <c r="JAT328"/>
      <c r="JAW328"/>
      <c r="JAX328"/>
      <c r="JBA328"/>
      <c r="JBB328"/>
      <c r="JBE328"/>
      <c r="JBF328"/>
      <c r="JBI328"/>
      <c r="JBJ328"/>
      <c r="JBM328"/>
      <c r="JBN328"/>
      <c r="JBQ328"/>
      <c r="JBR328"/>
      <c r="JBU328"/>
      <c r="JBV328"/>
      <c r="JBY328"/>
      <c r="JBZ328"/>
      <c r="JCC328"/>
      <c r="JCD328"/>
      <c r="JCG328"/>
      <c r="JCH328"/>
      <c r="JCK328"/>
      <c r="JCL328"/>
      <c r="JCO328"/>
      <c r="JCP328"/>
      <c r="JCS328"/>
      <c r="JCT328"/>
      <c r="JCW328"/>
      <c r="JCX328"/>
      <c r="JDA328"/>
      <c r="JDB328"/>
      <c r="JDE328"/>
      <c r="JDF328"/>
      <c r="JDI328"/>
      <c r="JDJ328"/>
      <c r="JDM328"/>
      <c r="JDN328"/>
      <c r="JDQ328"/>
      <c r="JDR328"/>
      <c r="JDU328"/>
      <c r="JDV328"/>
      <c r="JDY328"/>
      <c r="JDZ328"/>
      <c r="JEC328"/>
      <c r="JED328"/>
      <c r="JEG328"/>
      <c r="JEH328"/>
      <c r="JEK328"/>
      <c r="JEL328"/>
      <c r="JEO328"/>
      <c r="JEP328"/>
      <c r="JES328"/>
      <c r="JET328"/>
      <c r="JEW328"/>
      <c r="JEX328"/>
      <c r="JFA328"/>
      <c r="JFB328"/>
      <c r="JFE328"/>
      <c r="JFF328"/>
      <c r="JFI328"/>
      <c r="JFJ328"/>
      <c r="JFM328"/>
      <c r="JFN328"/>
      <c r="JFQ328"/>
      <c r="JFR328"/>
      <c r="JFU328"/>
      <c r="JFV328"/>
      <c r="JFY328"/>
      <c r="JFZ328"/>
      <c r="JGC328"/>
      <c r="JGD328"/>
      <c r="JGG328"/>
      <c r="JGH328"/>
      <c r="JGK328"/>
      <c r="JGL328"/>
      <c r="JGO328"/>
      <c r="JGP328"/>
      <c r="JGS328"/>
      <c r="JGT328"/>
      <c r="JGW328"/>
      <c r="JGX328"/>
      <c r="JHA328"/>
      <c r="JHB328"/>
      <c r="JHE328"/>
      <c r="JHF328"/>
      <c r="JHI328"/>
      <c r="JHJ328"/>
      <c r="JHM328"/>
      <c r="JHN328"/>
      <c r="JHQ328"/>
      <c r="JHR328"/>
      <c r="JHU328"/>
      <c r="JHV328"/>
      <c r="JHY328"/>
      <c r="JHZ328"/>
      <c r="JIC328"/>
      <c r="JID328"/>
      <c r="JIG328"/>
      <c r="JIH328"/>
      <c r="JIK328"/>
      <c r="JIL328"/>
      <c r="JIO328"/>
      <c r="JIP328"/>
      <c r="JIS328"/>
      <c r="JIT328"/>
      <c r="JIW328"/>
      <c r="JIX328"/>
      <c r="JJA328"/>
      <c r="JJB328"/>
      <c r="JJE328"/>
      <c r="JJF328"/>
      <c r="JJI328"/>
      <c r="JJJ328"/>
      <c r="JJM328"/>
      <c r="JJN328"/>
      <c r="JJQ328"/>
      <c r="JJR328"/>
      <c r="JJU328"/>
      <c r="JJV328"/>
      <c r="JJY328"/>
      <c r="JJZ328"/>
      <c r="JKC328"/>
      <c r="JKD328"/>
      <c r="JKG328"/>
      <c r="JKH328"/>
      <c r="JKK328"/>
      <c r="JKL328"/>
      <c r="JKO328"/>
      <c r="JKP328"/>
      <c r="JKS328"/>
      <c r="JKT328"/>
      <c r="JKW328"/>
      <c r="JKX328"/>
      <c r="JLA328"/>
      <c r="JLB328"/>
      <c r="JLE328"/>
      <c r="JLF328"/>
      <c r="JLI328"/>
      <c r="JLJ328"/>
      <c r="JLM328"/>
      <c r="JLN328"/>
      <c r="JLQ328"/>
      <c r="JLR328"/>
      <c r="JLU328"/>
      <c r="JLV328"/>
      <c r="JLY328"/>
      <c r="JLZ328"/>
      <c r="JMC328"/>
      <c r="JMD328"/>
      <c r="JMG328"/>
      <c r="JMH328"/>
      <c r="JMK328"/>
      <c r="JML328"/>
      <c r="JMO328"/>
      <c r="JMP328"/>
      <c r="JMS328"/>
      <c r="JMT328"/>
      <c r="JMW328"/>
      <c r="JMX328"/>
      <c r="JNA328"/>
      <c r="JNB328"/>
      <c r="JNE328"/>
      <c r="JNF328"/>
      <c r="JNI328"/>
      <c r="JNJ328"/>
      <c r="JNM328"/>
      <c r="JNN328"/>
      <c r="JNQ328"/>
      <c r="JNR328"/>
      <c r="JNU328"/>
      <c r="JNV328"/>
      <c r="JNY328"/>
      <c r="JNZ328"/>
      <c r="JOC328"/>
      <c r="JOD328"/>
      <c r="JOG328"/>
      <c r="JOH328"/>
      <c r="JOK328"/>
      <c r="JOL328"/>
      <c r="JOO328"/>
      <c r="JOP328"/>
      <c r="JOS328"/>
      <c r="JOT328"/>
      <c r="JOW328"/>
      <c r="JOX328"/>
      <c r="JPA328"/>
      <c r="JPB328"/>
      <c r="JPE328"/>
      <c r="JPF328"/>
      <c r="JPI328"/>
      <c r="JPJ328"/>
      <c r="JPM328"/>
      <c r="JPN328"/>
      <c r="JPQ328"/>
      <c r="JPR328"/>
      <c r="JPU328"/>
      <c r="JPV328"/>
      <c r="JPY328"/>
      <c r="JPZ328"/>
      <c r="JQC328"/>
      <c r="JQD328"/>
      <c r="JQG328"/>
      <c r="JQH328"/>
      <c r="JQK328"/>
      <c r="JQL328"/>
      <c r="JQO328"/>
      <c r="JQP328"/>
      <c r="JQS328"/>
      <c r="JQT328"/>
      <c r="JQW328"/>
      <c r="JQX328"/>
      <c r="JRA328"/>
      <c r="JRB328"/>
      <c r="JRE328"/>
      <c r="JRF328"/>
      <c r="JRI328"/>
      <c r="JRJ328"/>
      <c r="JRM328"/>
      <c r="JRN328"/>
      <c r="JRQ328"/>
      <c r="JRR328"/>
      <c r="JRU328"/>
      <c r="JRV328"/>
      <c r="JRY328"/>
      <c r="JRZ328"/>
      <c r="JSC328"/>
      <c r="JSD328"/>
      <c r="JSG328"/>
      <c r="JSH328"/>
      <c r="JSK328"/>
      <c r="JSL328"/>
      <c r="JSO328"/>
      <c r="JSP328"/>
      <c r="JSS328"/>
      <c r="JST328"/>
      <c r="JSW328"/>
      <c r="JSX328"/>
      <c r="JTA328"/>
      <c r="JTB328"/>
      <c r="JTE328"/>
      <c r="JTF328"/>
      <c r="JTI328"/>
      <c r="JTJ328"/>
      <c r="JTM328"/>
      <c r="JTN328"/>
      <c r="JTQ328"/>
      <c r="JTR328"/>
      <c r="JTU328"/>
      <c r="JTV328"/>
      <c r="JTY328"/>
      <c r="JTZ328"/>
      <c r="JUC328"/>
      <c r="JUD328"/>
      <c r="JUG328"/>
      <c r="JUH328"/>
      <c r="JUK328"/>
      <c r="JUL328"/>
      <c r="JUO328"/>
      <c r="JUP328"/>
      <c r="JUS328"/>
      <c r="JUT328"/>
      <c r="JUW328"/>
      <c r="JUX328"/>
      <c r="JVA328"/>
      <c r="JVB328"/>
      <c r="JVE328"/>
      <c r="JVF328"/>
      <c r="JVI328"/>
      <c r="JVJ328"/>
      <c r="JVM328"/>
      <c r="JVN328"/>
      <c r="JVQ328"/>
      <c r="JVR328"/>
      <c r="JVU328"/>
      <c r="JVV328"/>
      <c r="JVY328"/>
      <c r="JVZ328"/>
      <c r="JWC328"/>
      <c r="JWD328"/>
      <c r="JWG328"/>
      <c r="JWH328"/>
      <c r="JWK328"/>
      <c r="JWL328"/>
      <c r="JWO328"/>
      <c r="JWP328"/>
      <c r="JWS328"/>
      <c r="JWT328"/>
      <c r="JWW328"/>
      <c r="JWX328"/>
      <c r="JXA328"/>
      <c r="JXB328"/>
      <c r="JXE328"/>
      <c r="JXF328"/>
      <c r="JXI328"/>
      <c r="JXJ328"/>
      <c r="JXM328"/>
      <c r="JXN328"/>
      <c r="JXQ328"/>
      <c r="JXR328"/>
      <c r="JXU328"/>
      <c r="JXV328"/>
      <c r="JXY328"/>
      <c r="JXZ328"/>
      <c r="JYC328"/>
      <c r="JYD328"/>
      <c r="JYG328"/>
      <c r="JYH328"/>
      <c r="JYK328"/>
      <c r="JYL328"/>
      <c r="JYO328"/>
      <c r="JYP328"/>
      <c r="JYS328"/>
      <c r="JYT328"/>
      <c r="JYW328"/>
      <c r="JYX328"/>
      <c r="JZA328"/>
      <c r="JZB328"/>
      <c r="JZE328"/>
      <c r="JZF328"/>
      <c r="JZI328"/>
      <c r="JZJ328"/>
      <c r="JZM328"/>
      <c r="JZN328"/>
      <c r="JZQ328"/>
      <c r="JZR328"/>
      <c r="JZU328"/>
      <c r="JZV328"/>
      <c r="JZY328"/>
      <c r="JZZ328"/>
      <c r="KAC328"/>
      <c r="KAD328"/>
      <c r="KAG328"/>
      <c r="KAH328"/>
      <c r="KAK328"/>
      <c r="KAL328"/>
      <c r="KAO328"/>
      <c r="KAP328"/>
      <c r="KAS328"/>
      <c r="KAT328"/>
      <c r="KAW328"/>
      <c r="KAX328"/>
      <c r="KBA328"/>
      <c r="KBB328"/>
      <c r="KBE328"/>
      <c r="KBF328"/>
      <c r="KBI328"/>
      <c r="KBJ328"/>
      <c r="KBM328"/>
      <c r="KBN328"/>
      <c r="KBQ328"/>
      <c r="KBR328"/>
      <c r="KBU328"/>
      <c r="KBV328"/>
      <c r="KBY328"/>
      <c r="KBZ328"/>
      <c r="KCC328"/>
      <c r="KCD328"/>
      <c r="KCG328"/>
      <c r="KCH328"/>
      <c r="KCK328"/>
      <c r="KCL328"/>
      <c r="KCO328"/>
      <c r="KCP328"/>
      <c r="KCS328"/>
      <c r="KCT328"/>
      <c r="KCW328"/>
      <c r="KCX328"/>
      <c r="KDA328"/>
      <c r="KDB328"/>
      <c r="KDE328"/>
      <c r="KDF328"/>
      <c r="KDI328"/>
      <c r="KDJ328"/>
      <c r="KDM328"/>
      <c r="KDN328"/>
      <c r="KDQ328"/>
      <c r="KDR328"/>
      <c r="KDU328"/>
      <c r="KDV328"/>
      <c r="KDY328"/>
      <c r="KDZ328"/>
      <c r="KEC328"/>
      <c r="KED328"/>
      <c r="KEG328"/>
      <c r="KEH328"/>
      <c r="KEK328"/>
      <c r="KEL328"/>
      <c r="KEO328"/>
      <c r="KEP328"/>
      <c r="KES328"/>
      <c r="KET328"/>
      <c r="KEW328"/>
      <c r="KEX328"/>
      <c r="KFA328"/>
      <c r="KFB328"/>
      <c r="KFE328"/>
      <c r="KFF328"/>
      <c r="KFI328"/>
      <c r="KFJ328"/>
      <c r="KFM328"/>
      <c r="KFN328"/>
      <c r="KFQ328"/>
      <c r="KFR328"/>
      <c r="KFU328"/>
      <c r="KFV328"/>
      <c r="KFY328"/>
      <c r="KFZ328"/>
      <c r="KGC328"/>
      <c r="KGD328"/>
      <c r="KGG328"/>
      <c r="KGH328"/>
      <c r="KGK328"/>
      <c r="KGL328"/>
      <c r="KGO328"/>
      <c r="KGP328"/>
      <c r="KGS328"/>
      <c r="KGT328"/>
      <c r="KGW328"/>
      <c r="KGX328"/>
      <c r="KHA328"/>
      <c r="KHB328"/>
      <c r="KHE328"/>
      <c r="KHF328"/>
      <c r="KHI328"/>
      <c r="KHJ328"/>
      <c r="KHM328"/>
      <c r="KHN328"/>
      <c r="KHQ328"/>
      <c r="KHR328"/>
      <c r="KHU328"/>
      <c r="KHV328"/>
      <c r="KHY328"/>
      <c r="KHZ328"/>
      <c r="KIC328"/>
      <c r="KID328"/>
      <c r="KIG328"/>
      <c r="KIH328"/>
      <c r="KIK328"/>
      <c r="KIL328"/>
      <c r="KIO328"/>
      <c r="KIP328"/>
      <c r="KIS328"/>
      <c r="KIT328"/>
      <c r="KIW328"/>
      <c r="KIX328"/>
      <c r="KJA328"/>
      <c r="KJB328"/>
      <c r="KJE328"/>
      <c r="KJF328"/>
      <c r="KJI328"/>
      <c r="KJJ328"/>
      <c r="KJM328"/>
      <c r="KJN328"/>
      <c r="KJQ328"/>
      <c r="KJR328"/>
      <c r="KJU328"/>
      <c r="KJV328"/>
      <c r="KJY328"/>
      <c r="KJZ328"/>
      <c r="KKC328"/>
      <c r="KKD328"/>
      <c r="KKG328"/>
      <c r="KKH328"/>
      <c r="KKK328"/>
      <c r="KKL328"/>
      <c r="KKO328"/>
      <c r="KKP328"/>
      <c r="KKS328"/>
      <c r="KKT328"/>
      <c r="KKW328"/>
      <c r="KKX328"/>
      <c r="KLA328"/>
      <c r="KLB328"/>
      <c r="KLE328"/>
      <c r="KLF328"/>
      <c r="KLI328"/>
      <c r="KLJ328"/>
      <c r="KLM328"/>
      <c r="KLN328"/>
      <c r="KLQ328"/>
      <c r="KLR328"/>
      <c r="KLU328"/>
      <c r="KLV328"/>
      <c r="KLY328"/>
      <c r="KLZ328"/>
      <c r="KMC328"/>
      <c r="KMD328"/>
      <c r="KMG328"/>
      <c r="KMH328"/>
      <c r="KMK328"/>
      <c r="KML328"/>
      <c r="KMO328"/>
      <c r="KMP328"/>
      <c r="KMS328"/>
      <c r="KMT328"/>
      <c r="KMW328"/>
      <c r="KMX328"/>
      <c r="KNA328"/>
      <c r="KNB328"/>
      <c r="KNE328"/>
      <c r="KNF328"/>
      <c r="KNI328"/>
      <c r="KNJ328"/>
      <c r="KNM328"/>
      <c r="KNN328"/>
      <c r="KNQ328"/>
      <c r="KNR328"/>
      <c r="KNU328"/>
      <c r="KNV328"/>
      <c r="KNY328"/>
      <c r="KNZ328"/>
      <c r="KOC328"/>
      <c r="KOD328"/>
      <c r="KOG328"/>
      <c r="KOH328"/>
      <c r="KOK328"/>
      <c r="KOL328"/>
      <c r="KOO328"/>
      <c r="KOP328"/>
      <c r="KOS328"/>
      <c r="KOT328"/>
      <c r="KOW328"/>
      <c r="KOX328"/>
      <c r="KPA328"/>
      <c r="KPB328"/>
      <c r="KPE328"/>
      <c r="KPF328"/>
      <c r="KPI328"/>
      <c r="KPJ328"/>
      <c r="KPM328"/>
      <c r="KPN328"/>
      <c r="KPQ328"/>
      <c r="KPR328"/>
      <c r="KPU328"/>
      <c r="KPV328"/>
      <c r="KPY328"/>
      <c r="KPZ328"/>
      <c r="KQC328"/>
      <c r="KQD328"/>
      <c r="KQG328"/>
      <c r="KQH328"/>
      <c r="KQK328"/>
      <c r="KQL328"/>
      <c r="KQO328"/>
      <c r="KQP328"/>
      <c r="KQS328"/>
      <c r="KQT328"/>
      <c r="KQW328"/>
      <c r="KQX328"/>
      <c r="KRA328"/>
      <c r="KRB328"/>
      <c r="KRE328"/>
      <c r="KRF328"/>
      <c r="KRI328"/>
      <c r="KRJ328"/>
      <c r="KRM328"/>
      <c r="KRN328"/>
      <c r="KRQ328"/>
      <c r="KRR328"/>
      <c r="KRU328"/>
      <c r="KRV328"/>
      <c r="KRY328"/>
      <c r="KRZ328"/>
      <c r="KSC328"/>
      <c r="KSD328"/>
      <c r="KSG328"/>
      <c r="KSH328"/>
      <c r="KSK328"/>
      <c r="KSL328"/>
      <c r="KSO328"/>
      <c r="KSP328"/>
      <c r="KSS328"/>
      <c r="KST328"/>
      <c r="KSW328"/>
      <c r="KSX328"/>
      <c r="KTA328"/>
      <c r="KTB328"/>
      <c r="KTE328"/>
      <c r="KTF328"/>
      <c r="KTI328"/>
      <c r="KTJ328"/>
      <c r="KTM328"/>
      <c r="KTN328"/>
      <c r="KTQ328"/>
      <c r="KTR328"/>
      <c r="KTU328"/>
      <c r="KTV328"/>
      <c r="KTY328"/>
      <c r="KTZ328"/>
      <c r="KUC328"/>
      <c r="KUD328"/>
      <c r="KUG328"/>
      <c r="KUH328"/>
      <c r="KUK328"/>
      <c r="KUL328"/>
      <c r="KUO328"/>
      <c r="KUP328"/>
      <c r="KUS328"/>
      <c r="KUT328"/>
      <c r="KUW328"/>
      <c r="KUX328"/>
      <c r="KVA328"/>
      <c r="KVB328"/>
      <c r="KVE328"/>
      <c r="KVF328"/>
      <c r="KVI328"/>
      <c r="KVJ328"/>
      <c r="KVM328"/>
      <c r="KVN328"/>
      <c r="KVQ328"/>
      <c r="KVR328"/>
      <c r="KVU328"/>
      <c r="KVV328"/>
      <c r="KVY328"/>
      <c r="KVZ328"/>
      <c r="KWC328"/>
      <c r="KWD328"/>
      <c r="KWG328"/>
      <c r="KWH328"/>
      <c r="KWK328"/>
      <c r="KWL328"/>
      <c r="KWO328"/>
      <c r="KWP328"/>
      <c r="KWS328"/>
      <c r="KWT328"/>
      <c r="KWW328"/>
      <c r="KWX328"/>
      <c r="KXA328"/>
      <c r="KXB328"/>
      <c r="KXE328"/>
      <c r="KXF328"/>
      <c r="KXI328"/>
      <c r="KXJ328"/>
      <c r="KXM328"/>
      <c r="KXN328"/>
      <c r="KXQ328"/>
      <c r="KXR328"/>
      <c r="KXU328"/>
      <c r="KXV328"/>
      <c r="KXY328"/>
      <c r="KXZ328"/>
      <c r="KYC328"/>
      <c r="KYD328"/>
      <c r="KYG328"/>
      <c r="KYH328"/>
      <c r="KYK328"/>
      <c r="KYL328"/>
      <c r="KYO328"/>
      <c r="KYP328"/>
      <c r="KYS328"/>
      <c r="KYT328"/>
      <c r="KYW328"/>
      <c r="KYX328"/>
      <c r="KZA328"/>
      <c r="KZB328"/>
      <c r="KZE328"/>
      <c r="KZF328"/>
      <c r="KZI328"/>
      <c r="KZJ328"/>
      <c r="KZM328"/>
      <c r="KZN328"/>
      <c r="KZQ328"/>
      <c r="KZR328"/>
      <c r="KZU328"/>
      <c r="KZV328"/>
      <c r="KZY328"/>
      <c r="KZZ328"/>
      <c r="LAC328"/>
      <c r="LAD328"/>
      <c r="LAG328"/>
      <c r="LAH328"/>
      <c r="LAK328"/>
      <c r="LAL328"/>
      <c r="LAO328"/>
      <c r="LAP328"/>
      <c r="LAS328"/>
      <c r="LAT328"/>
      <c r="LAW328"/>
      <c r="LAX328"/>
      <c r="LBA328"/>
      <c r="LBB328"/>
      <c r="LBE328"/>
      <c r="LBF328"/>
      <c r="LBI328"/>
      <c r="LBJ328"/>
      <c r="LBM328"/>
      <c r="LBN328"/>
      <c r="LBQ328"/>
      <c r="LBR328"/>
      <c r="LBU328"/>
      <c r="LBV328"/>
      <c r="LBY328"/>
      <c r="LBZ328"/>
      <c r="LCC328"/>
      <c r="LCD328"/>
      <c r="LCG328"/>
      <c r="LCH328"/>
      <c r="LCK328"/>
      <c r="LCL328"/>
      <c r="LCO328"/>
      <c r="LCP328"/>
      <c r="LCS328"/>
      <c r="LCT328"/>
      <c r="LCW328"/>
      <c r="LCX328"/>
      <c r="LDA328"/>
      <c r="LDB328"/>
      <c r="LDE328"/>
      <c r="LDF328"/>
      <c r="LDI328"/>
      <c r="LDJ328"/>
      <c r="LDM328"/>
      <c r="LDN328"/>
      <c r="LDQ328"/>
      <c r="LDR328"/>
      <c r="LDU328"/>
      <c r="LDV328"/>
      <c r="LDY328"/>
      <c r="LDZ328"/>
      <c r="LEC328"/>
      <c r="LED328"/>
      <c r="LEG328"/>
      <c r="LEH328"/>
      <c r="LEK328"/>
      <c r="LEL328"/>
      <c r="LEO328"/>
      <c r="LEP328"/>
      <c r="LES328"/>
      <c r="LET328"/>
      <c r="LEW328"/>
      <c r="LEX328"/>
      <c r="LFA328"/>
      <c r="LFB328"/>
      <c r="LFE328"/>
      <c r="LFF328"/>
      <c r="LFI328"/>
      <c r="LFJ328"/>
      <c r="LFM328"/>
      <c r="LFN328"/>
      <c r="LFQ328"/>
      <c r="LFR328"/>
      <c r="LFU328"/>
      <c r="LFV328"/>
      <c r="LFY328"/>
      <c r="LFZ328"/>
      <c r="LGC328"/>
      <c r="LGD328"/>
      <c r="LGG328"/>
      <c r="LGH328"/>
      <c r="LGK328"/>
      <c r="LGL328"/>
      <c r="LGO328"/>
      <c r="LGP328"/>
      <c r="LGS328"/>
      <c r="LGT328"/>
      <c r="LGW328"/>
      <c r="LGX328"/>
      <c r="LHA328"/>
      <c r="LHB328"/>
      <c r="LHE328"/>
      <c r="LHF328"/>
      <c r="LHI328"/>
      <c r="LHJ328"/>
      <c r="LHM328"/>
      <c r="LHN328"/>
      <c r="LHQ328"/>
      <c r="LHR328"/>
      <c r="LHU328"/>
      <c r="LHV328"/>
      <c r="LHY328"/>
      <c r="LHZ328"/>
      <c r="LIC328"/>
      <c r="LID328"/>
      <c r="LIG328"/>
      <c r="LIH328"/>
      <c r="LIK328"/>
      <c r="LIL328"/>
      <c r="LIO328"/>
      <c r="LIP328"/>
      <c r="LIS328"/>
      <c r="LIT328"/>
      <c r="LIW328"/>
      <c r="LIX328"/>
      <c r="LJA328"/>
      <c r="LJB328"/>
      <c r="LJE328"/>
      <c r="LJF328"/>
      <c r="LJI328"/>
      <c r="LJJ328"/>
      <c r="LJM328"/>
      <c r="LJN328"/>
      <c r="LJQ328"/>
      <c r="LJR328"/>
      <c r="LJU328"/>
      <c r="LJV328"/>
      <c r="LJY328"/>
      <c r="LJZ328"/>
      <c r="LKC328"/>
      <c r="LKD328"/>
      <c r="LKG328"/>
      <c r="LKH328"/>
      <c r="LKK328"/>
      <c r="LKL328"/>
      <c r="LKO328"/>
      <c r="LKP328"/>
      <c r="LKS328"/>
      <c r="LKT328"/>
      <c r="LKW328"/>
      <c r="LKX328"/>
      <c r="LLA328"/>
      <c r="LLB328"/>
      <c r="LLE328"/>
      <c r="LLF328"/>
      <c r="LLI328"/>
      <c r="LLJ328"/>
      <c r="LLM328"/>
      <c r="LLN328"/>
      <c r="LLQ328"/>
      <c r="LLR328"/>
      <c r="LLU328"/>
      <c r="LLV328"/>
      <c r="LLY328"/>
      <c r="LLZ328"/>
      <c r="LMC328"/>
      <c r="LMD328"/>
      <c r="LMG328"/>
      <c r="LMH328"/>
      <c r="LMK328"/>
      <c r="LML328"/>
      <c r="LMO328"/>
      <c r="LMP328"/>
      <c r="LMS328"/>
      <c r="LMT328"/>
      <c r="LMW328"/>
      <c r="LMX328"/>
      <c r="LNA328"/>
      <c r="LNB328"/>
      <c r="LNE328"/>
      <c r="LNF328"/>
      <c r="LNI328"/>
      <c r="LNJ328"/>
      <c r="LNM328"/>
      <c r="LNN328"/>
      <c r="LNQ328"/>
      <c r="LNR328"/>
      <c r="LNU328"/>
      <c r="LNV328"/>
      <c r="LNY328"/>
      <c r="LNZ328"/>
      <c r="LOC328"/>
      <c r="LOD328"/>
      <c r="LOG328"/>
      <c r="LOH328"/>
      <c r="LOK328"/>
      <c r="LOL328"/>
      <c r="LOO328"/>
      <c r="LOP328"/>
      <c r="LOS328"/>
      <c r="LOT328"/>
      <c r="LOW328"/>
      <c r="LOX328"/>
      <c r="LPA328"/>
      <c r="LPB328"/>
      <c r="LPE328"/>
      <c r="LPF328"/>
      <c r="LPI328"/>
      <c r="LPJ328"/>
      <c r="LPM328"/>
      <c r="LPN328"/>
      <c r="LPQ328"/>
      <c r="LPR328"/>
      <c r="LPU328"/>
      <c r="LPV328"/>
      <c r="LPY328"/>
      <c r="LPZ328"/>
      <c r="LQC328"/>
      <c r="LQD328"/>
      <c r="LQG328"/>
      <c r="LQH328"/>
      <c r="LQK328"/>
      <c r="LQL328"/>
      <c r="LQO328"/>
      <c r="LQP328"/>
      <c r="LQS328"/>
      <c r="LQT328"/>
      <c r="LQW328"/>
      <c r="LQX328"/>
      <c r="LRA328"/>
      <c r="LRB328"/>
      <c r="LRE328"/>
      <c r="LRF328"/>
      <c r="LRI328"/>
      <c r="LRJ328"/>
      <c r="LRM328"/>
      <c r="LRN328"/>
      <c r="LRQ328"/>
      <c r="LRR328"/>
      <c r="LRU328"/>
      <c r="LRV328"/>
      <c r="LRY328"/>
      <c r="LRZ328"/>
      <c r="LSC328"/>
      <c r="LSD328"/>
      <c r="LSG328"/>
      <c r="LSH328"/>
      <c r="LSK328"/>
      <c r="LSL328"/>
      <c r="LSO328"/>
      <c r="LSP328"/>
      <c r="LSS328"/>
      <c r="LST328"/>
      <c r="LSW328"/>
      <c r="LSX328"/>
      <c r="LTA328"/>
      <c r="LTB328"/>
      <c r="LTE328"/>
      <c r="LTF328"/>
      <c r="LTI328"/>
      <c r="LTJ328"/>
      <c r="LTM328"/>
      <c r="LTN328"/>
      <c r="LTQ328"/>
      <c r="LTR328"/>
      <c r="LTU328"/>
      <c r="LTV328"/>
      <c r="LTY328"/>
      <c r="LTZ328"/>
      <c r="LUC328"/>
      <c r="LUD328"/>
      <c r="LUG328"/>
      <c r="LUH328"/>
      <c r="LUK328"/>
      <c r="LUL328"/>
      <c r="LUO328"/>
      <c r="LUP328"/>
      <c r="LUS328"/>
      <c r="LUT328"/>
      <c r="LUW328"/>
      <c r="LUX328"/>
      <c r="LVA328"/>
      <c r="LVB328"/>
      <c r="LVE328"/>
      <c r="LVF328"/>
      <c r="LVI328"/>
      <c r="LVJ328"/>
      <c r="LVM328"/>
      <c r="LVN328"/>
      <c r="LVQ328"/>
      <c r="LVR328"/>
      <c r="LVU328"/>
      <c r="LVV328"/>
      <c r="LVY328"/>
      <c r="LVZ328"/>
      <c r="LWC328"/>
      <c r="LWD328"/>
      <c r="LWG328"/>
      <c r="LWH328"/>
      <c r="LWK328"/>
      <c r="LWL328"/>
      <c r="LWO328"/>
      <c r="LWP328"/>
      <c r="LWS328"/>
      <c r="LWT328"/>
      <c r="LWW328"/>
      <c r="LWX328"/>
      <c r="LXA328"/>
      <c r="LXB328"/>
      <c r="LXE328"/>
      <c r="LXF328"/>
      <c r="LXI328"/>
      <c r="LXJ328"/>
      <c r="LXM328"/>
      <c r="LXN328"/>
      <c r="LXQ328"/>
      <c r="LXR328"/>
      <c r="LXU328"/>
      <c r="LXV328"/>
      <c r="LXY328"/>
      <c r="LXZ328"/>
      <c r="LYC328"/>
      <c r="LYD328"/>
      <c r="LYG328"/>
      <c r="LYH328"/>
      <c r="LYK328"/>
      <c r="LYL328"/>
      <c r="LYO328"/>
      <c r="LYP328"/>
      <c r="LYS328"/>
      <c r="LYT328"/>
      <c r="LYW328"/>
      <c r="LYX328"/>
      <c r="LZA328"/>
      <c r="LZB328"/>
      <c r="LZE328"/>
      <c r="LZF328"/>
      <c r="LZI328"/>
      <c r="LZJ328"/>
      <c r="LZM328"/>
      <c r="LZN328"/>
      <c r="LZQ328"/>
      <c r="LZR328"/>
      <c r="LZU328"/>
      <c r="LZV328"/>
      <c r="LZY328"/>
      <c r="LZZ328"/>
      <c r="MAC328"/>
      <c r="MAD328"/>
      <c r="MAG328"/>
      <c r="MAH328"/>
      <c r="MAK328"/>
      <c r="MAL328"/>
      <c r="MAO328"/>
      <c r="MAP328"/>
      <c r="MAS328"/>
      <c r="MAT328"/>
      <c r="MAW328"/>
      <c r="MAX328"/>
      <c r="MBA328"/>
      <c r="MBB328"/>
      <c r="MBE328"/>
      <c r="MBF328"/>
      <c r="MBI328"/>
      <c r="MBJ328"/>
      <c r="MBM328"/>
      <c r="MBN328"/>
      <c r="MBQ328"/>
      <c r="MBR328"/>
      <c r="MBU328"/>
      <c r="MBV328"/>
      <c r="MBY328"/>
      <c r="MBZ328"/>
      <c r="MCC328"/>
      <c r="MCD328"/>
      <c r="MCG328"/>
      <c r="MCH328"/>
      <c r="MCK328"/>
      <c r="MCL328"/>
      <c r="MCO328"/>
      <c r="MCP328"/>
      <c r="MCS328"/>
      <c r="MCT328"/>
      <c r="MCW328"/>
      <c r="MCX328"/>
      <c r="MDA328"/>
      <c r="MDB328"/>
      <c r="MDE328"/>
      <c r="MDF328"/>
      <c r="MDI328"/>
      <c r="MDJ328"/>
      <c r="MDM328"/>
      <c r="MDN328"/>
      <c r="MDQ328"/>
      <c r="MDR328"/>
      <c r="MDU328"/>
      <c r="MDV328"/>
      <c r="MDY328"/>
      <c r="MDZ328"/>
      <c r="MEC328"/>
      <c r="MED328"/>
      <c r="MEG328"/>
      <c r="MEH328"/>
      <c r="MEK328"/>
      <c r="MEL328"/>
      <c r="MEO328"/>
      <c r="MEP328"/>
      <c r="MES328"/>
      <c r="MET328"/>
      <c r="MEW328"/>
      <c r="MEX328"/>
      <c r="MFA328"/>
      <c r="MFB328"/>
      <c r="MFE328"/>
      <c r="MFF328"/>
      <c r="MFI328"/>
      <c r="MFJ328"/>
      <c r="MFM328"/>
      <c r="MFN328"/>
      <c r="MFQ328"/>
      <c r="MFR328"/>
      <c r="MFU328"/>
      <c r="MFV328"/>
      <c r="MFY328"/>
      <c r="MFZ328"/>
      <c r="MGC328"/>
      <c r="MGD328"/>
      <c r="MGG328"/>
      <c r="MGH328"/>
      <c r="MGK328"/>
      <c r="MGL328"/>
      <c r="MGO328"/>
      <c r="MGP328"/>
      <c r="MGS328"/>
      <c r="MGT328"/>
      <c r="MGW328"/>
      <c r="MGX328"/>
      <c r="MHA328"/>
      <c r="MHB328"/>
      <c r="MHE328"/>
      <c r="MHF328"/>
      <c r="MHI328"/>
      <c r="MHJ328"/>
      <c r="MHM328"/>
      <c r="MHN328"/>
      <c r="MHQ328"/>
      <c r="MHR328"/>
      <c r="MHU328"/>
      <c r="MHV328"/>
      <c r="MHY328"/>
      <c r="MHZ328"/>
      <c r="MIC328"/>
      <c r="MID328"/>
      <c r="MIG328"/>
      <c r="MIH328"/>
      <c r="MIK328"/>
      <c r="MIL328"/>
      <c r="MIO328"/>
      <c r="MIP328"/>
      <c r="MIS328"/>
      <c r="MIT328"/>
      <c r="MIW328"/>
      <c r="MIX328"/>
      <c r="MJA328"/>
      <c r="MJB328"/>
      <c r="MJE328"/>
      <c r="MJF328"/>
      <c r="MJI328"/>
      <c r="MJJ328"/>
      <c r="MJM328"/>
      <c r="MJN328"/>
      <c r="MJQ328"/>
      <c r="MJR328"/>
      <c r="MJU328"/>
      <c r="MJV328"/>
      <c r="MJY328"/>
      <c r="MJZ328"/>
      <c r="MKC328"/>
      <c r="MKD328"/>
      <c r="MKG328"/>
      <c r="MKH328"/>
      <c r="MKK328"/>
      <c r="MKL328"/>
      <c r="MKO328"/>
      <c r="MKP328"/>
      <c r="MKS328"/>
      <c r="MKT328"/>
      <c r="MKW328"/>
      <c r="MKX328"/>
      <c r="MLA328"/>
      <c r="MLB328"/>
      <c r="MLE328"/>
      <c r="MLF328"/>
      <c r="MLI328"/>
      <c r="MLJ328"/>
      <c r="MLM328"/>
      <c r="MLN328"/>
      <c r="MLQ328"/>
      <c r="MLR328"/>
      <c r="MLU328"/>
      <c r="MLV328"/>
      <c r="MLY328"/>
      <c r="MLZ328"/>
      <c r="MMC328"/>
      <c r="MMD328"/>
      <c r="MMG328"/>
      <c r="MMH328"/>
      <c r="MMK328"/>
      <c r="MML328"/>
      <c r="MMO328"/>
      <c r="MMP328"/>
      <c r="MMS328"/>
      <c r="MMT328"/>
      <c r="MMW328"/>
      <c r="MMX328"/>
      <c r="MNA328"/>
      <c r="MNB328"/>
      <c r="MNE328"/>
      <c r="MNF328"/>
      <c r="MNI328"/>
      <c r="MNJ328"/>
      <c r="MNM328"/>
      <c r="MNN328"/>
      <c r="MNQ328"/>
      <c r="MNR328"/>
      <c r="MNU328"/>
      <c r="MNV328"/>
      <c r="MNY328"/>
      <c r="MNZ328"/>
      <c r="MOC328"/>
      <c r="MOD328"/>
      <c r="MOG328"/>
      <c r="MOH328"/>
      <c r="MOK328"/>
      <c r="MOL328"/>
      <c r="MOO328"/>
      <c r="MOP328"/>
      <c r="MOS328"/>
      <c r="MOT328"/>
      <c r="MOW328"/>
      <c r="MOX328"/>
      <c r="MPA328"/>
      <c r="MPB328"/>
      <c r="MPE328"/>
      <c r="MPF328"/>
      <c r="MPI328"/>
      <c r="MPJ328"/>
      <c r="MPM328"/>
      <c r="MPN328"/>
      <c r="MPQ328"/>
      <c r="MPR328"/>
      <c r="MPU328"/>
      <c r="MPV328"/>
      <c r="MPY328"/>
      <c r="MPZ328"/>
      <c r="MQC328"/>
      <c r="MQD328"/>
      <c r="MQG328"/>
      <c r="MQH328"/>
      <c r="MQK328"/>
      <c r="MQL328"/>
      <c r="MQO328"/>
      <c r="MQP328"/>
      <c r="MQS328"/>
      <c r="MQT328"/>
      <c r="MQW328"/>
      <c r="MQX328"/>
      <c r="MRA328"/>
      <c r="MRB328"/>
      <c r="MRE328"/>
      <c r="MRF328"/>
      <c r="MRI328"/>
      <c r="MRJ328"/>
      <c r="MRM328"/>
      <c r="MRN328"/>
      <c r="MRQ328"/>
      <c r="MRR328"/>
      <c r="MRU328"/>
      <c r="MRV328"/>
      <c r="MRY328"/>
      <c r="MRZ328"/>
      <c r="MSC328"/>
      <c r="MSD328"/>
      <c r="MSG328"/>
      <c r="MSH328"/>
      <c r="MSK328"/>
      <c r="MSL328"/>
      <c r="MSO328"/>
      <c r="MSP328"/>
      <c r="MSS328"/>
      <c r="MST328"/>
      <c r="MSW328"/>
      <c r="MSX328"/>
      <c r="MTA328"/>
      <c r="MTB328"/>
      <c r="MTE328"/>
      <c r="MTF328"/>
      <c r="MTI328"/>
      <c r="MTJ328"/>
      <c r="MTM328"/>
      <c r="MTN328"/>
      <c r="MTQ328"/>
      <c r="MTR328"/>
      <c r="MTU328"/>
      <c r="MTV328"/>
      <c r="MTY328"/>
      <c r="MTZ328"/>
      <c r="MUC328"/>
      <c r="MUD328"/>
      <c r="MUG328"/>
      <c r="MUH328"/>
      <c r="MUK328"/>
      <c r="MUL328"/>
      <c r="MUO328"/>
      <c r="MUP328"/>
      <c r="MUS328"/>
      <c r="MUT328"/>
      <c r="MUW328"/>
      <c r="MUX328"/>
      <c r="MVA328"/>
      <c r="MVB328"/>
      <c r="MVE328"/>
      <c r="MVF328"/>
      <c r="MVI328"/>
      <c r="MVJ328"/>
      <c r="MVM328"/>
      <c r="MVN328"/>
      <c r="MVQ328"/>
      <c r="MVR328"/>
      <c r="MVU328"/>
      <c r="MVV328"/>
      <c r="MVY328"/>
      <c r="MVZ328"/>
      <c r="MWC328"/>
      <c r="MWD328"/>
      <c r="MWG328"/>
      <c r="MWH328"/>
      <c r="MWK328"/>
      <c r="MWL328"/>
      <c r="MWO328"/>
      <c r="MWP328"/>
      <c r="MWS328"/>
      <c r="MWT328"/>
      <c r="MWW328"/>
      <c r="MWX328"/>
      <c r="MXA328"/>
      <c r="MXB328"/>
      <c r="MXE328"/>
      <c r="MXF328"/>
      <c r="MXI328"/>
      <c r="MXJ328"/>
      <c r="MXM328"/>
      <c r="MXN328"/>
      <c r="MXQ328"/>
      <c r="MXR328"/>
      <c r="MXU328"/>
      <c r="MXV328"/>
      <c r="MXY328"/>
      <c r="MXZ328"/>
      <c r="MYC328"/>
      <c r="MYD328"/>
      <c r="MYG328"/>
      <c r="MYH328"/>
      <c r="MYK328"/>
      <c r="MYL328"/>
      <c r="MYO328"/>
      <c r="MYP328"/>
      <c r="MYS328"/>
      <c r="MYT328"/>
      <c r="MYW328"/>
      <c r="MYX328"/>
      <c r="MZA328"/>
      <c r="MZB328"/>
      <c r="MZE328"/>
      <c r="MZF328"/>
      <c r="MZI328"/>
      <c r="MZJ328"/>
      <c r="MZM328"/>
      <c r="MZN328"/>
      <c r="MZQ328"/>
      <c r="MZR328"/>
      <c r="MZU328"/>
      <c r="MZV328"/>
      <c r="MZY328"/>
      <c r="MZZ328"/>
      <c r="NAC328"/>
      <c r="NAD328"/>
      <c r="NAG328"/>
      <c r="NAH328"/>
      <c r="NAK328"/>
      <c r="NAL328"/>
      <c r="NAO328"/>
      <c r="NAP328"/>
      <c r="NAS328"/>
      <c r="NAT328"/>
      <c r="NAW328"/>
      <c r="NAX328"/>
      <c r="NBA328"/>
      <c r="NBB328"/>
      <c r="NBE328"/>
      <c r="NBF328"/>
      <c r="NBI328"/>
      <c r="NBJ328"/>
      <c r="NBM328"/>
      <c r="NBN328"/>
      <c r="NBQ328"/>
      <c r="NBR328"/>
      <c r="NBU328"/>
      <c r="NBV328"/>
      <c r="NBY328"/>
      <c r="NBZ328"/>
      <c r="NCC328"/>
      <c r="NCD328"/>
      <c r="NCG328"/>
      <c r="NCH328"/>
      <c r="NCK328"/>
      <c r="NCL328"/>
      <c r="NCO328"/>
      <c r="NCP328"/>
      <c r="NCS328"/>
      <c r="NCT328"/>
      <c r="NCW328"/>
      <c r="NCX328"/>
      <c r="NDA328"/>
      <c r="NDB328"/>
      <c r="NDE328"/>
      <c r="NDF328"/>
      <c r="NDI328"/>
      <c r="NDJ328"/>
      <c r="NDM328"/>
      <c r="NDN328"/>
      <c r="NDQ328"/>
      <c r="NDR328"/>
      <c r="NDU328"/>
      <c r="NDV328"/>
      <c r="NDY328"/>
      <c r="NDZ328"/>
      <c r="NEC328"/>
      <c r="NED328"/>
      <c r="NEG328"/>
      <c r="NEH328"/>
      <c r="NEK328"/>
      <c r="NEL328"/>
      <c r="NEO328"/>
      <c r="NEP328"/>
      <c r="NES328"/>
      <c r="NET328"/>
      <c r="NEW328"/>
      <c r="NEX328"/>
      <c r="NFA328"/>
      <c r="NFB328"/>
      <c r="NFE328"/>
      <c r="NFF328"/>
      <c r="NFI328"/>
      <c r="NFJ328"/>
      <c r="NFM328"/>
      <c r="NFN328"/>
      <c r="NFQ328"/>
      <c r="NFR328"/>
      <c r="NFU328"/>
      <c r="NFV328"/>
      <c r="NFY328"/>
      <c r="NFZ328"/>
      <c r="NGC328"/>
      <c r="NGD328"/>
      <c r="NGG328"/>
      <c r="NGH328"/>
      <c r="NGK328"/>
      <c r="NGL328"/>
      <c r="NGO328"/>
      <c r="NGP328"/>
      <c r="NGS328"/>
      <c r="NGT328"/>
      <c r="NGW328"/>
      <c r="NGX328"/>
      <c r="NHA328"/>
      <c r="NHB328"/>
      <c r="NHE328"/>
      <c r="NHF328"/>
      <c r="NHI328"/>
      <c r="NHJ328"/>
      <c r="NHM328"/>
      <c r="NHN328"/>
      <c r="NHQ328"/>
      <c r="NHR328"/>
      <c r="NHU328"/>
      <c r="NHV328"/>
      <c r="NHY328"/>
      <c r="NHZ328"/>
      <c r="NIC328"/>
      <c r="NID328"/>
      <c r="NIG328"/>
      <c r="NIH328"/>
      <c r="NIK328"/>
      <c r="NIL328"/>
      <c r="NIO328"/>
      <c r="NIP328"/>
      <c r="NIS328"/>
      <c r="NIT328"/>
      <c r="NIW328"/>
      <c r="NIX328"/>
      <c r="NJA328"/>
      <c r="NJB328"/>
      <c r="NJE328"/>
      <c r="NJF328"/>
      <c r="NJI328"/>
      <c r="NJJ328"/>
      <c r="NJM328"/>
      <c r="NJN328"/>
      <c r="NJQ328"/>
      <c r="NJR328"/>
      <c r="NJU328"/>
      <c r="NJV328"/>
      <c r="NJY328"/>
      <c r="NJZ328"/>
      <c r="NKC328"/>
      <c r="NKD328"/>
      <c r="NKG328"/>
      <c r="NKH328"/>
      <c r="NKK328"/>
      <c r="NKL328"/>
      <c r="NKO328"/>
      <c r="NKP328"/>
      <c r="NKS328"/>
      <c r="NKT328"/>
      <c r="NKW328"/>
      <c r="NKX328"/>
      <c r="NLA328"/>
      <c r="NLB328"/>
      <c r="NLE328"/>
      <c r="NLF328"/>
      <c r="NLI328"/>
      <c r="NLJ328"/>
      <c r="NLM328"/>
      <c r="NLN328"/>
      <c r="NLQ328"/>
      <c r="NLR328"/>
      <c r="NLU328"/>
      <c r="NLV328"/>
      <c r="NLY328"/>
      <c r="NLZ328"/>
      <c r="NMC328"/>
      <c r="NMD328"/>
      <c r="NMG328"/>
      <c r="NMH328"/>
      <c r="NMK328"/>
      <c r="NML328"/>
      <c r="NMO328"/>
      <c r="NMP328"/>
      <c r="NMS328"/>
      <c r="NMT328"/>
      <c r="NMW328"/>
      <c r="NMX328"/>
      <c r="NNA328"/>
      <c r="NNB328"/>
      <c r="NNE328"/>
      <c r="NNF328"/>
      <c r="NNI328"/>
      <c r="NNJ328"/>
      <c r="NNM328"/>
      <c r="NNN328"/>
      <c r="NNQ328"/>
      <c r="NNR328"/>
      <c r="NNU328"/>
      <c r="NNV328"/>
      <c r="NNY328"/>
      <c r="NNZ328"/>
      <c r="NOC328"/>
      <c r="NOD328"/>
      <c r="NOG328"/>
      <c r="NOH328"/>
      <c r="NOK328"/>
      <c r="NOL328"/>
      <c r="NOO328"/>
      <c r="NOP328"/>
      <c r="NOS328"/>
      <c r="NOT328"/>
      <c r="NOW328"/>
      <c r="NOX328"/>
      <c r="NPA328"/>
      <c r="NPB328"/>
      <c r="NPE328"/>
      <c r="NPF328"/>
      <c r="NPI328"/>
      <c r="NPJ328"/>
      <c r="NPM328"/>
      <c r="NPN328"/>
      <c r="NPQ328"/>
      <c r="NPR328"/>
      <c r="NPU328"/>
      <c r="NPV328"/>
      <c r="NPY328"/>
      <c r="NPZ328"/>
      <c r="NQC328"/>
      <c r="NQD328"/>
      <c r="NQG328"/>
      <c r="NQH328"/>
      <c r="NQK328"/>
      <c r="NQL328"/>
      <c r="NQO328"/>
      <c r="NQP328"/>
      <c r="NQS328"/>
      <c r="NQT328"/>
      <c r="NQW328"/>
      <c r="NQX328"/>
      <c r="NRA328"/>
      <c r="NRB328"/>
      <c r="NRE328"/>
      <c r="NRF328"/>
      <c r="NRI328"/>
      <c r="NRJ328"/>
      <c r="NRM328"/>
      <c r="NRN328"/>
      <c r="NRQ328"/>
      <c r="NRR328"/>
      <c r="NRU328"/>
      <c r="NRV328"/>
      <c r="NRY328"/>
      <c r="NRZ328"/>
      <c r="NSC328"/>
      <c r="NSD328"/>
      <c r="NSG328"/>
      <c r="NSH328"/>
      <c r="NSK328"/>
      <c r="NSL328"/>
      <c r="NSO328"/>
      <c r="NSP328"/>
      <c r="NSS328"/>
      <c r="NST328"/>
      <c r="NSW328"/>
      <c r="NSX328"/>
      <c r="NTA328"/>
      <c r="NTB328"/>
      <c r="NTE328"/>
      <c r="NTF328"/>
      <c r="NTI328"/>
      <c r="NTJ328"/>
      <c r="NTM328"/>
      <c r="NTN328"/>
      <c r="NTQ328"/>
      <c r="NTR328"/>
      <c r="NTU328"/>
      <c r="NTV328"/>
      <c r="NTY328"/>
      <c r="NTZ328"/>
      <c r="NUC328"/>
      <c r="NUD328"/>
      <c r="NUG328"/>
      <c r="NUH328"/>
      <c r="NUK328"/>
      <c r="NUL328"/>
      <c r="NUO328"/>
      <c r="NUP328"/>
      <c r="NUS328"/>
      <c r="NUT328"/>
      <c r="NUW328"/>
      <c r="NUX328"/>
      <c r="NVA328"/>
      <c r="NVB328"/>
      <c r="NVE328"/>
      <c r="NVF328"/>
      <c r="NVI328"/>
      <c r="NVJ328"/>
      <c r="NVM328"/>
      <c r="NVN328"/>
      <c r="NVQ328"/>
      <c r="NVR328"/>
      <c r="NVU328"/>
      <c r="NVV328"/>
      <c r="NVY328"/>
      <c r="NVZ328"/>
      <c r="NWC328"/>
      <c r="NWD328"/>
      <c r="NWG328"/>
      <c r="NWH328"/>
      <c r="NWK328"/>
      <c r="NWL328"/>
      <c r="NWO328"/>
      <c r="NWP328"/>
      <c r="NWS328"/>
      <c r="NWT328"/>
      <c r="NWW328"/>
      <c r="NWX328"/>
      <c r="NXA328"/>
      <c r="NXB328"/>
      <c r="NXE328"/>
      <c r="NXF328"/>
      <c r="NXI328"/>
      <c r="NXJ328"/>
      <c r="NXM328"/>
      <c r="NXN328"/>
      <c r="NXQ328"/>
      <c r="NXR328"/>
      <c r="NXU328"/>
      <c r="NXV328"/>
      <c r="NXY328"/>
      <c r="NXZ328"/>
      <c r="NYC328"/>
      <c r="NYD328"/>
      <c r="NYG328"/>
      <c r="NYH328"/>
      <c r="NYK328"/>
      <c r="NYL328"/>
      <c r="NYO328"/>
      <c r="NYP328"/>
      <c r="NYS328"/>
      <c r="NYT328"/>
      <c r="NYW328"/>
      <c r="NYX328"/>
      <c r="NZA328"/>
      <c r="NZB328"/>
      <c r="NZE328"/>
      <c r="NZF328"/>
      <c r="NZI328"/>
      <c r="NZJ328"/>
      <c r="NZM328"/>
      <c r="NZN328"/>
      <c r="NZQ328"/>
      <c r="NZR328"/>
      <c r="NZU328"/>
      <c r="NZV328"/>
      <c r="NZY328"/>
      <c r="NZZ328"/>
      <c r="OAC328"/>
      <c r="OAD328"/>
      <c r="OAG328"/>
      <c r="OAH328"/>
      <c r="OAK328"/>
      <c r="OAL328"/>
      <c r="OAO328"/>
      <c r="OAP328"/>
      <c r="OAS328"/>
      <c r="OAT328"/>
      <c r="OAW328"/>
      <c r="OAX328"/>
      <c r="OBA328"/>
      <c r="OBB328"/>
      <c r="OBE328"/>
      <c r="OBF328"/>
      <c r="OBI328"/>
      <c r="OBJ328"/>
      <c r="OBM328"/>
      <c r="OBN328"/>
      <c r="OBQ328"/>
      <c r="OBR328"/>
      <c r="OBU328"/>
      <c r="OBV328"/>
      <c r="OBY328"/>
      <c r="OBZ328"/>
      <c r="OCC328"/>
      <c r="OCD328"/>
      <c r="OCG328"/>
      <c r="OCH328"/>
      <c r="OCK328"/>
      <c r="OCL328"/>
      <c r="OCO328"/>
      <c r="OCP328"/>
      <c r="OCS328"/>
      <c r="OCT328"/>
      <c r="OCW328"/>
      <c r="OCX328"/>
      <c r="ODA328"/>
      <c r="ODB328"/>
      <c r="ODE328"/>
      <c r="ODF328"/>
      <c r="ODI328"/>
      <c r="ODJ328"/>
      <c r="ODM328"/>
      <c r="ODN328"/>
      <c r="ODQ328"/>
      <c r="ODR328"/>
      <c r="ODU328"/>
      <c r="ODV328"/>
      <c r="ODY328"/>
      <c r="ODZ328"/>
      <c r="OEC328"/>
      <c r="OED328"/>
      <c r="OEG328"/>
      <c r="OEH328"/>
      <c r="OEK328"/>
      <c r="OEL328"/>
      <c r="OEO328"/>
      <c r="OEP328"/>
      <c r="OES328"/>
      <c r="OET328"/>
      <c r="OEW328"/>
      <c r="OEX328"/>
      <c r="OFA328"/>
      <c r="OFB328"/>
      <c r="OFE328"/>
      <c r="OFF328"/>
      <c r="OFI328"/>
      <c r="OFJ328"/>
      <c r="OFM328"/>
      <c r="OFN328"/>
      <c r="OFQ328"/>
      <c r="OFR328"/>
      <c r="OFU328"/>
      <c r="OFV328"/>
      <c r="OFY328"/>
      <c r="OFZ328"/>
      <c r="OGC328"/>
      <c r="OGD328"/>
      <c r="OGG328"/>
      <c r="OGH328"/>
      <c r="OGK328"/>
      <c r="OGL328"/>
      <c r="OGO328"/>
      <c r="OGP328"/>
      <c r="OGS328"/>
      <c r="OGT328"/>
      <c r="OGW328"/>
      <c r="OGX328"/>
      <c r="OHA328"/>
      <c r="OHB328"/>
      <c r="OHE328"/>
      <c r="OHF328"/>
      <c r="OHI328"/>
      <c r="OHJ328"/>
      <c r="OHM328"/>
      <c r="OHN328"/>
      <c r="OHQ328"/>
      <c r="OHR328"/>
      <c r="OHU328"/>
      <c r="OHV328"/>
      <c r="OHY328"/>
      <c r="OHZ328"/>
      <c r="OIC328"/>
      <c r="OID328"/>
      <c r="OIG328"/>
      <c r="OIH328"/>
      <c r="OIK328"/>
      <c r="OIL328"/>
      <c r="OIO328"/>
      <c r="OIP328"/>
      <c r="OIS328"/>
      <c r="OIT328"/>
      <c r="OIW328"/>
      <c r="OIX328"/>
      <c r="OJA328"/>
      <c r="OJB328"/>
      <c r="OJE328"/>
      <c r="OJF328"/>
      <c r="OJI328"/>
      <c r="OJJ328"/>
      <c r="OJM328"/>
      <c r="OJN328"/>
      <c r="OJQ328"/>
      <c r="OJR328"/>
      <c r="OJU328"/>
      <c r="OJV328"/>
      <c r="OJY328"/>
      <c r="OJZ328"/>
      <c r="OKC328"/>
      <c r="OKD328"/>
      <c r="OKG328"/>
      <c r="OKH328"/>
      <c r="OKK328"/>
      <c r="OKL328"/>
      <c r="OKO328"/>
      <c r="OKP328"/>
      <c r="OKS328"/>
      <c r="OKT328"/>
      <c r="OKW328"/>
      <c r="OKX328"/>
      <c r="OLA328"/>
      <c r="OLB328"/>
      <c r="OLE328"/>
      <c r="OLF328"/>
      <c r="OLI328"/>
      <c r="OLJ328"/>
      <c r="OLM328"/>
      <c r="OLN328"/>
      <c r="OLQ328"/>
      <c r="OLR328"/>
      <c r="OLU328"/>
      <c r="OLV328"/>
      <c r="OLY328"/>
      <c r="OLZ328"/>
      <c r="OMC328"/>
      <c r="OMD328"/>
      <c r="OMG328"/>
      <c r="OMH328"/>
      <c r="OMK328"/>
      <c r="OML328"/>
      <c r="OMO328"/>
      <c r="OMP328"/>
      <c r="OMS328"/>
      <c r="OMT328"/>
      <c r="OMW328"/>
      <c r="OMX328"/>
      <c r="ONA328"/>
      <c r="ONB328"/>
      <c r="ONE328"/>
      <c r="ONF328"/>
      <c r="ONI328"/>
      <c r="ONJ328"/>
      <c r="ONM328"/>
      <c r="ONN328"/>
      <c r="ONQ328"/>
      <c r="ONR328"/>
      <c r="ONU328"/>
      <c r="ONV328"/>
      <c r="ONY328"/>
      <c r="ONZ328"/>
      <c r="OOC328"/>
      <c r="OOD328"/>
      <c r="OOG328"/>
      <c r="OOH328"/>
      <c r="OOK328"/>
      <c r="OOL328"/>
      <c r="OOO328"/>
      <c r="OOP328"/>
      <c r="OOS328"/>
      <c r="OOT328"/>
      <c r="OOW328"/>
      <c r="OOX328"/>
      <c r="OPA328"/>
      <c r="OPB328"/>
      <c r="OPE328"/>
      <c r="OPF328"/>
      <c r="OPI328"/>
      <c r="OPJ328"/>
      <c r="OPM328"/>
      <c r="OPN328"/>
      <c r="OPQ328"/>
      <c r="OPR328"/>
      <c r="OPU328"/>
      <c r="OPV328"/>
      <c r="OPY328"/>
      <c r="OPZ328"/>
      <c r="OQC328"/>
      <c r="OQD328"/>
      <c r="OQG328"/>
      <c r="OQH328"/>
      <c r="OQK328"/>
      <c r="OQL328"/>
      <c r="OQO328"/>
      <c r="OQP328"/>
      <c r="OQS328"/>
      <c r="OQT328"/>
      <c r="OQW328"/>
      <c r="OQX328"/>
      <c r="ORA328"/>
      <c r="ORB328"/>
      <c r="ORE328"/>
      <c r="ORF328"/>
      <c r="ORI328"/>
      <c r="ORJ328"/>
      <c r="ORM328"/>
      <c r="ORN328"/>
      <c r="ORQ328"/>
      <c r="ORR328"/>
      <c r="ORU328"/>
      <c r="ORV328"/>
      <c r="ORY328"/>
      <c r="ORZ328"/>
      <c r="OSC328"/>
      <c r="OSD328"/>
      <c r="OSG328"/>
      <c r="OSH328"/>
      <c r="OSK328"/>
      <c r="OSL328"/>
      <c r="OSO328"/>
      <c r="OSP328"/>
      <c r="OSS328"/>
      <c r="OST328"/>
      <c r="OSW328"/>
      <c r="OSX328"/>
      <c r="OTA328"/>
      <c r="OTB328"/>
      <c r="OTE328"/>
      <c r="OTF328"/>
      <c r="OTI328"/>
      <c r="OTJ328"/>
      <c r="OTM328"/>
      <c r="OTN328"/>
      <c r="OTQ328"/>
      <c r="OTR328"/>
      <c r="OTU328"/>
      <c r="OTV328"/>
      <c r="OTY328"/>
      <c r="OTZ328"/>
      <c r="OUC328"/>
      <c r="OUD328"/>
      <c r="OUG328"/>
      <c r="OUH328"/>
      <c r="OUK328"/>
      <c r="OUL328"/>
      <c r="OUO328"/>
      <c r="OUP328"/>
      <c r="OUS328"/>
      <c r="OUT328"/>
      <c r="OUW328"/>
      <c r="OUX328"/>
      <c r="OVA328"/>
      <c r="OVB328"/>
      <c r="OVE328"/>
      <c r="OVF328"/>
      <c r="OVI328"/>
      <c r="OVJ328"/>
      <c r="OVM328"/>
      <c r="OVN328"/>
      <c r="OVQ328"/>
      <c r="OVR328"/>
      <c r="OVU328"/>
      <c r="OVV328"/>
      <c r="OVY328"/>
      <c r="OVZ328"/>
      <c r="OWC328"/>
      <c r="OWD328"/>
      <c r="OWG328"/>
      <c r="OWH328"/>
      <c r="OWK328"/>
      <c r="OWL328"/>
      <c r="OWO328"/>
      <c r="OWP328"/>
      <c r="OWS328"/>
      <c r="OWT328"/>
      <c r="OWW328"/>
      <c r="OWX328"/>
      <c r="OXA328"/>
      <c r="OXB328"/>
      <c r="OXE328"/>
      <c r="OXF328"/>
      <c r="OXI328"/>
      <c r="OXJ328"/>
      <c r="OXM328"/>
      <c r="OXN328"/>
      <c r="OXQ328"/>
      <c r="OXR328"/>
      <c r="OXU328"/>
      <c r="OXV328"/>
      <c r="OXY328"/>
      <c r="OXZ328"/>
      <c r="OYC328"/>
      <c r="OYD328"/>
      <c r="OYG328"/>
      <c r="OYH328"/>
      <c r="OYK328"/>
      <c r="OYL328"/>
      <c r="OYO328"/>
      <c r="OYP328"/>
      <c r="OYS328"/>
      <c r="OYT328"/>
      <c r="OYW328"/>
      <c r="OYX328"/>
      <c r="OZA328"/>
      <c r="OZB328"/>
      <c r="OZE328"/>
      <c r="OZF328"/>
      <c r="OZI328"/>
      <c r="OZJ328"/>
      <c r="OZM328"/>
      <c r="OZN328"/>
      <c r="OZQ328"/>
      <c r="OZR328"/>
      <c r="OZU328"/>
      <c r="OZV328"/>
      <c r="OZY328"/>
      <c r="OZZ328"/>
      <c r="PAC328"/>
      <c r="PAD328"/>
      <c r="PAG328"/>
      <c r="PAH328"/>
      <c r="PAK328"/>
      <c r="PAL328"/>
      <c r="PAO328"/>
      <c r="PAP328"/>
      <c r="PAS328"/>
      <c r="PAT328"/>
      <c r="PAW328"/>
      <c r="PAX328"/>
      <c r="PBA328"/>
      <c r="PBB328"/>
      <c r="PBE328"/>
      <c r="PBF328"/>
      <c r="PBI328"/>
      <c r="PBJ328"/>
      <c r="PBM328"/>
      <c r="PBN328"/>
      <c r="PBQ328"/>
      <c r="PBR328"/>
      <c r="PBU328"/>
      <c r="PBV328"/>
      <c r="PBY328"/>
      <c r="PBZ328"/>
      <c r="PCC328"/>
      <c r="PCD328"/>
      <c r="PCG328"/>
      <c r="PCH328"/>
      <c r="PCK328"/>
      <c r="PCL328"/>
      <c r="PCO328"/>
      <c r="PCP328"/>
      <c r="PCS328"/>
      <c r="PCT328"/>
      <c r="PCW328"/>
      <c r="PCX328"/>
      <c r="PDA328"/>
      <c r="PDB328"/>
      <c r="PDE328"/>
      <c r="PDF328"/>
      <c r="PDI328"/>
      <c r="PDJ328"/>
      <c r="PDM328"/>
      <c r="PDN328"/>
      <c r="PDQ328"/>
      <c r="PDR328"/>
      <c r="PDU328"/>
      <c r="PDV328"/>
      <c r="PDY328"/>
      <c r="PDZ328"/>
      <c r="PEC328"/>
      <c r="PED328"/>
      <c r="PEG328"/>
      <c r="PEH328"/>
      <c r="PEK328"/>
      <c r="PEL328"/>
      <c r="PEO328"/>
      <c r="PEP328"/>
      <c r="PES328"/>
      <c r="PET328"/>
      <c r="PEW328"/>
      <c r="PEX328"/>
      <c r="PFA328"/>
      <c r="PFB328"/>
      <c r="PFE328"/>
      <c r="PFF328"/>
      <c r="PFI328"/>
      <c r="PFJ328"/>
      <c r="PFM328"/>
      <c r="PFN328"/>
      <c r="PFQ328"/>
      <c r="PFR328"/>
      <c r="PFU328"/>
      <c r="PFV328"/>
      <c r="PFY328"/>
      <c r="PFZ328"/>
      <c r="PGC328"/>
      <c r="PGD328"/>
      <c r="PGG328"/>
      <c r="PGH328"/>
      <c r="PGK328"/>
      <c r="PGL328"/>
      <c r="PGO328"/>
      <c r="PGP328"/>
      <c r="PGS328"/>
      <c r="PGT328"/>
      <c r="PGW328"/>
      <c r="PGX328"/>
      <c r="PHA328"/>
      <c r="PHB328"/>
      <c r="PHE328"/>
      <c r="PHF328"/>
      <c r="PHI328"/>
      <c r="PHJ328"/>
      <c r="PHM328"/>
      <c r="PHN328"/>
      <c r="PHQ328"/>
      <c r="PHR328"/>
      <c r="PHU328"/>
      <c r="PHV328"/>
      <c r="PHY328"/>
      <c r="PHZ328"/>
      <c r="PIC328"/>
      <c r="PID328"/>
      <c r="PIG328"/>
      <c r="PIH328"/>
      <c r="PIK328"/>
      <c r="PIL328"/>
      <c r="PIO328"/>
      <c r="PIP328"/>
      <c r="PIS328"/>
      <c r="PIT328"/>
      <c r="PIW328"/>
      <c r="PIX328"/>
      <c r="PJA328"/>
      <c r="PJB328"/>
      <c r="PJE328"/>
      <c r="PJF328"/>
      <c r="PJI328"/>
      <c r="PJJ328"/>
      <c r="PJM328"/>
      <c r="PJN328"/>
      <c r="PJQ328"/>
      <c r="PJR328"/>
      <c r="PJU328"/>
      <c r="PJV328"/>
      <c r="PJY328"/>
      <c r="PJZ328"/>
      <c r="PKC328"/>
      <c r="PKD328"/>
      <c r="PKG328"/>
      <c r="PKH328"/>
      <c r="PKK328"/>
      <c r="PKL328"/>
      <c r="PKO328"/>
      <c r="PKP328"/>
      <c r="PKS328"/>
      <c r="PKT328"/>
      <c r="PKW328"/>
      <c r="PKX328"/>
      <c r="PLA328"/>
      <c r="PLB328"/>
      <c r="PLE328"/>
      <c r="PLF328"/>
      <c r="PLI328"/>
      <c r="PLJ328"/>
      <c r="PLM328"/>
      <c r="PLN328"/>
      <c r="PLQ328"/>
      <c r="PLR328"/>
      <c r="PLU328"/>
      <c r="PLV328"/>
      <c r="PLY328"/>
      <c r="PLZ328"/>
      <c r="PMC328"/>
      <c r="PMD328"/>
      <c r="PMG328"/>
      <c r="PMH328"/>
      <c r="PMK328"/>
      <c r="PML328"/>
      <c r="PMO328"/>
      <c r="PMP328"/>
      <c r="PMS328"/>
      <c r="PMT328"/>
      <c r="PMW328"/>
      <c r="PMX328"/>
      <c r="PNA328"/>
      <c r="PNB328"/>
      <c r="PNE328"/>
      <c r="PNF328"/>
      <c r="PNI328"/>
      <c r="PNJ328"/>
      <c r="PNM328"/>
      <c r="PNN328"/>
      <c r="PNQ328"/>
      <c r="PNR328"/>
      <c r="PNU328"/>
      <c r="PNV328"/>
      <c r="PNY328"/>
      <c r="PNZ328"/>
      <c r="POC328"/>
      <c r="POD328"/>
      <c r="POG328"/>
      <c r="POH328"/>
      <c r="POK328"/>
      <c r="POL328"/>
      <c r="POO328"/>
      <c r="POP328"/>
      <c r="POS328"/>
      <c r="POT328"/>
      <c r="POW328"/>
      <c r="POX328"/>
      <c r="PPA328"/>
      <c r="PPB328"/>
      <c r="PPE328"/>
      <c r="PPF328"/>
      <c r="PPI328"/>
      <c r="PPJ328"/>
      <c r="PPM328"/>
      <c r="PPN328"/>
      <c r="PPQ328"/>
      <c r="PPR328"/>
      <c r="PPU328"/>
      <c r="PPV328"/>
      <c r="PPY328"/>
      <c r="PPZ328"/>
      <c r="PQC328"/>
      <c r="PQD328"/>
      <c r="PQG328"/>
      <c r="PQH328"/>
      <c r="PQK328"/>
      <c r="PQL328"/>
      <c r="PQO328"/>
      <c r="PQP328"/>
      <c r="PQS328"/>
      <c r="PQT328"/>
      <c r="PQW328"/>
      <c r="PQX328"/>
      <c r="PRA328"/>
      <c r="PRB328"/>
      <c r="PRE328"/>
      <c r="PRF328"/>
      <c r="PRI328"/>
      <c r="PRJ328"/>
      <c r="PRM328"/>
      <c r="PRN328"/>
      <c r="PRQ328"/>
      <c r="PRR328"/>
      <c r="PRU328"/>
      <c r="PRV328"/>
      <c r="PRY328"/>
      <c r="PRZ328"/>
      <c r="PSC328"/>
      <c r="PSD328"/>
      <c r="PSG328"/>
      <c r="PSH328"/>
      <c r="PSK328"/>
      <c r="PSL328"/>
      <c r="PSO328"/>
      <c r="PSP328"/>
      <c r="PSS328"/>
      <c r="PST328"/>
      <c r="PSW328"/>
      <c r="PSX328"/>
      <c r="PTA328"/>
      <c r="PTB328"/>
      <c r="PTE328"/>
      <c r="PTF328"/>
      <c r="PTI328"/>
      <c r="PTJ328"/>
      <c r="PTM328"/>
      <c r="PTN328"/>
      <c r="PTQ328"/>
      <c r="PTR328"/>
      <c r="PTU328"/>
      <c r="PTV328"/>
      <c r="PTY328"/>
      <c r="PTZ328"/>
      <c r="PUC328"/>
      <c r="PUD328"/>
      <c r="PUG328"/>
      <c r="PUH328"/>
      <c r="PUK328"/>
      <c r="PUL328"/>
      <c r="PUO328"/>
      <c r="PUP328"/>
      <c r="PUS328"/>
      <c r="PUT328"/>
      <c r="PUW328"/>
      <c r="PUX328"/>
      <c r="PVA328"/>
      <c r="PVB328"/>
      <c r="PVE328"/>
      <c r="PVF328"/>
      <c r="PVI328"/>
      <c r="PVJ328"/>
      <c r="PVM328"/>
      <c r="PVN328"/>
      <c r="PVQ328"/>
      <c r="PVR328"/>
      <c r="PVU328"/>
      <c r="PVV328"/>
      <c r="PVY328"/>
      <c r="PVZ328"/>
      <c r="PWC328"/>
      <c r="PWD328"/>
      <c r="PWG328"/>
      <c r="PWH328"/>
      <c r="PWK328"/>
      <c r="PWL328"/>
      <c r="PWO328"/>
      <c r="PWP328"/>
      <c r="PWS328"/>
      <c r="PWT328"/>
      <c r="PWW328"/>
      <c r="PWX328"/>
      <c r="PXA328"/>
      <c r="PXB328"/>
      <c r="PXE328"/>
      <c r="PXF328"/>
      <c r="PXI328"/>
      <c r="PXJ328"/>
      <c r="PXM328"/>
      <c r="PXN328"/>
      <c r="PXQ328"/>
      <c r="PXR328"/>
      <c r="PXU328"/>
      <c r="PXV328"/>
      <c r="PXY328"/>
      <c r="PXZ328"/>
      <c r="PYC328"/>
      <c r="PYD328"/>
      <c r="PYG328"/>
      <c r="PYH328"/>
      <c r="PYK328"/>
      <c r="PYL328"/>
      <c r="PYO328"/>
      <c r="PYP328"/>
      <c r="PYS328"/>
      <c r="PYT328"/>
      <c r="PYW328"/>
      <c r="PYX328"/>
      <c r="PZA328"/>
      <c r="PZB328"/>
      <c r="PZE328"/>
      <c r="PZF328"/>
      <c r="PZI328"/>
      <c r="PZJ328"/>
      <c r="PZM328"/>
      <c r="PZN328"/>
      <c r="PZQ328"/>
      <c r="PZR328"/>
      <c r="PZU328"/>
      <c r="PZV328"/>
      <c r="PZY328"/>
      <c r="PZZ328"/>
      <c r="QAC328"/>
      <c r="QAD328"/>
      <c r="QAG328"/>
      <c r="QAH328"/>
      <c r="QAK328"/>
      <c r="QAL328"/>
      <c r="QAO328"/>
      <c r="QAP328"/>
      <c r="QAS328"/>
      <c r="QAT328"/>
      <c r="QAW328"/>
      <c r="QAX328"/>
      <c r="QBA328"/>
      <c r="QBB328"/>
      <c r="QBE328"/>
      <c r="QBF328"/>
      <c r="QBI328"/>
      <c r="QBJ328"/>
      <c r="QBM328"/>
      <c r="QBN328"/>
      <c r="QBQ328"/>
      <c r="QBR328"/>
      <c r="QBU328"/>
      <c r="QBV328"/>
      <c r="QBY328"/>
      <c r="QBZ328"/>
      <c r="QCC328"/>
      <c r="QCD328"/>
      <c r="QCG328"/>
      <c r="QCH328"/>
      <c r="QCK328"/>
      <c r="QCL328"/>
      <c r="QCO328"/>
      <c r="QCP328"/>
      <c r="QCS328"/>
      <c r="QCT328"/>
      <c r="QCW328"/>
      <c r="QCX328"/>
      <c r="QDA328"/>
      <c r="QDB328"/>
      <c r="QDE328"/>
      <c r="QDF328"/>
      <c r="QDI328"/>
      <c r="QDJ328"/>
      <c r="QDM328"/>
      <c r="QDN328"/>
      <c r="QDQ328"/>
      <c r="QDR328"/>
      <c r="QDU328"/>
      <c r="QDV328"/>
      <c r="QDY328"/>
      <c r="QDZ328"/>
      <c r="QEC328"/>
      <c r="QED328"/>
      <c r="QEG328"/>
      <c r="QEH328"/>
      <c r="QEK328"/>
      <c r="QEL328"/>
      <c r="QEO328"/>
      <c r="QEP328"/>
      <c r="QES328"/>
      <c r="QET328"/>
      <c r="QEW328"/>
      <c r="QEX328"/>
      <c r="QFA328"/>
      <c r="QFB328"/>
      <c r="QFE328"/>
      <c r="QFF328"/>
      <c r="QFI328"/>
      <c r="QFJ328"/>
      <c r="QFM328"/>
      <c r="QFN328"/>
      <c r="QFQ328"/>
      <c r="QFR328"/>
      <c r="QFU328"/>
      <c r="QFV328"/>
      <c r="QFY328"/>
      <c r="QFZ328"/>
      <c r="QGC328"/>
      <c r="QGD328"/>
      <c r="QGG328"/>
      <c r="QGH328"/>
      <c r="QGK328"/>
      <c r="QGL328"/>
      <c r="QGO328"/>
      <c r="QGP328"/>
      <c r="QGS328"/>
      <c r="QGT328"/>
      <c r="QGW328"/>
      <c r="QGX328"/>
      <c r="QHA328"/>
      <c r="QHB328"/>
      <c r="QHE328"/>
      <c r="QHF328"/>
      <c r="QHI328"/>
      <c r="QHJ328"/>
      <c r="QHM328"/>
      <c r="QHN328"/>
      <c r="QHQ328"/>
      <c r="QHR328"/>
      <c r="QHU328"/>
      <c r="QHV328"/>
      <c r="QHY328"/>
      <c r="QHZ328"/>
      <c r="QIC328"/>
      <c r="QID328"/>
      <c r="QIG328"/>
      <c r="QIH328"/>
      <c r="QIK328"/>
      <c r="QIL328"/>
      <c r="QIO328"/>
      <c r="QIP328"/>
      <c r="QIS328"/>
      <c r="QIT328"/>
      <c r="QIW328"/>
      <c r="QIX328"/>
      <c r="QJA328"/>
      <c r="QJB328"/>
      <c r="QJE328"/>
      <c r="QJF328"/>
      <c r="QJI328"/>
      <c r="QJJ328"/>
      <c r="QJM328"/>
      <c r="QJN328"/>
      <c r="QJQ328"/>
      <c r="QJR328"/>
      <c r="QJU328"/>
      <c r="QJV328"/>
      <c r="QJY328"/>
      <c r="QJZ328"/>
      <c r="QKC328"/>
      <c r="QKD328"/>
      <c r="QKG328"/>
      <c r="QKH328"/>
      <c r="QKK328"/>
      <c r="QKL328"/>
      <c r="QKO328"/>
      <c r="QKP328"/>
      <c r="QKS328"/>
      <c r="QKT328"/>
      <c r="QKW328"/>
      <c r="QKX328"/>
      <c r="QLA328"/>
      <c r="QLB328"/>
      <c r="QLE328"/>
      <c r="QLF328"/>
      <c r="QLI328"/>
      <c r="QLJ328"/>
      <c r="QLM328"/>
      <c r="QLN328"/>
      <c r="QLQ328"/>
      <c r="QLR328"/>
      <c r="QLU328"/>
      <c r="QLV328"/>
      <c r="QLY328"/>
      <c r="QLZ328"/>
      <c r="QMC328"/>
      <c r="QMD328"/>
      <c r="QMG328"/>
      <c r="QMH328"/>
      <c r="QMK328"/>
      <c r="QML328"/>
      <c r="QMO328"/>
      <c r="QMP328"/>
      <c r="QMS328"/>
      <c r="QMT328"/>
      <c r="QMW328"/>
      <c r="QMX328"/>
      <c r="QNA328"/>
      <c r="QNB328"/>
      <c r="QNE328"/>
      <c r="QNF328"/>
      <c r="QNI328"/>
      <c r="QNJ328"/>
      <c r="QNM328"/>
      <c r="QNN328"/>
      <c r="QNQ328"/>
      <c r="QNR328"/>
      <c r="QNU328"/>
      <c r="QNV328"/>
      <c r="QNY328"/>
      <c r="QNZ328"/>
      <c r="QOC328"/>
      <c r="QOD328"/>
      <c r="QOG328"/>
      <c r="QOH328"/>
      <c r="QOK328"/>
      <c r="QOL328"/>
      <c r="QOO328"/>
      <c r="QOP328"/>
      <c r="QOS328"/>
      <c r="QOT328"/>
      <c r="QOW328"/>
      <c r="QOX328"/>
      <c r="QPA328"/>
      <c r="QPB328"/>
      <c r="QPE328"/>
      <c r="QPF328"/>
      <c r="QPI328"/>
      <c r="QPJ328"/>
      <c r="QPM328"/>
      <c r="QPN328"/>
      <c r="QPQ328"/>
      <c r="QPR328"/>
      <c r="QPU328"/>
      <c r="QPV328"/>
      <c r="QPY328"/>
      <c r="QPZ328"/>
      <c r="QQC328"/>
      <c r="QQD328"/>
      <c r="QQG328"/>
      <c r="QQH328"/>
      <c r="QQK328"/>
      <c r="QQL328"/>
      <c r="QQO328"/>
      <c r="QQP328"/>
      <c r="QQS328"/>
      <c r="QQT328"/>
      <c r="QQW328"/>
      <c r="QQX328"/>
      <c r="QRA328"/>
      <c r="QRB328"/>
      <c r="QRE328"/>
      <c r="QRF328"/>
      <c r="QRI328"/>
      <c r="QRJ328"/>
      <c r="QRM328"/>
      <c r="QRN328"/>
      <c r="QRQ328"/>
      <c r="QRR328"/>
      <c r="QRU328"/>
      <c r="QRV328"/>
      <c r="QRY328"/>
      <c r="QRZ328"/>
      <c r="QSC328"/>
      <c r="QSD328"/>
      <c r="QSG328"/>
      <c r="QSH328"/>
      <c r="QSK328"/>
      <c r="QSL328"/>
      <c r="QSO328"/>
      <c r="QSP328"/>
      <c r="QSS328"/>
      <c r="QST328"/>
      <c r="QSW328"/>
      <c r="QSX328"/>
      <c r="QTA328"/>
      <c r="QTB328"/>
      <c r="QTE328"/>
      <c r="QTF328"/>
      <c r="QTI328"/>
      <c r="QTJ328"/>
      <c r="QTM328"/>
      <c r="QTN328"/>
      <c r="QTQ328"/>
      <c r="QTR328"/>
      <c r="QTU328"/>
      <c r="QTV328"/>
      <c r="QTY328"/>
      <c r="QTZ328"/>
      <c r="QUC328"/>
      <c r="QUD328"/>
      <c r="QUG328"/>
      <c r="QUH328"/>
      <c r="QUK328"/>
      <c r="QUL328"/>
      <c r="QUO328"/>
      <c r="QUP328"/>
      <c r="QUS328"/>
      <c r="QUT328"/>
      <c r="QUW328"/>
      <c r="QUX328"/>
      <c r="QVA328"/>
      <c r="QVB328"/>
      <c r="QVE328"/>
      <c r="QVF328"/>
      <c r="QVI328"/>
      <c r="QVJ328"/>
      <c r="QVM328"/>
      <c r="QVN328"/>
      <c r="QVQ328"/>
      <c r="QVR328"/>
      <c r="QVU328"/>
      <c r="QVV328"/>
      <c r="QVY328"/>
      <c r="QVZ328"/>
      <c r="QWC328"/>
      <c r="QWD328"/>
      <c r="QWG328"/>
      <c r="QWH328"/>
      <c r="QWK328"/>
      <c r="QWL328"/>
      <c r="QWO328"/>
      <c r="QWP328"/>
      <c r="QWS328"/>
      <c r="QWT328"/>
      <c r="QWW328"/>
      <c r="QWX328"/>
      <c r="QXA328"/>
      <c r="QXB328"/>
      <c r="QXE328"/>
      <c r="QXF328"/>
      <c r="QXI328"/>
      <c r="QXJ328"/>
      <c r="QXM328"/>
      <c r="QXN328"/>
      <c r="QXQ328"/>
      <c r="QXR328"/>
      <c r="QXU328"/>
      <c r="QXV328"/>
      <c r="QXY328"/>
      <c r="QXZ328"/>
      <c r="QYC328"/>
      <c r="QYD328"/>
      <c r="QYG328"/>
      <c r="QYH328"/>
      <c r="QYK328"/>
      <c r="QYL328"/>
      <c r="QYO328"/>
      <c r="QYP328"/>
      <c r="QYS328"/>
      <c r="QYT328"/>
      <c r="QYW328"/>
      <c r="QYX328"/>
      <c r="QZA328"/>
      <c r="QZB328"/>
      <c r="QZE328"/>
      <c r="QZF328"/>
      <c r="QZI328"/>
      <c r="QZJ328"/>
      <c r="QZM328"/>
      <c r="QZN328"/>
      <c r="QZQ328"/>
      <c r="QZR328"/>
      <c r="QZU328"/>
      <c r="QZV328"/>
      <c r="QZY328"/>
      <c r="QZZ328"/>
      <c r="RAC328"/>
      <c r="RAD328"/>
      <c r="RAG328"/>
      <c r="RAH328"/>
      <c r="RAK328"/>
      <c r="RAL328"/>
      <c r="RAO328"/>
      <c r="RAP328"/>
      <c r="RAS328"/>
      <c r="RAT328"/>
      <c r="RAW328"/>
      <c r="RAX328"/>
      <c r="RBA328"/>
      <c r="RBB328"/>
      <c r="RBE328"/>
      <c r="RBF328"/>
      <c r="RBI328"/>
      <c r="RBJ328"/>
      <c r="RBM328"/>
      <c r="RBN328"/>
      <c r="RBQ328"/>
      <c r="RBR328"/>
      <c r="RBU328"/>
      <c r="RBV328"/>
      <c r="RBY328"/>
      <c r="RBZ328"/>
      <c r="RCC328"/>
      <c r="RCD328"/>
      <c r="RCG328"/>
      <c r="RCH328"/>
      <c r="RCK328"/>
      <c r="RCL328"/>
      <c r="RCO328"/>
      <c r="RCP328"/>
      <c r="RCS328"/>
      <c r="RCT328"/>
      <c r="RCW328"/>
      <c r="RCX328"/>
      <c r="RDA328"/>
      <c r="RDB328"/>
      <c r="RDE328"/>
      <c r="RDF328"/>
      <c r="RDI328"/>
      <c r="RDJ328"/>
      <c r="RDM328"/>
      <c r="RDN328"/>
      <c r="RDQ328"/>
      <c r="RDR328"/>
      <c r="RDU328"/>
      <c r="RDV328"/>
      <c r="RDY328"/>
      <c r="RDZ328"/>
      <c r="REC328"/>
      <c r="RED328"/>
      <c r="REG328"/>
      <c r="REH328"/>
      <c r="REK328"/>
      <c r="REL328"/>
      <c r="REO328"/>
      <c r="REP328"/>
      <c r="RES328"/>
      <c r="RET328"/>
      <c r="REW328"/>
      <c r="REX328"/>
      <c r="RFA328"/>
      <c r="RFB328"/>
      <c r="RFE328"/>
      <c r="RFF328"/>
      <c r="RFI328"/>
      <c r="RFJ328"/>
      <c r="RFM328"/>
      <c r="RFN328"/>
      <c r="RFQ328"/>
      <c r="RFR328"/>
      <c r="RFU328"/>
      <c r="RFV328"/>
      <c r="RFY328"/>
      <c r="RFZ328"/>
      <c r="RGC328"/>
      <c r="RGD328"/>
      <c r="RGG328"/>
      <c r="RGH328"/>
      <c r="RGK328"/>
      <c r="RGL328"/>
      <c r="RGO328"/>
      <c r="RGP328"/>
      <c r="RGS328"/>
      <c r="RGT328"/>
      <c r="RGW328"/>
      <c r="RGX328"/>
      <c r="RHA328"/>
      <c r="RHB328"/>
      <c r="RHE328"/>
      <c r="RHF328"/>
      <c r="RHI328"/>
      <c r="RHJ328"/>
      <c r="RHM328"/>
      <c r="RHN328"/>
      <c r="RHQ328"/>
      <c r="RHR328"/>
      <c r="RHU328"/>
      <c r="RHV328"/>
      <c r="RHY328"/>
      <c r="RHZ328"/>
      <c r="RIC328"/>
      <c r="RID328"/>
      <c r="RIG328"/>
      <c r="RIH328"/>
      <c r="RIK328"/>
      <c r="RIL328"/>
      <c r="RIO328"/>
      <c r="RIP328"/>
      <c r="RIS328"/>
      <c r="RIT328"/>
      <c r="RIW328"/>
      <c r="RIX328"/>
      <c r="RJA328"/>
      <c r="RJB328"/>
      <c r="RJE328"/>
      <c r="RJF328"/>
      <c r="RJI328"/>
      <c r="RJJ328"/>
      <c r="RJM328"/>
      <c r="RJN328"/>
      <c r="RJQ328"/>
      <c r="RJR328"/>
      <c r="RJU328"/>
      <c r="RJV328"/>
      <c r="RJY328"/>
      <c r="RJZ328"/>
      <c r="RKC328"/>
      <c r="RKD328"/>
      <c r="RKG328"/>
      <c r="RKH328"/>
      <c r="RKK328"/>
      <c r="RKL328"/>
      <c r="RKO328"/>
      <c r="RKP328"/>
      <c r="RKS328"/>
      <c r="RKT328"/>
      <c r="RKW328"/>
      <c r="RKX328"/>
      <c r="RLA328"/>
      <c r="RLB328"/>
      <c r="RLE328"/>
      <c r="RLF328"/>
      <c r="RLI328"/>
      <c r="RLJ328"/>
      <c r="RLM328"/>
      <c r="RLN328"/>
      <c r="RLQ328"/>
      <c r="RLR328"/>
      <c r="RLU328"/>
      <c r="RLV328"/>
      <c r="RLY328"/>
      <c r="RLZ328"/>
      <c r="RMC328"/>
      <c r="RMD328"/>
      <c r="RMG328"/>
      <c r="RMH328"/>
      <c r="RMK328"/>
      <c r="RML328"/>
      <c r="RMO328"/>
      <c r="RMP328"/>
      <c r="RMS328"/>
      <c r="RMT328"/>
      <c r="RMW328"/>
      <c r="RMX328"/>
      <c r="RNA328"/>
      <c r="RNB328"/>
      <c r="RNE328"/>
      <c r="RNF328"/>
      <c r="RNI328"/>
      <c r="RNJ328"/>
      <c r="RNM328"/>
      <c r="RNN328"/>
      <c r="RNQ328"/>
      <c r="RNR328"/>
      <c r="RNU328"/>
      <c r="RNV328"/>
      <c r="RNY328"/>
      <c r="RNZ328"/>
      <c r="ROC328"/>
      <c r="ROD328"/>
      <c r="ROG328"/>
      <c r="ROH328"/>
      <c r="ROK328"/>
      <c r="ROL328"/>
      <c r="ROO328"/>
      <c r="ROP328"/>
      <c r="ROS328"/>
      <c r="ROT328"/>
      <c r="ROW328"/>
      <c r="ROX328"/>
      <c r="RPA328"/>
      <c r="RPB328"/>
      <c r="RPE328"/>
      <c r="RPF328"/>
      <c r="RPI328"/>
      <c r="RPJ328"/>
      <c r="RPM328"/>
      <c r="RPN328"/>
      <c r="RPQ328"/>
      <c r="RPR328"/>
      <c r="RPU328"/>
      <c r="RPV328"/>
      <c r="RPY328"/>
      <c r="RPZ328"/>
      <c r="RQC328"/>
      <c r="RQD328"/>
      <c r="RQG328"/>
      <c r="RQH328"/>
      <c r="RQK328"/>
      <c r="RQL328"/>
      <c r="RQO328"/>
      <c r="RQP328"/>
      <c r="RQS328"/>
      <c r="RQT328"/>
      <c r="RQW328"/>
      <c r="RQX328"/>
      <c r="RRA328"/>
      <c r="RRB328"/>
      <c r="RRE328"/>
      <c r="RRF328"/>
      <c r="RRI328"/>
      <c r="RRJ328"/>
      <c r="RRM328"/>
      <c r="RRN328"/>
      <c r="RRQ328"/>
      <c r="RRR328"/>
      <c r="RRU328"/>
      <c r="RRV328"/>
      <c r="RRY328"/>
      <c r="RRZ328"/>
      <c r="RSC328"/>
      <c r="RSD328"/>
      <c r="RSG328"/>
      <c r="RSH328"/>
      <c r="RSK328"/>
      <c r="RSL328"/>
      <c r="RSO328"/>
      <c r="RSP328"/>
      <c r="RSS328"/>
      <c r="RST328"/>
      <c r="RSW328"/>
      <c r="RSX328"/>
      <c r="RTA328"/>
      <c r="RTB328"/>
      <c r="RTE328"/>
      <c r="RTF328"/>
      <c r="RTI328"/>
      <c r="RTJ328"/>
      <c r="RTM328"/>
      <c r="RTN328"/>
      <c r="RTQ328"/>
      <c r="RTR328"/>
      <c r="RTU328"/>
      <c r="RTV328"/>
      <c r="RTY328"/>
      <c r="RTZ328"/>
      <c r="RUC328"/>
      <c r="RUD328"/>
      <c r="RUG328"/>
      <c r="RUH328"/>
      <c r="RUK328"/>
      <c r="RUL328"/>
      <c r="RUO328"/>
      <c r="RUP328"/>
      <c r="RUS328"/>
      <c r="RUT328"/>
      <c r="RUW328"/>
      <c r="RUX328"/>
      <c r="RVA328"/>
      <c r="RVB328"/>
      <c r="RVE328"/>
      <c r="RVF328"/>
      <c r="RVI328"/>
      <c r="RVJ328"/>
      <c r="RVM328"/>
      <c r="RVN328"/>
      <c r="RVQ328"/>
      <c r="RVR328"/>
      <c r="RVU328"/>
      <c r="RVV328"/>
      <c r="RVY328"/>
      <c r="RVZ328"/>
      <c r="RWC328"/>
      <c r="RWD328"/>
      <c r="RWG328"/>
      <c r="RWH328"/>
      <c r="RWK328"/>
      <c r="RWL328"/>
      <c r="RWO328"/>
      <c r="RWP328"/>
      <c r="RWS328"/>
      <c r="RWT328"/>
      <c r="RWW328"/>
      <c r="RWX328"/>
      <c r="RXA328"/>
      <c r="RXB328"/>
      <c r="RXE328"/>
      <c r="RXF328"/>
      <c r="RXI328"/>
      <c r="RXJ328"/>
      <c r="RXM328"/>
      <c r="RXN328"/>
      <c r="RXQ328"/>
      <c r="RXR328"/>
      <c r="RXU328"/>
      <c r="RXV328"/>
      <c r="RXY328"/>
      <c r="RXZ328"/>
      <c r="RYC328"/>
      <c r="RYD328"/>
      <c r="RYG328"/>
      <c r="RYH328"/>
      <c r="RYK328"/>
      <c r="RYL328"/>
      <c r="RYO328"/>
      <c r="RYP328"/>
      <c r="RYS328"/>
      <c r="RYT328"/>
      <c r="RYW328"/>
      <c r="RYX328"/>
      <c r="RZA328"/>
      <c r="RZB328"/>
      <c r="RZE328"/>
      <c r="RZF328"/>
      <c r="RZI328"/>
      <c r="RZJ328"/>
      <c r="RZM328"/>
      <c r="RZN328"/>
      <c r="RZQ328"/>
      <c r="RZR328"/>
      <c r="RZU328"/>
      <c r="RZV328"/>
      <c r="RZY328"/>
      <c r="RZZ328"/>
      <c r="SAC328"/>
      <c r="SAD328"/>
      <c r="SAG328"/>
      <c r="SAH328"/>
      <c r="SAK328"/>
      <c r="SAL328"/>
      <c r="SAO328"/>
      <c r="SAP328"/>
      <c r="SAS328"/>
      <c r="SAT328"/>
      <c r="SAW328"/>
      <c r="SAX328"/>
      <c r="SBA328"/>
      <c r="SBB328"/>
      <c r="SBE328"/>
      <c r="SBF328"/>
      <c r="SBI328"/>
      <c r="SBJ328"/>
      <c r="SBM328"/>
      <c r="SBN328"/>
      <c r="SBQ328"/>
      <c r="SBR328"/>
      <c r="SBU328"/>
      <c r="SBV328"/>
      <c r="SBY328"/>
      <c r="SBZ328"/>
      <c r="SCC328"/>
      <c r="SCD328"/>
      <c r="SCG328"/>
      <c r="SCH328"/>
      <c r="SCK328"/>
      <c r="SCL328"/>
      <c r="SCO328"/>
      <c r="SCP328"/>
      <c r="SCS328"/>
      <c r="SCT328"/>
      <c r="SCW328"/>
      <c r="SCX328"/>
      <c r="SDA328"/>
      <c r="SDB328"/>
      <c r="SDE328"/>
      <c r="SDF328"/>
      <c r="SDI328"/>
      <c r="SDJ328"/>
      <c r="SDM328"/>
      <c r="SDN328"/>
      <c r="SDQ328"/>
      <c r="SDR328"/>
      <c r="SDU328"/>
      <c r="SDV328"/>
      <c r="SDY328"/>
      <c r="SDZ328"/>
      <c r="SEC328"/>
      <c r="SED328"/>
      <c r="SEG328"/>
      <c r="SEH328"/>
      <c r="SEK328"/>
      <c r="SEL328"/>
      <c r="SEO328"/>
      <c r="SEP328"/>
      <c r="SES328"/>
      <c r="SET328"/>
      <c r="SEW328"/>
      <c r="SEX328"/>
      <c r="SFA328"/>
      <c r="SFB328"/>
      <c r="SFE328"/>
      <c r="SFF328"/>
      <c r="SFI328"/>
      <c r="SFJ328"/>
      <c r="SFM328"/>
      <c r="SFN328"/>
      <c r="SFQ328"/>
      <c r="SFR328"/>
      <c r="SFU328"/>
      <c r="SFV328"/>
      <c r="SFY328"/>
      <c r="SFZ328"/>
      <c r="SGC328"/>
      <c r="SGD328"/>
      <c r="SGG328"/>
      <c r="SGH328"/>
      <c r="SGK328"/>
      <c r="SGL328"/>
      <c r="SGO328"/>
      <c r="SGP328"/>
      <c r="SGS328"/>
      <c r="SGT328"/>
      <c r="SGW328"/>
      <c r="SGX328"/>
      <c r="SHA328"/>
      <c r="SHB328"/>
      <c r="SHE328"/>
      <c r="SHF328"/>
      <c r="SHI328"/>
      <c r="SHJ328"/>
      <c r="SHM328"/>
      <c r="SHN328"/>
      <c r="SHQ328"/>
      <c r="SHR328"/>
      <c r="SHU328"/>
      <c r="SHV328"/>
      <c r="SHY328"/>
      <c r="SHZ328"/>
      <c r="SIC328"/>
      <c r="SID328"/>
      <c r="SIG328"/>
      <c r="SIH328"/>
      <c r="SIK328"/>
      <c r="SIL328"/>
      <c r="SIO328"/>
      <c r="SIP328"/>
      <c r="SIS328"/>
      <c r="SIT328"/>
      <c r="SIW328"/>
      <c r="SIX328"/>
      <c r="SJA328"/>
      <c r="SJB328"/>
      <c r="SJE328"/>
      <c r="SJF328"/>
      <c r="SJI328"/>
      <c r="SJJ328"/>
      <c r="SJM328"/>
      <c r="SJN328"/>
      <c r="SJQ328"/>
      <c r="SJR328"/>
      <c r="SJU328"/>
      <c r="SJV328"/>
      <c r="SJY328"/>
      <c r="SJZ328"/>
      <c r="SKC328"/>
      <c r="SKD328"/>
      <c r="SKG328"/>
      <c r="SKH328"/>
      <c r="SKK328"/>
      <c r="SKL328"/>
      <c r="SKO328"/>
      <c r="SKP328"/>
      <c r="SKS328"/>
      <c r="SKT328"/>
      <c r="SKW328"/>
      <c r="SKX328"/>
      <c r="SLA328"/>
      <c r="SLB328"/>
      <c r="SLE328"/>
      <c r="SLF328"/>
      <c r="SLI328"/>
      <c r="SLJ328"/>
      <c r="SLM328"/>
      <c r="SLN328"/>
      <c r="SLQ328"/>
      <c r="SLR328"/>
      <c r="SLU328"/>
      <c r="SLV328"/>
      <c r="SLY328"/>
      <c r="SLZ328"/>
      <c r="SMC328"/>
      <c r="SMD328"/>
      <c r="SMG328"/>
      <c r="SMH328"/>
      <c r="SMK328"/>
      <c r="SML328"/>
      <c r="SMO328"/>
      <c r="SMP328"/>
      <c r="SMS328"/>
      <c r="SMT328"/>
      <c r="SMW328"/>
      <c r="SMX328"/>
      <c r="SNA328"/>
      <c r="SNB328"/>
      <c r="SNE328"/>
      <c r="SNF328"/>
      <c r="SNI328"/>
      <c r="SNJ328"/>
      <c r="SNM328"/>
      <c r="SNN328"/>
      <c r="SNQ328"/>
      <c r="SNR328"/>
      <c r="SNU328"/>
      <c r="SNV328"/>
      <c r="SNY328"/>
      <c r="SNZ328"/>
      <c r="SOC328"/>
      <c r="SOD328"/>
      <c r="SOG328"/>
      <c r="SOH328"/>
      <c r="SOK328"/>
      <c r="SOL328"/>
      <c r="SOO328"/>
      <c r="SOP328"/>
      <c r="SOS328"/>
      <c r="SOT328"/>
      <c r="SOW328"/>
      <c r="SOX328"/>
      <c r="SPA328"/>
      <c r="SPB328"/>
      <c r="SPE328"/>
      <c r="SPF328"/>
      <c r="SPI328"/>
      <c r="SPJ328"/>
      <c r="SPM328"/>
      <c r="SPN328"/>
      <c r="SPQ328"/>
      <c r="SPR328"/>
      <c r="SPU328"/>
      <c r="SPV328"/>
      <c r="SPY328"/>
      <c r="SPZ328"/>
      <c r="SQC328"/>
      <c r="SQD328"/>
      <c r="SQG328"/>
      <c r="SQH328"/>
      <c r="SQK328"/>
      <c r="SQL328"/>
      <c r="SQO328"/>
      <c r="SQP328"/>
      <c r="SQS328"/>
      <c r="SQT328"/>
      <c r="SQW328"/>
      <c r="SQX328"/>
      <c r="SRA328"/>
      <c r="SRB328"/>
      <c r="SRE328"/>
      <c r="SRF328"/>
      <c r="SRI328"/>
      <c r="SRJ328"/>
      <c r="SRM328"/>
      <c r="SRN328"/>
      <c r="SRQ328"/>
      <c r="SRR328"/>
      <c r="SRU328"/>
      <c r="SRV328"/>
      <c r="SRY328"/>
      <c r="SRZ328"/>
      <c r="SSC328"/>
      <c r="SSD328"/>
      <c r="SSG328"/>
      <c r="SSH328"/>
      <c r="SSK328"/>
      <c r="SSL328"/>
      <c r="SSO328"/>
      <c r="SSP328"/>
      <c r="SSS328"/>
      <c r="SST328"/>
      <c r="SSW328"/>
      <c r="SSX328"/>
      <c r="STA328"/>
      <c r="STB328"/>
      <c r="STE328"/>
      <c r="STF328"/>
      <c r="STI328"/>
      <c r="STJ328"/>
      <c r="STM328"/>
      <c r="STN328"/>
      <c r="STQ328"/>
      <c r="STR328"/>
      <c r="STU328"/>
      <c r="STV328"/>
      <c r="STY328"/>
      <c r="STZ328"/>
      <c r="SUC328"/>
      <c r="SUD328"/>
      <c r="SUG328"/>
      <c r="SUH328"/>
      <c r="SUK328"/>
      <c r="SUL328"/>
      <c r="SUO328"/>
      <c r="SUP328"/>
      <c r="SUS328"/>
      <c r="SUT328"/>
      <c r="SUW328"/>
      <c r="SUX328"/>
      <c r="SVA328"/>
      <c r="SVB328"/>
      <c r="SVE328"/>
      <c r="SVF328"/>
      <c r="SVI328"/>
      <c r="SVJ328"/>
      <c r="SVM328"/>
      <c r="SVN328"/>
      <c r="SVQ328"/>
      <c r="SVR328"/>
      <c r="SVU328"/>
      <c r="SVV328"/>
      <c r="SVY328"/>
      <c r="SVZ328"/>
      <c r="SWC328"/>
      <c r="SWD328"/>
      <c r="SWG328"/>
      <c r="SWH328"/>
      <c r="SWK328"/>
      <c r="SWL328"/>
      <c r="SWO328"/>
      <c r="SWP328"/>
      <c r="SWS328"/>
      <c r="SWT328"/>
      <c r="SWW328"/>
      <c r="SWX328"/>
      <c r="SXA328"/>
      <c r="SXB328"/>
      <c r="SXE328"/>
      <c r="SXF328"/>
      <c r="SXI328"/>
      <c r="SXJ328"/>
      <c r="SXM328"/>
      <c r="SXN328"/>
      <c r="SXQ328"/>
      <c r="SXR328"/>
      <c r="SXU328"/>
      <c r="SXV328"/>
      <c r="SXY328"/>
      <c r="SXZ328"/>
      <c r="SYC328"/>
      <c r="SYD328"/>
      <c r="SYG328"/>
      <c r="SYH328"/>
      <c r="SYK328"/>
      <c r="SYL328"/>
      <c r="SYO328"/>
      <c r="SYP328"/>
      <c r="SYS328"/>
      <c r="SYT328"/>
      <c r="SYW328"/>
      <c r="SYX328"/>
      <c r="SZA328"/>
      <c r="SZB328"/>
      <c r="SZE328"/>
      <c r="SZF328"/>
      <c r="SZI328"/>
      <c r="SZJ328"/>
      <c r="SZM328"/>
      <c r="SZN328"/>
      <c r="SZQ328"/>
      <c r="SZR328"/>
      <c r="SZU328"/>
      <c r="SZV328"/>
      <c r="SZY328"/>
      <c r="SZZ328"/>
      <c r="TAC328"/>
      <c r="TAD328"/>
      <c r="TAG328"/>
      <c r="TAH328"/>
      <c r="TAK328"/>
      <c r="TAL328"/>
      <c r="TAO328"/>
      <c r="TAP328"/>
      <c r="TAS328"/>
      <c r="TAT328"/>
      <c r="TAW328"/>
      <c r="TAX328"/>
      <c r="TBA328"/>
      <c r="TBB328"/>
      <c r="TBE328"/>
      <c r="TBF328"/>
      <c r="TBI328"/>
      <c r="TBJ328"/>
      <c r="TBM328"/>
      <c r="TBN328"/>
      <c r="TBQ328"/>
      <c r="TBR328"/>
      <c r="TBU328"/>
      <c r="TBV328"/>
      <c r="TBY328"/>
      <c r="TBZ328"/>
      <c r="TCC328"/>
      <c r="TCD328"/>
      <c r="TCG328"/>
      <c r="TCH328"/>
      <c r="TCK328"/>
      <c r="TCL328"/>
      <c r="TCO328"/>
      <c r="TCP328"/>
      <c r="TCS328"/>
      <c r="TCT328"/>
      <c r="TCW328"/>
      <c r="TCX328"/>
      <c r="TDA328"/>
      <c r="TDB328"/>
      <c r="TDE328"/>
      <c r="TDF328"/>
      <c r="TDI328"/>
      <c r="TDJ328"/>
      <c r="TDM328"/>
      <c r="TDN328"/>
      <c r="TDQ328"/>
      <c r="TDR328"/>
      <c r="TDU328"/>
      <c r="TDV328"/>
      <c r="TDY328"/>
      <c r="TDZ328"/>
      <c r="TEC328"/>
      <c r="TED328"/>
      <c r="TEG328"/>
      <c r="TEH328"/>
      <c r="TEK328"/>
      <c r="TEL328"/>
      <c r="TEO328"/>
      <c r="TEP328"/>
      <c r="TES328"/>
      <c r="TET328"/>
      <c r="TEW328"/>
      <c r="TEX328"/>
      <c r="TFA328"/>
      <c r="TFB328"/>
      <c r="TFE328"/>
      <c r="TFF328"/>
      <c r="TFI328"/>
      <c r="TFJ328"/>
      <c r="TFM328"/>
      <c r="TFN328"/>
      <c r="TFQ328"/>
      <c r="TFR328"/>
      <c r="TFU328"/>
      <c r="TFV328"/>
      <c r="TFY328"/>
      <c r="TFZ328"/>
      <c r="TGC328"/>
      <c r="TGD328"/>
      <c r="TGG328"/>
      <c r="TGH328"/>
      <c r="TGK328"/>
      <c r="TGL328"/>
      <c r="TGO328"/>
      <c r="TGP328"/>
      <c r="TGS328"/>
      <c r="TGT328"/>
      <c r="TGW328"/>
      <c r="TGX328"/>
      <c r="THA328"/>
      <c r="THB328"/>
      <c r="THE328"/>
      <c r="THF328"/>
      <c r="THI328"/>
      <c r="THJ328"/>
      <c r="THM328"/>
      <c r="THN328"/>
      <c r="THQ328"/>
      <c r="THR328"/>
      <c r="THU328"/>
      <c r="THV328"/>
      <c r="THY328"/>
      <c r="THZ328"/>
      <c r="TIC328"/>
      <c r="TID328"/>
      <c r="TIG328"/>
      <c r="TIH328"/>
      <c r="TIK328"/>
      <c r="TIL328"/>
      <c r="TIO328"/>
      <c r="TIP328"/>
      <c r="TIS328"/>
      <c r="TIT328"/>
      <c r="TIW328"/>
      <c r="TIX328"/>
      <c r="TJA328"/>
      <c r="TJB328"/>
      <c r="TJE328"/>
      <c r="TJF328"/>
      <c r="TJI328"/>
      <c r="TJJ328"/>
      <c r="TJM328"/>
      <c r="TJN328"/>
      <c r="TJQ328"/>
      <c r="TJR328"/>
      <c r="TJU328"/>
      <c r="TJV328"/>
      <c r="TJY328"/>
      <c r="TJZ328"/>
      <c r="TKC328"/>
      <c r="TKD328"/>
      <c r="TKG328"/>
      <c r="TKH328"/>
      <c r="TKK328"/>
      <c r="TKL328"/>
      <c r="TKO328"/>
      <c r="TKP328"/>
      <c r="TKS328"/>
      <c r="TKT328"/>
      <c r="TKW328"/>
      <c r="TKX328"/>
      <c r="TLA328"/>
      <c r="TLB328"/>
      <c r="TLE328"/>
      <c r="TLF328"/>
      <c r="TLI328"/>
      <c r="TLJ328"/>
      <c r="TLM328"/>
      <c r="TLN328"/>
      <c r="TLQ328"/>
      <c r="TLR328"/>
      <c r="TLU328"/>
      <c r="TLV328"/>
      <c r="TLY328"/>
      <c r="TLZ328"/>
      <c r="TMC328"/>
      <c r="TMD328"/>
      <c r="TMG328"/>
      <c r="TMH328"/>
      <c r="TMK328"/>
      <c r="TML328"/>
      <c r="TMO328"/>
      <c r="TMP328"/>
      <c r="TMS328"/>
      <c r="TMT328"/>
      <c r="TMW328"/>
      <c r="TMX328"/>
      <c r="TNA328"/>
      <c r="TNB328"/>
      <c r="TNE328"/>
      <c r="TNF328"/>
      <c r="TNI328"/>
      <c r="TNJ328"/>
      <c r="TNM328"/>
      <c r="TNN328"/>
      <c r="TNQ328"/>
      <c r="TNR328"/>
      <c r="TNU328"/>
      <c r="TNV328"/>
      <c r="TNY328"/>
      <c r="TNZ328"/>
      <c r="TOC328"/>
      <c r="TOD328"/>
      <c r="TOG328"/>
      <c r="TOH328"/>
      <c r="TOK328"/>
      <c r="TOL328"/>
      <c r="TOO328"/>
      <c r="TOP328"/>
      <c r="TOS328"/>
      <c r="TOT328"/>
      <c r="TOW328"/>
      <c r="TOX328"/>
      <c r="TPA328"/>
      <c r="TPB328"/>
      <c r="TPE328"/>
      <c r="TPF328"/>
      <c r="TPI328"/>
      <c r="TPJ328"/>
      <c r="TPM328"/>
      <c r="TPN328"/>
      <c r="TPQ328"/>
      <c r="TPR328"/>
      <c r="TPU328"/>
      <c r="TPV328"/>
      <c r="TPY328"/>
      <c r="TPZ328"/>
      <c r="TQC328"/>
      <c r="TQD328"/>
      <c r="TQG328"/>
      <c r="TQH328"/>
      <c r="TQK328"/>
      <c r="TQL328"/>
      <c r="TQO328"/>
      <c r="TQP328"/>
      <c r="TQS328"/>
      <c r="TQT328"/>
      <c r="TQW328"/>
      <c r="TQX328"/>
      <c r="TRA328"/>
      <c r="TRB328"/>
      <c r="TRE328"/>
      <c r="TRF328"/>
      <c r="TRI328"/>
      <c r="TRJ328"/>
      <c r="TRM328"/>
      <c r="TRN328"/>
      <c r="TRQ328"/>
      <c r="TRR328"/>
      <c r="TRU328"/>
      <c r="TRV328"/>
      <c r="TRY328"/>
      <c r="TRZ328"/>
      <c r="TSC328"/>
      <c r="TSD328"/>
      <c r="TSG328"/>
      <c r="TSH328"/>
      <c r="TSK328"/>
      <c r="TSL328"/>
      <c r="TSO328"/>
      <c r="TSP328"/>
      <c r="TSS328"/>
      <c r="TST328"/>
      <c r="TSW328"/>
      <c r="TSX328"/>
      <c r="TTA328"/>
      <c r="TTB328"/>
      <c r="TTE328"/>
      <c r="TTF328"/>
      <c r="TTI328"/>
      <c r="TTJ328"/>
      <c r="TTM328"/>
      <c r="TTN328"/>
      <c r="TTQ328"/>
      <c r="TTR328"/>
      <c r="TTU328"/>
      <c r="TTV328"/>
      <c r="TTY328"/>
      <c r="TTZ328"/>
      <c r="TUC328"/>
      <c r="TUD328"/>
      <c r="TUG328"/>
      <c r="TUH328"/>
      <c r="TUK328"/>
      <c r="TUL328"/>
      <c r="TUO328"/>
      <c r="TUP328"/>
      <c r="TUS328"/>
      <c r="TUT328"/>
      <c r="TUW328"/>
      <c r="TUX328"/>
      <c r="TVA328"/>
      <c r="TVB328"/>
      <c r="TVE328"/>
      <c r="TVF328"/>
      <c r="TVI328"/>
      <c r="TVJ328"/>
      <c r="TVM328"/>
      <c r="TVN328"/>
      <c r="TVQ328"/>
      <c r="TVR328"/>
      <c r="TVU328"/>
      <c r="TVV328"/>
      <c r="TVY328"/>
      <c r="TVZ328"/>
      <c r="TWC328"/>
      <c r="TWD328"/>
      <c r="TWG328"/>
      <c r="TWH328"/>
      <c r="TWK328"/>
      <c r="TWL328"/>
      <c r="TWO328"/>
      <c r="TWP328"/>
      <c r="TWS328"/>
      <c r="TWT328"/>
      <c r="TWW328"/>
      <c r="TWX328"/>
      <c r="TXA328"/>
      <c r="TXB328"/>
      <c r="TXE328"/>
      <c r="TXF328"/>
      <c r="TXI328"/>
      <c r="TXJ328"/>
      <c r="TXM328"/>
      <c r="TXN328"/>
      <c r="TXQ328"/>
      <c r="TXR328"/>
      <c r="TXU328"/>
      <c r="TXV328"/>
      <c r="TXY328"/>
      <c r="TXZ328"/>
      <c r="TYC328"/>
      <c r="TYD328"/>
      <c r="TYG328"/>
      <c r="TYH328"/>
      <c r="TYK328"/>
      <c r="TYL328"/>
      <c r="TYO328"/>
      <c r="TYP328"/>
      <c r="TYS328"/>
      <c r="TYT328"/>
      <c r="TYW328"/>
      <c r="TYX328"/>
      <c r="TZA328"/>
      <c r="TZB328"/>
      <c r="TZE328"/>
      <c r="TZF328"/>
      <c r="TZI328"/>
      <c r="TZJ328"/>
      <c r="TZM328"/>
      <c r="TZN328"/>
      <c r="TZQ328"/>
      <c r="TZR328"/>
      <c r="TZU328"/>
      <c r="TZV328"/>
      <c r="TZY328"/>
      <c r="TZZ328"/>
      <c r="UAC328"/>
      <c r="UAD328"/>
      <c r="UAG328"/>
      <c r="UAH328"/>
      <c r="UAK328"/>
      <c r="UAL328"/>
      <c r="UAO328"/>
      <c r="UAP328"/>
      <c r="UAS328"/>
      <c r="UAT328"/>
      <c r="UAW328"/>
      <c r="UAX328"/>
      <c r="UBA328"/>
      <c r="UBB328"/>
      <c r="UBE328"/>
      <c r="UBF328"/>
      <c r="UBI328"/>
      <c r="UBJ328"/>
      <c r="UBM328"/>
      <c r="UBN328"/>
      <c r="UBQ328"/>
      <c r="UBR328"/>
      <c r="UBU328"/>
      <c r="UBV328"/>
      <c r="UBY328"/>
      <c r="UBZ328"/>
      <c r="UCC328"/>
      <c r="UCD328"/>
      <c r="UCG328"/>
      <c r="UCH328"/>
      <c r="UCK328"/>
      <c r="UCL328"/>
      <c r="UCO328"/>
      <c r="UCP328"/>
      <c r="UCS328"/>
      <c r="UCT328"/>
      <c r="UCW328"/>
      <c r="UCX328"/>
      <c r="UDA328"/>
      <c r="UDB328"/>
      <c r="UDE328"/>
      <c r="UDF328"/>
      <c r="UDI328"/>
      <c r="UDJ328"/>
      <c r="UDM328"/>
      <c r="UDN328"/>
      <c r="UDQ328"/>
      <c r="UDR328"/>
      <c r="UDU328"/>
      <c r="UDV328"/>
      <c r="UDY328"/>
      <c r="UDZ328"/>
      <c r="UEC328"/>
      <c r="UED328"/>
      <c r="UEG328"/>
      <c r="UEH328"/>
      <c r="UEK328"/>
      <c r="UEL328"/>
      <c r="UEO328"/>
      <c r="UEP328"/>
      <c r="UES328"/>
      <c r="UET328"/>
      <c r="UEW328"/>
      <c r="UEX328"/>
      <c r="UFA328"/>
      <c r="UFB328"/>
      <c r="UFE328"/>
      <c r="UFF328"/>
      <c r="UFI328"/>
      <c r="UFJ328"/>
      <c r="UFM328"/>
      <c r="UFN328"/>
      <c r="UFQ328"/>
      <c r="UFR328"/>
      <c r="UFU328"/>
      <c r="UFV328"/>
      <c r="UFY328"/>
      <c r="UFZ328"/>
      <c r="UGC328"/>
      <c r="UGD328"/>
      <c r="UGG328"/>
      <c r="UGH328"/>
      <c r="UGK328"/>
      <c r="UGL328"/>
      <c r="UGO328"/>
      <c r="UGP328"/>
      <c r="UGS328"/>
      <c r="UGT328"/>
      <c r="UGW328"/>
      <c r="UGX328"/>
      <c r="UHA328"/>
      <c r="UHB328"/>
      <c r="UHE328"/>
      <c r="UHF328"/>
      <c r="UHI328"/>
      <c r="UHJ328"/>
      <c r="UHM328"/>
      <c r="UHN328"/>
      <c r="UHQ328"/>
      <c r="UHR328"/>
      <c r="UHU328"/>
      <c r="UHV328"/>
      <c r="UHY328"/>
      <c r="UHZ328"/>
      <c r="UIC328"/>
      <c r="UID328"/>
      <c r="UIG328"/>
      <c r="UIH328"/>
      <c r="UIK328"/>
      <c r="UIL328"/>
      <c r="UIO328"/>
      <c r="UIP328"/>
      <c r="UIS328"/>
      <c r="UIT328"/>
      <c r="UIW328"/>
      <c r="UIX328"/>
      <c r="UJA328"/>
      <c r="UJB328"/>
      <c r="UJE328"/>
      <c r="UJF328"/>
      <c r="UJI328"/>
      <c r="UJJ328"/>
      <c r="UJM328"/>
      <c r="UJN328"/>
      <c r="UJQ328"/>
      <c r="UJR328"/>
      <c r="UJU328"/>
      <c r="UJV328"/>
      <c r="UJY328"/>
      <c r="UJZ328"/>
      <c r="UKC328"/>
      <c r="UKD328"/>
      <c r="UKG328"/>
      <c r="UKH328"/>
      <c r="UKK328"/>
      <c r="UKL328"/>
      <c r="UKO328"/>
      <c r="UKP328"/>
      <c r="UKS328"/>
      <c r="UKT328"/>
      <c r="UKW328"/>
      <c r="UKX328"/>
      <c r="ULA328"/>
      <c r="ULB328"/>
      <c r="ULE328"/>
      <c r="ULF328"/>
      <c r="ULI328"/>
      <c r="ULJ328"/>
      <c r="ULM328"/>
      <c r="ULN328"/>
      <c r="ULQ328"/>
      <c r="ULR328"/>
      <c r="ULU328"/>
      <c r="ULV328"/>
      <c r="ULY328"/>
      <c r="ULZ328"/>
      <c r="UMC328"/>
      <c r="UMD328"/>
      <c r="UMG328"/>
      <c r="UMH328"/>
      <c r="UMK328"/>
      <c r="UML328"/>
      <c r="UMO328"/>
      <c r="UMP328"/>
      <c r="UMS328"/>
      <c r="UMT328"/>
      <c r="UMW328"/>
      <c r="UMX328"/>
      <c r="UNA328"/>
      <c r="UNB328"/>
      <c r="UNE328"/>
      <c r="UNF328"/>
      <c r="UNI328"/>
      <c r="UNJ328"/>
      <c r="UNM328"/>
      <c r="UNN328"/>
      <c r="UNQ328"/>
      <c r="UNR328"/>
      <c r="UNU328"/>
      <c r="UNV328"/>
      <c r="UNY328"/>
      <c r="UNZ328"/>
      <c r="UOC328"/>
      <c r="UOD328"/>
      <c r="UOG328"/>
      <c r="UOH328"/>
      <c r="UOK328"/>
      <c r="UOL328"/>
      <c r="UOO328"/>
      <c r="UOP328"/>
      <c r="UOS328"/>
      <c r="UOT328"/>
      <c r="UOW328"/>
      <c r="UOX328"/>
      <c r="UPA328"/>
      <c r="UPB328"/>
      <c r="UPE328"/>
      <c r="UPF328"/>
      <c r="UPI328"/>
      <c r="UPJ328"/>
      <c r="UPM328"/>
      <c r="UPN328"/>
      <c r="UPQ328"/>
      <c r="UPR328"/>
      <c r="UPU328"/>
      <c r="UPV328"/>
      <c r="UPY328"/>
      <c r="UPZ328"/>
      <c r="UQC328"/>
      <c r="UQD328"/>
      <c r="UQG328"/>
      <c r="UQH328"/>
      <c r="UQK328"/>
      <c r="UQL328"/>
      <c r="UQO328"/>
      <c r="UQP328"/>
      <c r="UQS328"/>
      <c r="UQT328"/>
      <c r="UQW328"/>
      <c r="UQX328"/>
      <c r="URA328"/>
      <c r="URB328"/>
      <c r="URE328"/>
      <c r="URF328"/>
      <c r="URI328"/>
      <c r="URJ328"/>
      <c r="URM328"/>
      <c r="URN328"/>
      <c r="URQ328"/>
      <c r="URR328"/>
      <c r="URU328"/>
      <c r="URV328"/>
      <c r="URY328"/>
      <c r="URZ328"/>
      <c r="USC328"/>
      <c r="USD328"/>
      <c r="USG328"/>
      <c r="USH328"/>
      <c r="USK328"/>
      <c r="USL328"/>
      <c r="USO328"/>
      <c r="USP328"/>
      <c r="USS328"/>
      <c r="UST328"/>
      <c r="USW328"/>
      <c r="USX328"/>
      <c r="UTA328"/>
      <c r="UTB328"/>
      <c r="UTE328"/>
      <c r="UTF328"/>
      <c r="UTI328"/>
      <c r="UTJ328"/>
      <c r="UTM328"/>
      <c r="UTN328"/>
      <c r="UTQ328"/>
      <c r="UTR328"/>
      <c r="UTU328"/>
      <c r="UTV328"/>
      <c r="UTY328"/>
      <c r="UTZ328"/>
      <c r="UUC328"/>
      <c r="UUD328"/>
      <c r="UUG328"/>
      <c r="UUH328"/>
      <c r="UUK328"/>
      <c r="UUL328"/>
      <c r="UUO328"/>
      <c r="UUP328"/>
      <c r="UUS328"/>
      <c r="UUT328"/>
      <c r="UUW328"/>
      <c r="UUX328"/>
      <c r="UVA328"/>
      <c r="UVB328"/>
      <c r="UVE328"/>
      <c r="UVF328"/>
      <c r="UVI328"/>
      <c r="UVJ328"/>
      <c r="UVM328"/>
      <c r="UVN328"/>
      <c r="UVQ328"/>
      <c r="UVR328"/>
      <c r="UVU328"/>
      <c r="UVV328"/>
      <c r="UVY328"/>
      <c r="UVZ328"/>
      <c r="UWC328"/>
      <c r="UWD328"/>
      <c r="UWG328"/>
      <c r="UWH328"/>
      <c r="UWK328"/>
      <c r="UWL328"/>
      <c r="UWO328"/>
      <c r="UWP328"/>
      <c r="UWS328"/>
      <c r="UWT328"/>
      <c r="UWW328"/>
      <c r="UWX328"/>
      <c r="UXA328"/>
      <c r="UXB328"/>
      <c r="UXE328"/>
      <c r="UXF328"/>
      <c r="UXI328"/>
      <c r="UXJ328"/>
      <c r="UXM328"/>
      <c r="UXN328"/>
      <c r="UXQ328"/>
      <c r="UXR328"/>
      <c r="UXU328"/>
      <c r="UXV328"/>
      <c r="UXY328"/>
      <c r="UXZ328"/>
      <c r="UYC328"/>
      <c r="UYD328"/>
      <c r="UYG328"/>
      <c r="UYH328"/>
      <c r="UYK328"/>
      <c r="UYL328"/>
      <c r="UYO328"/>
      <c r="UYP328"/>
      <c r="UYS328"/>
      <c r="UYT328"/>
      <c r="UYW328"/>
      <c r="UYX328"/>
      <c r="UZA328"/>
      <c r="UZB328"/>
      <c r="UZE328"/>
      <c r="UZF328"/>
      <c r="UZI328"/>
      <c r="UZJ328"/>
      <c r="UZM328"/>
      <c r="UZN328"/>
      <c r="UZQ328"/>
      <c r="UZR328"/>
      <c r="UZU328"/>
      <c r="UZV328"/>
      <c r="UZY328"/>
      <c r="UZZ328"/>
      <c r="VAC328"/>
      <c r="VAD328"/>
      <c r="VAG328"/>
      <c r="VAH328"/>
      <c r="VAK328"/>
      <c r="VAL328"/>
      <c r="VAO328"/>
      <c r="VAP328"/>
      <c r="VAS328"/>
      <c r="VAT328"/>
      <c r="VAW328"/>
      <c r="VAX328"/>
      <c r="VBA328"/>
      <c r="VBB328"/>
      <c r="VBE328"/>
      <c r="VBF328"/>
      <c r="VBI328"/>
      <c r="VBJ328"/>
      <c r="VBM328"/>
      <c r="VBN328"/>
      <c r="VBQ328"/>
      <c r="VBR328"/>
      <c r="VBU328"/>
      <c r="VBV328"/>
      <c r="VBY328"/>
      <c r="VBZ328"/>
      <c r="VCC328"/>
      <c r="VCD328"/>
      <c r="VCG328"/>
      <c r="VCH328"/>
      <c r="VCK328"/>
      <c r="VCL328"/>
      <c r="VCO328"/>
      <c r="VCP328"/>
      <c r="VCS328"/>
      <c r="VCT328"/>
      <c r="VCW328"/>
      <c r="VCX328"/>
      <c r="VDA328"/>
      <c r="VDB328"/>
      <c r="VDE328"/>
      <c r="VDF328"/>
      <c r="VDI328"/>
      <c r="VDJ328"/>
      <c r="VDM328"/>
      <c r="VDN328"/>
      <c r="VDQ328"/>
      <c r="VDR328"/>
      <c r="VDU328"/>
      <c r="VDV328"/>
      <c r="VDY328"/>
      <c r="VDZ328"/>
      <c r="VEC328"/>
      <c r="VED328"/>
      <c r="VEG328"/>
      <c r="VEH328"/>
      <c r="VEK328"/>
      <c r="VEL328"/>
      <c r="VEO328"/>
      <c r="VEP328"/>
      <c r="VES328"/>
      <c r="VET328"/>
      <c r="VEW328"/>
      <c r="VEX328"/>
      <c r="VFA328"/>
      <c r="VFB328"/>
      <c r="VFE328"/>
      <c r="VFF328"/>
      <c r="VFI328"/>
      <c r="VFJ328"/>
      <c r="VFM328"/>
      <c r="VFN328"/>
      <c r="VFQ328"/>
      <c r="VFR328"/>
      <c r="VFU328"/>
      <c r="VFV328"/>
      <c r="VFY328"/>
      <c r="VFZ328"/>
      <c r="VGC328"/>
      <c r="VGD328"/>
      <c r="VGG328"/>
      <c r="VGH328"/>
      <c r="VGK328"/>
      <c r="VGL328"/>
      <c r="VGO328"/>
      <c r="VGP328"/>
      <c r="VGS328"/>
      <c r="VGT328"/>
      <c r="VGW328"/>
      <c r="VGX328"/>
      <c r="VHA328"/>
      <c r="VHB328"/>
      <c r="VHE328"/>
      <c r="VHF328"/>
      <c r="VHI328"/>
      <c r="VHJ328"/>
      <c r="VHM328"/>
      <c r="VHN328"/>
      <c r="VHQ328"/>
      <c r="VHR328"/>
      <c r="VHU328"/>
      <c r="VHV328"/>
      <c r="VHY328"/>
      <c r="VHZ328"/>
      <c r="VIC328"/>
      <c r="VID328"/>
      <c r="VIG328"/>
      <c r="VIH328"/>
      <c r="VIK328"/>
      <c r="VIL328"/>
      <c r="VIO328"/>
      <c r="VIP328"/>
      <c r="VIS328"/>
      <c r="VIT328"/>
      <c r="VIW328"/>
      <c r="VIX328"/>
      <c r="VJA328"/>
      <c r="VJB328"/>
      <c r="VJE328"/>
      <c r="VJF328"/>
      <c r="VJI328"/>
      <c r="VJJ328"/>
      <c r="VJM328"/>
      <c r="VJN328"/>
      <c r="VJQ328"/>
      <c r="VJR328"/>
      <c r="VJU328"/>
      <c r="VJV328"/>
      <c r="VJY328"/>
      <c r="VJZ328"/>
      <c r="VKC328"/>
      <c r="VKD328"/>
      <c r="VKG328"/>
      <c r="VKH328"/>
      <c r="VKK328"/>
      <c r="VKL328"/>
      <c r="VKO328"/>
      <c r="VKP328"/>
      <c r="VKS328"/>
      <c r="VKT328"/>
      <c r="VKW328"/>
      <c r="VKX328"/>
      <c r="VLA328"/>
      <c r="VLB328"/>
      <c r="VLE328"/>
      <c r="VLF328"/>
      <c r="VLI328"/>
      <c r="VLJ328"/>
      <c r="VLM328"/>
      <c r="VLN328"/>
      <c r="VLQ328"/>
      <c r="VLR328"/>
      <c r="VLU328"/>
      <c r="VLV328"/>
      <c r="VLY328"/>
      <c r="VLZ328"/>
      <c r="VMC328"/>
      <c r="VMD328"/>
      <c r="VMG328"/>
      <c r="VMH328"/>
      <c r="VMK328"/>
      <c r="VML328"/>
      <c r="VMO328"/>
      <c r="VMP328"/>
      <c r="VMS328"/>
      <c r="VMT328"/>
      <c r="VMW328"/>
      <c r="VMX328"/>
      <c r="VNA328"/>
      <c r="VNB328"/>
      <c r="VNE328"/>
      <c r="VNF328"/>
      <c r="VNI328"/>
      <c r="VNJ328"/>
      <c r="VNM328"/>
      <c r="VNN328"/>
      <c r="VNQ328"/>
      <c r="VNR328"/>
      <c r="VNU328"/>
      <c r="VNV328"/>
      <c r="VNY328"/>
      <c r="VNZ328"/>
      <c r="VOC328"/>
      <c r="VOD328"/>
      <c r="VOG328"/>
      <c r="VOH328"/>
      <c r="VOK328"/>
      <c r="VOL328"/>
      <c r="VOO328"/>
      <c r="VOP328"/>
      <c r="VOS328"/>
      <c r="VOT328"/>
      <c r="VOW328"/>
      <c r="VOX328"/>
      <c r="VPA328"/>
      <c r="VPB328"/>
      <c r="VPE328"/>
      <c r="VPF328"/>
      <c r="VPI328"/>
      <c r="VPJ328"/>
      <c r="VPM328"/>
      <c r="VPN328"/>
      <c r="VPQ328"/>
      <c r="VPR328"/>
      <c r="VPU328"/>
      <c r="VPV328"/>
      <c r="VPY328"/>
      <c r="VPZ328"/>
      <c r="VQC328"/>
      <c r="VQD328"/>
      <c r="VQG328"/>
      <c r="VQH328"/>
      <c r="VQK328"/>
      <c r="VQL328"/>
      <c r="VQO328"/>
      <c r="VQP328"/>
      <c r="VQS328"/>
      <c r="VQT328"/>
      <c r="VQW328"/>
      <c r="VQX328"/>
      <c r="VRA328"/>
      <c r="VRB328"/>
      <c r="VRE328"/>
      <c r="VRF328"/>
      <c r="VRI328"/>
      <c r="VRJ328"/>
      <c r="VRM328"/>
      <c r="VRN328"/>
      <c r="VRQ328"/>
      <c r="VRR328"/>
      <c r="VRU328"/>
      <c r="VRV328"/>
      <c r="VRY328"/>
      <c r="VRZ328"/>
      <c r="VSC328"/>
      <c r="VSD328"/>
      <c r="VSG328"/>
      <c r="VSH328"/>
      <c r="VSK328"/>
      <c r="VSL328"/>
      <c r="VSO328"/>
      <c r="VSP328"/>
      <c r="VSS328"/>
      <c r="VST328"/>
      <c r="VSW328"/>
      <c r="VSX328"/>
      <c r="VTA328"/>
      <c r="VTB328"/>
      <c r="VTE328"/>
      <c r="VTF328"/>
      <c r="VTI328"/>
      <c r="VTJ328"/>
      <c r="VTM328"/>
      <c r="VTN328"/>
      <c r="VTQ328"/>
      <c r="VTR328"/>
      <c r="VTU328"/>
      <c r="VTV328"/>
      <c r="VTY328"/>
      <c r="VTZ328"/>
      <c r="VUC328"/>
      <c r="VUD328"/>
      <c r="VUG328"/>
      <c r="VUH328"/>
      <c r="VUK328"/>
      <c r="VUL328"/>
      <c r="VUO328"/>
      <c r="VUP328"/>
      <c r="VUS328"/>
      <c r="VUT328"/>
      <c r="VUW328"/>
      <c r="VUX328"/>
      <c r="VVA328"/>
      <c r="VVB328"/>
      <c r="VVE328"/>
      <c r="VVF328"/>
      <c r="VVI328"/>
      <c r="VVJ328"/>
      <c r="VVM328"/>
      <c r="VVN328"/>
      <c r="VVQ328"/>
      <c r="VVR328"/>
      <c r="VVU328"/>
      <c r="VVV328"/>
      <c r="VVY328"/>
      <c r="VVZ328"/>
      <c r="VWC328"/>
      <c r="VWD328"/>
      <c r="VWG328"/>
      <c r="VWH328"/>
      <c r="VWK328"/>
      <c r="VWL328"/>
      <c r="VWO328"/>
      <c r="VWP328"/>
      <c r="VWS328"/>
      <c r="VWT328"/>
      <c r="VWW328"/>
      <c r="VWX328"/>
      <c r="VXA328"/>
      <c r="VXB328"/>
      <c r="VXE328"/>
      <c r="VXF328"/>
      <c r="VXI328"/>
      <c r="VXJ328"/>
      <c r="VXM328"/>
      <c r="VXN328"/>
      <c r="VXQ328"/>
      <c r="VXR328"/>
      <c r="VXU328"/>
      <c r="VXV328"/>
      <c r="VXY328"/>
      <c r="VXZ328"/>
      <c r="VYC328"/>
      <c r="VYD328"/>
      <c r="VYG328"/>
      <c r="VYH328"/>
      <c r="VYK328"/>
      <c r="VYL328"/>
      <c r="VYO328"/>
      <c r="VYP328"/>
      <c r="VYS328"/>
      <c r="VYT328"/>
      <c r="VYW328"/>
      <c r="VYX328"/>
      <c r="VZA328"/>
      <c r="VZB328"/>
      <c r="VZE328"/>
      <c r="VZF328"/>
      <c r="VZI328"/>
      <c r="VZJ328"/>
      <c r="VZM328"/>
      <c r="VZN328"/>
      <c r="VZQ328"/>
      <c r="VZR328"/>
      <c r="VZU328"/>
      <c r="VZV328"/>
      <c r="VZY328"/>
      <c r="VZZ328"/>
      <c r="WAC328"/>
      <c r="WAD328"/>
      <c r="WAG328"/>
      <c r="WAH328"/>
      <c r="WAK328"/>
      <c r="WAL328"/>
      <c r="WAO328"/>
      <c r="WAP328"/>
      <c r="WAS328"/>
      <c r="WAT328"/>
      <c r="WAW328"/>
      <c r="WAX328"/>
      <c r="WBA328"/>
      <c r="WBB328"/>
      <c r="WBE328"/>
      <c r="WBF328"/>
      <c r="WBI328"/>
      <c r="WBJ328"/>
      <c r="WBM328"/>
      <c r="WBN328"/>
      <c r="WBQ328"/>
      <c r="WBR328"/>
      <c r="WBU328"/>
      <c r="WBV328"/>
      <c r="WBY328"/>
      <c r="WBZ328"/>
      <c r="WCC328"/>
      <c r="WCD328"/>
      <c r="WCG328"/>
      <c r="WCH328"/>
      <c r="WCK328"/>
      <c r="WCL328"/>
      <c r="WCO328"/>
      <c r="WCP328"/>
      <c r="WCS328"/>
      <c r="WCT328"/>
      <c r="WCW328"/>
      <c r="WCX328"/>
      <c r="WDA328"/>
      <c r="WDB328"/>
      <c r="WDE328"/>
      <c r="WDF328"/>
      <c r="WDI328"/>
      <c r="WDJ328"/>
      <c r="WDM328"/>
      <c r="WDN328"/>
      <c r="WDQ328"/>
      <c r="WDR328"/>
      <c r="WDU328"/>
      <c r="WDV328"/>
      <c r="WDY328"/>
      <c r="WDZ328"/>
      <c r="WEC328"/>
      <c r="WED328"/>
      <c r="WEG328"/>
      <c r="WEH328"/>
      <c r="WEK328"/>
      <c r="WEL328"/>
      <c r="WEO328"/>
      <c r="WEP328"/>
      <c r="WES328"/>
      <c r="WET328"/>
      <c r="WEW328"/>
      <c r="WEX328"/>
      <c r="WFA328"/>
      <c r="WFB328"/>
      <c r="WFE328"/>
      <c r="WFF328"/>
      <c r="WFI328"/>
      <c r="WFJ328"/>
      <c r="WFM328"/>
      <c r="WFN328"/>
      <c r="WFQ328"/>
      <c r="WFR328"/>
      <c r="WFU328"/>
      <c r="WFV328"/>
      <c r="WFY328"/>
      <c r="WFZ328"/>
      <c r="WGC328"/>
      <c r="WGD328"/>
      <c r="WGG328"/>
      <c r="WGH328"/>
      <c r="WGK328"/>
      <c r="WGL328"/>
      <c r="WGO328"/>
      <c r="WGP328"/>
      <c r="WGS328"/>
      <c r="WGT328"/>
      <c r="WGW328"/>
      <c r="WGX328"/>
      <c r="WHA328"/>
      <c r="WHB328"/>
      <c r="WHE328"/>
      <c r="WHF328"/>
      <c r="WHI328"/>
      <c r="WHJ328"/>
      <c r="WHM328"/>
      <c r="WHN328"/>
      <c r="WHQ328"/>
      <c r="WHR328"/>
      <c r="WHU328"/>
      <c r="WHV328"/>
      <c r="WHY328"/>
      <c r="WHZ328"/>
      <c r="WIC328"/>
      <c r="WID328"/>
      <c r="WIG328"/>
      <c r="WIH328"/>
      <c r="WIK328"/>
      <c r="WIL328"/>
      <c r="WIO328"/>
      <c r="WIP328"/>
      <c r="WIS328"/>
      <c r="WIT328"/>
      <c r="WIW328"/>
      <c r="WIX328"/>
      <c r="WJA328"/>
      <c r="WJB328"/>
      <c r="WJE328"/>
      <c r="WJF328"/>
      <c r="WJI328"/>
      <c r="WJJ328"/>
      <c r="WJM328"/>
      <c r="WJN328"/>
      <c r="WJQ328"/>
      <c r="WJR328"/>
      <c r="WJU328"/>
      <c r="WJV328"/>
      <c r="WJY328"/>
      <c r="WJZ328"/>
      <c r="WKC328"/>
      <c r="WKD328"/>
      <c r="WKG328"/>
      <c r="WKH328"/>
      <c r="WKK328"/>
      <c r="WKL328"/>
      <c r="WKO328"/>
      <c r="WKP328"/>
      <c r="WKS328"/>
      <c r="WKT328"/>
      <c r="WKW328"/>
      <c r="WKX328"/>
      <c r="WLA328"/>
      <c r="WLB328"/>
      <c r="WLE328"/>
      <c r="WLF328"/>
      <c r="WLI328"/>
      <c r="WLJ328"/>
      <c r="WLM328"/>
      <c r="WLN328"/>
      <c r="WLQ328"/>
      <c r="WLR328"/>
      <c r="WLU328"/>
      <c r="WLV328"/>
      <c r="WLY328"/>
      <c r="WLZ328"/>
      <c r="WMC328"/>
      <c r="WMD328"/>
      <c r="WMG328"/>
      <c r="WMH328"/>
      <c r="WMK328"/>
      <c r="WML328"/>
      <c r="WMO328"/>
      <c r="WMP328"/>
      <c r="WMS328"/>
      <c r="WMT328"/>
      <c r="WMW328"/>
      <c r="WMX328"/>
      <c r="WNA328"/>
      <c r="WNB328"/>
      <c r="WNE328"/>
      <c r="WNF328"/>
      <c r="WNI328"/>
      <c r="WNJ328"/>
      <c r="WNM328"/>
      <c r="WNN328"/>
      <c r="WNQ328"/>
      <c r="WNR328"/>
      <c r="WNU328"/>
      <c r="WNV328"/>
      <c r="WNY328"/>
      <c r="WNZ328"/>
      <c r="WOC328"/>
      <c r="WOD328"/>
      <c r="WOG328"/>
      <c r="WOH328"/>
      <c r="WOK328"/>
      <c r="WOL328"/>
      <c r="WOO328"/>
      <c r="WOP328"/>
      <c r="WOS328"/>
      <c r="WOT328"/>
      <c r="WOW328"/>
      <c r="WOX328"/>
      <c r="WPA328"/>
      <c r="WPB328"/>
      <c r="WPE328"/>
      <c r="WPF328"/>
      <c r="WPI328"/>
      <c r="WPJ328"/>
      <c r="WPM328"/>
      <c r="WPN328"/>
      <c r="WPQ328"/>
      <c r="WPR328"/>
      <c r="WPU328"/>
      <c r="WPV328"/>
      <c r="WPY328"/>
      <c r="WPZ328"/>
      <c r="WQC328"/>
      <c r="WQD328"/>
      <c r="WQG328"/>
      <c r="WQH328"/>
      <c r="WQK328"/>
      <c r="WQL328"/>
      <c r="WQO328"/>
      <c r="WQP328"/>
      <c r="WQS328"/>
      <c r="WQT328"/>
      <c r="WQW328"/>
      <c r="WQX328"/>
      <c r="WRA328"/>
      <c r="WRB328"/>
      <c r="WRE328"/>
      <c r="WRF328"/>
      <c r="WRI328"/>
      <c r="WRJ328"/>
      <c r="WRM328"/>
      <c r="WRN328"/>
      <c r="WRQ328"/>
      <c r="WRR328"/>
      <c r="WRU328"/>
      <c r="WRV328"/>
      <c r="WRY328"/>
      <c r="WRZ328"/>
      <c r="WSC328"/>
      <c r="WSD328"/>
      <c r="WSG328"/>
      <c r="WSH328"/>
      <c r="WSK328"/>
      <c r="WSL328"/>
      <c r="WSO328"/>
      <c r="WSP328"/>
      <c r="WSS328"/>
      <c r="WST328"/>
      <c r="WSW328"/>
      <c r="WSX328"/>
      <c r="WTA328"/>
      <c r="WTB328"/>
      <c r="WTE328"/>
      <c r="WTF328"/>
      <c r="WTI328"/>
      <c r="WTJ328"/>
      <c r="WTM328"/>
      <c r="WTN328"/>
      <c r="WTQ328"/>
      <c r="WTR328"/>
      <c r="WTU328"/>
      <c r="WTV328"/>
      <c r="WTY328"/>
      <c r="WTZ328"/>
      <c r="WUC328"/>
      <c r="WUD328"/>
      <c r="WUG328"/>
      <c r="WUH328"/>
      <c r="WUK328"/>
      <c r="WUL328"/>
      <c r="WUO328"/>
      <c r="WUP328"/>
      <c r="WUS328"/>
      <c r="WUT328"/>
      <c r="WUW328"/>
      <c r="WUX328"/>
      <c r="WVA328"/>
      <c r="WVB328"/>
      <c r="WVE328"/>
      <c r="WVF328"/>
      <c r="WVI328"/>
      <c r="WVJ328"/>
      <c r="WVM328"/>
      <c r="WVN328"/>
      <c r="WVQ328"/>
      <c r="WVR328"/>
      <c r="WVU328"/>
      <c r="WVV328"/>
      <c r="WVY328"/>
      <c r="WVZ328"/>
      <c r="WWC328"/>
      <c r="WWD328"/>
      <c r="WWG328"/>
      <c r="WWH328"/>
      <c r="WWK328"/>
      <c r="WWL328"/>
      <c r="WWO328"/>
      <c r="WWP328"/>
      <c r="WWS328"/>
      <c r="WWT328"/>
      <c r="WWW328"/>
      <c r="WWX328"/>
      <c r="WXA328"/>
      <c r="WXB328"/>
      <c r="WXE328"/>
      <c r="WXF328"/>
      <c r="WXI328"/>
      <c r="WXJ328"/>
      <c r="WXM328"/>
      <c r="WXN328"/>
      <c r="WXQ328"/>
      <c r="WXR328"/>
      <c r="WXU328"/>
      <c r="WXV328"/>
      <c r="WXY328"/>
      <c r="WXZ328"/>
      <c r="WYC328"/>
      <c r="WYD328"/>
      <c r="WYG328"/>
      <c r="WYH328"/>
      <c r="WYK328"/>
      <c r="WYL328"/>
      <c r="WYO328"/>
      <c r="WYP328"/>
      <c r="WYS328"/>
      <c r="WYT328"/>
      <c r="WYW328"/>
      <c r="WYX328"/>
      <c r="WZA328"/>
      <c r="WZB328"/>
      <c r="WZE328"/>
      <c r="WZF328"/>
      <c r="WZI328"/>
      <c r="WZJ328"/>
      <c r="WZM328"/>
      <c r="WZN328"/>
      <c r="WZQ328"/>
      <c r="WZR328"/>
      <c r="WZU328"/>
      <c r="WZV328"/>
      <c r="WZY328"/>
      <c r="WZZ328"/>
      <c r="XAC328"/>
      <c r="XAD328"/>
      <c r="XAG328"/>
      <c r="XAH328"/>
      <c r="XAK328"/>
      <c r="XAL328"/>
      <c r="XAO328"/>
      <c r="XAP328"/>
      <c r="XAS328"/>
      <c r="XAT328"/>
      <c r="XAW328"/>
      <c r="XAX328"/>
      <c r="XBA328"/>
      <c r="XBB328"/>
      <c r="XBE328"/>
      <c r="XBF328"/>
      <c r="XBI328"/>
      <c r="XBJ328"/>
      <c r="XBM328"/>
      <c r="XBN328"/>
      <c r="XBQ328"/>
      <c r="XBR328"/>
      <c r="XBU328"/>
      <c r="XBV328"/>
      <c r="XBY328"/>
      <c r="XBZ328"/>
      <c r="XCC328"/>
      <c r="XCD328"/>
      <c r="XCG328"/>
      <c r="XCH328"/>
      <c r="XCK328"/>
      <c r="XCL328"/>
      <c r="XCO328"/>
      <c r="XCP328"/>
      <c r="XCS328"/>
      <c r="XCT328"/>
      <c r="XCW328"/>
      <c r="XCX328"/>
      <c r="XDA328"/>
      <c r="XDB328"/>
      <c r="XDE328"/>
      <c r="XDF328"/>
      <c r="XDI328"/>
      <c r="XDJ328"/>
      <c r="XDM328"/>
      <c r="XDN328"/>
      <c r="XDQ328"/>
      <c r="XDR328"/>
      <c r="XDU328"/>
      <c r="XDV328"/>
      <c r="XDY328"/>
      <c r="XDZ328"/>
      <c r="XEC328"/>
      <c r="XED328"/>
      <c r="XEG328"/>
      <c r="XEH328"/>
      <c r="XEK328"/>
      <c r="XEL328"/>
      <c r="XEO328"/>
      <c r="XEP328"/>
      <c r="XES328"/>
      <c r="XET328"/>
      <c r="XEW328"/>
      <c r="XEX328"/>
      <c r="XFA328"/>
      <c r="XFB328"/>
    </row>
    <row r="329" spans="1:1022 1025:2046 2049:3070 3073:4094 4097:5118 5121:6142 6145:7166 7169:8190 8193:9214 9217:10238 10241:11262 11265:12286 12289:13310 13313:14334 14337:15358 15361:16382" s="13" customFormat="1" outlineLevel="1" x14ac:dyDescent="0.3">
      <c r="A329" s="25" t="s">
        <v>1209</v>
      </c>
      <c r="B329" s="25" t="s">
        <v>168</v>
      </c>
      <c r="C329" s="26" t="s">
        <v>9</v>
      </c>
      <c r="D329" s="26" t="s">
        <v>1210</v>
      </c>
      <c r="E329" s="25" t="s">
        <v>5984</v>
      </c>
      <c r="F329" s="25"/>
      <c r="G329" s="25"/>
      <c r="H329" s="25"/>
      <c r="I329" s="25"/>
      <c r="J329" s="25" t="s">
        <v>6870</v>
      </c>
      <c r="K329" s="25" t="s">
        <v>6839</v>
      </c>
      <c r="M329"/>
      <c r="N329"/>
      <c r="Q329"/>
      <c r="R329"/>
      <c r="U329"/>
      <c r="V329"/>
      <c r="Y329"/>
      <c r="Z329"/>
      <c r="AC329"/>
      <c r="AD329"/>
      <c r="AG329"/>
      <c r="AH329"/>
      <c r="AK329"/>
      <c r="AL329"/>
      <c r="AO329"/>
      <c r="AP329"/>
      <c r="AS329"/>
      <c r="AT329"/>
      <c r="AW329"/>
      <c r="AX329"/>
      <c r="BA329"/>
      <c r="BB329"/>
      <c r="BE329"/>
      <c r="BF329"/>
      <c r="BI329"/>
      <c r="BJ329"/>
      <c r="BM329"/>
      <c r="BN329"/>
      <c r="BQ329"/>
      <c r="BR329"/>
      <c r="BU329"/>
      <c r="BV329"/>
      <c r="BY329"/>
      <c r="BZ329"/>
      <c r="CC329"/>
      <c r="CD329" s="25"/>
      <c r="CG329"/>
      <c r="CH329"/>
      <c r="CK329"/>
      <c r="CL329"/>
      <c r="CO329"/>
      <c r="CP329"/>
      <c r="CS329"/>
      <c r="CT329"/>
      <c r="CW329"/>
      <c r="CX329"/>
      <c r="DA329"/>
      <c r="DB329"/>
      <c r="DE329" s="25"/>
      <c r="DF329"/>
      <c r="DI329"/>
      <c r="DJ329"/>
      <c r="DM329"/>
      <c r="DN329"/>
      <c r="DQ329"/>
      <c r="DR329"/>
      <c r="DU329"/>
      <c r="DV329"/>
      <c r="DY329"/>
      <c r="DZ329"/>
      <c r="EC329"/>
      <c r="ED329"/>
      <c r="EG329"/>
      <c r="EH329"/>
      <c r="EK329"/>
      <c r="EL329"/>
      <c r="EO329"/>
      <c r="EP329"/>
      <c r="ES329"/>
      <c r="ET329"/>
      <c r="EW329"/>
      <c r="EX329"/>
      <c r="FA329"/>
      <c r="FB329"/>
      <c r="FE329"/>
      <c r="FF329"/>
      <c r="FI329"/>
      <c r="FJ329"/>
      <c r="FM329"/>
      <c r="FN329"/>
      <c r="FQ329"/>
      <c r="FR329"/>
      <c r="FU329"/>
      <c r="FV329"/>
      <c r="FY329"/>
      <c r="FZ329"/>
      <c r="GC329"/>
      <c r="GD329"/>
      <c r="GG329"/>
      <c r="GH329" s="25"/>
      <c r="GK329"/>
      <c r="GL329"/>
      <c r="GO329"/>
      <c r="GP329"/>
      <c r="GS329"/>
      <c r="GT329"/>
      <c r="GW329"/>
      <c r="GX329"/>
      <c r="HA329"/>
      <c r="HB329"/>
      <c r="HE329"/>
      <c r="HF329"/>
      <c r="HI329" s="25"/>
      <c r="HJ329"/>
      <c r="HM329"/>
      <c r="HN329"/>
      <c r="HQ329"/>
      <c r="HR329"/>
      <c r="HU329"/>
      <c r="HV329"/>
      <c r="HY329"/>
      <c r="HZ329"/>
      <c r="IC329"/>
      <c r="ID329"/>
      <c r="IG329"/>
      <c r="IH329"/>
      <c r="IK329"/>
      <c r="IL329"/>
      <c r="IO329"/>
      <c r="IP329"/>
      <c r="IS329"/>
      <c r="IT329"/>
      <c r="IW329"/>
      <c r="IX329"/>
      <c r="JA329"/>
      <c r="JB329"/>
      <c r="JE329"/>
      <c r="JF329"/>
      <c r="JI329"/>
      <c r="JJ329"/>
      <c r="JM329"/>
      <c r="JN329"/>
      <c r="JQ329"/>
      <c r="JR329"/>
      <c r="JU329"/>
      <c r="JV329"/>
      <c r="JY329"/>
      <c r="JZ329"/>
      <c r="KC329"/>
      <c r="KD329"/>
      <c r="KG329"/>
      <c r="KH329"/>
      <c r="KK329"/>
      <c r="KL329"/>
      <c r="KO329"/>
      <c r="KP329"/>
      <c r="KS329"/>
      <c r="KT329"/>
      <c r="KW329"/>
      <c r="KX329"/>
      <c r="LA329"/>
      <c r="LB329"/>
      <c r="LE329"/>
      <c r="LF329"/>
      <c r="LI329"/>
      <c r="LJ329"/>
      <c r="LM329"/>
      <c r="LN329"/>
      <c r="LQ329"/>
      <c r="LR329"/>
      <c r="LU329"/>
      <c r="LV329"/>
      <c r="LY329"/>
      <c r="LZ329"/>
      <c r="MC329"/>
      <c r="MD329"/>
      <c r="MG329"/>
      <c r="MH329"/>
      <c r="MK329"/>
      <c r="ML329"/>
      <c r="MO329"/>
      <c r="MP329"/>
      <c r="MS329"/>
      <c r="MT329"/>
      <c r="MW329"/>
      <c r="MX329"/>
      <c r="NA329"/>
      <c r="NB329"/>
      <c r="NE329"/>
      <c r="NF329"/>
      <c r="NI329"/>
      <c r="NJ329"/>
      <c r="NM329"/>
      <c r="NN329"/>
      <c r="NQ329"/>
      <c r="NR329"/>
      <c r="NU329"/>
      <c r="NV329"/>
      <c r="NY329"/>
      <c r="NZ329"/>
      <c r="OC329"/>
      <c r="OD329"/>
      <c r="OG329"/>
      <c r="OH329"/>
      <c r="OK329"/>
      <c r="OL329"/>
      <c r="OO329"/>
      <c r="OP329"/>
      <c r="OS329"/>
      <c r="OT329"/>
      <c r="OW329"/>
      <c r="OX329"/>
      <c r="PA329"/>
      <c r="PB329"/>
      <c r="PE329"/>
      <c r="PF329"/>
      <c r="PI329"/>
      <c r="PJ329"/>
      <c r="PM329"/>
      <c r="PN329"/>
      <c r="PQ329"/>
      <c r="PR329"/>
      <c r="PU329"/>
      <c r="PV329"/>
      <c r="PY329"/>
      <c r="PZ329"/>
      <c r="QC329"/>
      <c r="QD329"/>
      <c r="QG329"/>
      <c r="QH329"/>
      <c r="QK329"/>
      <c r="QL329"/>
      <c r="QO329"/>
      <c r="QP329"/>
      <c r="QS329"/>
      <c r="QT329"/>
      <c r="QW329"/>
      <c r="QX329"/>
      <c r="RA329"/>
      <c r="RB329"/>
      <c r="RE329"/>
      <c r="RF329"/>
      <c r="RI329"/>
      <c r="RJ329"/>
      <c r="RM329"/>
      <c r="RN329"/>
      <c r="RQ329"/>
      <c r="RR329"/>
      <c r="RU329"/>
      <c r="RV329"/>
      <c r="RY329"/>
      <c r="RZ329"/>
      <c r="SC329"/>
      <c r="SD329"/>
      <c r="SG329"/>
      <c r="SH329"/>
      <c r="SK329"/>
      <c r="SL329"/>
      <c r="SO329"/>
      <c r="SP329"/>
      <c r="SS329"/>
      <c r="ST329"/>
      <c r="SW329"/>
      <c r="SX329"/>
      <c r="TA329"/>
      <c r="TB329"/>
      <c r="TE329"/>
      <c r="TF329"/>
      <c r="TI329"/>
      <c r="TJ329"/>
      <c r="TM329"/>
      <c r="TN329"/>
      <c r="TQ329"/>
      <c r="TR329"/>
      <c r="TU329"/>
      <c r="TV329"/>
      <c r="TY329"/>
      <c r="TZ329"/>
      <c r="UC329"/>
      <c r="UD329"/>
      <c r="UG329"/>
      <c r="UH329"/>
      <c r="UK329"/>
      <c r="UL329"/>
      <c r="UO329"/>
      <c r="UP329"/>
      <c r="US329"/>
      <c r="UT329"/>
      <c r="UW329"/>
      <c r="UX329"/>
      <c r="VA329"/>
      <c r="VB329"/>
      <c r="VE329"/>
      <c r="VF329"/>
      <c r="VI329"/>
      <c r="VJ329"/>
      <c r="VM329"/>
      <c r="VN329"/>
      <c r="VQ329"/>
      <c r="VR329"/>
      <c r="VU329"/>
      <c r="VV329"/>
      <c r="VY329"/>
      <c r="VZ329"/>
      <c r="WC329"/>
      <c r="WD329"/>
      <c r="WG329"/>
      <c r="WH329"/>
      <c r="WK329"/>
      <c r="WL329"/>
      <c r="WO329"/>
      <c r="WP329"/>
      <c r="WS329"/>
      <c r="WT329"/>
      <c r="WW329"/>
      <c r="WX329"/>
      <c r="XA329"/>
      <c r="XB329"/>
      <c r="XE329"/>
      <c r="XF329"/>
      <c r="XI329"/>
      <c r="XJ329"/>
      <c r="XM329"/>
      <c r="XN329"/>
      <c r="XQ329"/>
      <c r="XR329"/>
      <c r="XU329"/>
      <c r="XV329"/>
      <c r="XY329"/>
      <c r="XZ329"/>
      <c r="YC329"/>
      <c r="YD329"/>
      <c r="YG329"/>
      <c r="YH329"/>
      <c r="YK329"/>
      <c r="YL329"/>
      <c r="YO329"/>
      <c r="YP329"/>
      <c r="YS329"/>
      <c r="YT329"/>
      <c r="YW329"/>
      <c r="YX329"/>
      <c r="ZA329"/>
      <c r="ZB329"/>
      <c r="ZE329"/>
      <c r="ZF329"/>
      <c r="ZI329"/>
      <c r="ZJ329"/>
      <c r="ZM329"/>
      <c r="ZN329"/>
      <c r="ZQ329"/>
      <c r="ZR329"/>
      <c r="ZU329"/>
      <c r="ZV329"/>
      <c r="ZY329"/>
      <c r="ZZ329"/>
      <c r="AAC329"/>
      <c r="AAD329"/>
      <c r="AAG329"/>
      <c r="AAH329"/>
      <c r="AAK329"/>
      <c r="AAL329"/>
      <c r="AAO329"/>
      <c r="AAP329"/>
      <c r="AAS329"/>
      <c r="AAT329"/>
      <c r="AAW329"/>
      <c r="AAX329"/>
      <c r="ABA329"/>
      <c r="ABB329"/>
      <c r="ABE329"/>
      <c r="ABF329"/>
      <c r="ABI329"/>
      <c r="ABJ329"/>
      <c r="ABM329"/>
      <c r="ABN329"/>
      <c r="ABQ329"/>
      <c r="ABR329"/>
      <c r="ABU329"/>
      <c r="ABV329"/>
      <c r="ABY329"/>
      <c r="ABZ329"/>
      <c r="ACC329"/>
      <c r="ACD329"/>
      <c r="ACG329"/>
      <c r="ACH329"/>
      <c r="ACK329"/>
      <c r="ACL329"/>
      <c r="ACO329"/>
      <c r="ACP329"/>
      <c r="ACS329"/>
      <c r="ACT329"/>
      <c r="ACW329"/>
      <c r="ACX329"/>
      <c r="ADA329"/>
      <c r="ADB329"/>
      <c r="ADE329"/>
      <c r="ADF329"/>
      <c r="ADI329"/>
      <c r="ADJ329"/>
      <c r="ADM329"/>
      <c r="ADN329"/>
      <c r="ADQ329"/>
      <c r="ADR329"/>
      <c r="ADU329"/>
      <c r="ADV329"/>
      <c r="ADY329"/>
      <c r="ADZ329"/>
      <c r="AEC329"/>
      <c r="AED329"/>
      <c r="AEG329"/>
      <c r="AEH329"/>
      <c r="AEK329"/>
      <c r="AEL329"/>
      <c r="AEO329"/>
      <c r="AEP329"/>
      <c r="AES329"/>
      <c r="AET329"/>
      <c r="AEW329"/>
      <c r="AEX329"/>
      <c r="AFA329"/>
      <c r="AFB329"/>
      <c r="AFE329"/>
      <c r="AFF329"/>
      <c r="AFI329"/>
      <c r="AFJ329"/>
      <c r="AFM329"/>
      <c r="AFN329"/>
      <c r="AFQ329"/>
      <c r="AFR329"/>
      <c r="AFU329"/>
      <c r="AFV329"/>
      <c r="AFY329"/>
      <c r="AFZ329"/>
      <c r="AGC329"/>
      <c r="AGD329"/>
      <c r="AGG329"/>
      <c r="AGH329"/>
      <c r="AGK329"/>
      <c r="AGL329"/>
      <c r="AGO329"/>
      <c r="AGP329"/>
      <c r="AGS329"/>
      <c r="AGT329"/>
      <c r="AGW329"/>
      <c r="AGX329"/>
      <c r="AHA329"/>
      <c r="AHB329"/>
      <c r="AHE329"/>
      <c r="AHF329"/>
      <c r="AHI329"/>
      <c r="AHJ329"/>
      <c r="AHM329"/>
      <c r="AHN329"/>
      <c r="AHQ329"/>
      <c r="AHR329"/>
      <c r="AHU329"/>
      <c r="AHV329"/>
      <c r="AHY329"/>
      <c r="AHZ329"/>
      <c r="AIC329"/>
      <c r="AID329"/>
      <c r="AIG329"/>
      <c r="AIH329"/>
      <c r="AIK329"/>
      <c r="AIL329"/>
      <c r="AIO329"/>
      <c r="AIP329"/>
      <c r="AIS329"/>
      <c r="AIT329"/>
      <c r="AIW329"/>
      <c r="AIX329"/>
      <c r="AJA329"/>
      <c r="AJB329"/>
      <c r="AJE329"/>
      <c r="AJF329"/>
      <c r="AJI329"/>
      <c r="AJJ329"/>
      <c r="AJM329"/>
      <c r="AJN329"/>
      <c r="AJQ329"/>
      <c r="AJR329"/>
      <c r="AJU329"/>
      <c r="AJV329"/>
      <c r="AJY329"/>
      <c r="AJZ329"/>
      <c r="AKC329"/>
      <c r="AKD329"/>
      <c r="AKG329"/>
      <c r="AKH329"/>
      <c r="AKK329"/>
      <c r="AKL329"/>
      <c r="AKO329"/>
      <c r="AKP329"/>
      <c r="AKS329"/>
      <c r="AKT329"/>
      <c r="AKW329"/>
      <c r="AKX329"/>
      <c r="ALA329"/>
      <c r="ALB329"/>
      <c r="ALE329"/>
      <c r="ALF329"/>
      <c r="ALI329"/>
      <c r="ALJ329"/>
      <c r="ALM329"/>
      <c r="ALN329"/>
      <c r="ALQ329"/>
      <c r="ALR329"/>
      <c r="ALU329"/>
      <c r="ALV329"/>
      <c r="ALY329"/>
      <c r="ALZ329"/>
      <c r="AMC329"/>
      <c r="AMD329"/>
      <c r="AMG329"/>
      <c r="AMH329"/>
      <c r="AMK329"/>
      <c r="AML329"/>
      <c r="AMO329"/>
      <c r="AMP329"/>
      <c r="AMS329"/>
      <c r="AMT329"/>
      <c r="AMW329"/>
      <c r="AMX329"/>
      <c r="ANA329"/>
      <c r="ANB329"/>
      <c r="ANE329"/>
      <c r="ANF329"/>
      <c r="ANI329"/>
      <c r="ANJ329"/>
      <c r="ANM329"/>
      <c r="ANN329"/>
      <c r="ANQ329"/>
      <c r="ANR329"/>
      <c r="ANU329"/>
      <c r="ANV329"/>
      <c r="ANY329"/>
      <c r="ANZ329"/>
      <c r="AOC329"/>
      <c r="AOD329"/>
      <c r="AOG329"/>
      <c r="AOH329"/>
      <c r="AOK329"/>
      <c r="AOL329"/>
      <c r="AOO329"/>
      <c r="AOP329"/>
      <c r="AOS329"/>
      <c r="AOT329"/>
      <c r="AOW329"/>
      <c r="AOX329"/>
      <c r="APA329"/>
      <c r="APB329"/>
      <c r="APE329"/>
      <c r="APF329"/>
      <c r="API329"/>
      <c r="APJ329"/>
      <c r="APM329"/>
      <c r="APN329"/>
      <c r="APQ329"/>
      <c r="APR329"/>
      <c r="APU329"/>
      <c r="APV329"/>
      <c r="APY329"/>
      <c r="APZ329"/>
      <c r="AQC329"/>
      <c r="AQD329"/>
      <c r="AQG329"/>
      <c r="AQH329"/>
      <c r="AQK329"/>
      <c r="AQL329"/>
      <c r="AQO329"/>
      <c r="AQP329"/>
      <c r="AQS329"/>
      <c r="AQT329"/>
      <c r="AQW329"/>
      <c r="AQX329"/>
      <c r="ARA329"/>
      <c r="ARB329"/>
      <c r="ARE329"/>
      <c r="ARF329"/>
      <c r="ARI329"/>
      <c r="ARJ329"/>
      <c r="ARM329"/>
      <c r="ARN329"/>
      <c r="ARQ329"/>
      <c r="ARR329"/>
      <c r="ARU329"/>
      <c r="ARV329"/>
      <c r="ARY329"/>
      <c r="ARZ329"/>
      <c r="ASC329"/>
      <c r="ASD329"/>
      <c r="ASG329"/>
      <c r="ASH329"/>
      <c r="ASK329"/>
      <c r="ASL329"/>
      <c r="ASO329"/>
      <c r="ASP329"/>
      <c r="ASS329"/>
      <c r="AST329"/>
      <c r="ASW329"/>
      <c r="ASX329"/>
      <c r="ATA329"/>
      <c r="ATB329"/>
      <c r="ATE329"/>
      <c r="ATF329"/>
      <c r="ATI329"/>
      <c r="ATJ329"/>
      <c r="ATM329"/>
      <c r="ATN329"/>
      <c r="ATQ329"/>
      <c r="ATR329"/>
      <c r="ATU329"/>
      <c r="ATV329"/>
      <c r="ATY329"/>
      <c r="ATZ329"/>
      <c r="AUC329"/>
      <c r="AUD329"/>
      <c r="AUG329"/>
      <c r="AUH329"/>
      <c r="AUK329"/>
      <c r="AUL329"/>
      <c r="AUO329"/>
      <c r="AUP329"/>
      <c r="AUS329"/>
      <c r="AUT329"/>
      <c r="AUW329"/>
      <c r="AUX329"/>
      <c r="AVA329"/>
      <c r="AVB329"/>
      <c r="AVE329"/>
      <c r="AVF329"/>
      <c r="AVI329"/>
      <c r="AVJ329"/>
      <c r="AVM329"/>
      <c r="AVN329"/>
      <c r="AVQ329"/>
      <c r="AVR329"/>
      <c r="AVU329"/>
      <c r="AVV329"/>
      <c r="AVY329"/>
      <c r="AVZ329"/>
      <c r="AWC329"/>
      <c r="AWD329"/>
      <c r="AWG329"/>
      <c r="AWH329"/>
      <c r="AWK329"/>
      <c r="AWL329"/>
      <c r="AWO329"/>
      <c r="AWP329"/>
      <c r="AWS329"/>
      <c r="AWT329"/>
      <c r="AWW329"/>
      <c r="AWX329"/>
      <c r="AXA329"/>
      <c r="AXB329"/>
      <c r="AXE329"/>
      <c r="AXF329"/>
      <c r="AXI329"/>
      <c r="AXJ329"/>
      <c r="AXM329"/>
      <c r="AXN329"/>
      <c r="AXQ329"/>
      <c r="AXR329"/>
      <c r="AXU329"/>
      <c r="AXV329"/>
      <c r="AXY329"/>
      <c r="AXZ329"/>
      <c r="AYC329"/>
      <c r="AYD329"/>
      <c r="AYG329"/>
      <c r="AYH329"/>
      <c r="AYK329"/>
      <c r="AYL329"/>
      <c r="AYO329"/>
      <c r="AYP329"/>
      <c r="AYS329"/>
      <c r="AYT329"/>
      <c r="AYW329"/>
      <c r="AYX329"/>
      <c r="AZA329"/>
      <c r="AZB329"/>
      <c r="AZE329"/>
      <c r="AZF329"/>
      <c r="AZI329"/>
      <c r="AZJ329"/>
      <c r="AZM329"/>
      <c r="AZN329"/>
      <c r="AZQ329"/>
      <c r="AZR329"/>
      <c r="AZU329"/>
      <c r="AZV329"/>
      <c r="AZY329"/>
      <c r="AZZ329"/>
      <c r="BAC329"/>
      <c r="BAD329"/>
      <c r="BAG329"/>
      <c r="BAH329"/>
      <c r="BAK329"/>
      <c r="BAL329"/>
      <c r="BAO329"/>
      <c r="BAP329"/>
      <c r="BAS329"/>
      <c r="BAT329"/>
      <c r="BAW329"/>
      <c r="BAX329"/>
      <c r="BBA329"/>
      <c r="BBB329"/>
      <c r="BBE329"/>
      <c r="BBF329"/>
      <c r="BBI329"/>
      <c r="BBJ329"/>
      <c r="BBM329"/>
      <c r="BBN329"/>
      <c r="BBQ329"/>
      <c r="BBR329"/>
      <c r="BBU329"/>
      <c r="BBV329"/>
      <c r="BBY329"/>
      <c r="BBZ329"/>
      <c r="BCC329"/>
      <c r="BCD329" s="25"/>
      <c r="BCG329"/>
      <c r="BCH329"/>
      <c r="BCK329"/>
      <c r="BCL329"/>
      <c r="BCO329"/>
      <c r="BCP329"/>
      <c r="BCS329"/>
      <c r="BCT329"/>
      <c r="BCW329"/>
      <c r="BCX329"/>
      <c r="BDA329"/>
      <c r="BDB329"/>
      <c r="BDE329"/>
      <c r="BDF329"/>
      <c r="BDI329"/>
      <c r="BDJ329"/>
      <c r="BDM329"/>
      <c r="BDN329"/>
      <c r="BDQ329"/>
      <c r="BDR329"/>
      <c r="BDU329"/>
      <c r="BDV329"/>
      <c r="BDY329"/>
      <c r="BDZ329"/>
      <c r="BEC329"/>
      <c r="BED329"/>
      <c r="BEG329"/>
      <c r="BEH329"/>
      <c r="BEK329"/>
      <c r="BEL329"/>
      <c r="BEO329"/>
      <c r="BEP329"/>
      <c r="BES329"/>
      <c r="BET329"/>
      <c r="BEW329"/>
      <c r="BEX329"/>
      <c r="BFA329"/>
      <c r="BFB329"/>
      <c r="BFE329"/>
      <c r="BFF329"/>
      <c r="BFI329"/>
      <c r="BFJ329"/>
      <c r="BFM329"/>
      <c r="BFN329"/>
      <c r="BFQ329"/>
      <c r="BFR329"/>
      <c r="BFU329"/>
      <c r="BFV329"/>
      <c r="BFY329"/>
      <c r="BFZ329"/>
      <c r="BGC329"/>
      <c r="BGD329"/>
      <c r="BGG329"/>
      <c r="BGH329"/>
      <c r="BGK329"/>
      <c r="BGL329"/>
      <c r="BGO329"/>
      <c r="BGP329"/>
      <c r="BGS329"/>
      <c r="BGT329"/>
      <c r="BGW329"/>
      <c r="BGX329"/>
      <c r="BHA329"/>
      <c r="BHB329"/>
      <c r="BHE329"/>
      <c r="BHF329"/>
      <c r="BHI329"/>
      <c r="BHJ329"/>
      <c r="BHM329"/>
      <c r="BHN329"/>
      <c r="BHQ329"/>
      <c r="BHR329"/>
      <c r="BHU329"/>
      <c r="BHV329"/>
      <c r="BHY329"/>
      <c r="BHZ329"/>
      <c r="BIC329"/>
      <c r="BID329"/>
      <c r="BIG329"/>
      <c r="BIH329"/>
      <c r="BIK329"/>
      <c r="BIL329"/>
      <c r="BIO329"/>
      <c r="BIP329"/>
      <c r="BIS329"/>
      <c r="BIT329"/>
      <c r="BIW329"/>
      <c r="BIX329"/>
      <c r="BJA329"/>
      <c r="BJB329"/>
      <c r="BJE329"/>
      <c r="BJF329"/>
      <c r="BJI329"/>
      <c r="BJJ329"/>
      <c r="BJM329"/>
      <c r="BJN329"/>
      <c r="BJQ329"/>
      <c r="BJR329"/>
      <c r="BJU329"/>
      <c r="BJV329"/>
      <c r="BJY329"/>
      <c r="BJZ329"/>
      <c r="BKC329"/>
      <c r="BKD329"/>
      <c r="BKG329"/>
      <c r="BKH329"/>
      <c r="BKK329"/>
      <c r="BKL329"/>
      <c r="BKO329"/>
      <c r="BKP329"/>
      <c r="BKS329"/>
      <c r="BKT329"/>
      <c r="BKW329"/>
      <c r="BKX329"/>
      <c r="BLA329"/>
      <c r="BLB329"/>
      <c r="BLE329"/>
      <c r="BLF329"/>
      <c r="BLI329"/>
      <c r="BLJ329"/>
      <c r="BLM329"/>
      <c r="BLN329"/>
      <c r="BLQ329"/>
      <c r="BLR329"/>
      <c r="BLU329"/>
      <c r="BLV329"/>
      <c r="BLY329"/>
      <c r="BLZ329"/>
      <c r="BMC329"/>
      <c r="BMD329"/>
      <c r="BMG329"/>
      <c r="BMH329"/>
      <c r="BMK329"/>
      <c r="BML329"/>
      <c r="BMO329"/>
      <c r="BMP329"/>
      <c r="BMS329"/>
      <c r="BMT329"/>
      <c r="BMW329"/>
      <c r="BMX329"/>
      <c r="BNA329"/>
      <c r="BNB329"/>
      <c r="BNE329"/>
      <c r="BNF329"/>
      <c r="BNI329"/>
      <c r="BNJ329"/>
      <c r="BNM329"/>
      <c r="BNN329"/>
      <c r="BNQ329"/>
      <c r="BNR329"/>
      <c r="BNU329"/>
      <c r="BNV329"/>
      <c r="BNY329"/>
      <c r="BNZ329"/>
      <c r="BOC329"/>
      <c r="BOD329"/>
      <c r="BOG329"/>
      <c r="BOH329"/>
      <c r="BOK329"/>
      <c r="BOL329"/>
      <c r="BOO329"/>
      <c r="BOP329"/>
      <c r="BOS329"/>
      <c r="BOT329"/>
      <c r="BOW329"/>
      <c r="BOX329"/>
      <c r="BPA329"/>
      <c r="BPB329"/>
      <c r="BPE329"/>
      <c r="BPF329"/>
      <c r="BPI329"/>
      <c r="BPJ329"/>
      <c r="BPM329"/>
      <c r="BPN329"/>
      <c r="BPQ329"/>
      <c r="BPR329"/>
      <c r="BPU329"/>
      <c r="BPV329"/>
      <c r="BPY329"/>
      <c r="BPZ329"/>
      <c r="BQC329"/>
      <c r="BQD329"/>
      <c r="BQG329"/>
      <c r="BQH329"/>
      <c r="BQK329"/>
      <c r="BQL329"/>
      <c r="BQO329"/>
      <c r="BQP329"/>
      <c r="BQS329"/>
      <c r="BQT329"/>
      <c r="BQW329"/>
      <c r="BQX329"/>
      <c r="BRA329"/>
      <c r="BRB329"/>
      <c r="BRE329"/>
      <c r="BRF329"/>
      <c r="BRI329"/>
      <c r="BRJ329"/>
      <c r="BRM329"/>
      <c r="BRN329"/>
      <c r="BRQ329"/>
      <c r="BRR329"/>
      <c r="BRU329"/>
      <c r="BRV329"/>
      <c r="BRY329"/>
      <c r="BRZ329"/>
      <c r="BSC329"/>
      <c r="BSD329"/>
      <c r="BSG329"/>
      <c r="BSH329"/>
      <c r="BSK329"/>
      <c r="BSL329"/>
      <c r="BSO329"/>
      <c r="BSP329"/>
      <c r="BSS329"/>
      <c r="BST329"/>
      <c r="BSW329"/>
      <c r="BSX329"/>
      <c r="BTA329"/>
      <c r="BTB329"/>
      <c r="BTE329"/>
      <c r="BTF329"/>
      <c r="BTI329"/>
      <c r="BTJ329"/>
      <c r="BTM329"/>
      <c r="BTN329"/>
      <c r="BTQ329"/>
      <c r="BTR329"/>
      <c r="BTU329"/>
      <c r="BTV329"/>
      <c r="BTY329"/>
      <c r="BTZ329"/>
      <c r="BUC329"/>
      <c r="BUD329"/>
      <c r="BUG329"/>
      <c r="BUH329"/>
      <c r="BUK329"/>
      <c r="BUL329"/>
      <c r="BUO329"/>
      <c r="BUP329"/>
      <c r="BUS329"/>
      <c r="BUT329"/>
      <c r="BUW329"/>
      <c r="BUX329"/>
      <c r="BVA329"/>
      <c r="BVB329"/>
      <c r="BVE329"/>
      <c r="BVF329"/>
      <c r="BVI329"/>
      <c r="BVJ329"/>
      <c r="BVM329"/>
      <c r="BVN329"/>
      <c r="BVQ329"/>
      <c r="BVR329"/>
      <c r="BVU329"/>
      <c r="BVV329"/>
      <c r="BVY329"/>
      <c r="BVZ329"/>
      <c r="BWC329"/>
      <c r="BWD329"/>
      <c r="BWG329"/>
      <c r="BWH329"/>
      <c r="BWK329"/>
      <c r="BWL329"/>
      <c r="BWO329"/>
      <c r="BWP329"/>
      <c r="BWS329"/>
      <c r="BWT329"/>
      <c r="BWW329"/>
      <c r="BWX329"/>
      <c r="BXA329"/>
      <c r="BXB329"/>
      <c r="BXE329"/>
      <c r="BXF329"/>
      <c r="BXI329"/>
      <c r="BXJ329"/>
      <c r="BXM329"/>
      <c r="BXN329"/>
      <c r="BXQ329"/>
      <c r="BXR329"/>
      <c r="BXU329"/>
      <c r="BXV329"/>
      <c r="BXY329"/>
      <c r="BXZ329"/>
      <c r="BYC329"/>
      <c r="BYD329"/>
      <c r="BYG329"/>
      <c r="BYH329"/>
      <c r="BYK329"/>
      <c r="BYL329"/>
      <c r="BYO329"/>
      <c r="BYP329"/>
      <c r="BYS329"/>
      <c r="BYT329"/>
      <c r="BYW329"/>
      <c r="BYX329"/>
      <c r="BZA329"/>
      <c r="BZB329"/>
      <c r="BZE329"/>
      <c r="BZF329"/>
      <c r="BZI329"/>
      <c r="BZJ329"/>
      <c r="BZM329"/>
      <c r="BZN329"/>
      <c r="BZQ329"/>
      <c r="BZR329"/>
      <c r="BZU329"/>
      <c r="BZV329"/>
      <c r="BZY329"/>
      <c r="BZZ329"/>
      <c r="CAC329"/>
      <c r="CAD329"/>
      <c r="CAG329"/>
      <c r="CAH329"/>
      <c r="CAK329"/>
      <c r="CAL329"/>
      <c r="CAO329"/>
      <c r="CAP329"/>
      <c r="CAS329"/>
      <c r="CAT329"/>
      <c r="CAW329"/>
      <c r="CAX329"/>
      <c r="CBA329"/>
      <c r="CBB329"/>
      <c r="CBE329"/>
      <c r="CBF329"/>
      <c r="CBI329"/>
      <c r="CBJ329"/>
      <c r="CBM329"/>
      <c r="CBN329"/>
      <c r="CBQ329"/>
      <c r="CBR329"/>
      <c r="CBU329"/>
      <c r="CBV329"/>
      <c r="CBY329"/>
      <c r="CBZ329"/>
      <c r="CCC329"/>
      <c r="CCD329"/>
      <c r="CCG329"/>
      <c r="CCH329"/>
      <c r="CCK329"/>
      <c r="CCL329"/>
      <c r="CCO329"/>
      <c r="CCP329"/>
      <c r="CCS329"/>
      <c r="CCT329"/>
      <c r="CCW329"/>
      <c r="CCX329"/>
      <c r="CDA329"/>
      <c r="CDB329"/>
      <c r="CDE329" s="25"/>
      <c r="CDF329"/>
      <c r="CDI329"/>
      <c r="CDJ329"/>
      <c r="CDM329"/>
      <c r="CDN329"/>
      <c r="CDQ329"/>
      <c r="CDR329"/>
      <c r="CDU329"/>
      <c r="CDV329"/>
      <c r="CDY329"/>
      <c r="CDZ329"/>
      <c r="CEC329"/>
      <c r="CED329"/>
      <c r="CEG329"/>
      <c r="CEH329"/>
      <c r="CEK329"/>
      <c r="CEL329"/>
      <c r="CEO329"/>
      <c r="CEP329"/>
      <c r="CES329"/>
      <c r="CET329"/>
      <c r="CEW329"/>
      <c r="CEX329"/>
      <c r="CFA329"/>
      <c r="CFB329"/>
      <c r="CFE329"/>
      <c r="CFF329"/>
      <c r="CFI329"/>
      <c r="CFJ329"/>
      <c r="CFM329"/>
      <c r="CFN329"/>
      <c r="CFQ329"/>
      <c r="CFR329"/>
      <c r="CFU329"/>
      <c r="CFV329"/>
      <c r="CFY329"/>
      <c r="CFZ329"/>
      <c r="CGC329"/>
      <c r="CGD329"/>
      <c r="CGG329"/>
      <c r="CGH329"/>
      <c r="CGK329"/>
      <c r="CGL329"/>
      <c r="CGO329"/>
      <c r="CGP329"/>
      <c r="CGS329"/>
      <c r="CGT329"/>
      <c r="CGW329"/>
      <c r="CGX329"/>
      <c r="CHA329"/>
      <c r="CHB329"/>
      <c r="CHE329"/>
      <c r="CHF329"/>
      <c r="CHI329"/>
      <c r="CHJ329"/>
      <c r="CHM329"/>
      <c r="CHN329"/>
      <c r="CHQ329"/>
      <c r="CHR329"/>
      <c r="CHU329"/>
      <c r="CHV329"/>
      <c r="CHY329"/>
      <c r="CHZ329"/>
      <c r="CIC329"/>
      <c r="CID329"/>
      <c r="CIG329"/>
      <c r="CIH329"/>
      <c r="CIK329"/>
      <c r="CIL329"/>
      <c r="CIO329"/>
      <c r="CIP329"/>
      <c r="CIS329"/>
      <c r="CIT329"/>
      <c r="CIW329"/>
      <c r="CIX329"/>
      <c r="CJA329"/>
      <c r="CJB329"/>
      <c r="CJE329"/>
      <c r="CJF329"/>
      <c r="CJI329"/>
      <c r="CJJ329"/>
      <c r="CJM329"/>
      <c r="CJN329"/>
      <c r="CJQ329"/>
      <c r="CJR329"/>
      <c r="CJU329"/>
      <c r="CJV329"/>
      <c r="CJY329"/>
      <c r="CJZ329"/>
      <c r="CKC329"/>
      <c r="CKD329"/>
      <c r="CKG329"/>
      <c r="CKH329"/>
      <c r="CKK329"/>
      <c r="CKL329"/>
      <c r="CKO329"/>
      <c r="CKP329"/>
      <c r="CKS329"/>
      <c r="CKT329"/>
      <c r="CKW329"/>
      <c r="CKX329"/>
      <c r="CLA329"/>
      <c r="CLB329"/>
      <c r="CLE329"/>
      <c r="CLF329"/>
      <c r="CLI329"/>
      <c r="CLJ329"/>
      <c r="CLM329"/>
      <c r="CLN329"/>
      <c r="CLQ329"/>
      <c r="CLR329"/>
      <c r="CLU329"/>
      <c r="CLV329"/>
      <c r="CLY329"/>
      <c r="CLZ329"/>
      <c r="CMC329"/>
      <c r="CMD329"/>
      <c r="CMG329"/>
      <c r="CMH329"/>
      <c r="CMK329"/>
      <c r="CML329"/>
      <c r="CMO329"/>
      <c r="CMP329"/>
      <c r="CMS329"/>
      <c r="CMT329"/>
      <c r="CMW329"/>
      <c r="CMX329"/>
      <c r="CNA329"/>
      <c r="CNB329"/>
      <c r="CNE329"/>
      <c r="CNF329"/>
      <c r="CNI329"/>
      <c r="CNJ329"/>
      <c r="CNM329"/>
      <c r="CNN329"/>
      <c r="CNQ329"/>
      <c r="CNR329"/>
      <c r="CNU329"/>
      <c r="CNV329"/>
      <c r="CNY329"/>
      <c r="CNZ329"/>
      <c r="COC329"/>
      <c r="COD329"/>
      <c r="COG329"/>
      <c r="COH329"/>
      <c r="COK329"/>
      <c r="COL329"/>
      <c r="COO329"/>
      <c r="COP329"/>
      <c r="COS329"/>
      <c r="COT329"/>
      <c r="COW329"/>
      <c r="COX329"/>
      <c r="CPA329"/>
      <c r="CPB329"/>
      <c r="CPE329"/>
      <c r="CPF329"/>
      <c r="CPI329"/>
      <c r="CPJ329"/>
      <c r="CPM329"/>
      <c r="CPN329"/>
      <c r="CPQ329"/>
      <c r="CPR329"/>
      <c r="CPU329"/>
      <c r="CPV329"/>
      <c r="CPY329"/>
      <c r="CPZ329"/>
      <c r="CQC329"/>
      <c r="CQD329"/>
      <c r="CQG329"/>
      <c r="CQH329"/>
      <c r="CQK329"/>
      <c r="CQL329"/>
      <c r="CQO329"/>
      <c r="CQP329"/>
      <c r="CQS329"/>
      <c r="CQT329"/>
      <c r="CQW329"/>
      <c r="CQX329"/>
      <c r="CRA329"/>
      <c r="CRB329"/>
      <c r="CRE329"/>
      <c r="CRF329"/>
      <c r="CRI329"/>
      <c r="CRJ329"/>
      <c r="CRM329"/>
      <c r="CRN329"/>
      <c r="CRQ329"/>
      <c r="CRR329"/>
      <c r="CRU329"/>
      <c r="CRV329"/>
      <c r="CRY329"/>
      <c r="CRZ329"/>
      <c r="CSC329"/>
      <c r="CSD329"/>
      <c r="CSG329"/>
      <c r="CSH329"/>
      <c r="CSK329"/>
      <c r="CSL329"/>
      <c r="CSO329"/>
      <c r="CSP329"/>
      <c r="CSS329"/>
      <c r="CST329"/>
      <c r="CSW329"/>
      <c r="CSX329"/>
      <c r="CTA329"/>
      <c r="CTB329"/>
      <c r="CTE329"/>
      <c r="CTF329"/>
      <c r="CTI329"/>
      <c r="CTJ329"/>
      <c r="CTM329"/>
      <c r="CTN329"/>
      <c r="CTQ329"/>
      <c r="CTR329"/>
      <c r="CTU329"/>
      <c r="CTV329"/>
      <c r="CTY329"/>
      <c r="CTZ329"/>
      <c r="CUC329"/>
      <c r="CUD329"/>
      <c r="CUG329"/>
      <c r="CUH329"/>
      <c r="CUK329"/>
      <c r="CUL329"/>
      <c r="CUO329"/>
      <c r="CUP329"/>
      <c r="CUS329"/>
      <c r="CUT329"/>
      <c r="CUW329"/>
      <c r="CUX329"/>
      <c r="CVA329"/>
      <c r="CVB329"/>
      <c r="CVE329"/>
      <c r="CVF329"/>
      <c r="CVI329"/>
      <c r="CVJ329"/>
      <c r="CVM329"/>
      <c r="CVN329"/>
      <c r="CVQ329"/>
      <c r="CVR329"/>
      <c r="CVU329"/>
      <c r="CVV329"/>
      <c r="CVY329"/>
      <c r="CVZ329"/>
      <c r="CWC329"/>
      <c r="CWD329"/>
      <c r="CWG329"/>
      <c r="CWH329"/>
      <c r="CWK329"/>
      <c r="CWL329"/>
      <c r="CWO329"/>
      <c r="CWP329"/>
      <c r="CWS329"/>
      <c r="CWT329"/>
      <c r="CWW329"/>
      <c r="CWX329"/>
      <c r="CXA329"/>
      <c r="CXB329"/>
      <c r="CXE329"/>
      <c r="CXF329"/>
      <c r="CXI329"/>
      <c r="CXJ329"/>
      <c r="CXM329"/>
      <c r="CXN329"/>
      <c r="CXQ329"/>
      <c r="CXR329"/>
      <c r="CXU329"/>
      <c r="CXV329"/>
      <c r="CXY329"/>
      <c r="CXZ329"/>
      <c r="CYC329"/>
      <c r="CYD329"/>
      <c r="CYG329"/>
      <c r="CYH329"/>
      <c r="CYK329"/>
      <c r="CYL329"/>
      <c r="CYO329"/>
      <c r="CYP329"/>
      <c r="CYS329"/>
      <c r="CYT329"/>
      <c r="CYW329"/>
      <c r="CYX329"/>
      <c r="CZA329"/>
      <c r="CZB329"/>
      <c r="CZE329"/>
      <c r="CZF329"/>
      <c r="CZI329"/>
      <c r="CZJ329"/>
      <c r="CZM329"/>
      <c r="CZN329"/>
      <c r="CZQ329"/>
      <c r="CZR329"/>
      <c r="CZU329"/>
      <c r="CZV329"/>
      <c r="CZY329"/>
      <c r="CZZ329"/>
      <c r="DAC329"/>
      <c r="DAD329"/>
      <c r="DAG329"/>
      <c r="DAH329"/>
      <c r="DAK329"/>
      <c r="DAL329"/>
      <c r="DAO329"/>
      <c r="DAP329"/>
      <c r="DAS329"/>
      <c r="DAT329"/>
      <c r="DAW329"/>
      <c r="DAX329"/>
      <c r="DBA329"/>
      <c r="DBB329"/>
      <c r="DBE329"/>
      <c r="DBF329"/>
      <c r="DBI329"/>
      <c r="DBJ329"/>
      <c r="DBM329"/>
      <c r="DBN329"/>
      <c r="DBQ329"/>
      <c r="DBR329"/>
      <c r="DBU329"/>
      <c r="DBV329"/>
      <c r="DBY329"/>
      <c r="DBZ329"/>
      <c r="DCC329"/>
      <c r="DCD329"/>
      <c r="DCG329"/>
      <c r="DCH329"/>
      <c r="DCK329"/>
      <c r="DCL329"/>
      <c r="DCO329"/>
      <c r="DCP329"/>
      <c r="DCS329"/>
      <c r="DCT329"/>
      <c r="DCW329"/>
      <c r="DCX329"/>
      <c r="DDA329"/>
      <c r="DDB329"/>
      <c r="DDE329"/>
      <c r="DDF329"/>
      <c r="DDI329"/>
      <c r="DDJ329"/>
      <c r="DDM329"/>
      <c r="DDN329"/>
      <c r="DDQ329"/>
      <c r="DDR329"/>
      <c r="DDU329"/>
      <c r="DDV329"/>
      <c r="DDY329"/>
      <c r="DDZ329"/>
      <c r="DEC329"/>
      <c r="DED329"/>
      <c r="DEG329"/>
      <c r="DEH329"/>
      <c r="DEK329"/>
      <c r="DEL329"/>
      <c r="DEO329"/>
      <c r="DEP329"/>
      <c r="DES329"/>
      <c r="DET329"/>
      <c r="DEW329"/>
      <c r="DEX329"/>
      <c r="DFA329"/>
      <c r="DFB329"/>
      <c r="DFE329"/>
      <c r="DFF329"/>
      <c r="DFI329"/>
      <c r="DFJ329"/>
      <c r="DFM329"/>
      <c r="DFN329"/>
      <c r="DFQ329"/>
      <c r="DFR329"/>
      <c r="DFU329"/>
      <c r="DFV329"/>
      <c r="DFY329"/>
      <c r="DFZ329"/>
      <c r="DGC329"/>
      <c r="DGD329"/>
      <c r="DGG329"/>
      <c r="DGH329"/>
      <c r="DGK329"/>
      <c r="DGL329"/>
      <c r="DGO329"/>
      <c r="DGP329"/>
      <c r="DGS329"/>
      <c r="DGT329"/>
      <c r="DGW329"/>
      <c r="DGX329"/>
      <c r="DHA329"/>
      <c r="DHB329"/>
      <c r="DHE329"/>
      <c r="DHF329"/>
      <c r="DHI329"/>
      <c r="DHJ329"/>
      <c r="DHM329"/>
      <c r="DHN329"/>
      <c r="DHQ329"/>
      <c r="DHR329"/>
      <c r="DHU329"/>
      <c r="DHV329"/>
      <c r="DHY329"/>
      <c r="DHZ329"/>
      <c r="DIC329"/>
      <c r="DID329"/>
      <c r="DIG329"/>
      <c r="DIH329"/>
      <c r="DIK329"/>
      <c r="DIL329"/>
      <c r="DIO329"/>
      <c r="DIP329"/>
      <c r="DIS329"/>
      <c r="DIT329"/>
      <c r="DIW329"/>
      <c r="DIX329"/>
      <c r="DJA329"/>
      <c r="DJB329"/>
      <c r="DJE329"/>
      <c r="DJF329"/>
      <c r="DJI329"/>
      <c r="DJJ329"/>
      <c r="DJM329"/>
      <c r="DJN329"/>
      <c r="DJQ329"/>
      <c r="DJR329"/>
      <c r="DJU329"/>
      <c r="DJV329"/>
      <c r="DJY329"/>
      <c r="DJZ329"/>
      <c r="DKC329"/>
      <c r="DKD329"/>
      <c r="DKG329"/>
      <c r="DKH329"/>
      <c r="DKK329"/>
      <c r="DKL329"/>
      <c r="DKO329"/>
      <c r="DKP329"/>
      <c r="DKS329"/>
      <c r="DKT329"/>
      <c r="DKW329"/>
      <c r="DKX329"/>
      <c r="DLA329"/>
      <c r="DLB329"/>
      <c r="DLE329"/>
      <c r="DLF329"/>
      <c r="DLI329"/>
      <c r="DLJ329"/>
      <c r="DLM329"/>
      <c r="DLN329"/>
      <c r="DLQ329"/>
      <c r="DLR329"/>
      <c r="DLU329"/>
      <c r="DLV329"/>
      <c r="DLY329"/>
      <c r="DLZ329"/>
      <c r="DMC329"/>
      <c r="DMD329"/>
      <c r="DMG329"/>
      <c r="DMH329"/>
      <c r="DMK329"/>
      <c r="DML329"/>
      <c r="DMO329"/>
      <c r="DMP329"/>
      <c r="DMS329"/>
      <c r="DMT329"/>
      <c r="DMW329"/>
      <c r="DMX329"/>
      <c r="DNA329"/>
      <c r="DNB329"/>
      <c r="DNE329"/>
      <c r="DNF329"/>
      <c r="DNI329"/>
      <c r="DNJ329"/>
      <c r="DNM329"/>
      <c r="DNN329"/>
      <c r="DNQ329"/>
      <c r="DNR329"/>
      <c r="DNU329"/>
      <c r="DNV329"/>
      <c r="DNY329"/>
      <c r="DNZ329"/>
      <c r="DOC329"/>
      <c r="DOD329"/>
      <c r="DOG329"/>
      <c r="DOH329"/>
      <c r="DOK329"/>
      <c r="DOL329"/>
      <c r="DOO329"/>
      <c r="DOP329"/>
      <c r="DOS329"/>
      <c r="DOT329"/>
      <c r="DOW329"/>
      <c r="DOX329"/>
      <c r="DPA329"/>
      <c r="DPB329"/>
      <c r="DPE329"/>
      <c r="DPF329"/>
      <c r="DPI329"/>
      <c r="DPJ329"/>
      <c r="DPM329"/>
      <c r="DPN329"/>
      <c r="DPQ329"/>
      <c r="DPR329"/>
      <c r="DPU329"/>
      <c r="DPV329"/>
      <c r="DPY329"/>
      <c r="DPZ329"/>
      <c r="DQC329"/>
      <c r="DQD329"/>
      <c r="DQG329"/>
      <c r="DQH329"/>
      <c r="DQK329"/>
      <c r="DQL329"/>
      <c r="DQO329"/>
      <c r="DQP329"/>
      <c r="DQS329"/>
      <c r="DQT329"/>
      <c r="DQW329"/>
      <c r="DQX329"/>
      <c r="DRA329"/>
      <c r="DRB329"/>
      <c r="DRE329"/>
      <c r="DRF329"/>
      <c r="DRI329"/>
      <c r="DRJ329"/>
      <c r="DRM329"/>
      <c r="DRN329"/>
      <c r="DRQ329"/>
      <c r="DRR329"/>
      <c r="DRU329"/>
      <c r="DRV329"/>
      <c r="DRY329"/>
      <c r="DRZ329"/>
      <c r="DSC329"/>
      <c r="DSD329"/>
      <c r="DSG329"/>
      <c r="DSH329"/>
      <c r="DSK329"/>
      <c r="DSL329"/>
      <c r="DSO329"/>
      <c r="DSP329"/>
      <c r="DSS329"/>
      <c r="DST329"/>
      <c r="DSW329"/>
      <c r="DSX329"/>
      <c r="DTA329"/>
      <c r="DTB329"/>
      <c r="DTE329"/>
      <c r="DTF329"/>
      <c r="DTI329"/>
      <c r="DTJ329"/>
      <c r="DTM329"/>
      <c r="DTN329"/>
      <c r="DTQ329"/>
      <c r="DTR329"/>
      <c r="DTU329"/>
      <c r="DTV329"/>
      <c r="DTY329"/>
      <c r="DTZ329"/>
      <c r="DUC329"/>
      <c r="DUD329"/>
      <c r="DUG329"/>
      <c r="DUH329"/>
      <c r="DUK329"/>
      <c r="DUL329"/>
      <c r="DUO329"/>
      <c r="DUP329"/>
      <c r="DUS329"/>
      <c r="DUT329"/>
      <c r="DUW329"/>
      <c r="DUX329"/>
      <c r="DVA329"/>
      <c r="DVB329"/>
      <c r="DVE329"/>
      <c r="DVF329"/>
      <c r="DVI329"/>
      <c r="DVJ329"/>
      <c r="DVM329"/>
      <c r="DVN329"/>
      <c r="DVQ329"/>
      <c r="DVR329"/>
      <c r="DVU329"/>
      <c r="DVV329"/>
      <c r="DVY329"/>
      <c r="DVZ329"/>
      <c r="DWC329"/>
      <c r="DWD329"/>
      <c r="DWG329"/>
      <c r="DWH329"/>
      <c r="DWK329"/>
      <c r="DWL329"/>
      <c r="DWO329"/>
      <c r="DWP329"/>
      <c r="DWS329"/>
      <c r="DWT329"/>
      <c r="DWW329"/>
      <c r="DWX329"/>
      <c r="DXA329"/>
      <c r="DXB329"/>
      <c r="DXE329"/>
      <c r="DXF329"/>
      <c r="DXI329"/>
      <c r="DXJ329"/>
      <c r="DXM329"/>
      <c r="DXN329"/>
      <c r="DXQ329"/>
      <c r="DXR329"/>
      <c r="DXU329"/>
      <c r="DXV329"/>
      <c r="DXY329"/>
      <c r="DXZ329"/>
      <c r="DYC329"/>
      <c r="DYD329"/>
      <c r="DYG329"/>
      <c r="DYH329"/>
      <c r="DYK329"/>
      <c r="DYL329"/>
      <c r="DYO329"/>
      <c r="DYP329"/>
      <c r="DYS329"/>
      <c r="DYT329"/>
      <c r="DYW329"/>
      <c r="DYX329"/>
      <c r="DZA329"/>
      <c r="DZB329"/>
      <c r="DZE329"/>
      <c r="DZF329"/>
      <c r="DZI329"/>
      <c r="DZJ329"/>
      <c r="DZM329"/>
      <c r="DZN329"/>
      <c r="DZQ329"/>
      <c r="DZR329"/>
      <c r="DZU329"/>
      <c r="DZV329"/>
      <c r="DZY329"/>
      <c r="DZZ329"/>
      <c r="EAC329"/>
      <c r="EAD329"/>
      <c r="EAG329"/>
      <c r="EAH329"/>
      <c r="EAK329"/>
      <c r="EAL329"/>
      <c r="EAO329"/>
      <c r="EAP329"/>
      <c r="EAS329"/>
      <c r="EAT329"/>
      <c r="EAW329"/>
      <c r="EAX329"/>
      <c r="EBA329"/>
      <c r="EBB329"/>
      <c r="EBE329"/>
      <c r="EBF329"/>
      <c r="EBI329"/>
      <c r="EBJ329"/>
      <c r="EBM329"/>
      <c r="EBN329"/>
      <c r="EBQ329"/>
      <c r="EBR329"/>
      <c r="EBU329"/>
      <c r="EBV329"/>
      <c r="EBY329"/>
      <c r="EBZ329"/>
      <c r="ECC329"/>
      <c r="ECD329"/>
      <c r="ECG329"/>
      <c r="ECH329"/>
      <c r="ECK329"/>
      <c r="ECL329"/>
      <c r="ECO329"/>
      <c r="ECP329"/>
      <c r="ECS329"/>
      <c r="ECT329"/>
      <c r="ECW329"/>
      <c r="ECX329"/>
      <c r="EDA329"/>
      <c r="EDB329"/>
      <c r="EDE329"/>
      <c r="EDF329"/>
      <c r="EDI329"/>
      <c r="EDJ329"/>
      <c r="EDM329"/>
      <c r="EDN329"/>
      <c r="EDQ329"/>
      <c r="EDR329"/>
      <c r="EDU329"/>
      <c r="EDV329"/>
      <c r="EDY329"/>
      <c r="EDZ329"/>
      <c r="EEC329"/>
      <c r="EED329"/>
      <c r="EEG329"/>
      <c r="EEH329"/>
      <c r="EEK329"/>
      <c r="EEL329"/>
      <c r="EEO329"/>
      <c r="EEP329"/>
      <c r="EES329"/>
      <c r="EET329"/>
      <c r="EEW329"/>
      <c r="EEX329"/>
      <c r="EFA329"/>
      <c r="EFB329"/>
      <c r="EFE329"/>
      <c r="EFF329"/>
      <c r="EFI329"/>
      <c r="EFJ329"/>
      <c r="EFM329"/>
      <c r="EFN329"/>
      <c r="EFQ329"/>
      <c r="EFR329"/>
      <c r="EFU329"/>
      <c r="EFV329"/>
      <c r="EFY329"/>
      <c r="EFZ329"/>
      <c r="EGC329"/>
      <c r="EGD329"/>
      <c r="EGG329"/>
      <c r="EGH329"/>
      <c r="EGK329"/>
      <c r="EGL329"/>
      <c r="EGO329"/>
      <c r="EGP329"/>
      <c r="EGS329"/>
      <c r="EGT329"/>
      <c r="EGW329"/>
      <c r="EGX329"/>
      <c r="EHA329"/>
      <c r="EHB329"/>
      <c r="EHE329"/>
      <c r="EHF329"/>
      <c r="EHI329"/>
      <c r="EHJ329"/>
      <c r="EHM329"/>
      <c r="EHN329"/>
      <c r="EHQ329"/>
      <c r="EHR329"/>
      <c r="EHU329"/>
      <c r="EHV329"/>
      <c r="EHY329"/>
      <c r="EHZ329"/>
      <c r="EIC329"/>
      <c r="EID329"/>
      <c r="EIG329"/>
      <c r="EIH329"/>
      <c r="EIK329"/>
      <c r="EIL329"/>
      <c r="EIO329"/>
      <c r="EIP329"/>
      <c r="EIS329"/>
      <c r="EIT329"/>
      <c r="EIW329"/>
      <c r="EIX329"/>
      <c r="EJA329"/>
      <c r="EJB329"/>
      <c r="EJE329"/>
      <c r="EJF329"/>
      <c r="EJI329"/>
      <c r="EJJ329"/>
      <c r="EJM329"/>
      <c r="EJN329"/>
      <c r="EJQ329"/>
      <c r="EJR329"/>
      <c r="EJU329"/>
      <c r="EJV329"/>
      <c r="EJY329"/>
      <c r="EJZ329"/>
      <c r="EKC329"/>
      <c r="EKD329"/>
      <c r="EKG329"/>
      <c r="EKH329"/>
      <c r="EKK329"/>
      <c r="EKL329"/>
      <c r="EKO329"/>
      <c r="EKP329"/>
      <c r="EKS329"/>
      <c r="EKT329"/>
      <c r="EKW329"/>
      <c r="EKX329"/>
      <c r="ELA329"/>
      <c r="ELB329"/>
      <c r="ELE329"/>
      <c r="ELF329"/>
      <c r="ELI329"/>
      <c r="ELJ329"/>
      <c r="ELM329"/>
      <c r="ELN329"/>
      <c r="ELQ329"/>
      <c r="ELR329"/>
      <c r="ELU329"/>
      <c r="ELV329"/>
      <c r="ELY329"/>
      <c r="ELZ329"/>
      <c r="EMC329"/>
      <c r="EMD329"/>
      <c r="EMG329"/>
      <c r="EMH329"/>
      <c r="EMK329"/>
      <c r="EML329"/>
      <c r="EMO329"/>
      <c r="EMP329"/>
      <c r="EMS329"/>
      <c r="EMT329"/>
      <c r="EMW329"/>
      <c r="EMX329"/>
      <c r="ENA329"/>
      <c r="ENB329"/>
      <c r="ENE329"/>
      <c r="ENF329"/>
      <c r="ENI329"/>
      <c r="ENJ329"/>
      <c r="ENM329"/>
      <c r="ENN329"/>
      <c r="ENQ329"/>
      <c r="ENR329"/>
      <c r="ENU329"/>
      <c r="ENV329"/>
      <c r="ENY329"/>
      <c r="ENZ329"/>
      <c r="EOC329"/>
      <c r="EOD329"/>
      <c r="EOG329"/>
      <c r="EOH329"/>
      <c r="EOK329"/>
      <c r="EOL329"/>
      <c r="EOO329"/>
      <c r="EOP329"/>
      <c r="EOS329"/>
      <c r="EOT329"/>
      <c r="EOW329"/>
      <c r="EOX329"/>
      <c r="EPA329"/>
      <c r="EPB329"/>
      <c r="EPE329"/>
      <c r="EPF329"/>
      <c r="EPI329"/>
      <c r="EPJ329"/>
      <c r="EPM329"/>
      <c r="EPN329"/>
      <c r="EPQ329"/>
      <c r="EPR329"/>
      <c r="EPU329"/>
      <c r="EPV329"/>
      <c r="EPY329"/>
      <c r="EPZ329"/>
      <c r="EQC329"/>
      <c r="EQD329"/>
      <c r="EQG329"/>
      <c r="EQH329"/>
      <c r="EQK329"/>
      <c r="EQL329"/>
      <c r="EQO329"/>
      <c r="EQP329"/>
      <c r="EQS329"/>
      <c r="EQT329"/>
      <c r="EQW329"/>
      <c r="EQX329"/>
      <c r="ERA329"/>
      <c r="ERB329"/>
      <c r="ERE329"/>
      <c r="ERF329"/>
      <c r="ERI329"/>
      <c r="ERJ329"/>
      <c r="ERM329"/>
      <c r="ERN329"/>
      <c r="ERQ329"/>
      <c r="ERR329"/>
      <c r="ERU329"/>
      <c r="ERV329"/>
      <c r="ERY329"/>
      <c r="ERZ329"/>
      <c r="ESC329"/>
      <c r="ESD329"/>
      <c r="ESG329"/>
      <c r="ESH329"/>
      <c r="ESK329"/>
      <c r="ESL329"/>
      <c r="ESO329"/>
      <c r="ESP329"/>
      <c r="ESS329"/>
      <c r="EST329"/>
      <c r="ESW329"/>
      <c r="ESX329"/>
      <c r="ETA329"/>
      <c r="ETB329"/>
      <c r="ETE329"/>
      <c r="ETF329"/>
      <c r="ETI329"/>
      <c r="ETJ329"/>
      <c r="ETM329"/>
      <c r="ETN329"/>
      <c r="ETQ329"/>
      <c r="ETR329"/>
      <c r="ETU329"/>
      <c r="ETV329"/>
      <c r="ETY329"/>
      <c r="ETZ329"/>
      <c r="EUC329"/>
      <c r="EUD329"/>
      <c r="EUG329"/>
      <c r="EUH329"/>
      <c r="EUK329"/>
      <c r="EUL329"/>
      <c r="EUO329"/>
      <c r="EUP329"/>
      <c r="EUS329"/>
      <c r="EUT329"/>
      <c r="EUW329"/>
      <c r="EUX329"/>
      <c r="EVA329"/>
      <c r="EVB329"/>
      <c r="EVE329"/>
      <c r="EVF329"/>
      <c r="EVI329"/>
      <c r="EVJ329"/>
      <c r="EVM329"/>
      <c r="EVN329"/>
      <c r="EVQ329"/>
      <c r="EVR329"/>
      <c r="EVU329"/>
      <c r="EVV329"/>
      <c r="EVY329"/>
      <c r="EVZ329"/>
      <c r="EWC329"/>
      <c r="EWD329"/>
      <c r="EWG329"/>
      <c r="EWH329"/>
      <c r="EWK329"/>
      <c r="EWL329"/>
      <c r="EWO329"/>
      <c r="EWP329"/>
      <c r="EWS329"/>
      <c r="EWT329"/>
      <c r="EWW329"/>
      <c r="EWX329"/>
      <c r="EXA329"/>
      <c r="EXB329"/>
      <c r="EXE329"/>
      <c r="EXF329"/>
      <c r="EXI329"/>
      <c r="EXJ329"/>
      <c r="EXM329"/>
      <c r="EXN329"/>
      <c r="EXQ329"/>
      <c r="EXR329"/>
      <c r="EXU329"/>
      <c r="EXV329"/>
      <c r="EXY329"/>
      <c r="EXZ329"/>
      <c r="EYC329"/>
      <c r="EYD329"/>
      <c r="EYG329"/>
      <c r="EYH329"/>
      <c r="EYK329"/>
      <c r="EYL329"/>
      <c r="EYO329"/>
      <c r="EYP329"/>
      <c r="EYS329"/>
      <c r="EYT329"/>
      <c r="EYW329"/>
      <c r="EYX329"/>
      <c r="EZA329"/>
      <c r="EZB329"/>
      <c r="EZE329"/>
      <c r="EZF329"/>
      <c r="EZI329"/>
      <c r="EZJ329"/>
      <c r="EZM329"/>
      <c r="EZN329"/>
      <c r="EZQ329"/>
      <c r="EZR329"/>
      <c r="EZU329"/>
      <c r="EZV329"/>
      <c r="EZY329"/>
      <c r="EZZ329"/>
      <c r="FAC329"/>
      <c r="FAD329"/>
      <c r="FAG329"/>
      <c r="FAH329"/>
      <c r="FAK329"/>
      <c r="FAL329"/>
      <c r="FAO329"/>
      <c r="FAP329"/>
      <c r="FAS329"/>
      <c r="FAT329"/>
      <c r="FAW329"/>
      <c r="FAX329"/>
      <c r="FBA329"/>
      <c r="FBB329"/>
      <c r="FBE329"/>
      <c r="FBF329"/>
      <c r="FBI329"/>
      <c r="FBJ329"/>
      <c r="FBM329"/>
      <c r="FBN329"/>
      <c r="FBQ329"/>
      <c r="FBR329"/>
      <c r="FBU329"/>
      <c r="FBV329"/>
      <c r="FBY329"/>
      <c r="FBZ329"/>
      <c r="FCC329"/>
      <c r="FCD329"/>
      <c r="FCG329"/>
      <c r="FCH329"/>
      <c r="FCK329"/>
      <c r="FCL329"/>
      <c r="FCO329"/>
      <c r="FCP329"/>
      <c r="FCS329"/>
      <c r="FCT329"/>
      <c r="FCW329"/>
      <c r="FCX329"/>
      <c r="FDA329"/>
      <c r="FDB329"/>
      <c r="FDE329"/>
      <c r="FDF329"/>
      <c r="FDI329"/>
      <c r="FDJ329"/>
      <c r="FDM329"/>
      <c r="FDN329"/>
      <c r="FDQ329"/>
      <c r="FDR329"/>
      <c r="FDU329"/>
      <c r="FDV329"/>
      <c r="FDY329"/>
      <c r="FDZ329"/>
      <c r="FEC329"/>
      <c r="FED329"/>
      <c r="FEG329"/>
      <c r="FEH329"/>
      <c r="FEK329"/>
      <c r="FEL329"/>
      <c r="FEO329"/>
      <c r="FEP329"/>
      <c r="FES329"/>
      <c r="FET329"/>
      <c r="FEW329"/>
      <c r="FEX329"/>
      <c r="FFA329"/>
      <c r="FFB329"/>
      <c r="FFE329"/>
      <c r="FFF329"/>
      <c r="FFI329"/>
      <c r="FFJ329"/>
      <c r="FFM329"/>
      <c r="FFN329"/>
      <c r="FFQ329"/>
      <c r="FFR329"/>
      <c r="FFU329"/>
      <c r="FFV329"/>
      <c r="FFY329"/>
      <c r="FFZ329"/>
      <c r="FGC329"/>
      <c r="FGD329"/>
      <c r="FGG329"/>
      <c r="FGH329" s="25"/>
      <c r="FGK329"/>
      <c r="FGL329"/>
      <c r="FGO329"/>
      <c r="FGP329"/>
      <c r="FGS329"/>
      <c r="FGT329"/>
      <c r="FGW329"/>
      <c r="FGX329"/>
      <c r="FHA329"/>
      <c r="FHB329"/>
      <c r="FHE329"/>
      <c r="FHF329"/>
      <c r="FHI329"/>
      <c r="FHJ329"/>
      <c r="FHM329"/>
      <c r="FHN329"/>
      <c r="FHQ329"/>
      <c r="FHR329"/>
      <c r="FHU329"/>
      <c r="FHV329"/>
      <c r="FHY329"/>
      <c r="FHZ329"/>
      <c r="FIC329"/>
      <c r="FID329"/>
      <c r="FIG329"/>
      <c r="FIH329"/>
      <c r="FIK329"/>
      <c r="FIL329"/>
      <c r="FIO329"/>
      <c r="FIP329"/>
      <c r="FIS329"/>
      <c r="FIT329"/>
      <c r="FIW329"/>
      <c r="FIX329"/>
      <c r="FJA329"/>
      <c r="FJB329"/>
      <c r="FJE329"/>
      <c r="FJF329"/>
      <c r="FJI329"/>
      <c r="FJJ329"/>
      <c r="FJM329"/>
      <c r="FJN329"/>
      <c r="FJQ329"/>
      <c r="FJR329"/>
      <c r="FJU329"/>
      <c r="FJV329"/>
      <c r="FJY329"/>
      <c r="FJZ329"/>
      <c r="FKC329"/>
      <c r="FKD329"/>
      <c r="FKG329"/>
      <c r="FKH329"/>
      <c r="FKK329"/>
      <c r="FKL329"/>
      <c r="FKO329"/>
      <c r="FKP329"/>
      <c r="FKS329"/>
      <c r="FKT329"/>
      <c r="FKW329"/>
      <c r="FKX329"/>
      <c r="FLA329"/>
      <c r="FLB329"/>
      <c r="FLE329"/>
      <c r="FLF329"/>
      <c r="FLI329"/>
      <c r="FLJ329"/>
      <c r="FLM329"/>
      <c r="FLN329"/>
      <c r="FLQ329"/>
      <c r="FLR329"/>
      <c r="FLU329"/>
      <c r="FLV329"/>
      <c r="FLY329"/>
      <c r="FLZ329"/>
      <c r="FMC329"/>
      <c r="FMD329"/>
      <c r="FMG329"/>
      <c r="FMH329"/>
      <c r="FMK329"/>
      <c r="FML329"/>
      <c r="FMO329"/>
      <c r="FMP329"/>
      <c r="FMS329"/>
      <c r="FMT329"/>
      <c r="FMW329"/>
      <c r="FMX329"/>
      <c r="FNA329"/>
      <c r="FNB329"/>
      <c r="FNE329"/>
      <c r="FNF329"/>
      <c r="FNI329"/>
      <c r="FNJ329"/>
      <c r="FNM329"/>
      <c r="FNN329"/>
      <c r="FNQ329"/>
      <c r="FNR329"/>
      <c r="FNU329"/>
      <c r="FNV329"/>
      <c r="FNY329"/>
      <c r="FNZ329"/>
      <c r="FOC329"/>
      <c r="FOD329"/>
      <c r="FOG329"/>
      <c r="FOH329"/>
      <c r="FOK329"/>
      <c r="FOL329"/>
      <c r="FOO329"/>
      <c r="FOP329"/>
      <c r="FOS329"/>
      <c r="FOT329"/>
      <c r="FOW329"/>
      <c r="FOX329"/>
      <c r="FPA329"/>
      <c r="FPB329"/>
      <c r="FPE329"/>
      <c r="FPF329"/>
      <c r="FPI329"/>
      <c r="FPJ329"/>
      <c r="FPM329"/>
      <c r="FPN329"/>
      <c r="FPQ329"/>
      <c r="FPR329"/>
      <c r="FPU329"/>
      <c r="FPV329"/>
      <c r="FPY329"/>
      <c r="FPZ329"/>
      <c r="FQC329"/>
      <c r="FQD329"/>
      <c r="FQG329"/>
      <c r="FQH329"/>
      <c r="FQK329"/>
      <c r="FQL329"/>
      <c r="FQO329"/>
      <c r="FQP329"/>
      <c r="FQS329"/>
      <c r="FQT329"/>
      <c r="FQW329"/>
      <c r="FQX329"/>
      <c r="FRA329"/>
      <c r="FRB329"/>
      <c r="FRE329"/>
      <c r="FRF329"/>
      <c r="FRI329"/>
      <c r="FRJ329"/>
      <c r="FRM329"/>
      <c r="FRN329"/>
      <c r="FRQ329"/>
      <c r="FRR329"/>
      <c r="FRU329"/>
      <c r="FRV329"/>
      <c r="FRY329"/>
      <c r="FRZ329"/>
      <c r="FSC329"/>
      <c r="FSD329"/>
      <c r="FSG329"/>
      <c r="FSH329"/>
      <c r="FSK329"/>
      <c r="FSL329"/>
      <c r="FSO329"/>
      <c r="FSP329"/>
      <c r="FSS329"/>
      <c r="FST329"/>
      <c r="FSW329"/>
      <c r="FSX329"/>
      <c r="FTA329"/>
      <c r="FTB329"/>
      <c r="FTE329"/>
      <c r="FTF329"/>
      <c r="FTI329"/>
      <c r="FTJ329"/>
      <c r="FTM329"/>
      <c r="FTN329"/>
      <c r="FTQ329"/>
      <c r="FTR329"/>
      <c r="FTU329"/>
      <c r="FTV329"/>
      <c r="FTY329"/>
      <c r="FTZ329"/>
      <c r="FUC329"/>
      <c r="FUD329"/>
      <c r="FUG329"/>
      <c r="FUH329"/>
      <c r="FUK329"/>
      <c r="FUL329"/>
      <c r="FUO329"/>
      <c r="FUP329"/>
      <c r="FUS329"/>
      <c r="FUT329"/>
      <c r="FUW329"/>
      <c r="FUX329"/>
      <c r="FVA329"/>
      <c r="FVB329"/>
      <c r="FVE329"/>
      <c r="FVF329"/>
      <c r="FVI329"/>
      <c r="FVJ329"/>
      <c r="FVM329"/>
      <c r="FVN329"/>
      <c r="FVQ329"/>
      <c r="FVR329"/>
      <c r="FVU329"/>
      <c r="FVV329"/>
      <c r="FVY329"/>
      <c r="FVZ329"/>
      <c r="FWC329"/>
      <c r="FWD329"/>
      <c r="FWG329"/>
      <c r="FWH329"/>
      <c r="FWK329"/>
      <c r="FWL329"/>
      <c r="FWO329"/>
      <c r="FWP329"/>
      <c r="FWS329"/>
      <c r="FWT329"/>
      <c r="FWW329"/>
      <c r="FWX329"/>
      <c r="FXA329"/>
      <c r="FXB329"/>
      <c r="FXE329"/>
      <c r="FXF329"/>
      <c r="FXI329"/>
      <c r="FXJ329"/>
      <c r="FXM329"/>
      <c r="FXN329"/>
      <c r="FXQ329"/>
      <c r="FXR329"/>
      <c r="FXU329"/>
      <c r="FXV329"/>
      <c r="FXY329"/>
      <c r="FXZ329"/>
      <c r="FYC329"/>
      <c r="FYD329"/>
      <c r="FYG329"/>
      <c r="FYH329"/>
      <c r="FYK329"/>
      <c r="FYL329"/>
      <c r="FYO329"/>
      <c r="FYP329"/>
      <c r="FYS329"/>
      <c r="FYT329"/>
      <c r="FYW329"/>
      <c r="FYX329"/>
      <c r="FZA329"/>
      <c r="FZB329"/>
      <c r="FZE329"/>
      <c r="FZF329"/>
      <c r="FZI329"/>
      <c r="FZJ329"/>
      <c r="FZM329"/>
      <c r="FZN329"/>
      <c r="FZQ329"/>
      <c r="FZR329"/>
      <c r="FZU329"/>
      <c r="FZV329"/>
      <c r="FZY329"/>
      <c r="FZZ329"/>
      <c r="GAC329"/>
      <c r="GAD329"/>
      <c r="GAG329"/>
      <c r="GAH329"/>
      <c r="GAK329"/>
      <c r="GAL329"/>
      <c r="GAO329"/>
      <c r="GAP329"/>
      <c r="GAS329"/>
      <c r="GAT329"/>
      <c r="GAW329"/>
      <c r="GAX329"/>
      <c r="GBA329"/>
      <c r="GBB329"/>
      <c r="GBE329"/>
      <c r="GBF329"/>
      <c r="GBI329"/>
      <c r="GBJ329"/>
      <c r="GBM329"/>
      <c r="GBN329"/>
      <c r="GBQ329"/>
      <c r="GBR329"/>
      <c r="GBU329"/>
      <c r="GBV329"/>
      <c r="GBY329"/>
      <c r="GBZ329"/>
      <c r="GCC329"/>
      <c r="GCD329"/>
      <c r="GCG329"/>
      <c r="GCH329"/>
      <c r="GCK329"/>
      <c r="GCL329"/>
      <c r="GCO329"/>
      <c r="GCP329"/>
      <c r="GCS329"/>
      <c r="GCT329"/>
      <c r="GCW329"/>
      <c r="GCX329"/>
      <c r="GDA329"/>
      <c r="GDB329"/>
      <c r="GDE329"/>
      <c r="GDF329"/>
      <c r="GDI329"/>
      <c r="GDJ329"/>
      <c r="GDM329"/>
      <c r="GDN329"/>
      <c r="GDQ329"/>
      <c r="GDR329"/>
      <c r="GDU329"/>
      <c r="GDV329"/>
      <c r="GDY329"/>
      <c r="GDZ329"/>
      <c r="GEC329"/>
      <c r="GED329"/>
      <c r="GEG329"/>
      <c r="GEH329"/>
      <c r="GEK329"/>
      <c r="GEL329"/>
      <c r="GEO329"/>
      <c r="GEP329"/>
      <c r="GES329"/>
      <c r="GET329"/>
      <c r="GEW329"/>
      <c r="GEX329"/>
      <c r="GFA329"/>
      <c r="GFB329"/>
      <c r="GFE329"/>
      <c r="GFF329"/>
      <c r="GFI329"/>
      <c r="GFJ329"/>
      <c r="GFM329"/>
      <c r="GFN329"/>
      <c r="GFQ329"/>
      <c r="GFR329"/>
      <c r="GFU329"/>
      <c r="GFV329"/>
      <c r="GFY329"/>
      <c r="GFZ329"/>
      <c r="GGC329"/>
      <c r="GGD329"/>
      <c r="GGG329"/>
      <c r="GGH329"/>
      <c r="GGK329"/>
      <c r="GGL329"/>
      <c r="GGO329"/>
      <c r="GGP329"/>
      <c r="GGS329"/>
      <c r="GGT329"/>
      <c r="GGW329"/>
      <c r="GGX329"/>
      <c r="GHA329"/>
      <c r="GHB329"/>
      <c r="GHE329"/>
      <c r="GHF329"/>
      <c r="GHI329" s="25"/>
      <c r="GHJ329"/>
      <c r="GHM329"/>
      <c r="GHN329"/>
      <c r="GHQ329"/>
      <c r="GHR329"/>
      <c r="GHU329"/>
      <c r="GHV329"/>
      <c r="GHY329"/>
      <c r="GHZ329"/>
      <c r="GIC329"/>
      <c r="GID329"/>
      <c r="GIG329"/>
      <c r="GIH329"/>
      <c r="GIK329"/>
      <c r="GIL329"/>
      <c r="GIO329"/>
      <c r="GIP329"/>
      <c r="GIS329"/>
      <c r="GIT329"/>
      <c r="GIW329"/>
      <c r="GIX329"/>
      <c r="GJA329"/>
      <c r="GJB329"/>
      <c r="GJE329"/>
      <c r="GJF329"/>
      <c r="GJI329"/>
      <c r="GJJ329"/>
      <c r="GJM329"/>
      <c r="GJN329"/>
      <c r="GJQ329"/>
      <c r="GJR329"/>
      <c r="GJU329"/>
      <c r="GJV329"/>
      <c r="GJY329"/>
      <c r="GJZ329"/>
      <c r="GKC329"/>
      <c r="GKD329"/>
      <c r="GKG329"/>
      <c r="GKH329"/>
      <c r="GKK329"/>
      <c r="GKL329"/>
      <c r="GKO329"/>
      <c r="GKP329"/>
      <c r="GKS329"/>
      <c r="GKT329"/>
      <c r="GKW329"/>
      <c r="GKX329"/>
      <c r="GLA329"/>
      <c r="GLB329"/>
      <c r="GLE329"/>
      <c r="GLF329"/>
      <c r="GLI329"/>
      <c r="GLJ329"/>
      <c r="GLM329"/>
      <c r="GLN329"/>
      <c r="GLQ329"/>
      <c r="GLR329"/>
      <c r="GLU329"/>
      <c r="GLV329"/>
      <c r="GLY329"/>
      <c r="GLZ329"/>
      <c r="GMC329"/>
      <c r="GMD329"/>
      <c r="GMG329"/>
      <c r="GMH329"/>
      <c r="GMK329"/>
      <c r="GML329"/>
      <c r="GMO329"/>
      <c r="GMP329"/>
      <c r="GMS329"/>
      <c r="GMT329"/>
      <c r="GMW329"/>
      <c r="GMX329"/>
      <c r="GNA329"/>
      <c r="GNB329"/>
      <c r="GNE329"/>
      <c r="GNF329"/>
      <c r="GNI329"/>
      <c r="GNJ329"/>
      <c r="GNM329"/>
      <c r="GNN329"/>
      <c r="GNQ329"/>
      <c r="GNR329"/>
      <c r="GNU329"/>
      <c r="GNV329"/>
      <c r="GNY329"/>
      <c r="GNZ329"/>
      <c r="GOC329"/>
      <c r="GOD329"/>
      <c r="GOG329"/>
      <c r="GOH329"/>
      <c r="GOK329"/>
      <c r="GOL329"/>
      <c r="GOO329"/>
      <c r="GOP329"/>
      <c r="GOS329"/>
      <c r="GOT329"/>
      <c r="GOW329"/>
      <c r="GOX329"/>
      <c r="GPA329"/>
      <c r="GPB329"/>
      <c r="GPE329"/>
      <c r="GPF329"/>
      <c r="GPI329"/>
      <c r="GPJ329"/>
      <c r="GPM329"/>
      <c r="GPN329"/>
      <c r="GPQ329"/>
      <c r="GPR329"/>
      <c r="GPU329"/>
      <c r="GPV329"/>
      <c r="GPY329"/>
      <c r="GPZ329"/>
      <c r="GQC329"/>
      <c r="GQD329"/>
      <c r="GQG329"/>
      <c r="GQH329"/>
      <c r="GQK329"/>
      <c r="GQL329"/>
      <c r="GQO329"/>
      <c r="GQP329"/>
      <c r="GQS329"/>
      <c r="GQT329"/>
      <c r="GQW329"/>
      <c r="GQX329"/>
      <c r="GRA329"/>
      <c r="GRB329"/>
      <c r="GRE329"/>
      <c r="GRF329"/>
      <c r="GRI329"/>
      <c r="GRJ329"/>
      <c r="GRM329"/>
      <c r="GRN329"/>
      <c r="GRQ329"/>
      <c r="GRR329"/>
      <c r="GRU329"/>
      <c r="GRV329"/>
      <c r="GRY329"/>
      <c r="GRZ329"/>
      <c r="GSC329"/>
      <c r="GSD329"/>
      <c r="GSG329"/>
      <c r="GSH329"/>
      <c r="GSK329"/>
      <c r="GSL329"/>
      <c r="GSO329"/>
      <c r="GSP329"/>
      <c r="GSS329"/>
      <c r="GST329"/>
      <c r="GSW329"/>
      <c r="GSX329"/>
      <c r="GTA329"/>
      <c r="GTB329"/>
      <c r="GTE329"/>
      <c r="GTF329"/>
      <c r="GTI329"/>
      <c r="GTJ329"/>
      <c r="GTM329"/>
      <c r="GTN329"/>
      <c r="GTQ329"/>
      <c r="GTR329"/>
      <c r="GTU329"/>
      <c r="GTV329"/>
      <c r="GTY329"/>
      <c r="GTZ329"/>
      <c r="GUC329"/>
      <c r="GUD329"/>
      <c r="GUG329"/>
      <c r="GUH329"/>
      <c r="GUK329"/>
      <c r="GUL329"/>
      <c r="GUO329"/>
      <c r="GUP329"/>
      <c r="GUS329"/>
      <c r="GUT329"/>
      <c r="GUW329"/>
      <c r="GUX329"/>
      <c r="GVA329"/>
      <c r="GVB329"/>
      <c r="GVE329"/>
      <c r="GVF329"/>
      <c r="GVI329"/>
      <c r="GVJ329"/>
      <c r="GVM329"/>
      <c r="GVN329"/>
      <c r="GVQ329"/>
      <c r="GVR329"/>
      <c r="GVU329"/>
      <c r="GVV329"/>
      <c r="GVY329"/>
      <c r="GVZ329"/>
      <c r="GWC329"/>
      <c r="GWD329"/>
      <c r="GWG329"/>
      <c r="GWH329"/>
      <c r="GWK329"/>
      <c r="GWL329"/>
      <c r="GWO329"/>
      <c r="GWP329"/>
      <c r="GWS329"/>
      <c r="GWT329"/>
      <c r="GWW329"/>
      <c r="GWX329"/>
      <c r="GXA329"/>
      <c r="GXB329"/>
      <c r="GXE329"/>
      <c r="GXF329"/>
      <c r="GXI329"/>
      <c r="GXJ329"/>
      <c r="GXM329"/>
      <c r="GXN329"/>
      <c r="GXQ329"/>
      <c r="GXR329"/>
      <c r="GXU329"/>
      <c r="GXV329"/>
      <c r="GXY329"/>
      <c r="GXZ329"/>
      <c r="GYC329"/>
      <c r="GYD329"/>
      <c r="GYG329"/>
      <c r="GYH329"/>
      <c r="GYK329"/>
      <c r="GYL329"/>
      <c r="GYO329"/>
      <c r="GYP329"/>
      <c r="GYS329"/>
      <c r="GYT329"/>
      <c r="GYW329"/>
      <c r="GYX329"/>
      <c r="GZA329"/>
      <c r="GZB329"/>
      <c r="GZE329"/>
      <c r="GZF329"/>
      <c r="GZI329"/>
      <c r="GZJ329"/>
      <c r="GZM329"/>
      <c r="GZN329"/>
      <c r="GZQ329"/>
      <c r="GZR329"/>
      <c r="GZU329"/>
      <c r="GZV329"/>
      <c r="GZY329"/>
      <c r="GZZ329"/>
      <c r="HAC329"/>
      <c r="HAD329"/>
      <c r="HAG329"/>
      <c r="HAH329"/>
      <c r="HAK329"/>
      <c r="HAL329"/>
      <c r="HAO329"/>
      <c r="HAP329"/>
      <c r="HAS329"/>
      <c r="HAT329"/>
      <c r="HAW329"/>
      <c r="HAX329"/>
      <c r="HBA329"/>
      <c r="HBB329"/>
      <c r="HBE329"/>
      <c r="HBF329"/>
      <c r="HBI329"/>
      <c r="HBJ329"/>
      <c r="HBM329"/>
      <c r="HBN329"/>
      <c r="HBQ329"/>
      <c r="HBR329"/>
      <c r="HBU329"/>
      <c r="HBV329"/>
      <c r="HBY329"/>
      <c r="HBZ329"/>
      <c r="HCC329"/>
      <c r="HCD329"/>
      <c r="HCG329"/>
      <c r="HCH329"/>
      <c r="HCK329"/>
      <c r="HCL329"/>
      <c r="HCO329"/>
      <c r="HCP329"/>
      <c r="HCS329"/>
      <c r="HCT329"/>
      <c r="HCW329"/>
      <c r="HCX329"/>
      <c r="HDA329"/>
      <c r="HDB329"/>
      <c r="HDE329"/>
      <c r="HDF329"/>
      <c r="HDI329"/>
      <c r="HDJ329"/>
      <c r="HDM329"/>
      <c r="HDN329"/>
      <c r="HDQ329"/>
      <c r="HDR329"/>
      <c r="HDU329"/>
      <c r="HDV329"/>
      <c r="HDY329"/>
      <c r="HDZ329"/>
      <c r="HEC329"/>
      <c r="HED329"/>
      <c r="HEG329"/>
      <c r="HEH329"/>
      <c r="HEK329"/>
      <c r="HEL329"/>
      <c r="HEO329"/>
      <c r="HEP329"/>
      <c r="HES329"/>
      <c r="HET329"/>
      <c r="HEW329"/>
      <c r="HEX329"/>
      <c r="HFA329"/>
      <c r="HFB329"/>
      <c r="HFE329"/>
      <c r="HFF329"/>
      <c r="HFI329"/>
      <c r="HFJ329"/>
      <c r="HFM329"/>
      <c r="HFN329"/>
      <c r="HFQ329"/>
      <c r="HFR329"/>
      <c r="HFU329"/>
      <c r="HFV329"/>
      <c r="HFY329"/>
      <c r="HFZ329"/>
      <c r="HGC329"/>
      <c r="HGD329"/>
      <c r="HGG329"/>
      <c r="HGH329"/>
      <c r="HGK329"/>
      <c r="HGL329"/>
      <c r="HGO329"/>
      <c r="HGP329"/>
      <c r="HGS329"/>
      <c r="HGT329"/>
      <c r="HGW329"/>
      <c r="HGX329"/>
      <c r="HHA329"/>
      <c r="HHB329"/>
      <c r="HHE329"/>
      <c r="HHF329"/>
      <c r="HHI329"/>
      <c r="HHJ329"/>
      <c r="HHM329"/>
      <c r="HHN329"/>
      <c r="HHQ329"/>
      <c r="HHR329"/>
      <c r="HHU329"/>
      <c r="HHV329"/>
      <c r="HHY329"/>
      <c r="HHZ329"/>
      <c r="HIC329"/>
      <c r="HID329"/>
      <c r="HIG329"/>
      <c r="HIH329"/>
      <c r="HIK329"/>
      <c r="HIL329"/>
      <c r="HIO329"/>
      <c r="HIP329"/>
      <c r="HIS329"/>
      <c r="HIT329"/>
      <c r="HIW329"/>
      <c r="HIX329"/>
      <c r="HJA329"/>
      <c r="HJB329"/>
      <c r="HJE329"/>
      <c r="HJF329"/>
      <c r="HJI329"/>
      <c r="HJJ329"/>
      <c r="HJM329"/>
      <c r="HJN329"/>
      <c r="HJQ329"/>
      <c r="HJR329"/>
      <c r="HJU329"/>
      <c r="HJV329"/>
      <c r="HJY329"/>
      <c r="HJZ329"/>
      <c r="HKC329"/>
      <c r="HKD329"/>
      <c r="HKG329"/>
      <c r="HKH329"/>
      <c r="HKK329"/>
      <c r="HKL329"/>
      <c r="HKO329"/>
      <c r="HKP329"/>
      <c r="HKS329"/>
      <c r="HKT329"/>
      <c r="HKW329"/>
      <c r="HKX329"/>
      <c r="HLA329"/>
      <c r="HLB329"/>
      <c r="HLE329"/>
      <c r="HLF329"/>
      <c r="HLI329"/>
      <c r="HLJ329"/>
      <c r="HLM329"/>
      <c r="HLN329"/>
      <c r="HLQ329"/>
      <c r="HLR329"/>
      <c r="HLU329"/>
      <c r="HLV329"/>
      <c r="HLY329"/>
      <c r="HLZ329"/>
      <c r="HMC329"/>
      <c r="HMD329"/>
      <c r="HMG329"/>
      <c r="HMH329"/>
      <c r="HMK329"/>
      <c r="HML329"/>
      <c r="HMO329"/>
      <c r="HMP329"/>
      <c r="HMS329"/>
      <c r="HMT329"/>
      <c r="HMW329"/>
      <c r="HMX329"/>
      <c r="HNA329"/>
      <c r="HNB329"/>
      <c r="HNE329"/>
      <c r="HNF329"/>
      <c r="HNI329"/>
      <c r="HNJ329"/>
      <c r="HNM329"/>
      <c r="HNN329"/>
      <c r="HNQ329"/>
      <c r="HNR329"/>
      <c r="HNU329"/>
      <c r="HNV329"/>
      <c r="HNY329"/>
      <c r="HNZ329"/>
      <c r="HOC329"/>
      <c r="HOD329"/>
      <c r="HOG329"/>
      <c r="HOH329"/>
      <c r="HOK329"/>
      <c r="HOL329"/>
      <c r="HOO329"/>
      <c r="HOP329"/>
      <c r="HOS329"/>
      <c r="HOT329"/>
      <c r="HOW329"/>
      <c r="HOX329"/>
      <c r="HPA329"/>
      <c r="HPB329"/>
      <c r="HPE329"/>
      <c r="HPF329"/>
      <c r="HPI329"/>
      <c r="HPJ329"/>
      <c r="HPM329"/>
      <c r="HPN329"/>
      <c r="HPQ329"/>
      <c r="HPR329"/>
      <c r="HPU329"/>
      <c r="HPV329"/>
      <c r="HPY329"/>
      <c r="HPZ329"/>
      <c r="HQC329"/>
      <c r="HQD329"/>
      <c r="HQG329"/>
      <c r="HQH329"/>
      <c r="HQK329"/>
      <c r="HQL329"/>
      <c r="HQO329"/>
      <c r="HQP329"/>
      <c r="HQS329"/>
      <c r="HQT329"/>
      <c r="HQW329"/>
      <c r="HQX329"/>
      <c r="HRA329"/>
      <c r="HRB329"/>
      <c r="HRE329"/>
      <c r="HRF329"/>
      <c r="HRI329"/>
      <c r="HRJ329"/>
      <c r="HRM329"/>
      <c r="HRN329"/>
      <c r="HRQ329"/>
      <c r="HRR329"/>
      <c r="HRU329"/>
      <c r="HRV329"/>
      <c r="HRY329"/>
      <c r="HRZ329"/>
      <c r="HSC329"/>
      <c r="HSD329"/>
      <c r="HSG329"/>
      <c r="HSH329"/>
      <c r="HSK329"/>
      <c r="HSL329"/>
      <c r="HSO329"/>
      <c r="HSP329"/>
      <c r="HSS329"/>
      <c r="HST329"/>
      <c r="HSW329"/>
      <c r="HSX329"/>
      <c r="HTA329"/>
      <c r="HTB329"/>
      <c r="HTE329"/>
      <c r="HTF329"/>
      <c r="HTI329"/>
      <c r="HTJ329"/>
      <c r="HTM329"/>
      <c r="HTN329"/>
      <c r="HTQ329"/>
      <c r="HTR329"/>
      <c r="HTU329"/>
      <c r="HTV329"/>
      <c r="HTY329"/>
      <c r="HTZ329"/>
      <c r="HUC329"/>
      <c r="HUD329"/>
      <c r="HUG329"/>
      <c r="HUH329"/>
      <c r="HUK329"/>
      <c r="HUL329"/>
      <c r="HUO329"/>
      <c r="HUP329"/>
      <c r="HUS329"/>
      <c r="HUT329"/>
      <c r="HUW329"/>
      <c r="HUX329"/>
      <c r="HVA329"/>
      <c r="HVB329"/>
      <c r="HVE329"/>
      <c r="HVF329"/>
      <c r="HVI329"/>
      <c r="HVJ329"/>
      <c r="HVM329"/>
      <c r="HVN329"/>
      <c r="HVQ329"/>
      <c r="HVR329"/>
      <c r="HVU329"/>
      <c r="HVV329"/>
      <c r="HVY329"/>
      <c r="HVZ329"/>
      <c r="HWC329"/>
      <c r="HWD329"/>
      <c r="HWG329"/>
      <c r="HWH329"/>
      <c r="HWK329"/>
      <c r="HWL329"/>
      <c r="HWO329"/>
      <c r="HWP329"/>
      <c r="HWS329"/>
      <c r="HWT329"/>
      <c r="HWW329"/>
      <c r="HWX329"/>
      <c r="HXA329"/>
      <c r="HXB329"/>
      <c r="HXE329"/>
      <c r="HXF329"/>
      <c r="HXI329"/>
      <c r="HXJ329"/>
      <c r="HXM329"/>
      <c r="HXN329"/>
      <c r="HXQ329"/>
      <c r="HXR329"/>
      <c r="HXU329"/>
      <c r="HXV329"/>
      <c r="HXY329"/>
      <c r="HXZ329"/>
      <c r="HYC329"/>
      <c r="HYD329"/>
      <c r="HYG329"/>
      <c r="HYH329"/>
      <c r="HYK329"/>
      <c r="HYL329"/>
      <c r="HYO329"/>
      <c r="HYP329"/>
      <c r="HYS329"/>
      <c r="HYT329"/>
      <c r="HYW329"/>
      <c r="HYX329"/>
      <c r="HZA329"/>
      <c r="HZB329"/>
      <c r="HZE329"/>
      <c r="HZF329"/>
      <c r="HZI329"/>
      <c r="HZJ329"/>
      <c r="HZM329"/>
      <c r="HZN329"/>
      <c r="HZQ329"/>
      <c r="HZR329"/>
      <c r="HZU329"/>
      <c r="HZV329"/>
      <c r="HZY329"/>
      <c r="HZZ329"/>
      <c r="IAC329"/>
      <c r="IAD329"/>
      <c r="IAG329"/>
      <c r="IAH329"/>
      <c r="IAK329"/>
      <c r="IAL329"/>
      <c r="IAO329"/>
      <c r="IAP329"/>
      <c r="IAS329"/>
      <c r="IAT329"/>
      <c r="IAW329"/>
      <c r="IAX329"/>
      <c r="IBA329"/>
      <c r="IBB329"/>
      <c r="IBE329"/>
      <c r="IBF329"/>
      <c r="IBI329"/>
      <c r="IBJ329"/>
      <c r="IBM329"/>
      <c r="IBN329"/>
      <c r="IBQ329"/>
      <c r="IBR329"/>
      <c r="IBU329"/>
      <c r="IBV329"/>
      <c r="IBY329"/>
      <c r="IBZ329"/>
      <c r="ICC329"/>
      <c r="ICD329"/>
      <c r="ICG329"/>
      <c r="ICH329"/>
      <c r="ICK329"/>
      <c r="ICL329"/>
      <c r="ICO329"/>
      <c r="ICP329"/>
      <c r="ICS329"/>
      <c r="ICT329"/>
      <c r="ICW329"/>
      <c r="ICX329"/>
      <c r="IDA329"/>
      <c r="IDB329"/>
      <c r="IDE329"/>
      <c r="IDF329"/>
      <c r="IDI329"/>
      <c r="IDJ329"/>
      <c r="IDM329"/>
      <c r="IDN329"/>
      <c r="IDQ329"/>
      <c r="IDR329"/>
      <c r="IDU329"/>
      <c r="IDV329"/>
      <c r="IDY329"/>
      <c r="IDZ329"/>
      <c r="IEC329"/>
      <c r="IED329"/>
      <c r="IEG329"/>
      <c r="IEH329"/>
      <c r="IEK329"/>
      <c r="IEL329"/>
      <c r="IEO329"/>
      <c r="IEP329"/>
      <c r="IES329"/>
      <c r="IET329"/>
      <c r="IEW329"/>
      <c r="IEX329"/>
      <c r="IFA329"/>
      <c r="IFB329"/>
      <c r="IFE329"/>
      <c r="IFF329"/>
      <c r="IFI329"/>
      <c r="IFJ329"/>
      <c r="IFM329"/>
      <c r="IFN329"/>
      <c r="IFQ329"/>
      <c r="IFR329"/>
      <c r="IFU329"/>
      <c r="IFV329"/>
      <c r="IFY329"/>
      <c r="IFZ329"/>
      <c r="IGC329"/>
      <c r="IGD329"/>
      <c r="IGG329"/>
      <c r="IGH329"/>
      <c r="IGK329"/>
      <c r="IGL329"/>
      <c r="IGO329"/>
      <c r="IGP329"/>
      <c r="IGS329"/>
      <c r="IGT329"/>
      <c r="IGW329"/>
      <c r="IGX329"/>
      <c r="IHA329"/>
      <c r="IHB329"/>
      <c r="IHE329"/>
      <c r="IHF329"/>
      <c r="IHI329"/>
      <c r="IHJ329"/>
      <c r="IHM329"/>
      <c r="IHN329"/>
      <c r="IHQ329"/>
      <c r="IHR329"/>
      <c r="IHU329"/>
      <c r="IHV329"/>
      <c r="IHY329"/>
      <c r="IHZ329"/>
      <c r="IIC329"/>
      <c r="IID329"/>
      <c r="IIG329"/>
      <c r="IIH329"/>
      <c r="IIK329"/>
      <c r="IIL329"/>
      <c r="IIO329"/>
      <c r="IIP329"/>
      <c r="IIS329"/>
      <c r="IIT329"/>
      <c r="IIW329"/>
      <c r="IIX329"/>
      <c r="IJA329"/>
      <c r="IJB329"/>
      <c r="IJE329"/>
      <c r="IJF329"/>
      <c r="IJI329"/>
      <c r="IJJ329"/>
      <c r="IJM329"/>
      <c r="IJN329"/>
      <c r="IJQ329"/>
      <c r="IJR329"/>
      <c r="IJU329"/>
      <c r="IJV329"/>
      <c r="IJY329"/>
      <c r="IJZ329"/>
      <c r="IKC329"/>
      <c r="IKD329"/>
      <c r="IKG329"/>
      <c r="IKH329"/>
      <c r="IKK329"/>
      <c r="IKL329"/>
      <c r="IKO329"/>
      <c r="IKP329"/>
      <c r="IKS329"/>
      <c r="IKT329"/>
      <c r="IKW329"/>
      <c r="IKX329"/>
      <c r="ILA329"/>
      <c r="ILB329"/>
      <c r="ILE329"/>
      <c r="ILF329"/>
      <c r="ILI329"/>
      <c r="ILJ329"/>
      <c r="ILM329"/>
      <c r="ILN329"/>
      <c r="ILQ329"/>
      <c r="ILR329"/>
      <c r="ILU329"/>
      <c r="ILV329"/>
      <c r="ILY329"/>
      <c r="ILZ329"/>
      <c r="IMC329"/>
      <c r="IMD329"/>
      <c r="IMG329"/>
      <c r="IMH329"/>
      <c r="IMK329"/>
      <c r="IML329"/>
      <c r="IMO329"/>
      <c r="IMP329"/>
      <c r="IMS329"/>
      <c r="IMT329"/>
      <c r="IMW329"/>
      <c r="IMX329"/>
      <c r="INA329"/>
      <c r="INB329"/>
      <c r="INE329"/>
      <c r="INF329"/>
      <c r="INI329"/>
      <c r="INJ329"/>
      <c r="INM329"/>
      <c r="INN329"/>
      <c r="INQ329"/>
      <c r="INR329"/>
      <c r="INU329"/>
      <c r="INV329"/>
      <c r="INY329"/>
      <c r="INZ329"/>
      <c r="IOC329"/>
      <c r="IOD329"/>
      <c r="IOG329"/>
      <c r="IOH329"/>
      <c r="IOK329"/>
      <c r="IOL329"/>
      <c r="IOO329"/>
      <c r="IOP329"/>
      <c r="IOS329"/>
      <c r="IOT329"/>
      <c r="IOW329"/>
      <c r="IOX329"/>
      <c r="IPA329"/>
      <c r="IPB329"/>
      <c r="IPE329"/>
      <c r="IPF329"/>
      <c r="IPI329"/>
      <c r="IPJ329"/>
      <c r="IPM329"/>
      <c r="IPN329"/>
      <c r="IPQ329"/>
      <c r="IPR329"/>
      <c r="IPU329"/>
      <c r="IPV329"/>
      <c r="IPY329"/>
      <c r="IPZ329"/>
      <c r="IQC329"/>
      <c r="IQD329"/>
      <c r="IQG329"/>
      <c r="IQH329"/>
      <c r="IQK329"/>
      <c r="IQL329"/>
      <c r="IQO329"/>
      <c r="IQP329"/>
      <c r="IQS329"/>
      <c r="IQT329"/>
      <c r="IQW329"/>
      <c r="IQX329"/>
      <c r="IRA329"/>
      <c r="IRB329"/>
      <c r="IRE329"/>
      <c r="IRF329"/>
      <c r="IRI329"/>
      <c r="IRJ329"/>
      <c r="IRM329"/>
      <c r="IRN329"/>
      <c r="IRQ329"/>
      <c r="IRR329"/>
      <c r="IRU329"/>
      <c r="IRV329"/>
      <c r="IRY329"/>
      <c r="IRZ329"/>
      <c r="ISC329"/>
      <c r="ISD329"/>
      <c r="ISG329"/>
      <c r="ISH329"/>
      <c r="ISK329"/>
      <c r="ISL329"/>
      <c r="ISO329"/>
      <c r="ISP329"/>
      <c r="ISS329"/>
      <c r="IST329"/>
      <c r="ISW329"/>
      <c r="ISX329"/>
      <c r="ITA329"/>
      <c r="ITB329"/>
      <c r="ITE329"/>
      <c r="ITF329"/>
      <c r="ITI329"/>
      <c r="ITJ329"/>
      <c r="ITM329"/>
      <c r="ITN329"/>
      <c r="ITQ329"/>
      <c r="ITR329"/>
      <c r="ITU329"/>
      <c r="ITV329"/>
      <c r="ITY329"/>
      <c r="ITZ329"/>
      <c r="IUC329"/>
      <c r="IUD329"/>
      <c r="IUG329"/>
      <c r="IUH329"/>
      <c r="IUK329"/>
      <c r="IUL329"/>
      <c r="IUO329"/>
      <c r="IUP329"/>
      <c r="IUS329"/>
      <c r="IUT329"/>
      <c r="IUW329"/>
      <c r="IUX329"/>
      <c r="IVA329"/>
      <c r="IVB329"/>
      <c r="IVE329"/>
      <c r="IVF329"/>
      <c r="IVI329"/>
      <c r="IVJ329"/>
      <c r="IVM329"/>
      <c r="IVN329"/>
      <c r="IVQ329"/>
      <c r="IVR329"/>
      <c r="IVU329"/>
      <c r="IVV329"/>
      <c r="IVY329"/>
      <c r="IVZ329"/>
      <c r="IWC329"/>
      <c r="IWD329"/>
      <c r="IWG329"/>
      <c r="IWH329"/>
      <c r="IWK329"/>
      <c r="IWL329"/>
      <c r="IWO329"/>
      <c r="IWP329"/>
      <c r="IWS329"/>
      <c r="IWT329"/>
      <c r="IWW329"/>
      <c r="IWX329"/>
      <c r="IXA329"/>
      <c r="IXB329"/>
      <c r="IXE329"/>
      <c r="IXF329"/>
      <c r="IXI329"/>
      <c r="IXJ329"/>
      <c r="IXM329"/>
      <c r="IXN329"/>
      <c r="IXQ329"/>
      <c r="IXR329"/>
      <c r="IXU329"/>
      <c r="IXV329"/>
      <c r="IXY329"/>
      <c r="IXZ329"/>
      <c r="IYC329"/>
      <c r="IYD329"/>
      <c r="IYG329"/>
      <c r="IYH329"/>
      <c r="IYK329"/>
      <c r="IYL329"/>
      <c r="IYO329"/>
      <c r="IYP329"/>
      <c r="IYS329"/>
      <c r="IYT329"/>
      <c r="IYW329"/>
      <c r="IYX329"/>
      <c r="IZA329"/>
      <c r="IZB329"/>
      <c r="IZE329"/>
      <c r="IZF329"/>
      <c r="IZI329"/>
      <c r="IZJ329"/>
      <c r="IZM329"/>
      <c r="IZN329"/>
      <c r="IZQ329"/>
      <c r="IZR329"/>
      <c r="IZU329"/>
      <c r="IZV329"/>
      <c r="IZY329"/>
      <c r="IZZ329"/>
      <c r="JAC329"/>
      <c r="JAD329"/>
      <c r="JAG329"/>
      <c r="JAH329"/>
      <c r="JAK329"/>
      <c r="JAL329"/>
      <c r="JAO329"/>
      <c r="JAP329"/>
      <c r="JAS329"/>
      <c r="JAT329"/>
      <c r="JAW329"/>
      <c r="JAX329"/>
      <c r="JBA329"/>
      <c r="JBB329"/>
      <c r="JBE329"/>
      <c r="JBF329"/>
      <c r="JBI329"/>
      <c r="JBJ329"/>
      <c r="JBM329"/>
      <c r="JBN329"/>
      <c r="JBQ329"/>
      <c r="JBR329"/>
      <c r="JBU329"/>
      <c r="JBV329"/>
      <c r="JBY329"/>
      <c r="JBZ329"/>
      <c r="JCC329"/>
      <c r="JCD329"/>
      <c r="JCG329"/>
      <c r="JCH329"/>
      <c r="JCK329"/>
      <c r="JCL329"/>
      <c r="JCO329"/>
      <c r="JCP329"/>
      <c r="JCS329"/>
      <c r="JCT329"/>
      <c r="JCW329"/>
      <c r="JCX329"/>
      <c r="JDA329"/>
      <c r="JDB329"/>
      <c r="JDE329"/>
      <c r="JDF329"/>
      <c r="JDI329"/>
      <c r="JDJ329"/>
      <c r="JDM329"/>
      <c r="JDN329"/>
      <c r="JDQ329"/>
      <c r="JDR329"/>
      <c r="JDU329"/>
      <c r="JDV329"/>
      <c r="JDY329"/>
      <c r="JDZ329"/>
      <c r="JEC329"/>
      <c r="JED329"/>
      <c r="JEG329"/>
      <c r="JEH329"/>
      <c r="JEK329"/>
      <c r="JEL329"/>
      <c r="JEO329"/>
      <c r="JEP329"/>
      <c r="JES329"/>
      <c r="JET329"/>
      <c r="JEW329"/>
      <c r="JEX329"/>
      <c r="JFA329"/>
      <c r="JFB329"/>
      <c r="JFE329"/>
      <c r="JFF329"/>
      <c r="JFI329"/>
      <c r="JFJ329"/>
      <c r="JFM329"/>
      <c r="JFN329"/>
      <c r="JFQ329"/>
      <c r="JFR329"/>
      <c r="JFU329"/>
      <c r="JFV329"/>
      <c r="JFY329"/>
      <c r="JFZ329"/>
      <c r="JGC329"/>
      <c r="JGD329"/>
      <c r="JGG329"/>
      <c r="JGH329"/>
      <c r="JGK329"/>
      <c r="JGL329"/>
      <c r="JGO329"/>
      <c r="JGP329"/>
      <c r="JGS329"/>
      <c r="JGT329"/>
      <c r="JGW329"/>
      <c r="JGX329"/>
      <c r="JHA329"/>
      <c r="JHB329"/>
      <c r="JHE329"/>
      <c r="JHF329"/>
      <c r="JHI329"/>
      <c r="JHJ329"/>
      <c r="JHM329"/>
      <c r="JHN329"/>
      <c r="JHQ329"/>
      <c r="JHR329"/>
      <c r="JHU329"/>
      <c r="JHV329"/>
      <c r="JHY329"/>
      <c r="JHZ329"/>
      <c r="JIC329"/>
      <c r="JID329"/>
      <c r="JIG329"/>
      <c r="JIH329"/>
      <c r="JIK329"/>
      <c r="JIL329"/>
      <c r="JIO329"/>
      <c r="JIP329"/>
      <c r="JIS329"/>
      <c r="JIT329"/>
      <c r="JIW329"/>
      <c r="JIX329"/>
      <c r="JJA329"/>
      <c r="JJB329"/>
      <c r="JJE329"/>
      <c r="JJF329"/>
      <c r="JJI329"/>
      <c r="JJJ329"/>
      <c r="JJM329"/>
      <c r="JJN329"/>
      <c r="JJQ329"/>
      <c r="JJR329"/>
      <c r="JJU329"/>
      <c r="JJV329"/>
      <c r="JJY329"/>
      <c r="JJZ329"/>
      <c r="JKC329"/>
      <c r="JKD329"/>
      <c r="JKG329"/>
      <c r="JKH329"/>
      <c r="JKK329"/>
      <c r="JKL329"/>
      <c r="JKO329"/>
      <c r="JKP329"/>
      <c r="JKS329"/>
      <c r="JKT329"/>
      <c r="JKW329"/>
      <c r="JKX329"/>
      <c r="JLA329"/>
      <c r="JLB329"/>
      <c r="JLE329"/>
      <c r="JLF329"/>
      <c r="JLI329"/>
      <c r="JLJ329"/>
      <c r="JLM329"/>
      <c r="JLN329"/>
      <c r="JLQ329"/>
      <c r="JLR329"/>
      <c r="JLU329"/>
      <c r="JLV329"/>
      <c r="JLY329"/>
      <c r="JLZ329"/>
      <c r="JMC329"/>
      <c r="JMD329"/>
      <c r="JMG329"/>
      <c r="JMH329"/>
      <c r="JMK329"/>
      <c r="JML329"/>
      <c r="JMO329"/>
      <c r="JMP329"/>
      <c r="JMS329"/>
      <c r="JMT329"/>
      <c r="JMW329"/>
      <c r="JMX329"/>
      <c r="JNA329"/>
      <c r="JNB329"/>
      <c r="JNE329"/>
      <c r="JNF329"/>
      <c r="JNI329"/>
      <c r="JNJ329"/>
      <c r="JNM329"/>
      <c r="JNN329"/>
      <c r="JNQ329"/>
      <c r="JNR329"/>
      <c r="JNU329"/>
      <c r="JNV329"/>
      <c r="JNY329"/>
      <c r="JNZ329"/>
      <c r="JOC329"/>
      <c r="JOD329"/>
      <c r="JOG329"/>
      <c r="JOH329"/>
      <c r="JOK329"/>
      <c r="JOL329"/>
      <c r="JOO329"/>
      <c r="JOP329"/>
      <c r="JOS329"/>
      <c r="JOT329"/>
      <c r="JOW329"/>
      <c r="JOX329"/>
      <c r="JPA329"/>
      <c r="JPB329"/>
      <c r="JPE329"/>
      <c r="JPF329"/>
      <c r="JPI329"/>
      <c r="JPJ329"/>
      <c r="JPM329"/>
      <c r="JPN329"/>
      <c r="JPQ329"/>
      <c r="JPR329"/>
      <c r="JPU329"/>
      <c r="JPV329"/>
      <c r="JPY329"/>
      <c r="JPZ329"/>
      <c r="JQC329"/>
      <c r="JQD329"/>
      <c r="JQG329"/>
      <c r="JQH329"/>
      <c r="JQK329"/>
      <c r="JQL329"/>
      <c r="JQO329"/>
      <c r="JQP329"/>
      <c r="JQS329"/>
      <c r="JQT329"/>
      <c r="JQW329"/>
      <c r="JQX329"/>
      <c r="JRA329"/>
      <c r="JRB329"/>
      <c r="JRE329"/>
      <c r="JRF329"/>
      <c r="JRI329"/>
      <c r="JRJ329"/>
      <c r="JRM329"/>
      <c r="JRN329"/>
      <c r="JRQ329"/>
      <c r="JRR329"/>
      <c r="JRU329"/>
      <c r="JRV329"/>
      <c r="JRY329"/>
      <c r="JRZ329"/>
      <c r="JSC329"/>
      <c r="JSD329"/>
      <c r="JSG329"/>
      <c r="JSH329"/>
      <c r="JSK329"/>
      <c r="JSL329"/>
      <c r="JSO329"/>
      <c r="JSP329"/>
      <c r="JSS329"/>
      <c r="JST329"/>
      <c r="JSW329"/>
      <c r="JSX329"/>
      <c r="JTA329"/>
      <c r="JTB329"/>
      <c r="JTE329"/>
      <c r="JTF329"/>
      <c r="JTI329"/>
      <c r="JTJ329"/>
      <c r="JTM329"/>
      <c r="JTN329"/>
      <c r="JTQ329"/>
      <c r="JTR329"/>
      <c r="JTU329"/>
      <c r="JTV329"/>
      <c r="JTY329"/>
      <c r="JTZ329"/>
      <c r="JUC329"/>
      <c r="JUD329"/>
      <c r="JUG329"/>
      <c r="JUH329"/>
      <c r="JUK329"/>
      <c r="JUL329"/>
      <c r="JUO329"/>
      <c r="JUP329"/>
      <c r="JUS329"/>
      <c r="JUT329"/>
      <c r="JUW329"/>
      <c r="JUX329"/>
      <c r="JVA329"/>
      <c r="JVB329"/>
      <c r="JVE329"/>
      <c r="JVF329"/>
      <c r="JVI329"/>
      <c r="JVJ329"/>
      <c r="JVM329"/>
      <c r="JVN329"/>
      <c r="JVQ329"/>
      <c r="JVR329"/>
      <c r="JVU329"/>
      <c r="JVV329"/>
      <c r="JVY329"/>
      <c r="JVZ329"/>
      <c r="JWC329"/>
      <c r="JWD329"/>
      <c r="JWG329"/>
      <c r="JWH329"/>
      <c r="JWK329"/>
      <c r="JWL329"/>
      <c r="JWO329"/>
      <c r="JWP329"/>
      <c r="JWS329"/>
      <c r="JWT329"/>
      <c r="JWW329"/>
      <c r="JWX329"/>
      <c r="JXA329"/>
      <c r="JXB329"/>
      <c r="JXE329"/>
      <c r="JXF329"/>
      <c r="JXI329"/>
      <c r="JXJ329"/>
      <c r="JXM329"/>
      <c r="JXN329"/>
      <c r="JXQ329"/>
      <c r="JXR329"/>
      <c r="JXU329"/>
      <c r="JXV329"/>
      <c r="JXY329"/>
      <c r="JXZ329"/>
      <c r="JYC329"/>
      <c r="JYD329"/>
      <c r="JYG329"/>
      <c r="JYH329"/>
      <c r="JYK329"/>
      <c r="JYL329"/>
      <c r="JYO329"/>
      <c r="JYP329"/>
      <c r="JYS329"/>
      <c r="JYT329"/>
      <c r="JYW329"/>
      <c r="JYX329"/>
      <c r="JZA329"/>
      <c r="JZB329"/>
      <c r="JZE329"/>
      <c r="JZF329"/>
      <c r="JZI329"/>
      <c r="JZJ329"/>
      <c r="JZM329"/>
      <c r="JZN329"/>
      <c r="JZQ329"/>
      <c r="JZR329"/>
      <c r="JZU329"/>
      <c r="JZV329"/>
      <c r="JZY329"/>
      <c r="JZZ329"/>
      <c r="KAC329"/>
      <c r="KAD329"/>
      <c r="KAG329"/>
      <c r="KAH329"/>
      <c r="KAK329"/>
      <c r="KAL329"/>
      <c r="KAO329"/>
      <c r="KAP329"/>
      <c r="KAS329"/>
      <c r="KAT329"/>
      <c r="KAW329"/>
      <c r="KAX329"/>
      <c r="KBA329"/>
      <c r="KBB329"/>
      <c r="KBE329"/>
      <c r="KBF329"/>
      <c r="KBI329"/>
      <c r="KBJ329"/>
      <c r="KBM329"/>
      <c r="KBN329"/>
      <c r="KBQ329"/>
      <c r="KBR329"/>
      <c r="KBU329"/>
      <c r="KBV329"/>
      <c r="KBY329"/>
      <c r="KBZ329"/>
      <c r="KCC329"/>
      <c r="KCD329"/>
      <c r="KCG329"/>
      <c r="KCH329"/>
      <c r="KCK329"/>
      <c r="KCL329"/>
      <c r="KCO329"/>
      <c r="KCP329"/>
      <c r="KCS329"/>
      <c r="KCT329"/>
      <c r="KCW329"/>
      <c r="KCX329"/>
      <c r="KDA329"/>
      <c r="KDB329"/>
      <c r="KDE329"/>
      <c r="KDF329"/>
      <c r="KDI329"/>
      <c r="KDJ329"/>
      <c r="KDM329"/>
      <c r="KDN329"/>
      <c r="KDQ329"/>
      <c r="KDR329"/>
      <c r="KDU329"/>
      <c r="KDV329"/>
      <c r="KDY329"/>
      <c r="KDZ329"/>
      <c r="KEC329"/>
      <c r="KED329"/>
      <c r="KEG329"/>
      <c r="KEH329"/>
      <c r="KEK329"/>
      <c r="KEL329"/>
      <c r="KEO329"/>
      <c r="KEP329"/>
      <c r="KES329"/>
      <c r="KET329"/>
      <c r="KEW329"/>
      <c r="KEX329"/>
      <c r="KFA329"/>
      <c r="KFB329"/>
      <c r="KFE329"/>
      <c r="KFF329"/>
      <c r="KFI329"/>
      <c r="KFJ329"/>
      <c r="KFM329"/>
      <c r="KFN329"/>
      <c r="KFQ329"/>
      <c r="KFR329"/>
      <c r="KFU329"/>
      <c r="KFV329"/>
      <c r="KFY329"/>
      <c r="KFZ329"/>
      <c r="KGC329"/>
      <c r="KGD329"/>
      <c r="KGG329"/>
      <c r="KGH329"/>
      <c r="KGK329"/>
      <c r="KGL329"/>
      <c r="KGO329"/>
      <c r="KGP329"/>
      <c r="KGS329"/>
      <c r="KGT329"/>
      <c r="KGW329"/>
      <c r="KGX329"/>
      <c r="KHA329"/>
      <c r="KHB329"/>
      <c r="KHE329"/>
      <c r="KHF329"/>
      <c r="KHI329"/>
      <c r="KHJ329"/>
      <c r="KHM329"/>
      <c r="KHN329"/>
      <c r="KHQ329"/>
      <c r="KHR329"/>
      <c r="KHU329"/>
      <c r="KHV329"/>
      <c r="KHY329"/>
      <c r="KHZ329"/>
      <c r="KIC329"/>
      <c r="KID329"/>
      <c r="KIG329"/>
      <c r="KIH329"/>
      <c r="KIK329"/>
      <c r="KIL329"/>
      <c r="KIO329"/>
      <c r="KIP329"/>
      <c r="KIS329"/>
      <c r="KIT329"/>
      <c r="KIW329"/>
      <c r="KIX329"/>
      <c r="KJA329"/>
      <c r="KJB329"/>
      <c r="KJE329"/>
      <c r="KJF329"/>
      <c r="KJI329"/>
      <c r="KJJ329"/>
      <c r="KJM329"/>
      <c r="KJN329"/>
      <c r="KJQ329"/>
      <c r="KJR329"/>
      <c r="KJU329"/>
      <c r="KJV329"/>
      <c r="KJY329"/>
      <c r="KJZ329"/>
      <c r="KKC329"/>
      <c r="KKD329"/>
      <c r="KKG329"/>
      <c r="KKH329"/>
      <c r="KKK329"/>
      <c r="KKL329"/>
      <c r="KKO329"/>
      <c r="KKP329"/>
      <c r="KKS329"/>
      <c r="KKT329"/>
      <c r="KKW329"/>
      <c r="KKX329"/>
      <c r="KLA329"/>
      <c r="KLB329"/>
      <c r="KLE329"/>
      <c r="KLF329"/>
      <c r="KLI329"/>
      <c r="KLJ329"/>
      <c r="KLM329"/>
      <c r="KLN329"/>
      <c r="KLQ329"/>
      <c r="KLR329"/>
      <c r="KLU329"/>
      <c r="KLV329"/>
      <c r="KLY329"/>
      <c r="KLZ329"/>
      <c r="KMC329"/>
      <c r="KMD329"/>
      <c r="KMG329"/>
      <c r="KMH329"/>
      <c r="KMK329"/>
      <c r="KML329"/>
      <c r="KMO329"/>
      <c r="KMP329"/>
      <c r="KMS329"/>
      <c r="KMT329"/>
      <c r="KMW329"/>
      <c r="KMX329"/>
      <c r="KNA329"/>
      <c r="KNB329"/>
      <c r="KNE329"/>
      <c r="KNF329"/>
      <c r="KNI329"/>
      <c r="KNJ329"/>
      <c r="KNM329"/>
      <c r="KNN329"/>
      <c r="KNQ329"/>
      <c r="KNR329"/>
      <c r="KNU329"/>
      <c r="KNV329"/>
      <c r="KNY329"/>
      <c r="KNZ329"/>
      <c r="KOC329"/>
      <c r="KOD329"/>
      <c r="KOG329"/>
      <c r="KOH329"/>
      <c r="KOK329"/>
      <c r="KOL329"/>
      <c r="KOO329"/>
      <c r="KOP329"/>
      <c r="KOS329"/>
      <c r="KOT329"/>
      <c r="KOW329"/>
      <c r="KOX329"/>
      <c r="KPA329"/>
      <c r="KPB329"/>
      <c r="KPE329"/>
      <c r="KPF329"/>
      <c r="KPI329"/>
      <c r="KPJ329"/>
      <c r="KPM329"/>
      <c r="KPN329"/>
      <c r="KPQ329"/>
      <c r="KPR329"/>
      <c r="KPU329"/>
      <c r="KPV329"/>
      <c r="KPY329"/>
      <c r="KPZ329"/>
      <c r="KQC329"/>
      <c r="KQD329"/>
      <c r="KQG329"/>
      <c r="KQH329"/>
      <c r="KQK329"/>
      <c r="KQL329"/>
      <c r="KQO329"/>
      <c r="KQP329"/>
      <c r="KQS329"/>
      <c r="KQT329"/>
      <c r="KQW329"/>
      <c r="KQX329"/>
      <c r="KRA329"/>
      <c r="KRB329"/>
      <c r="KRE329"/>
      <c r="KRF329"/>
      <c r="KRI329"/>
      <c r="KRJ329"/>
      <c r="KRM329"/>
      <c r="KRN329"/>
      <c r="KRQ329"/>
      <c r="KRR329"/>
      <c r="KRU329"/>
      <c r="KRV329"/>
      <c r="KRY329"/>
      <c r="KRZ329"/>
      <c r="KSC329"/>
      <c r="KSD329"/>
      <c r="KSG329"/>
      <c r="KSH329"/>
      <c r="KSK329"/>
      <c r="KSL329"/>
      <c r="KSO329"/>
      <c r="KSP329"/>
      <c r="KSS329"/>
      <c r="KST329"/>
      <c r="KSW329"/>
      <c r="KSX329"/>
      <c r="KTA329"/>
      <c r="KTB329"/>
      <c r="KTE329"/>
      <c r="KTF329"/>
      <c r="KTI329"/>
      <c r="KTJ329"/>
      <c r="KTM329"/>
      <c r="KTN329"/>
      <c r="KTQ329"/>
      <c r="KTR329"/>
      <c r="KTU329"/>
      <c r="KTV329"/>
      <c r="KTY329"/>
      <c r="KTZ329"/>
      <c r="KUC329"/>
      <c r="KUD329"/>
      <c r="KUG329"/>
      <c r="KUH329"/>
      <c r="KUK329"/>
      <c r="KUL329"/>
      <c r="KUO329"/>
      <c r="KUP329"/>
      <c r="KUS329"/>
      <c r="KUT329"/>
      <c r="KUW329"/>
      <c r="KUX329"/>
      <c r="KVA329"/>
      <c r="KVB329"/>
      <c r="KVE329"/>
      <c r="KVF329"/>
      <c r="KVI329"/>
      <c r="KVJ329"/>
      <c r="KVM329"/>
      <c r="KVN329"/>
      <c r="KVQ329"/>
      <c r="KVR329"/>
      <c r="KVU329"/>
      <c r="KVV329"/>
      <c r="KVY329"/>
      <c r="KVZ329"/>
      <c r="KWC329"/>
      <c r="KWD329"/>
      <c r="KWG329"/>
      <c r="KWH329"/>
      <c r="KWK329"/>
      <c r="KWL329"/>
      <c r="KWO329"/>
      <c r="KWP329"/>
      <c r="KWS329"/>
      <c r="KWT329"/>
      <c r="KWW329"/>
      <c r="KWX329"/>
      <c r="KXA329"/>
      <c r="KXB329"/>
      <c r="KXE329"/>
      <c r="KXF329"/>
      <c r="KXI329"/>
      <c r="KXJ329"/>
      <c r="KXM329"/>
      <c r="KXN329"/>
      <c r="KXQ329"/>
      <c r="KXR329"/>
      <c r="KXU329"/>
      <c r="KXV329"/>
      <c r="KXY329"/>
      <c r="KXZ329"/>
      <c r="KYC329"/>
      <c r="KYD329"/>
      <c r="KYG329"/>
      <c r="KYH329"/>
      <c r="KYK329"/>
      <c r="KYL329"/>
      <c r="KYO329"/>
      <c r="KYP329"/>
      <c r="KYS329"/>
      <c r="KYT329"/>
      <c r="KYW329"/>
      <c r="KYX329"/>
      <c r="KZA329"/>
      <c r="KZB329"/>
      <c r="KZE329"/>
      <c r="KZF329"/>
      <c r="KZI329"/>
      <c r="KZJ329"/>
      <c r="KZM329"/>
      <c r="KZN329"/>
      <c r="KZQ329"/>
      <c r="KZR329"/>
      <c r="KZU329"/>
      <c r="KZV329"/>
      <c r="KZY329"/>
      <c r="KZZ329"/>
      <c r="LAC329"/>
      <c r="LAD329"/>
      <c r="LAG329"/>
      <c r="LAH329"/>
      <c r="LAK329"/>
      <c r="LAL329"/>
      <c r="LAO329"/>
      <c r="LAP329"/>
      <c r="LAS329"/>
      <c r="LAT329"/>
      <c r="LAW329"/>
      <c r="LAX329"/>
      <c r="LBA329"/>
      <c r="LBB329"/>
      <c r="LBE329"/>
      <c r="LBF329"/>
      <c r="LBI329"/>
      <c r="LBJ329"/>
      <c r="LBM329"/>
      <c r="LBN329"/>
      <c r="LBQ329"/>
      <c r="LBR329"/>
      <c r="LBU329"/>
      <c r="LBV329"/>
      <c r="LBY329"/>
      <c r="LBZ329"/>
      <c r="LCC329"/>
      <c r="LCD329"/>
      <c r="LCG329"/>
      <c r="LCH329"/>
      <c r="LCK329"/>
      <c r="LCL329"/>
      <c r="LCO329"/>
      <c r="LCP329"/>
      <c r="LCS329"/>
      <c r="LCT329"/>
      <c r="LCW329"/>
      <c r="LCX329"/>
      <c r="LDA329"/>
      <c r="LDB329"/>
      <c r="LDE329"/>
      <c r="LDF329"/>
      <c r="LDI329"/>
      <c r="LDJ329"/>
      <c r="LDM329"/>
      <c r="LDN329"/>
      <c r="LDQ329"/>
      <c r="LDR329"/>
      <c r="LDU329"/>
      <c r="LDV329"/>
      <c r="LDY329"/>
      <c r="LDZ329"/>
      <c r="LEC329"/>
      <c r="LED329"/>
      <c r="LEG329"/>
      <c r="LEH329"/>
      <c r="LEK329"/>
      <c r="LEL329"/>
      <c r="LEO329"/>
      <c r="LEP329"/>
      <c r="LES329"/>
      <c r="LET329"/>
      <c r="LEW329"/>
      <c r="LEX329"/>
      <c r="LFA329"/>
      <c r="LFB329"/>
      <c r="LFE329"/>
      <c r="LFF329"/>
      <c r="LFI329"/>
      <c r="LFJ329"/>
      <c r="LFM329"/>
      <c r="LFN329"/>
      <c r="LFQ329"/>
      <c r="LFR329"/>
      <c r="LFU329"/>
      <c r="LFV329"/>
      <c r="LFY329"/>
      <c r="LFZ329"/>
      <c r="LGC329"/>
      <c r="LGD329"/>
      <c r="LGG329"/>
      <c r="LGH329"/>
      <c r="LGK329"/>
      <c r="LGL329"/>
      <c r="LGO329"/>
      <c r="LGP329"/>
      <c r="LGS329"/>
      <c r="LGT329"/>
      <c r="LGW329"/>
      <c r="LGX329"/>
      <c r="LHA329"/>
      <c r="LHB329"/>
      <c r="LHE329"/>
      <c r="LHF329"/>
      <c r="LHI329"/>
      <c r="LHJ329"/>
      <c r="LHM329"/>
      <c r="LHN329"/>
      <c r="LHQ329"/>
      <c r="LHR329"/>
      <c r="LHU329"/>
      <c r="LHV329"/>
      <c r="LHY329"/>
      <c r="LHZ329"/>
      <c r="LIC329"/>
      <c r="LID329"/>
      <c r="LIG329"/>
      <c r="LIH329"/>
      <c r="LIK329"/>
      <c r="LIL329"/>
      <c r="LIO329"/>
      <c r="LIP329"/>
      <c r="LIS329"/>
      <c r="LIT329"/>
      <c r="LIW329"/>
      <c r="LIX329"/>
      <c r="LJA329"/>
      <c r="LJB329"/>
      <c r="LJE329"/>
      <c r="LJF329"/>
      <c r="LJI329"/>
      <c r="LJJ329"/>
      <c r="LJM329"/>
      <c r="LJN329"/>
      <c r="LJQ329"/>
      <c r="LJR329"/>
      <c r="LJU329"/>
      <c r="LJV329"/>
      <c r="LJY329"/>
      <c r="LJZ329"/>
      <c r="LKC329"/>
      <c r="LKD329"/>
      <c r="LKG329"/>
      <c r="LKH329"/>
      <c r="LKK329"/>
      <c r="LKL329"/>
      <c r="LKO329"/>
      <c r="LKP329"/>
      <c r="LKS329"/>
      <c r="LKT329"/>
      <c r="LKW329"/>
      <c r="LKX329"/>
      <c r="LLA329"/>
      <c r="LLB329"/>
      <c r="LLE329"/>
      <c r="LLF329"/>
      <c r="LLI329"/>
      <c r="LLJ329"/>
      <c r="LLM329"/>
      <c r="LLN329"/>
      <c r="LLQ329"/>
      <c r="LLR329"/>
      <c r="LLU329"/>
      <c r="LLV329"/>
      <c r="LLY329"/>
      <c r="LLZ329"/>
      <c r="LMC329"/>
      <c r="LMD329"/>
      <c r="LMG329"/>
      <c r="LMH329"/>
      <c r="LMK329"/>
      <c r="LML329"/>
      <c r="LMO329"/>
      <c r="LMP329"/>
      <c r="LMS329"/>
      <c r="LMT329"/>
      <c r="LMW329"/>
      <c r="LMX329"/>
      <c r="LNA329"/>
      <c r="LNB329"/>
      <c r="LNE329"/>
      <c r="LNF329"/>
      <c r="LNI329"/>
      <c r="LNJ329"/>
      <c r="LNM329"/>
      <c r="LNN329"/>
      <c r="LNQ329"/>
      <c r="LNR329"/>
      <c r="LNU329"/>
      <c r="LNV329"/>
      <c r="LNY329"/>
      <c r="LNZ329"/>
      <c r="LOC329"/>
      <c r="LOD329"/>
      <c r="LOG329"/>
      <c r="LOH329"/>
      <c r="LOK329"/>
      <c r="LOL329"/>
      <c r="LOO329"/>
      <c r="LOP329"/>
      <c r="LOS329"/>
      <c r="LOT329"/>
      <c r="LOW329"/>
      <c r="LOX329"/>
      <c r="LPA329"/>
      <c r="LPB329"/>
      <c r="LPE329"/>
      <c r="LPF329"/>
      <c r="LPI329"/>
      <c r="LPJ329"/>
      <c r="LPM329"/>
      <c r="LPN329"/>
      <c r="LPQ329"/>
      <c r="LPR329"/>
      <c r="LPU329"/>
      <c r="LPV329"/>
      <c r="LPY329"/>
      <c r="LPZ329"/>
      <c r="LQC329"/>
      <c r="LQD329"/>
      <c r="LQG329"/>
      <c r="LQH329"/>
      <c r="LQK329"/>
      <c r="LQL329"/>
      <c r="LQO329"/>
      <c r="LQP329"/>
      <c r="LQS329"/>
      <c r="LQT329"/>
      <c r="LQW329"/>
      <c r="LQX329"/>
      <c r="LRA329"/>
      <c r="LRB329"/>
      <c r="LRE329"/>
      <c r="LRF329"/>
      <c r="LRI329"/>
      <c r="LRJ329"/>
      <c r="LRM329"/>
      <c r="LRN329"/>
      <c r="LRQ329"/>
      <c r="LRR329"/>
      <c r="LRU329"/>
      <c r="LRV329"/>
      <c r="LRY329"/>
      <c r="LRZ329"/>
      <c r="LSC329"/>
      <c r="LSD329"/>
      <c r="LSG329"/>
      <c r="LSH329"/>
      <c r="LSK329"/>
      <c r="LSL329"/>
      <c r="LSO329"/>
      <c r="LSP329"/>
      <c r="LSS329"/>
      <c r="LST329"/>
      <c r="LSW329"/>
      <c r="LSX329"/>
      <c r="LTA329"/>
      <c r="LTB329"/>
      <c r="LTE329"/>
      <c r="LTF329"/>
      <c r="LTI329"/>
      <c r="LTJ329"/>
      <c r="LTM329"/>
      <c r="LTN329"/>
      <c r="LTQ329"/>
      <c r="LTR329"/>
      <c r="LTU329"/>
      <c r="LTV329"/>
      <c r="LTY329"/>
      <c r="LTZ329"/>
      <c r="LUC329"/>
      <c r="LUD329"/>
      <c r="LUG329"/>
      <c r="LUH329"/>
      <c r="LUK329"/>
      <c r="LUL329"/>
      <c r="LUO329"/>
      <c r="LUP329"/>
      <c r="LUS329"/>
      <c r="LUT329"/>
      <c r="LUW329"/>
      <c r="LUX329"/>
      <c r="LVA329"/>
      <c r="LVB329"/>
      <c r="LVE329"/>
      <c r="LVF329"/>
      <c r="LVI329"/>
      <c r="LVJ329"/>
      <c r="LVM329"/>
      <c r="LVN329"/>
      <c r="LVQ329"/>
      <c r="LVR329"/>
      <c r="LVU329"/>
      <c r="LVV329"/>
      <c r="LVY329"/>
      <c r="LVZ329"/>
      <c r="LWC329"/>
      <c r="LWD329"/>
      <c r="LWG329"/>
      <c r="LWH329"/>
      <c r="LWK329"/>
      <c r="LWL329"/>
      <c r="LWO329"/>
      <c r="LWP329"/>
      <c r="LWS329"/>
      <c r="LWT329"/>
      <c r="LWW329"/>
      <c r="LWX329"/>
      <c r="LXA329"/>
      <c r="LXB329"/>
      <c r="LXE329"/>
      <c r="LXF329"/>
      <c r="LXI329"/>
      <c r="LXJ329"/>
      <c r="LXM329"/>
      <c r="LXN329"/>
      <c r="LXQ329"/>
      <c r="LXR329"/>
      <c r="LXU329"/>
      <c r="LXV329"/>
      <c r="LXY329"/>
      <c r="LXZ329"/>
      <c r="LYC329"/>
      <c r="LYD329"/>
      <c r="LYG329"/>
      <c r="LYH329"/>
      <c r="LYK329"/>
      <c r="LYL329"/>
      <c r="LYO329"/>
      <c r="LYP329"/>
      <c r="LYS329"/>
      <c r="LYT329"/>
      <c r="LYW329"/>
      <c r="LYX329"/>
      <c r="LZA329"/>
      <c r="LZB329"/>
      <c r="LZE329"/>
      <c r="LZF329"/>
      <c r="LZI329"/>
      <c r="LZJ329"/>
      <c r="LZM329"/>
      <c r="LZN329"/>
      <c r="LZQ329"/>
      <c r="LZR329"/>
      <c r="LZU329"/>
      <c r="LZV329"/>
      <c r="LZY329"/>
      <c r="LZZ329"/>
      <c r="MAC329"/>
      <c r="MAD329"/>
      <c r="MAG329"/>
      <c r="MAH329"/>
      <c r="MAK329"/>
      <c r="MAL329"/>
      <c r="MAO329"/>
      <c r="MAP329"/>
      <c r="MAS329"/>
      <c r="MAT329"/>
      <c r="MAW329"/>
      <c r="MAX329"/>
      <c r="MBA329"/>
      <c r="MBB329"/>
      <c r="MBE329"/>
      <c r="MBF329"/>
      <c r="MBI329"/>
      <c r="MBJ329"/>
      <c r="MBM329"/>
      <c r="MBN329"/>
      <c r="MBQ329"/>
      <c r="MBR329"/>
      <c r="MBU329"/>
      <c r="MBV329"/>
      <c r="MBY329"/>
      <c r="MBZ329"/>
      <c r="MCC329"/>
      <c r="MCD329"/>
      <c r="MCG329"/>
      <c r="MCH329"/>
      <c r="MCK329"/>
      <c r="MCL329"/>
      <c r="MCO329"/>
      <c r="MCP329"/>
      <c r="MCS329"/>
      <c r="MCT329"/>
      <c r="MCW329"/>
      <c r="MCX329"/>
      <c r="MDA329"/>
      <c r="MDB329"/>
      <c r="MDE329"/>
      <c r="MDF329"/>
      <c r="MDI329"/>
      <c r="MDJ329"/>
      <c r="MDM329"/>
      <c r="MDN329"/>
      <c r="MDQ329"/>
      <c r="MDR329"/>
      <c r="MDU329"/>
      <c r="MDV329"/>
      <c r="MDY329"/>
      <c r="MDZ329"/>
      <c r="MEC329"/>
      <c r="MED329"/>
      <c r="MEG329"/>
      <c r="MEH329"/>
      <c r="MEK329"/>
      <c r="MEL329"/>
      <c r="MEO329"/>
      <c r="MEP329"/>
      <c r="MES329"/>
      <c r="MET329"/>
      <c r="MEW329"/>
      <c r="MEX329"/>
      <c r="MFA329"/>
      <c r="MFB329"/>
      <c r="MFE329"/>
      <c r="MFF329"/>
      <c r="MFI329"/>
      <c r="MFJ329"/>
      <c r="MFM329"/>
      <c r="MFN329"/>
      <c r="MFQ329"/>
      <c r="MFR329"/>
      <c r="MFU329"/>
      <c r="MFV329"/>
      <c r="MFY329"/>
      <c r="MFZ329"/>
      <c r="MGC329"/>
      <c r="MGD329"/>
      <c r="MGG329"/>
      <c r="MGH329"/>
      <c r="MGK329"/>
      <c r="MGL329"/>
      <c r="MGO329"/>
      <c r="MGP329"/>
      <c r="MGS329"/>
      <c r="MGT329"/>
      <c r="MGW329"/>
      <c r="MGX329"/>
      <c r="MHA329"/>
      <c r="MHB329"/>
      <c r="MHE329"/>
      <c r="MHF329"/>
      <c r="MHI329"/>
      <c r="MHJ329"/>
      <c r="MHM329"/>
      <c r="MHN329"/>
      <c r="MHQ329"/>
      <c r="MHR329"/>
      <c r="MHU329"/>
      <c r="MHV329"/>
      <c r="MHY329"/>
      <c r="MHZ329"/>
      <c r="MIC329"/>
      <c r="MID329"/>
      <c r="MIG329"/>
      <c r="MIH329"/>
      <c r="MIK329"/>
      <c r="MIL329"/>
      <c r="MIO329"/>
      <c r="MIP329"/>
      <c r="MIS329"/>
      <c r="MIT329"/>
      <c r="MIW329"/>
      <c r="MIX329"/>
      <c r="MJA329"/>
      <c r="MJB329"/>
      <c r="MJE329"/>
      <c r="MJF329"/>
      <c r="MJI329"/>
      <c r="MJJ329"/>
      <c r="MJM329"/>
      <c r="MJN329"/>
      <c r="MJQ329"/>
      <c r="MJR329"/>
      <c r="MJU329"/>
      <c r="MJV329"/>
      <c r="MJY329"/>
      <c r="MJZ329"/>
      <c r="MKC329"/>
      <c r="MKD329"/>
      <c r="MKG329"/>
      <c r="MKH329"/>
      <c r="MKK329"/>
      <c r="MKL329"/>
      <c r="MKO329"/>
      <c r="MKP329"/>
      <c r="MKS329"/>
      <c r="MKT329"/>
      <c r="MKW329"/>
      <c r="MKX329"/>
      <c r="MLA329"/>
      <c r="MLB329"/>
      <c r="MLE329"/>
      <c r="MLF329"/>
      <c r="MLI329"/>
      <c r="MLJ329"/>
      <c r="MLM329"/>
      <c r="MLN329"/>
      <c r="MLQ329"/>
      <c r="MLR329"/>
      <c r="MLU329"/>
      <c r="MLV329"/>
      <c r="MLY329"/>
      <c r="MLZ329"/>
      <c r="MMC329"/>
      <c r="MMD329"/>
      <c r="MMG329"/>
      <c r="MMH329"/>
      <c r="MMK329"/>
      <c r="MML329"/>
      <c r="MMO329"/>
      <c r="MMP329"/>
      <c r="MMS329"/>
      <c r="MMT329"/>
      <c r="MMW329"/>
      <c r="MMX329"/>
      <c r="MNA329"/>
      <c r="MNB329"/>
      <c r="MNE329"/>
      <c r="MNF329"/>
      <c r="MNI329"/>
      <c r="MNJ329"/>
      <c r="MNM329"/>
      <c r="MNN329"/>
      <c r="MNQ329"/>
      <c r="MNR329"/>
      <c r="MNU329"/>
      <c r="MNV329"/>
      <c r="MNY329"/>
      <c r="MNZ329"/>
      <c r="MOC329"/>
      <c r="MOD329"/>
      <c r="MOG329"/>
      <c r="MOH329"/>
      <c r="MOK329"/>
      <c r="MOL329"/>
      <c r="MOO329"/>
      <c r="MOP329"/>
      <c r="MOS329"/>
      <c r="MOT329"/>
      <c r="MOW329"/>
      <c r="MOX329"/>
      <c r="MPA329"/>
      <c r="MPB329"/>
      <c r="MPE329"/>
      <c r="MPF329"/>
      <c r="MPI329"/>
      <c r="MPJ329"/>
      <c r="MPM329"/>
      <c r="MPN329"/>
      <c r="MPQ329"/>
      <c r="MPR329"/>
      <c r="MPU329"/>
      <c r="MPV329"/>
      <c r="MPY329"/>
      <c r="MPZ329"/>
      <c r="MQC329"/>
      <c r="MQD329"/>
      <c r="MQG329"/>
      <c r="MQH329"/>
      <c r="MQK329"/>
      <c r="MQL329"/>
      <c r="MQO329"/>
      <c r="MQP329"/>
      <c r="MQS329"/>
      <c r="MQT329"/>
      <c r="MQW329"/>
      <c r="MQX329"/>
      <c r="MRA329"/>
      <c r="MRB329"/>
      <c r="MRE329"/>
      <c r="MRF329"/>
      <c r="MRI329"/>
      <c r="MRJ329"/>
      <c r="MRM329"/>
      <c r="MRN329"/>
      <c r="MRQ329"/>
      <c r="MRR329"/>
      <c r="MRU329"/>
      <c r="MRV329"/>
      <c r="MRY329"/>
      <c r="MRZ329"/>
      <c r="MSC329"/>
      <c r="MSD329"/>
      <c r="MSG329"/>
      <c r="MSH329"/>
      <c r="MSK329"/>
      <c r="MSL329"/>
      <c r="MSO329"/>
      <c r="MSP329"/>
      <c r="MSS329"/>
      <c r="MST329"/>
      <c r="MSW329"/>
      <c r="MSX329"/>
      <c r="MTA329"/>
      <c r="MTB329"/>
      <c r="MTE329"/>
      <c r="MTF329"/>
      <c r="MTI329"/>
      <c r="MTJ329"/>
      <c r="MTM329"/>
      <c r="MTN329"/>
      <c r="MTQ329"/>
      <c r="MTR329"/>
      <c r="MTU329"/>
      <c r="MTV329"/>
      <c r="MTY329"/>
      <c r="MTZ329"/>
      <c r="MUC329"/>
      <c r="MUD329"/>
      <c r="MUG329"/>
      <c r="MUH329"/>
      <c r="MUK329"/>
      <c r="MUL329"/>
      <c r="MUO329"/>
      <c r="MUP329"/>
      <c r="MUS329"/>
      <c r="MUT329"/>
      <c r="MUW329"/>
      <c r="MUX329"/>
      <c r="MVA329"/>
      <c r="MVB329"/>
      <c r="MVE329"/>
      <c r="MVF329"/>
      <c r="MVI329"/>
      <c r="MVJ329"/>
      <c r="MVM329"/>
      <c r="MVN329"/>
      <c r="MVQ329"/>
      <c r="MVR329"/>
      <c r="MVU329"/>
      <c r="MVV329"/>
      <c r="MVY329"/>
      <c r="MVZ329"/>
      <c r="MWC329"/>
      <c r="MWD329"/>
      <c r="MWG329"/>
      <c r="MWH329"/>
      <c r="MWK329"/>
      <c r="MWL329"/>
      <c r="MWO329"/>
      <c r="MWP329"/>
      <c r="MWS329"/>
      <c r="MWT329"/>
      <c r="MWW329"/>
      <c r="MWX329"/>
      <c r="MXA329"/>
      <c r="MXB329"/>
      <c r="MXE329"/>
      <c r="MXF329"/>
      <c r="MXI329"/>
      <c r="MXJ329"/>
      <c r="MXM329"/>
      <c r="MXN329"/>
      <c r="MXQ329"/>
      <c r="MXR329"/>
      <c r="MXU329"/>
      <c r="MXV329"/>
      <c r="MXY329"/>
      <c r="MXZ329"/>
      <c r="MYC329"/>
      <c r="MYD329"/>
      <c r="MYG329"/>
      <c r="MYH329"/>
      <c r="MYK329"/>
      <c r="MYL329"/>
      <c r="MYO329"/>
      <c r="MYP329"/>
      <c r="MYS329"/>
      <c r="MYT329"/>
      <c r="MYW329"/>
      <c r="MYX329"/>
      <c r="MZA329"/>
      <c r="MZB329"/>
      <c r="MZE329"/>
      <c r="MZF329"/>
      <c r="MZI329"/>
      <c r="MZJ329"/>
      <c r="MZM329"/>
      <c r="MZN329"/>
      <c r="MZQ329"/>
      <c r="MZR329"/>
      <c r="MZU329"/>
      <c r="MZV329"/>
      <c r="MZY329"/>
      <c r="MZZ329"/>
      <c r="NAC329"/>
      <c r="NAD329"/>
      <c r="NAG329"/>
      <c r="NAH329"/>
      <c r="NAK329"/>
      <c r="NAL329"/>
      <c r="NAO329"/>
      <c r="NAP329"/>
      <c r="NAS329"/>
      <c r="NAT329"/>
      <c r="NAW329"/>
      <c r="NAX329"/>
      <c r="NBA329"/>
      <c r="NBB329"/>
      <c r="NBE329"/>
      <c r="NBF329"/>
      <c r="NBI329"/>
      <c r="NBJ329"/>
      <c r="NBM329"/>
      <c r="NBN329"/>
      <c r="NBQ329"/>
      <c r="NBR329"/>
      <c r="NBU329"/>
      <c r="NBV329"/>
      <c r="NBY329"/>
      <c r="NBZ329"/>
      <c r="NCC329"/>
      <c r="NCD329"/>
      <c r="NCG329"/>
      <c r="NCH329"/>
      <c r="NCK329"/>
      <c r="NCL329"/>
      <c r="NCO329"/>
      <c r="NCP329"/>
      <c r="NCS329"/>
      <c r="NCT329"/>
      <c r="NCW329"/>
      <c r="NCX329"/>
      <c r="NDA329"/>
      <c r="NDB329"/>
      <c r="NDE329"/>
      <c r="NDF329"/>
      <c r="NDI329"/>
      <c r="NDJ329"/>
      <c r="NDM329"/>
      <c r="NDN329"/>
      <c r="NDQ329"/>
      <c r="NDR329"/>
      <c r="NDU329"/>
      <c r="NDV329"/>
      <c r="NDY329"/>
      <c r="NDZ329"/>
      <c r="NEC329"/>
      <c r="NED329"/>
      <c r="NEG329"/>
      <c r="NEH329"/>
      <c r="NEK329"/>
      <c r="NEL329"/>
      <c r="NEO329"/>
      <c r="NEP329"/>
      <c r="NES329"/>
      <c r="NET329"/>
      <c r="NEW329"/>
      <c r="NEX329"/>
      <c r="NFA329"/>
      <c r="NFB329"/>
      <c r="NFE329"/>
      <c r="NFF329"/>
      <c r="NFI329"/>
      <c r="NFJ329"/>
      <c r="NFM329"/>
      <c r="NFN329"/>
      <c r="NFQ329"/>
      <c r="NFR329"/>
      <c r="NFU329"/>
      <c r="NFV329"/>
      <c r="NFY329"/>
      <c r="NFZ329"/>
      <c r="NGC329"/>
      <c r="NGD329"/>
      <c r="NGG329"/>
      <c r="NGH329"/>
      <c r="NGK329"/>
      <c r="NGL329"/>
      <c r="NGO329"/>
      <c r="NGP329"/>
      <c r="NGS329"/>
      <c r="NGT329"/>
      <c r="NGW329"/>
      <c r="NGX329"/>
      <c r="NHA329"/>
      <c r="NHB329"/>
      <c r="NHE329"/>
      <c r="NHF329"/>
      <c r="NHI329"/>
      <c r="NHJ329"/>
      <c r="NHM329"/>
      <c r="NHN329"/>
      <c r="NHQ329"/>
      <c r="NHR329"/>
      <c r="NHU329"/>
      <c r="NHV329"/>
      <c r="NHY329"/>
      <c r="NHZ329"/>
      <c r="NIC329"/>
      <c r="NID329"/>
      <c r="NIG329"/>
      <c r="NIH329"/>
      <c r="NIK329"/>
      <c r="NIL329"/>
      <c r="NIO329"/>
      <c r="NIP329"/>
      <c r="NIS329"/>
      <c r="NIT329"/>
      <c r="NIW329"/>
      <c r="NIX329"/>
      <c r="NJA329"/>
      <c r="NJB329"/>
      <c r="NJE329"/>
      <c r="NJF329"/>
      <c r="NJI329"/>
      <c r="NJJ329"/>
      <c r="NJM329"/>
      <c r="NJN329"/>
      <c r="NJQ329"/>
      <c r="NJR329"/>
      <c r="NJU329"/>
      <c r="NJV329"/>
      <c r="NJY329"/>
      <c r="NJZ329"/>
      <c r="NKC329"/>
      <c r="NKD329"/>
      <c r="NKG329"/>
      <c r="NKH329"/>
      <c r="NKK329"/>
      <c r="NKL329"/>
      <c r="NKO329"/>
      <c r="NKP329"/>
      <c r="NKS329"/>
      <c r="NKT329"/>
      <c r="NKW329"/>
      <c r="NKX329"/>
      <c r="NLA329"/>
      <c r="NLB329"/>
      <c r="NLE329"/>
      <c r="NLF329"/>
      <c r="NLI329"/>
      <c r="NLJ329"/>
      <c r="NLM329"/>
      <c r="NLN329"/>
      <c r="NLQ329"/>
      <c r="NLR329"/>
      <c r="NLU329"/>
      <c r="NLV329"/>
      <c r="NLY329"/>
      <c r="NLZ329"/>
      <c r="NMC329"/>
      <c r="NMD329"/>
      <c r="NMG329"/>
      <c r="NMH329"/>
      <c r="NMK329"/>
      <c r="NML329"/>
      <c r="NMO329"/>
      <c r="NMP329"/>
      <c r="NMS329"/>
      <c r="NMT329"/>
      <c r="NMW329"/>
      <c r="NMX329"/>
      <c r="NNA329"/>
      <c r="NNB329"/>
      <c r="NNE329"/>
      <c r="NNF329"/>
      <c r="NNI329"/>
      <c r="NNJ329"/>
      <c r="NNM329"/>
      <c r="NNN329"/>
      <c r="NNQ329"/>
      <c r="NNR329"/>
      <c r="NNU329"/>
      <c r="NNV329"/>
      <c r="NNY329"/>
      <c r="NNZ329"/>
      <c r="NOC329"/>
      <c r="NOD329"/>
      <c r="NOG329"/>
      <c r="NOH329"/>
      <c r="NOK329"/>
      <c r="NOL329"/>
      <c r="NOO329"/>
      <c r="NOP329"/>
      <c r="NOS329"/>
      <c r="NOT329"/>
      <c r="NOW329"/>
      <c r="NOX329"/>
      <c r="NPA329"/>
      <c r="NPB329"/>
      <c r="NPE329"/>
      <c r="NPF329"/>
      <c r="NPI329"/>
      <c r="NPJ329"/>
      <c r="NPM329"/>
      <c r="NPN329"/>
      <c r="NPQ329"/>
      <c r="NPR329"/>
      <c r="NPU329"/>
      <c r="NPV329"/>
      <c r="NPY329"/>
      <c r="NPZ329"/>
      <c r="NQC329"/>
      <c r="NQD329"/>
      <c r="NQG329"/>
      <c r="NQH329"/>
      <c r="NQK329"/>
      <c r="NQL329"/>
      <c r="NQO329"/>
      <c r="NQP329"/>
      <c r="NQS329"/>
      <c r="NQT329"/>
      <c r="NQW329"/>
      <c r="NQX329"/>
      <c r="NRA329"/>
      <c r="NRB329"/>
      <c r="NRE329"/>
      <c r="NRF329"/>
      <c r="NRI329"/>
      <c r="NRJ329"/>
      <c r="NRM329"/>
      <c r="NRN329"/>
      <c r="NRQ329"/>
      <c r="NRR329"/>
      <c r="NRU329"/>
      <c r="NRV329"/>
      <c r="NRY329"/>
      <c r="NRZ329"/>
      <c r="NSC329"/>
      <c r="NSD329"/>
      <c r="NSG329"/>
      <c r="NSH329"/>
      <c r="NSK329"/>
      <c r="NSL329"/>
      <c r="NSO329"/>
      <c r="NSP329"/>
      <c r="NSS329"/>
      <c r="NST329"/>
      <c r="NSW329"/>
      <c r="NSX329"/>
      <c r="NTA329"/>
      <c r="NTB329"/>
      <c r="NTE329"/>
      <c r="NTF329"/>
      <c r="NTI329"/>
      <c r="NTJ329"/>
      <c r="NTM329"/>
      <c r="NTN329"/>
      <c r="NTQ329"/>
      <c r="NTR329"/>
      <c r="NTU329"/>
      <c r="NTV329"/>
      <c r="NTY329"/>
      <c r="NTZ329"/>
      <c r="NUC329"/>
      <c r="NUD329"/>
      <c r="NUG329"/>
      <c r="NUH329"/>
      <c r="NUK329"/>
      <c r="NUL329"/>
      <c r="NUO329"/>
      <c r="NUP329"/>
      <c r="NUS329"/>
      <c r="NUT329"/>
      <c r="NUW329"/>
      <c r="NUX329"/>
      <c r="NVA329"/>
      <c r="NVB329"/>
      <c r="NVE329"/>
      <c r="NVF329"/>
      <c r="NVI329"/>
      <c r="NVJ329"/>
      <c r="NVM329"/>
      <c r="NVN329"/>
      <c r="NVQ329"/>
      <c r="NVR329"/>
      <c r="NVU329"/>
      <c r="NVV329"/>
      <c r="NVY329"/>
      <c r="NVZ329"/>
      <c r="NWC329"/>
      <c r="NWD329"/>
      <c r="NWG329"/>
      <c r="NWH329"/>
      <c r="NWK329"/>
      <c r="NWL329"/>
      <c r="NWO329"/>
      <c r="NWP329"/>
      <c r="NWS329"/>
      <c r="NWT329"/>
      <c r="NWW329"/>
      <c r="NWX329"/>
      <c r="NXA329"/>
      <c r="NXB329"/>
      <c r="NXE329"/>
      <c r="NXF329"/>
      <c r="NXI329"/>
      <c r="NXJ329"/>
      <c r="NXM329"/>
      <c r="NXN329"/>
      <c r="NXQ329"/>
      <c r="NXR329"/>
      <c r="NXU329"/>
      <c r="NXV329"/>
      <c r="NXY329"/>
      <c r="NXZ329"/>
      <c r="NYC329"/>
      <c r="NYD329"/>
      <c r="NYG329"/>
      <c r="NYH329"/>
      <c r="NYK329"/>
      <c r="NYL329"/>
      <c r="NYO329"/>
      <c r="NYP329"/>
      <c r="NYS329"/>
      <c r="NYT329"/>
      <c r="NYW329"/>
      <c r="NYX329"/>
      <c r="NZA329"/>
      <c r="NZB329"/>
      <c r="NZE329"/>
      <c r="NZF329"/>
      <c r="NZI329"/>
      <c r="NZJ329"/>
      <c r="NZM329"/>
      <c r="NZN329"/>
      <c r="NZQ329"/>
      <c r="NZR329"/>
      <c r="NZU329"/>
      <c r="NZV329"/>
      <c r="NZY329"/>
      <c r="NZZ329"/>
      <c r="OAC329"/>
      <c r="OAD329"/>
      <c r="OAG329"/>
      <c r="OAH329"/>
      <c r="OAK329"/>
      <c r="OAL329"/>
      <c r="OAO329"/>
      <c r="OAP329"/>
      <c r="OAS329"/>
      <c r="OAT329"/>
      <c r="OAW329"/>
      <c r="OAX329"/>
      <c r="OBA329"/>
      <c r="OBB329"/>
      <c r="OBE329"/>
      <c r="OBF329"/>
      <c r="OBI329"/>
      <c r="OBJ329"/>
      <c r="OBM329"/>
      <c r="OBN329"/>
      <c r="OBQ329"/>
      <c r="OBR329"/>
      <c r="OBU329"/>
      <c r="OBV329"/>
      <c r="OBY329"/>
      <c r="OBZ329"/>
      <c r="OCC329"/>
      <c r="OCD329"/>
      <c r="OCG329"/>
      <c r="OCH329"/>
      <c r="OCK329"/>
      <c r="OCL329"/>
      <c r="OCO329"/>
      <c r="OCP329"/>
      <c r="OCS329"/>
      <c r="OCT329"/>
      <c r="OCW329"/>
      <c r="OCX329"/>
      <c r="ODA329"/>
      <c r="ODB329"/>
      <c r="ODE329"/>
      <c r="ODF329"/>
      <c r="ODI329"/>
      <c r="ODJ329"/>
      <c r="ODM329"/>
      <c r="ODN329"/>
      <c r="ODQ329"/>
      <c r="ODR329"/>
      <c r="ODU329"/>
      <c r="ODV329"/>
      <c r="ODY329"/>
      <c r="ODZ329"/>
      <c r="OEC329"/>
      <c r="OED329"/>
      <c r="OEG329"/>
      <c r="OEH329"/>
      <c r="OEK329"/>
      <c r="OEL329"/>
      <c r="OEO329"/>
      <c r="OEP329"/>
      <c r="OES329"/>
      <c r="OET329"/>
      <c r="OEW329"/>
      <c r="OEX329"/>
      <c r="OFA329"/>
      <c r="OFB329"/>
      <c r="OFE329"/>
      <c r="OFF329"/>
      <c r="OFI329"/>
      <c r="OFJ329"/>
      <c r="OFM329"/>
      <c r="OFN329"/>
      <c r="OFQ329"/>
      <c r="OFR329"/>
      <c r="OFU329"/>
      <c r="OFV329"/>
      <c r="OFY329"/>
      <c r="OFZ329"/>
      <c r="OGC329"/>
      <c r="OGD329"/>
      <c r="OGG329"/>
      <c r="OGH329"/>
      <c r="OGK329"/>
      <c r="OGL329"/>
      <c r="OGO329"/>
      <c r="OGP329"/>
      <c r="OGS329"/>
      <c r="OGT329"/>
      <c r="OGW329"/>
      <c r="OGX329"/>
      <c r="OHA329"/>
      <c r="OHB329"/>
      <c r="OHE329"/>
      <c r="OHF329"/>
      <c r="OHI329"/>
      <c r="OHJ329"/>
      <c r="OHM329"/>
      <c r="OHN329"/>
      <c r="OHQ329"/>
      <c r="OHR329"/>
      <c r="OHU329"/>
      <c r="OHV329"/>
      <c r="OHY329"/>
      <c r="OHZ329"/>
      <c r="OIC329"/>
      <c r="OID329"/>
      <c r="OIG329"/>
      <c r="OIH329"/>
      <c r="OIK329"/>
      <c r="OIL329"/>
      <c r="OIO329"/>
      <c r="OIP329"/>
      <c r="OIS329"/>
      <c r="OIT329"/>
      <c r="OIW329"/>
      <c r="OIX329"/>
      <c r="OJA329"/>
      <c r="OJB329"/>
      <c r="OJE329"/>
      <c r="OJF329"/>
      <c r="OJI329"/>
      <c r="OJJ329"/>
      <c r="OJM329"/>
      <c r="OJN329"/>
      <c r="OJQ329"/>
      <c r="OJR329"/>
      <c r="OJU329"/>
      <c r="OJV329"/>
      <c r="OJY329"/>
      <c r="OJZ329"/>
      <c r="OKC329"/>
      <c r="OKD329"/>
      <c r="OKG329"/>
      <c r="OKH329"/>
      <c r="OKK329"/>
      <c r="OKL329"/>
      <c r="OKO329"/>
      <c r="OKP329"/>
      <c r="OKS329"/>
      <c r="OKT329"/>
      <c r="OKW329"/>
      <c r="OKX329"/>
      <c r="OLA329"/>
      <c r="OLB329"/>
      <c r="OLE329"/>
      <c r="OLF329"/>
      <c r="OLI329"/>
      <c r="OLJ329"/>
      <c r="OLM329"/>
      <c r="OLN329"/>
      <c r="OLQ329"/>
      <c r="OLR329"/>
      <c r="OLU329"/>
      <c r="OLV329"/>
      <c r="OLY329"/>
      <c r="OLZ329"/>
      <c r="OMC329"/>
      <c r="OMD329"/>
      <c r="OMG329"/>
      <c r="OMH329"/>
      <c r="OMK329"/>
      <c r="OML329"/>
      <c r="OMO329"/>
      <c r="OMP329"/>
      <c r="OMS329"/>
      <c r="OMT329"/>
      <c r="OMW329"/>
      <c r="OMX329"/>
      <c r="ONA329"/>
      <c r="ONB329"/>
      <c r="ONE329"/>
      <c r="ONF329"/>
      <c r="ONI329"/>
      <c r="ONJ329"/>
      <c r="ONM329"/>
      <c r="ONN329"/>
      <c r="ONQ329"/>
      <c r="ONR329"/>
      <c r="ONU329"/>
      <c r="ONV329"/>
      <c r="ONY329"/>
      <c r="ONZ329"/>
      <c r="OOC329"/>
      <c r="OOD329"/>
      <c r="OOG329"/>
      <c r="OOH329"/>
      <c r="OOK329"/>
      <c r="OOL329"/>
      <c r="OOO329"/>
      <c r="OOP329"/>
      <c r="OOS329"/>
      <c r="OOT329"/>
      <c r="OOW329"/>
      <c r="OOX329"/>
      <c r="OPA329"/>
      <c r="OPB329"/>
      <c r="OPE329"/>
      <c r="OPF329"/>
      <c r="OPI329"/>
      <c r="OPJ329"/>
      <c r="OPM329"/>
      <c r="OPN329"/>
      <c r="OPQ329"/>
      <c r="OPR329"/>
      <c r="OPU329"/>
      <c r="OPV329"/>
      <c r="OPY329"/>
      <c r="OPZ329"/>
      <c r="OQC329"/>
      <c r="OQD329"/>
      <c r="OQG329"/>
      <c r="OQH329"/>
      <c r="OQK329"/>
      <c r="OQL329"/>
      <c r="OQO329"/>
      <c r="OQP329"/>
      <c r="OQS329"/>
      <c r="OQT329"/>
      <c r="OQW329"/>
      <c r="OQX329"/>
      <c r="ORA329"/>
      <c r="ORB329"/>
      <c r="ORE329"/>
      <c r="ORF329"/>
      <c r="ORI329"/>
      <c r="ORJ329"/>
      <c r="ORM329"/>
      <c r="ORN329"/>
      <c r="ORQ329"/>
      <c r="ORR329"/>
      <c r="ORU329"/>
      <c r="ORV329"/>
      <c r="ORY329"/>
      <c r="ORZ329"/>
      <c r="OSC329"/>
      <c r="OSD329"/>
      <c r="OSG329"/>
      <c r="OSH329"/>
      <c r="OSK329"/>
      <c r="OSL329"/>
      <c r="OSO329"/>
      <c r="OSP329"/>
      <c r="OSS329"/>
      <c r="OST329"/>
      <c r="OSW329"/>
      <c r="OSX329"/>
      <c r="OTA329"/>
      <c r="OTB329"/>
      <c r="OTE329"/>
      <c r="OTF329"/>
      <c r="OTI329"/>
      <c r="OTJ329"/>
      <c r="OTM329"/>
      <c r="OTN329"/>
      <c r="OTQ329"/>
      <c r="OTR329"/>
      <c r="OTU329"/>
      <c r="OTV329"/>
      <c r="OTY329"/>
      <c r="OTZ329"/>
      <c r="OUC329"/>
      <c r="OUD329"/>
      <c r="OUG329"/>
      <c r="OUH329"/>
      <c r="OUK329"/>
      <c r="OUL329"/>
      <c r="OUO329"/>
      <c r="OUP329"/>
      <c r="OUS329"/>
      <c r="OUT329"/>
      <c r="OUW329"/>
      <c r="OUX329"/>
      <c r="OVA329"/>
      <c r="OVB329"/>
      <c r="OVE329"/>
      <c r="OVF329"/>
      <c r="OVI329"/>
      <c r="OVJ329"/>
      <c r="OVM329"/>
      <c r="OVN329"/>
      <c r="OVQ329"/>
      <c r="OVR329"/>
      <c r="OVU329"/>
      <c r="OVV329"/>
      <c r="OVY329"/>
      <c r="OVZ329"/>
      <c r="OWC329"/>
      <c r="OWD329"/>
      <c r="OWG329"/>
      <c r="OWH329"/>
      <c r="OWK329"/>
      <c r="OWL329"/>
      <c r="OWO329"/>
      <c r="OWP329"/>
      <c r="OWS329"/>
      <c r="OWT329"/>
      <c r="OWW329"/>
      <c r="OWX329"/>
      <c r="OXA329"/>
      <c r="OXB329"/>
      <c r="OXE329"/>
      <c r="OXF329"/>
      <c r="OXI329"/>
      <c r="OXJ329"/>
      <c r="OXM329"/>
      <c r="OXN329"/>
      <c r="OXQ329"/>
      <c r="OXR329"/>
      <c r="OXU329"/>
      <c r="OXV329"/>
      <c r="OXY329"/>
      <c r="OXZ329"/>
      <c r="OYC329"/>
      <c r="OYD329"/>
      <c r="OYG329"/>
      <c r="OYH329"/>
      <c r="OYK329"/>
      <c r="OYL329"/>
      <c r="OYO329"/>
      <c r="OYP329"/>
      <c r="OYS329"/>
      <c r="OYT329"/>
      <c r="OYW329"/>
      <c r="OYX329"/>
      <c r="OZA329"/>
      <c r="OZB329"/>
      <c r="OZE329"/>
      <c r="OZF329"/>
      <c r="OZI329"/>
      <c r="OZJ329"/>
      <c r="OZM329"/>
      <c r="OZN329"/>
      <c r="OZQ329"/>
      <c r="OZR329"/>
      <c r="OZU329"/>
      <c r="OZV329"/>
      <c r="OZY329"/>
      <c r="OZZ329"/>
      <c r="PAC329"/>
      <c r="PAD329"/>
      <c r="PAG329"/>
      <c r="PAH329"/>
      <c r="PAK329"/>
      <c r="PAL329"/>
      <c r="PAO329"/>
      <c r="PAP329"/>
      <c r="PAS329"/>
      <c r="PAT329"/>
      <c r="PAW329"/>
      <c r="PAX329"/>
      <c r="PBA329"/>
      <c r="PBB329"/>
      <c r="PBE329"/>
      <c r="PBF329"/>
      <c r="PBI329"/>
      <c r="PBJ329"/>
      <c r="PBM329"/>
      <c r="PBN329"/>
      <c r="PBQ329"/>
      <c r="PBR329"/>
      <c r="PBU329"/>
      <c r="PBV329"/>
      <c r="PBY329"/>
      <c r="PBZ329"/>
      <c r="PCC329"/>
      <c r="PCD329"/>
      <c r="PCG329"/>
      <c r="PCH329"/>
      <c r="PCK329"/>
      <c r="PCL329"/>
      <c r="PCO329"/>
      <c r="PCP329"/>
      <c r="PCS329"/>
      <c r="PCT329"/>
      <c r="PCW329"/>
      <c r="PCX329"/>
      <c r="PDA329"/>
      <c r="PDB329"/>
      <c r="PDE329"/>
      <c r="PDF329"/>
      <c r="PDI329"/>
      <c r="PDJ329"/>
      <c r="PDM329"/>
      <c r="PDN329"/>
      <c r="PDQ329"/>
      <c r="PDR329"/>
      <c r="PDU329"/>
      <c r="PDV329"/>
      <c r="PDY329"/>
      <c r="PDZ329"/>
      <c r="PEC329"/>
      <c r="PED329"/>
      <c r="PEG329"/>
      <c r="PEH329"/>
      <c r="PEK329"/>
      <c r="PEL329"/>
      <c r="PEO329"/>
      <c r="PEP329"/>
      <c r="PES329"/>
      <c r="PET329"/>
      <c r="PEW329"/>
      <c r="PEX329"/>
      <c r="PFA329"/>
      <c r="PFB329"/>
      <c r="PFE329"/>
      <c r="PFF329"/>
      <c r="PFI329"/>
      <c r="PFJ329"/>
      <c r="PFM329"/>
      <c r="PFN329"/>
      <c r="PFQ329"/>
      <c r="PFR329"/>
      <c r="PFU329"/>
      <c r="PFV329"/>
      <c r="PFY329"/>
      <c r="PFZ329"/>
      <c r="PGC329"/>
      <c r="PGD329"/>
      <c r="PGG329"/>
      <c r="PGH329"/>
      <c r="PGK329"/>
      <c r="PGL329"/>
      <c r="PGO329"/>
      <c r="PGP329"/>
      <c r="PGS329"/>
      <c r="PGT329"/>
      <c r="PGW329"/>
      <c r="PGX329"/>
      <c r="PHA329"/>
      <c r="PHB329"/>
      <c r="PHE329"/>
      <c r="PHF329"/>
      <c r="PHI329"/>
      <c r="PHJ329"/>
      <c r="PHM329"/>
      <c r="PHN329"/>
      <c r="PHQ329"/>
      <c r="PHR329"/>
      <c r="PHU329"/>
      <c r="PHV329"/>
      <c r="PHY329"/>
      <c r="PHZ329"/>
      <c r="PIC329"/>
      <c r="PID329"/>
      <c r="PIG329"/>
      <c r="PIH329"/>
      <c r="PIK329"/>
      <c r="PIL329"/>
      <c r="PIO329"/>
      <c r="PIP329"/>
      <c r="PIS329"/>
      <c r="PIT329"/>
      <c r="PIW329"/>
      <c r="PIX329"/>
      <c r="PJA329"/>
      <c r="PJB329"/>
      <c r="PJE329"/>
      <c r="PJF329"/>
      <c r="PJI329"/>
      <c r="PJJ329"/>
      <c r="PJM329"/>
      <c r="PJN329"/>
      <c r="PJQ329"/>
      <c r="PJR329"/>
      <c r="PJU329"/>
      <c r="PJV329"/>
      <c r="PJY329"/>
      <c r="PJZ329"/>
      <c r="PKC329"/>
      <c r="PKD329"/>
      <c r="PKG329"/>
      <c r="PKH329"/>
      <c r="PKK329"/>
      <c r="PKL329"/>
      <c r="PKO329"/>
      <c r="PKP329"/>
      <c r="PKS329"/>
      <c r="PKT329"/>
      <c r="PKW329"/>
      <c r="PKX329"/>
      <c r="PLA329"/>
      <c r="PLB329"/>
      <c r="PLE329"/>
      <c r="PLF329"/>
      <c r="PLI329"/>
      <c r="PLJ329"/>
      <c r="PLM329"/>
      <c r="PLN329"/>
      <c r="PLQ329"/>
      <c r="PLR329"/>
      <c r="PLU329"/>
      <c r="PLV329"/>
      <c r="PLY329"/>
      <c r="PLZ329"/>
      <c r="PMC329"/>
      <c r="PMD329"/>
      <c r="PMG329"/>
      <c r="PMH329"/>
      <c r="PMK329"/>
      <c r="PML329"/>
      <c r="PMO329"/>
      <c r="PMP329"/>
      <c r="PMS329"/>
      <c r="PMT329"/>
      <c r="PMW329"/>
      <c r="PMX329"/>
      <c r="PNA329"/>
      <c r="PNB329"/>
      <c r="PNE329"/>
      <c r="PNF329"/>
      <c r="PNI329"/>
      <c r="PNJ329"/>
      <c r="PNM329"/>
      <c r="PNN329"/>
      <c r="PNQ329"/>
      <c r="PNR329"/>
      <c r="PNU329"/>
      <c r="PNV329"/>
      <c r="PNY329"/>
      <c r="PNZ329"/>
      <c r="POC329"/>
      <c r="POD329"/>
      <c r="POG329"/>
      <c r="POH329"/>
      <c r="POK329"/>
      <c r="POL329"/>
      <c r="POO329"/>
      <c r="POP329"/>
      <c r="POS329"/>
      <c r="POT329"/>
      <c r="POW329"/>
      <c r="POX329"/>
      <c r="PPA329"/>
      <c r="PPB329"/>
      <c r="PPE329"/>
      <c r="PPF329"/>
      <c r="PPI329"/>
      <c r="PPJ329"/>
      <c r="PPM329"/>
      <c r="PPN329"/>
      <c r="PPQ329"/>
      <c r="PPR329"/>
      <c r="PPU329"/>
      <c r="PPV329"/>
      <c r="PPY329"/>
      <c r="PPZ329"/>
      <c r="PQC329"/>
      <c r="PQD329"/>
      <c r="PQG329"/>
      <c r="PQH329"/>
      <c r="PQK329"/>
      <c r="PQL329"/>
      <c r="PQO329"/>
      <c r="PQP329"/>
      <c r="PQS329"/>
      <c r="PQT329"/>
      <c r="PQW329"/>
      <c r="PQX329"/>
      <c r="PRA329"/>
      <c r="PRB329"/>
      <c r="PRE329"/>
      <c r="PRF329"/>
      <c r="PRI329"/>
      <c r="PRJ329"/>
      <c r="PRM329"/>
      <c r="PRN329"/>
      <c r="PRQ329"/>
      <c r="PRR329"/>
      <c r="PRU329"/>
      <c r="PRV329"/>
      <c r="PRY329"/>
      <c r="PRZ329"/>
      <c r="PSC329"/>
      <c r="PSD329"/>
      <c r="PSG329"/>
      <c r="PSH329"/>
      <c r="PSK329"/>
      <c r="PSL329"/>
      <c r="PSO329"/>
      <c r="PSP329"/>
      <c r="PSS329"/>
      <c r="PST329"/>
      <c r="PSW329"/>
      <c r="PSX329"/>
      <c r="PTA329"/>
      <c r="PTB329"/>
      <c r="PTE329"/>
      <c r="PTF329"/>
      <c r="PTI329"/>
      <c r="PTJ329"/>
      <c r="PTM329"/>
      <c r="PTN329"/>
      <c r="PTQ329"/>
      <c r="PTR329"/>
      <c r="PTU329"/>
      <c r="PTV329"/>
      <c r="PTY329"/>
      <c r="PTZ329"/>
      <c r="PUC329"/>
      <c r="PUD329"/>
      <c r="PUG329"/>
      <c r="PUH329"/>
      <c r="PUK329"/>
      <c r="PUL329"/>
      <c r="PUO329"/>
      <c r="PUP329"/>
      <c r="PUS329"/>
      <c r="PUT329"/>
      <c r="PUW329"/>
      <c r="PUX329"/>
      <c r="PVA329"/>
      <c r="PVB329"/>
      <c r="PVE329"/>
      <c r="PVF329"/>
      <c r="PVI329"/>
      <c r="PVJ329"/>
      <c r="PVM329"/>
      <c r="PVN329"/>
      <c r="PVQ329"/>
      <c r="PVR329"/>
      <c r="PVU329"/>
      <c r="PVV329"/>
      <c r="PVY329"/>
      <c r="PVZ329"/>
      <c r="PWC329"/>
      <c r="PWD329"/>
      <c r="PWG329"/>
      <c r="PWH329"/>
      <c r="PWK329"/>
      <c r="PWL329"/>
      <c r="PWO329"/>
      <c r="PWP329"/>
      <c r="PWS329"/>
      <c r="PWT329"/>
      <c r="PWW329"/>
      <c r="PWX329"/>
      <c r="PXA329"/>
      <c r="PXB329"/>
      <c r="PXE329"/>
      <c r="PXF329"/>
      <c r="PXI329"/>
      <c r="PXJ329"/>
      <c r="PXM329"/>
      <c r="PXN329"/>
      <c r="PXQ329"/>
      <c r="PXR329"/>
      <c r="PXU329"/>
      <c r="PXV329"/>
      <c r="PXY329"/>
      <c r="PXZ329"/>
      <c r="PYC329"/>
      <c r="PYD329"/>
      <c r="PYG329"/>
      <c r="PYH329"/>
      <c r="PYK329"/>
      <c r="PYL329"/>
      <c r="PYO329"/>
      <c r="PYP329"/>
      <c r="PYS329"/>
      <c r="PYT329"/>
      <c r="PYW329"/>
      <c r="PYX329"/>
      <c r="PZA329"/>
      <c r="PZB329"/>
      <c r="PZE329"/>
      <c r="PZF329"/>
      <c r="PZI329"/>
      <c r="PZJ329"/>
      <c r="PZM329"/>
      <c r="PZN329"/>
      <c r="PZQ329"/>
      <c r="PZR329"/>
      <c r="PZU329"/>
      <c r="PZV329"/>
      <c r="PZY329"/>
      <c r="PZZ329"/>
      <c r="QAC329"/>
      <c r="QAD329"/>
      <c r="QAG329"/>
      <c r="QAH329"/>
      <c r="QAK329"/>
      <c r="QAL329"/>
      <c r="QAO329"/>
      <c r="QAP329"/>
      <c r="QAS329"/>
      <c r="QAT329"/>
      <c r="QAW329"/>
      <c r="QAX329"/>
      <c r="QBA329"/>
      <c r="QBB329"/>
      <c r="QBE329"/>
      <c r="QBF329"/>
      <c r="QBI329"/>
      <c r="QBJ329"/>
      <c r="QBM329"/>
      <c r="QBN329"/>
      <c r="QBQ329"/>
      <c r="QBR329"/>
      <c r="QBU329"/>
      <c r="QBV329"/>
      <c r="QBY329"/>
      <c r="QBZ329"/>
      <c r="QCC329"/>
      <c r="QCD329"/>
      <c r="QCG329"/>
      <c r="QCH329"/>
      <c r="QCK329"/>
      <c r="QCL329"/>
      <c r="QCO329"/>
      <c r="QCP329"/>
      <c r="QCS329"/>
      <c r="QCT329"/>
      <c r="QCW329"/>
      <c r="QCX329"/>
      <c r="QDA329"/>
      <c r="QDB329"/>
      <c r="QDE329"/>
      <c r="QDF329"/>
      <c r="QDI329"/>
      <c r="QDJ329"/>
      <c r="QDM329"/>
      <c r="QDN329"/>
      <c r="QDQ329"/>
      <c r="QDR329"/>
      <c r="QDU329"/>
      <c r="QDV329"/>
      <c r="QDY329"/>
      <c r="QDZ329"/>
      <c r="QEC329"/>
      <c r="QED329"/>
      <c r="QEG329"/>
      <c r="QEH329"/>
      <c r="QEK329"/>
      <c r="QEL329"/>
      <c r="QEO329"/>
      <c r="QEP329"/>
      <c r="QES329"/>
      <c r="QET329"/>
      <c r="QEW329"/>
      <c r="QEX329"/>
      <c r="QFA329"/>
      <c r="QFB329"/>
      <c r="QFE329"/>
      <c r="QFF329"/>
      <c r="QFI329"/>
      <c r="QFJ329"/>
      <c r="QFM329"/>
      <c r="QFN329"/>
      <c r="QFQ329"/>
      <c r="QFR329"/>
      <c r="QFU329"/>
      <c r="QFV329"/>
      <c r="QFY329"/>
      <c r="QFZ329"/>
      <c r="QGC329"/>
      <c r="QGD329"/>
      <c r="QGG329"/>
      <c r="QGH329"/>
      <c r="QGK329"/>
      <c r="QGL329"/>
      <c r="QGO329"/>
      <c r="QGP329"/>
      <c r="QGS329"/>
      <c r="QGT329"/>
      <c r="QGW329"/>
      <c r="QGX329"/>
      <c r="QHA329"/>
      <c r="QHB329"/>
      <c r="QHE329"/>
      <c r="QHF329"/>
      <c r="QHI329"/>
      <c r="QHJ329"/>
      <c r="QHM329"/>
      <c r="QHN329"/>
      <c r="QHQ329"/>
      <c r="QHR329"/>
      <c r="QHU329"/>
      <c r="QHV329"/>
      <c r="QHY329"/>
      <c r="QHZ329"/>
      <c r="QIC329"/>
      <c r="QID329"/>
      <c r="QIG329"/>
      <c r="QIH329"/>
      <c r="QIK329"/>
      <c r="QIL329"/>
      <c r="QIO329"/>
      <c r="QIP329"/>
      <c r="QIS329"/>
      <c r="QIT329"/>
      <c r="QIW329"/>
      <c r="QIX329"/>
      <c r="QJA329"/>
      <c r="QJB329"/>
      <c r="QJE329"/>
      <c r="QJF329"/>
      <c r="QJI329"/>
      <c r="QJJ329"/>
      <c r="QJM329"/>
      <c r="QJN329"/>
      <c r="QJQ329"/>
      <c r="QJR329"/>
      <c r="QJU329"/>
      <c r="QJV329"/>
      <c r="QJY329"/>
      <c r="QJZ329"/>
      <c r="QKC329"/>
      <c r="QKD329"/>
      <c r="QKG329"/>
      <c r="QKH329"/>
      <c r="QKK329"/>
      <c r="QKL329"/>
      <c r="QKO329"/>
      <c r="QKP329"/>
      <c r="QKS329"/>
      <c r="QKT329"/>
      <c r="QKW329"/>
      <c r="QKX329"/>
      <c r="QLA329"/>
      <c r="QLB329"/>
      <c r="QLE329"/>
      <c r="QLF329"/>
      <c r="QLI329"/>
      <c r="QLJ329"/>
      <c r="QLM329"/>
      <c r="QLN329"/>
      <c r="QLQ329"/>
      <c r="QLR329"/>
      <c r="QLU329"/>
      <c r="QLV329"/>
      <c r="QLY329"/>
      <c r="QLZ329"/>
      <c r="QMC329"/>
      <c r="QMD329"/>
      <c r="QMG329"/>
      <c r="QMH329"/>
      <c r="QMK329"/>
      <c r="QML329"/>
      <c r="QMO329"/>
      <c r="QMP329"/>
      <c r="QMS329"/>
      <c r="QMT329"/>
      <c r="QMW329"/>
      <c r="QMX329"/>
      <c r="QNA329"/>
      <c r="QNB329"/>
      <c r="QNE329"/>
      <c r="QNF329"/>
      <c r="QNI329"/>
      <c r="QNJ329"/>
      <c r="QNM329"/>
      <c r="QNN329"/>
      <c r="QNQ329"/>
      <c r="QNR329"/>
      <c r="QNU329"/>
      <c r="QNV329"/>
      <c r="QNY329"/>
      <c r="QNZ329"/>
      <c r="QOC329"/>
      <c r="QOD329"/>
      <c r="QOG329"/>
      <c r="QOH329"/>
      <c r="QOK329"/>
      <c r="QOL329"/>
      <c r="QOO329"/>
      <c r="QOP329"/>
      <c r="QOS329"/>
      <c r="QOT329"/>
      <c r="QOW329"/>
      <c r="QOX329"/>
      <c r="QPA329"/>
      <c r="QPB329"/>
      <c r="QPE329"/>
      <c r="QPF329"/>
      <c r="QPI329"/>
      <c r="QPJ329"/>
      <c r="QPM329"/>
      <c r="QPN329"/>
      <c r="QPQ329"/>
      <c r="QPR329"/>
      <c r="QPU329"/>
      <c r="QPV329"/>
      <c r="QPY329"/>
      <c r="QPZ329"/>
      <c r="QQC329"/>
      <c r="QQD329"/>
      <c r="QQG329"/>
      <c r="QQH329"/>
      <c r="QQK329"/>
      <c r="QQL329"/>
      <c r="QQO329"/>
      <c r="QQP329"/>
      <c r="QQS329"/>
      <c r="QQT329"/>
      <c r="QQW329"/>
      <c r="QQX329"/>
      <c r="QRA329"/>
      <c r="QRB329"/>
      <c r="QRE329"/>
      <c r="QRF329"/>
      <c r="QRI329"/>
      <c r="QRJ329"/>
      <c r="QRM329"/>
      <c r="QRN329"/>
      <c r="QRQ329"/>
      <c r="QRR329"/>
      <c r="QRU329"/>
      <c r="QRV329"/>
      <c r="QRY329"/>
      <c r="QRZ329"/>
      <c r="QSC329"/>
      <c r="QSD329"/>
      <c r="QSG329"/>
      <c r="QSH329"/>
      <c r="QSK329"/>
      <c r="QSL329"/>
      <c r="QSO329"/>
      <c r="QSP329"/>
      <c r="QSS329"/>
      <c r="QST329"/>
      <c r="QSW329"/>
      <c r="QSX329"/>
      <c r="QTA329"/>
      <c r="QTB329"/>
      <c r="QTE329"/>
      <c r="QTF329"/>
      <c r="QTI329"/>
      <c r="QTJ329"/>
      <c r="QTM329"/>
      <c r="QTN329"/>
      <c r="QTQ329"/>
      <c r="QTR329"/>
      <c r="QTU329"/>
      <c r="QTV329"/>
      <c r="QTY329"/>
      <c r="QTZ329"/>
      <c r="QUC329"/>
      <c r="QUD329"/>
      <c r="QUG329"/>
      <c r="QUH329"/>
      <c r="QUK329"/>
      <c r="QUL329"/>
      <c r="QUO329"/>
      <c r="QUP329"/>
      <c r="QUS329"/>
      <c r="QUT329"/>
      <c r="QUW329"/>
      <c r="QUX329"/>
      <c r="QVA329"/>
      <c r="QVB329"/>
      <c r="QVE329"/>
      <c r="QVF329"/>
      <c r="QVI329"/>
      <c r="QVJ329"/>
      <c r="QVM329"/>
      <c r="QVN329"/>
      <c r="QVQ329"/>
      <c r="QVR329"/>
      <c r="QVU329"/>
      <c r="QVV329"/>
      <c r="QVY329"/>
      <c r="QVZ329"/>
      <c r="QWC329"/>
      <c r="QWD329"/>
      <c r="QWG329"/>
      <c r="QWH329"/>
      <c r="QWK329"/>
      <c r="QWL329"/>
      <c r="QWO329"/>
      <c r="QWP329"/>
      <c r="QWS329"/>
      <c r="QWT329"/>
      <c r="QWW329"/>
      <c r="QWX329"/>
      <c r="QXA329"/>
      <c r="QXB329"/>
      <c r="QXE329"/>
      <c r="QXF329"/>
      <c r="QXI329"/>
      <c r="QXJ329"/>
      <c r="QXM329"/>
      <c r="QXN329"/>
      <c r="QXQ329"/>
      <c r="QXR329"/>
      <c r="QXU329"/>
      <c r="QXV329"/>
      <c r="QXY329"/>
      <c r="QXZ329"/>
      <c r="QYC329"/>
      <c r="QYD329"/>
      <c r="QYG329"/>
      <c r="QYH329"/>
      <c r="QYK329"/>
      <c r="QYL329"/>
      <c r="QYO329"/>
      <c r="QYP329"/>
      <c r="QYS329"/>
      <c r="QYT329"/>
      <c r="QYW329"/>
      <c r="QYX329"/>
      <c r="QZA329"/>
      <c r="QZB329"/>
      <c r="QZE329"/>
      <c r="QZF329"/>
      <c r="QZI329"/>
      <c r="QZJ329"/>
      <c r="QZM329"/>
      <c r="QZN329"/>
      <c r="QZQ329"/>
      <c r="QZR329"/>
      <c r="QZU329"/>
      <c r="QZV329"/>
      <c r="QZY329"/>
      <c r="QZZ329"/>
      <c r="RAC329"/>
      <c r="RAD329"/>
      <c r="RAG329"/>
      <c r="RAH329"/>
      <c r="RAK329"/>
      <c r="RAL329"/>
      <c r="RAO329"/>
      <c r="RAP329"/>
      <c r="RAS329"/>
      <c r="RAT329"/>
      <c r="RAW329"/>
      <c r="RAX329"/>
      <c r="RBA329"/>
      <c r="RBB329"/>
      <c r="RBE329"/>
      <c r="RBF329"/>
      <c r="RBI329"/>
      <c r="RBJ329"/>
      <c r="RBM329"/>
      <c r="RBN329"/>
      <c r="RBQ329"/>
      <c r="RBR329"/>
      <c r="RBU329"/>
      <c r="RBV329"/>
      <c r="RBY329"/>
      <c r="RBZ329"/>
      <c r="RCC329"/>
      <c r="RCD329"/>
      <c r="RCG329"/>
      <c r="RCH329"/>
      <c r="RCK329"/>
      <c r="RCL329"/>
      <c r="RCO329"/>
      <c r="RCP329"/>
      <c r="RCS329"/>
      <c r="RCT329"/>
      <c r="RCW329"/>
      <c r="RCX329"/>
      <c r="RDA329"/>
      <c r="RDB329"/>
      <c r="RDE329"/>
      <c r="RDF329"/>
      <c r="RDI329"/>
      <c r="RDJ329"/>
      <c r="RDM329"/>
      <c r="RDN329"/>
      <c r="RDQ329"/>
      <c r="RDR329"/>
      <c r="RDU329"/>
      <c r="RDV329"/>
      <c r="RDY329"/>
      <c r="RDZ329"/>
      <c r="REC329"/>
      <c r="RED329"/>
      <c r="REG329"/>
      <c r="REH329"/>
      <c r="REK329"/>
      <c r="REL329"/>
      <c r="REO329"/>
      <c r="REP329"/>
      <c r="RES329"/>
      <c r="RET329"/>
      <c r="REW329"/>
      <c r="REX329"/>
      <c r="RFA329"/>
      <c r="RFB329"/>
      <c r="RFE329"/>
      <c r="RFF329"/>
      <c r="RFI329"/>
      <c r="RFJ329"/>
      <c r="RFM329"/>
      <c r="RFN329"/>
      <c r="RFQ329"/>
      <c r="RFR329"/>
      <c r="RFU329"/>
      <c r="RFV329"/>
      <c r="RFY329"/>
      <c r="RFZ329"/>
      <c r="RGC329"/>
      <c r="RGD329"/>
      <c r="RGG329"/>
      <c r="RGH329"/>
      <c r="RGK329"/>
      <c r="RGL329"/>
      <c r="RGO329"/>
      <c r="RGP329"/>
      <c r="RGS329"/>
      <c r="RGT329"/>
      <c r="RGW329"/>
      <c r="RGX329"/>
      <c r="RHA329"/>
      <c r="RHB329"/>
      <c r="RHE329"/>
      <c r="RHF329"/>
      <c r="RHI329"/>
      <c r="RHJ329"/>
      <c r="RHM329"/>
      <c r="RHN329"/>
      <c r="RHQ329"/>
      <c r="RHR329"/>
      <c r="RHU329"/>
      <c r="RHV329"/>
      <c r="RHY329"/>
      <c r="RHZ329"/>
      <c r="RIC329"/>
      <c r="RID329"/>
      <c r="RIG329"/>
      <c r="RIH329"/>
      <c r="RIK329"/>
      <c r="RIL329"/>
      <c r="RIO329"/>
      <c r="RIP329"/>
      <c r="RIS329"/>
      <c r="RIT329"/>
      <c r="RIW329"/>
      <c r="RIX329"/>
      <c r="RJA329"/>
      <c r="RJB329"/>
      <c r="RJE329"/>
      <c r="RJF329"/>
      <c r="RJI329"/>
      <c r="RJJ329"/>
      <c r="RJM329"/>
      <c r="RJN329"/>
      <c r="RJQ329"/>
      <c r="RJR329"/>
      <c r="RJU329"/>
      <c r="RJV329"/>
      <c r="RJY329"/>
      <c r="RJZ329"/>
      <c r="RKC329"/>
      <c r="RKD329"/>
      <c r="RKG329"/>
      <c r="RKH329"/>
      <c r="RKK329"/>
      <c r="RKL329"/>
      <c r="RKO329"/>
      <c r="RKP329"/>
      <c r="RKS329"/>
      <c r="RKT329"/>
      <c r="RKW329"/>
      <c r="RKX329"/>
      <c r="RLA329"/>
      <c r="RLB329"/>
      <c r="RLE329"/>
      <c r="RLF329"/>
      <c r="RLI329"/>
      <c r="RLJ329"/>
      <c r="RLM329"/>
      <c r="RLN329"/>
      <c r="RLQ329"/>
      <c r="RLR329"/>
      <c r="RLU329"/>
      <c r="RLV329"/>
      <c r="RLY329"/>
      <c r="RLZ329"/>
      <c r="RMC329"/>
      <c r="RMD329"/>
      <c r="RMG329"/>
      <c r="RMH329"/>
      <c r="RMK329"/>
      <c r="RML329"/>
      <c r="RMO329"/>
      <c r="RMP329"/>
      <c r="RMS329"/>
      <c r="RMT329"/>
      <c r="RMW329"/>
      <c r="RMX329"/>
      <c r="RNA329"/>
      <c r="RNB329"/>
      <c r="RNE329"/>
      <c r="RNF329"/>
      <c r="RNI329"/>
      <c r="RNJ329"/>
      <c r="RNM329"/>
      <c r="RNN329"/>
      <c r="RNQ329"/>
      <c r="RNR329"/>
      <c r="RNU329"/>
      <c r="RNV329"/>
      <c r="RNY329"/>
      <c r="RNZ329"/>
      <c r="ROC329"/>
      <c r="ROD329"/>
      <c r="ROG329"/>
      <c r="ROH329"/>
      <c r="ROK329"/>
      <c r="ROL329"/>
      <c r="ROO329"/>
      <c r="ROP329"/>
      <c r="ROS329"/>
      <c r="ROT329"/>
      <c r="ROW329"/>
      <c r="ROX329"/>
      <c r="RPA329"/>
      <c r="RPB329"/>
      <c r="RPE329"/>
      <c r="RPF329"/>
      <c r="RPI329"/>
      <c r="RPJ329"/>
      <c r="RPM329"/>
      <c r="RPN329"/>
      <c r="RPQ329"/>
      <c r="RPR329"/>
      <c r="RPU329"/>
      <c r="RPV329"/>
      <c r="RPY329"/>
      <c r="RPZ329"/>
      <c r="RQC329"/>
      <c r="RQD329"/>
      <c r="RQG329"/>
      <c r="RQH329"/>
      <c r="RQK329"/>
      <c r="RQL329"/>
      <c r="RQO329"/>
      <c r="RQP329"/>
      <c r="RQS329"/>
      <c r="RQT329"/>
      <c r="RQW329"/>
      <c r="RQX329"/>
      <c r="RRA329"/>
      <c r="RRB329"/>
      <c r="RRE329"/>
      <c r="RRF329"/>
      <c r="RRI329"/>
      <c r="RRJ329"/>
      <c r="RRM329"/>
      <c r="RRN329"/>
      <c r="RRQ329"/>
      <c r="RRR329"/>
      <c r="RRU329"/>
      <c r="RRV329"/>
      <c r="RRY329"/>
      <c r="RRZ329"/>
      <c r="RSC329"/>
      <c r="RSD329"/>
      <c r="RSG329"/>
      <c r="RSH329"/>
      <c r="RSK329"/>
      <c r="RSL329"/>
      <c r="RSO329"/>
      <c r="RSP329"/>
      <c r="RSS329"/>
      <c r="RST329"/>
      <c r="RSW329"/>
      <c r="RSX329"/>
      <c r="RTA329"/>
      <c r="RTB329"/>
      <c r="RTE329"/>
      <c r="RTF329"/>
      <c r="RTI329"/>
      <c r="RTJ329"/>
      <c r="RTM329"/>
      <c r="RTN329"/>
      <c r="RTQ329"/>
      <c r="RTR329"/>
      <c r="RTU329"/>
      <c r="RTV329"/>
      <c r="RTY329"/>
      <c r="RTZ329"/>
      <c r="RUC329"/>
      <c r="RUD329"/>
      <c r="RUG329"/>
      <c r="RUH329"/>
      <c r="RUK329"/>
      <c r="RUL329"/>
      <c r="RUO329"/>
      <c r="RUP329"/>
      <c r="RUS329"/>
      <c r="RUT329"/>
      <c r="RUW329"/>
      <c r="RUX329"/>
      <c r="RVA329"/>
      <c r="RVB329"/>
      <c r="RVE329"/>
      <c r="RVF329"/>
      <c r="RVI329"/>
      <c r="RVJ329"/>
      <c r="RVM329"/>
      <c r="RVN329"/>
      <c r="RVQ329"/>
      <c r="RVR329"/>
      <c r="RVU329"/>
      <c r="RVV329"/>
      <c r="RVY329"/>
      <c r="RVZ329"/>
      <c r="RWC329"/>
      <c r="RWD329"/>
      <c r="RWG329"/>
      <c r="RWH329"/>
      <c r="RWK329"/>
      <c r="RWL329"/>
      <c r="RWO329"/>
      <c r="RWP329"/>
      <c r="RWS329"/>
      <c r="RWT329"/>
      <c r="RWW329"/>
      <c r="RWX329"/>
      <c r="RXA329"/>
      <c r="RXB329"/>
      <c r="RXE329"/>
      <c r="RXF329"/>
      <c r="RXI329"/>
      <c r="RXJ329"/>
      <c r="RXM329"/>
      <c r="RXN329"/>
      <c r="RXQ329"/>
      <c r="RXR329"/>
      <c r="RXU329"/>
      <c r="RXV329"/>
      <c r="RXY329"/>
      <c r="RXZ329"/>
      <c r="RYC329"/>
      <c r="RYD329"/>
      <c r="RYG329"/>
      <c r="RYH329"/>
      <c r="RYK329"/>
      <c r="RYL329"/>
      <c r="RYO329"/>
      <c r="RYP329"/>
      <c r="RYS329"/>
      <c r="RYT329"/>
      <c r="RYW329"/>
      <c r="RYX329"/>
      <c r="RZA329"/>
      <c r="RZB329"/>
      <c r="RZE329"/>
      <c r="RZF329"/>
      <c r="RZI329"/>
      <c r="RZJ329"/>
      <c r="RZM329"/>
      <c r="RZN329"/>
      <c r="RZQ329"/>
      <c r="RZR329"/>
      <c r="RZU329"/>
      <c r="RZV329"/>
      <c r="RZY329"/>
      <c r="RZZ329"/>
      <c r="SAC329"/>
      <c r="SAD329"/>
      <c r="SAG329"/>
      <c r="SAH329"/>
      <c r="SAK329"/>
      <c r="SAL329"/>
      <c r="SAO329"/>
      <c r="SAP329"/>
      <c r="SAS329"/>
      <c r="SAT329"/>
      <c r="SAW329"/>
      <c r="SAX329"/>
      <c r="SBA329"/>
      <c r="SBB329"/>
      <c r="SBE329"/>
      <c r="SBF329"/>
      <c r="SBI329"/>
      <c r="SBJ329"/>
      <c r="SBM329"/>
      <c r="SBN329"/>
      <c r="SBQ329"/>
      <c r="SBR329"/>
      <c r="SBU329"/>
      <c r="SBV329"/>
      <c r="SBY329"/>
      <c r="SBZ329"/>
      <c r="SCC329"/>
      <c r="SCD329"/>
      <c r="SCG329"/>
      <c r="SCH329"/>
      <c r="SCK329"/>
      <c r="SCL329"/>
      <c r="SCO329"/>
      <c r="SCP329"/>
      <c r="SCS329"/>
      <c r="SCT329"/>
      <c r="SCW329"/>
      <c r="SCX329"/>
      <c r="SDA329"/>
      <c r="SDB329"/>
      <c r="SDE329"/>
      <c r="SDF329"/>
      <c r="SDI329"/>
      <c r="SDJ329"/>
      <c r="SDM329"/>
      <c r="SDN329"/>
      <c r="SDQ329"/>
      <c r="SDR329"/>
      <c r="SDU329"/>
      <c r="SDV329"/>
      <c r="SDY329"/>
      <c r="SDZ329"/>
      <c r="SEC329"/>
      <c r="SED329"/>
      <c r="SEG329"/>
      <c r="SEH329"/>
      <c r="SEK329"/>
      <c r="SEL329"/>
      <c r="SEO329"/>
      <c r="SEP329"/>
      <c r="SES329"/>
      <c r="SET329"/>
      <c r="SEW329"/>
      <c r="SEX329"/>
      <c r="SFA329"/>
      <c r="SFB329"/>
      <c r="SFE329"/>
      <c r="SFF329"/>
      <c r="SFI329"/>
      <c r="SFJ329"/>
      <c r="SFM329"/>
      <c r="SFN329"/>
      <c r="SFQ329"/>
      <c r="SFR329"/>
      <c r="SFU329"/>
      <c r="SFV329"/>
      <c r="SFY329"/>
      <c r="SFZ329"/>
      <c r="SGC329"/>
      <c r="SGD329"/>
      <c r="SGG329"/>
      <c r="SGH329"/>
      <c r="SGK329"/>
      <c r="SGL329"/>
      <c r="SGO329"/>
      <c r="SGP329"/>
      <c r="SGS329"/>
      <c r="SGT329"/>
      <c r="SGW329"/>
      <c r="SGX329"/>
      <c r="SHA329"/>
      <c r="SHB329"/>
      <c r="SHE329"/>
      <c r="SHF329"/>
      <c r="SHI329"/>
      <c r="SHJ329"/>
      <c r="SHM329"/>
      <c r="SHN329"/>
      <c r="SHQ329"/>
      <c r="SHR329"/>
      <c r="SHU329"/>
      <c r="SHV329"/>
      <c r="SHY329"/>
      <c r="SHZ329"/>
      <c r="SIC329"/>
      <c r="SID329"/>
      <c r="SIG329"/>
      <c r="SIH329"/>
      <c r="SIK329"/>
      <c r="SIL329"/>
      <c r="SIO329"/>
      <c r="SIP329"/>
      <c r="SIS329"/>
      <c r="SIT329"/>
      <c r="SIW329"/>
      <c r="SIX329"/>
      <c r="SJA329"/>
      <c r="SJB329"/>
      <c r="SJE329"/>
      <c r="SJF329"/>
      <c r="SJI329"/>
      <c r="SJJ329"/>
      <c r="SJM329"/>
      <c r="SJN329"/>
      <c r="SJQ329"/>
      <c r="SJR329"/>
      <c r="SJU329"/>
      <c r="SJV329"/>
      <c r="SJY329"/>
      <c r="SJZ329"/>
      <c r="SKC329"/>
      <c r="SKD329"/>
      <c r="SKG329"/>
      <c r="SKH329"/>
      <c r="SKK329"/>
      <c r="SKL329"/>
      <c r="SKO329"/>
      <c r="SKP329"/>
      <c r="SKS329"/>
      <c r="SKT329"/>
      <c r="SKW329"/>
      <c r="SKX329"/>
      <c r="SLA329"/>
      <c r="SLB329"/>
      <c r="SLE329"/>
      <c r="SLF329"/>
      <c r="SLI329"/>
      <c r="SLJ329"/>
      <c r="SLM329"/>
      <c r="SLN329"/>
      <c r="SLQ329"/>
      <c r="SLR329"/>
      <c r="SLU329"/>
      <c r="SLV329"/>
      <c r="SLY329"/>
      <c r="SLZ329"/>
      <c r="SMC329"/>
      <c r="SMD329"/>
      <c r="SMG329"/>
      <c r="SMH329"/>
      <c r="SMK329"/>
      <c r="SML329"/>
      <c r="SMO329"/>
      <c r="SMP329"/>
      <c r="SMS329"/>
      <c r="SMT329"/>
      <c r="SMW329"/>
      <c r="SMX329"/>
      <c r="SNA329"/>
      <c r="SNB329"/>
      <c r="SNE329"/>
      <c r="SNF329"/>
      <c r="SNI329"/>
      <c r="SNJ329"/>
      <c r="SNM329"/>
      <c r="SNN329"/>
      <c r="SNQ329"/>
      <c r="SNR329"/>
      <c r="SNU329"/>
      <c r="SNV329"/>
      <c r="SNY329"/>
      <c r="SNZ329"/>
      <c r="SOC329"/>
      <c r="SOD329"/>
      <c r="SOG329"/>
      <c r="SOH329"/>
      <c r="SOK329"/>
      <c r="SOL329"/>
      <c r="SOO329"/>
      <c r="SOP329"/>
      <c r="SOS329"/>
      <c r="SOT329"/>
      <c r="SOW329"/>
      <c r="SOX329"/>
      <c r="SPA329"/>
      <c r="SPB329"/>
      <c r="SPE329"/>
      <c r="SPF329"/>
      <c r="SPI329"/>
      <c r="SPJ329"/>
      <c r="SPM329"/>
      <c r="SPN329"/>
      <c r="SPQ329"/>
      <c r="SPR329"/>
      <c r="SPU329"/>
      <c r="SPV329"/>
      <c r="SPY329"/>
      <c r="SPZ329"/>
      <c r="SQC329"/>
      <c r="SQD329"/>
      <c r="SQG329"/>
      <c r="SQH329"/>
      <c r="SQK329"/>
      <c r="SQL329"/>
      <c r="SQO329"/>
      <c r="SQP329"/>
      <c r="SQS329"/>
      <c r="SQT329"/>
      <c r="SQW329"/>
      <c r="SQX329"/>
      <c r="SRA329"/>
      <c r="SRB329"/>
      <c r="SRE329"/>
      <c r="SRF329"/>
      <c r="SRI329"/>
      <c r="SRJ329"/>
      <c r="SRM329"/>
      <c r="SRN329"/>
      <c r="SRQ329"/>
      <c r="SRR329"/>
      <c r="SRU329"/>
      <c r="SRV329"/>
      <c r="SRY329"/>
      <c r="SRZ329"/>
      <c r="SSC329"/>
      <c r="SSD329"/>
      <c r="SSG329"/>
      <c r="SSH329"/>
      <c r="SSK329"/>
      <c r="SSL329"/>
      <c r="SSO329"/>
      <c r="SSP329"/>
      <c r="SSS329"/>
      <c r="SST329"/>
      <c r="SSW329"/>
      <c r="SSX329"/>
      <c r="STA329"/>
      <c r="STB329"/>
      <c r="STE329"/>
      <c r="STF329"/>
      <c r="STI329"/>
      <c r="STJ329"/>
      <c r="STM329"/>
      <c r="STN329"/>
      <c r="STQ329"/>
      <c r="STR329"/>
      <c r="STU329"/>
      <c r="STV329"/>
      <c r="STY329"/>
      <c r="STZ329"/>
      <c r="SUC329"/>
      <c r="SUD329"/>
      <c r="SUG329"/>
      <c r="SUH329"/>
      <c r="SUK329"/>
      <c r="SUL329"/>
      <c r="SUO329"/>
      <c r="SUP329"/>
      <c r="SUS329"/>
      <c r="SUT329"/>
      <c r="SUW329"/>
      <c r="SUX329"/>
      <c r="SVA329"/>
      <c r="SVB329"/>
      <c r="SVE329"/>
      <c r="SVF329"/>
      <c r="SVI329"/>
      <c r="SVJ329"/>
      <c r="SVM329"/>
      <c r="SVN329"/>
      <c r="SVQ329"/>
      <c r="SVR329"/>
      <c r="SVU329"/>
      <c r="SVV329"/>
      <c r="SVY329"/>
      <c r="SVZ329"/>
      <c r="SWC329"/>
      <c r="SWD329"/>
      <c r="SWG329"/>
      <c r="SWH329"/>
      <c r="SWK329"/>
      <c r="SWL329"/>
      <c r="SWO329"/>
      <c r="SWP329"/>
      <c r="SWS329"/>
      <c r="SWT329"/>
      <c r="SWW329"/>
      <c r="SWX329"/>
      <c r="SXA329"/>
      <c r="SXB329"/>
      <c r="SXE329"/>
      <c r="SXF329"/>
      <c r="SXI329"/>
      <c r="SXJ329"/>
      <c r="SXM329"/>
      <c r="SXN329"/>
      <c r="SXQ329"/>
      <c r="SXR329"/>
      <c r="SXU329"/>
      <c r="SXV329"/>
      <c r="SXY329"/>
      <c r="SXZ329"/>
      <c r="SYC329"/>
      <c r="SYD329"/>
      <c r="SYG329"/>
      <c r="SYH329"/>
      <c r="SYK329"/>
      <c r="SYL329"/>
      <c r="SYO329"/>
      <c r="SYP329"/>
      <c r="SYS329"/>
      <c r="SYT329"/>
      <c r="SYW329"/>
      <c r="SYX329"/>
      <c r="SZA329"/>
      <c r="SZB329"/>
      <c r="SZE329"/>
      <c r="SZF329"/>
      <c r="SZI329"/>
      <c r="SZJ329"/>
      <c r="SZM329"/>
      <c r="SZN329"/>
      <c r="SZQ329"/>
      <c r="SZR329"/>
      <c r="SZU329"/>
      <c r="SZV329"/>
      <c r="SZY329"/>
      <c r="SZZ329"/>
      <c r="TAC329"/>
      <c r="TAD329"/>
      <c r="TAG329"/>
      <c r="TAH329"/>
      <c r="TAK329"/>
      <c r="TAL329"/>
      <c r="TAO329"/>
      <c r="TAP329"/>
      <c r="TAS329"/>
      <c r="TAT329"/>
      <c r="TAW329"/>
      <c r="TAX329"/>
      <c r="TBA329"/>
      <c r="TBB329"/>
      <c r="TBE329"/>
      <c r="TBF329"/>
      <c r="TBI329"/>
      <c r="TBJ329"/>
      <c r="TBM329"/>
      <c r="TBN329"/>
      <c r="TBQ329"/>
      <c r="TBR329"/>
      <c r="TBU329"/>
      <c r="TBV329"/>
      <c r="TBY329"/>
      <c r="TBZ329"/>
      <c r="TCC329"/>
      <c r="TCD329"/>
      <c r="TCG329"/>
      <c r="TCH329"/>
      <c r="TCK329"/>
      <c r="TCL329"/>
      <c r="TCO329"/>
      <c r="TCP329"/>
      <c r="TCS329"/>
      <c r="TCT329"/>
      <c r="TCW329"/>
      <c r="TCX329"/>
      <c r="TDA329"/>
      <c r="TDB329"/>
      <c r="TDE329"/>
      <c r="TDF329"/>
      <c r="TDI329"/>
      <c r="TDJ329"/>
      <c r="TDM329"/>
      <c r="TDN329"/>
      <c r="TDQ329"/>
      <c r="TDR329"/>
      <c r="TDU329"/>
      <c r="TDV329"/>
      <c r="TDY329"/>
      <c r="TDZ329"/>
      <c r="TEC329"/>
      <c r="TED329"/>
      <c r="TEG329"/>
      <c r="TEH329"/>
      <c r="TEK329"/>
      <c r="TEL329"/>
      <c r="TEO329"/>
      <c r="TEP329"/>
      <c r="TES329"/>
      <c r="TET329"/>
      <c r="TEW329"/>
      <c r="TEX329"/>
      <c r="TFA329"/>
      <c r="TFB329"/>
      <c r="TFE329"/>
      <c r="TFF329"/>
      <c r="TFI329"/>
      <c r="TFJ329"/>
      <c r="TFM329"/>
      <c r="TFN329"/>
      <c r="TFQ329"/>
      <c r="TFR329"/>
      <c r="TFU329"/>
      <c r="TFV329"/>
      <c r="TFY329"/>
      <c r="TFZ329"/>
      <c r="TGC329"/>
      <c r="TGD329"/>
      <c r="TGG329"/>
      <c r="TGH329"/>
      <c r="TGK329"/>
      <c r="TGL329"/>
      <c r="TGO329"/>
      <c r="TGP329"/>
      <c r="TGS329"/>
      <c r="TGT329"/>
      <c r="TGW329"/>
      <c r="TGX329"/>
      <c r="THA329"/>
      <c r="THB329"/>
      <c r="THE329"/>
      <c r="THF329"/>
      <c r="THI329"/>
      <c r="THJ329"/>
      <c r="THM329"/>
      <c r="THN329"/>
      <c r="THQ329"/>
      <c r="THR329"/>
      <c r="THU329"/>
      <c r="THV329"/>
      <c r="THY329"/>
      <c r="THZ329"/>
      <c r="TIC329"/>
      <c r="TID329"/>
      <c r="TIG329"/>
      <c r="TIH329"/>
      <c r="TIK329"/>
      <c r="TIL329"/>
      <c r="TIO329"/>
      <c r="TIP329"/>
      <c r="TIS329"/>
      <c r="TIT329"/>
      <c r="TIW329"/>
      <c r="TIX329"/>
      <c r="TJA329"/>
      <c r="TJB329"/>
      <c r="TJE329"/>
      <c r="TJF329"/>
      <c r="TJI329"/>
      <c r="TJJ329"/>
      <c r="TJM329"/>
      <c r="TJN329"/>
      <c r="TJQ329"/>
      <c r="TJR329"/>
      <c r="TJU329"/>
      <c r="TJV329"/>
      <c r="TJY329"/>
      <c r="TJZ329"/>
      <c r="TKC329"/>
      <c r="TKD329"/>
      <c r="TKG329"/>
      <c r="TKH329"/>
      <c r="TKK329"/>
      <c r="TKL329"/>
      <c r="TKO329"/>
      <c r="TKP329"/>
      <c r="TKS329"/>
      <c r="TKT329"/>
      <c r="TKW329"/>
      <c r="TKX329"/>
      <c r="TLA329"/>
      <c r="TLB329"/>
      <c r="TLE329"/>
      <c r="TLF329"/>
      <c r="TLI329"/>
      <c r="TLJ329"/>
      <c r="TLM329"/>
      <c r="TLN329"/>
      <c r="TLQ329"/>
      <c r="TLR329"/>
      <c r="TLU329"/>
      <c r="TLV329"/>
      <c r="TLY329"/>
      <c r="TLZ329"/>
      <c r="TMC329"/>
      <c r="TMD329"/>
      <c r="TMG329"/>
      <c r="TMH329"/>
      <c r="TMK329"/>
      <c r="TML329"/>
      <c r="TMO329"/>
      <c r="TMP329"/>
      <c r="TMS329"/>
      <c r="TMT329"/>
      <c r="TMW329"/>
      <c r="TMX329"/>
      <c r="TNA329"/>
      <c r="TNB329"/>
      <c r="TNE329"/>
      <c r="TNF329"/>
      <c r="TNI329"/>
      <c r="TNJ329"/>
      <c r="TNM329"/>
      <c r="TNN329"/>
      <c r="TNQ329"/>
      <c r="TNR329"/>
      <c r="TNU329"/>
      <c r="TNV329"/>
      <c r="TNY329"/>
      <c r="TNZ329"/>
      <c r="TOC329"/>
      <c r="TOD329"/>
      <c r="TOG329"/>
      <c r="TOH329"/>
      <c r="TOK329"/>
      <c r="TOL329"/>
      <c r="TOO329"/>
      <c r="TOP329"/>
      <c r="TOS329"/>
      <c r="TOT329"/>
      <c r="TOW329"/>
      <c r="TOX329"/>
      <c r="TPA329"/>
      <c r="TPB329"/>
      <c r="TPE329"/>
      <c r="TPF329"/>
      <c r="TPI329"/>
      <c r="TPJ329"/>
      <c r="TPM329"/>
      <c r="TPN329"/>
      <c r="TPQ329"/>
      <c r="TPR329"/>
      <c r="TPU329"/>
      <c r="TPV329"/>
      <c r="TPY329"/>
      <c r="TPZ329"/>
      <c r="TQC329"/>
      <c r="TQD329"/>
      <c r="TQG329"/>
      <c r="TQH329"/>
      <c r="TQK329"/>
      <c r="TQL329"/>
      <c r="TQO329"/>
      <c r="TQP329"/>
      <c r="TQS329"/>
      <c r="TQT329"/>
      <c r="TQW329"/>
      <c r="TQX329"/>
      <c r="TRA329"/>
      <c r="TRB329"/>
      <c r="TRE329"/>
      <c r="TRF329"/>
      <c r="TRI329"/>
      <c r="TRJ329"/>
      <c r="TRM329"/>
      <c r="TRN329"/>
      <c r="TRQ329"/>
      <c r="TRR329"/>
      <c r="TRU329"/>
      <c r="TRV329"/>
      <c r="TRY329"/>
      <c r="TRZ329"/>
      <c r="TSC329"/>
      <c r="TSD329"/>
      <c r="TSG329"/>
      <c r="TSH329"/>
      <c r="TSK329"/>
      <c r="TSL329"/>
      <c r="TSO329"/>
      <c r="TSP329"/>
      <c r="TSS329"/>
      <c r="TST329"/>
      <c r="TSW329"/>
      <c r="TSX329"/>
      <c r="TTA329"/>
      <c r="TTB329"/>
      <c r="TTE329"/>
      <c r="TTF329"/>
      <c r="TTI329"/>
      <c r="TTJ329"/>
      <c r="TTM329"/>
      <c r="TTN329"/>
      <c r="TTQ329"/>
      <c r="TTR329"/>
      <c r="TTU329"/>
      <c r="TTV329"/>
      <c r="TTY329"/>
      <c r="TTZ329"/>
      <c r="TUC329"/>
      <c r="TUD329"/>
      <c r="TUG329"/>
      <c r="TUH329"/>
      <c r="TUK329"/>
      <c r="TUL329"/>
      <c r="TUO329"/>
      <c r="TUP329"/>
      <c r="TUS329"/>
      <c r="TUT329"/>
      <c r="TUW329"/>
      <c r="TUX329"/>
      <c r="TVA329"/>
      <c r="TVB329"/>
      <c r="TVE329"/>
      <c r="TVF329"/>
      <c r="TVI329"/>
      <c r="TVJ329"/>
      <c r="TVM329"/>
      <c r="TVN329"/>
      <c r="TVQ329"/>
      <c r="TVR329"/>
      <c r="TVU329"/>
      <c r="TVV329"/>
      <c r="TVY329"/>
      <c r="TVZ329"/>
      <c r="TWC329"/>
      <c r="TWD329"/>
      <c r="TWG329"/>
      <c r="TWH329"/>
      <c r="TWK329"/>
      <c r="TWL329"/>
      <c r="TWO329"/>
      <c r="TWP329"/>
      <c r="TWS329"/>
      <c r="TWT329"/>
      <c r="TWW329"/>
      <c r="TWX329"/>
      <c r="TXA329"/>
      <c r="TXB329"/>
      <c r="TXE329"/>
      <c r="TXF329"/>
      <c r="TXI329"/>
      <c r="TXJ329"/>
      <c r="TXM329"/>
      <c r="TXN329"/>
      <c r="TXQ329"/>
      <c r="TXR329"/>
      <c r="TXU329"/>
      <c r="TXV329"/>
      <c r="TXY329"/>
      <c r="TXZ329"/>
      <c r="TYC329"/>
      <c r="TYD329"/>
      <c r="TYG329"/>
      <c r="TYH329"/>
      <c r="TYK329"/>
      <c r="TYL329"/>
      <c r="TYO329"/>
      <c r="TYP329"/>
      <c r="TYS329"/>
      <c r="TYT329"/>
      <c r="TYW329"/>
      <c r="TYX329"/>
      <c r="TZA329"/>
      <c r="TZB329"/>
      <c r="TZE329"/>
      <c r="TZF329"/>
      <c r="TZI329"/>
      <c r="TZJ329"/>
      <c r="TZM329"/>
      <c r="TZN329"/>
      <c r="TZQ329"/>
      <c r="TZR329"/>
      <c r="TZU329"/>
      <c r="TZV329"/>
      <c r="TZY329"/>
      <c r="TZZ329"/>
      <c r="UAC329"/>
      <c r="UAD329"/>
      <c r="UAG329"/>
      <c r="UAH329"/>
      <c r="UAK329"/>
      <c r="UAL329"/>
      <c r="UAO329"/>
      <c r="UAP329"/>
      <c r="UAS329"/>
      <c r="UAT329"/>
      <c r="UAW329"/>
      <c r="UAX329"/>
      <c r="UBA329"/>
      <c r="UBB329"/>
      <c r="UBE329"/>
      <c r="UBF329"/>
      <c r="UBI329"/>
      <c r="UBJ329"/>
      <c r="UBM329"/>
      <c r="UBN329"/>
      <c r="UBQ329"/>
      <c r="UBR329"/>
      <c r="UBU329"/>
      <c r="UBV329"/>
      <c r="UBY329"/>
      <c r="UBZ329"/>
      <c r="UCC329"/>
      <c r="UCD329"/>
      <c r="UCG329"/>
      <c r="UCH329"/>
      <c r="UCK329"/>
      <c r="UCL329"/>
      <c r="UCO329"/>
      <c r="UCP329"/>
      <c r="UCS329"/>
      <c r="UCT329"/>
      <c r="UCW329"/>
      <c r="UCX329"/>
      <c r="UDA329"/>
      <c r="UDB329"/>
      <c r="UDE329"/>
      <c r="UDF329"/>
      <c r="UDI329"/>
      <c r="UDJ329"/>
      <c r="UDM329"/>
      <c r="UDN329"/>
      <c r="UDQ329"/>
      <c r="UDR329"/>
      <c r="UDU329"/>
      <c r="UDV329"/>
      <c r="UDY329"/>
      <c r="UDZ329"/>
      <c r="UEC329"/>
      <c r="UED329"/>
      <c r="UEG329"/>
      <c r="UEH329"/>
      <c r="UEK329"/>
      <c r="UEL329"/>
      <c r="UEO329"/>
      <c r="UEP329"/>
      <c r="UES329"/>
      <c r="UET329"/>
      <c r="UEW329"/>
      <c r="UEX329"/>
      <c r="UFA329"/>
      <c r="UFB329"/>
      <c r="UFE329"/>
      <c r="UFF329"/>
      <c r="UFI329"/>
      <c r="UFJ329"/>
      <c r="UFM329"/>
      <c r="UFN329"/>
      <c r="UFQ329"/>
      <c r="UFR329"/>
      <c r="UFU329"/>
      <c r="UFV329"/>
      <c r="UFY329"/>
      <c r="UFZ329"/>
      <c r="UGC329"/>
      <c r="UGD329"/>
      <c r="UGG329"/>
      <c r="UGH329"/>
      <c r="UGK329"/>
      <c r="UGL329"/>
      <c r="UGO329"/>
      <c r="UGP329"/>
      <c r="UGS329"/>
      <c r="UGT329"/>
      <c r="UGW329"/>
      <c r="UGX329"/>
      <c r="UHA329"/>
      <c r="UHB329"/>
      <c r="UHE329"/>
      <c r="UHF329"/>
      <c r="UHI329"/>
      <c r="UHJ329"/>
      <c r="UHM329"/>
      <c r="UHN329"/>
      <c r="UHQ329"/>
      <c r="UHR329"/>
      <c r="UHU329"/>
      <c r="UHV329"/>
      <c r="UHY329"/>
      <c r="UHZ329"/>
      <c r="UIC329"/>
      <c r="UID329"/>
      <c r="UIG329"/>
      <c r="UIH329"/>
      <c r="UIK329"/>
      <c r="UIL329"/>
      <c r="UIO329"/>
      <c r="UIP329"/>
      <c r="UIS329"/>
      <c r="UIT329"/>
      <c r="UIW329"/>
      <c r="UIX329"/>
      <c r="UJA329"/>
      <c r="UJB329"/>
      <c r="UJE329"/>
      <c r="UJF329"/>
      <c r="UJI329"/>
      <c r="UJJ329"/>
      <c r="UJM329"/>
      <c r="UJN329"/>
      <c r="UJQ329"/>
      <c r="UJR329"/>
      <c r="UJU329"/>
      <c r="UJV329"/>
      <c r="UJY329"/>
      <c r="UJZ329"/>
      <c r="UKC329"/>
      <c r="UKD329"/>
      <c r="UKG329"/>
      <c r="UKH329"/>
      <c r="UKK329"/>
      <c r="UKL329"/>
      <c r="UKO329"/>
      <c r="UKP329"/>
      <c r="UKS329"/>
      <c r="UKT329"/>
      <c r="UKW329"/>
      <c r="UKX329"/>
      <c r="ULA329"/>
      <c r="ULB329"/>
      <c r="ULE329"/>
      <c r="ULF329"/>
      <c r="ULI329"/>
      <c r="ULJ329"/>
      <c r="ULM329"/>
      <c r="ULN329"/>
      <c r="ULQ329"/>
      <c r="ULR329"/>
      <c r="ULU329"/>
      <c r="ULV329"/>
      <c r="ULY329"/>
      <c r="ULZ329"/>
      <c r="UMC329"/>
      <c r="UMD329"/>
      <c r="UMG329"/>
      <c r="UMH329"/>
      <c r="UMK329"/>
      <c r="UML329"/>
      <c r="UMO329"/>
      <c r="UMP329"/>
      <c r="UMS329"/>
      <c r="UMT329"/>
      <c r="UMW329"/>
      <c r="UMX329"/>
      <c r="UNA329"/>
      <c r="UNB329"/>
      <c r="UNE329"/>
      <c r="UNF329"/>
      <c r="UNI329"/>
      <c r="UNJ329"/>
      <c r="UNM329"/>
      <c r="UNN329"/>
      <c r="UNQ329"/>
      <c r="UNR329"/>
      <c r="UNU329"/>
      <c r="UNV329"/>
      <c r="UNY329"/>
      <c r="UNZ329"/>
      <c r="UOC329"/>
      <c r="UOD329"/>
      <c r="UOG329"/>
      <c r="UOH329"/>
      <c r="UOK329"/>
      <c r="UOL329"/>
      <c r="UOO329"/>
      <c r="UOP329"/>
      <c r="UOS329"/>
      <c r="UOT329"/>
      <c r="UOW329"/>
      <c r="UOX329"/>
      <c r="UPA329"/>
      <c r="UPB329"/>
      <c r="UPE329"/>
      <c r="UPF329"/>
      <c r="UPI329"/>
      <c r="UPJ329"/>
      <c r="UPM329"/>
      <c r="UPN329"/>
      <c r="UPQ329"/>
      <c r="UPR329"/>
      <c r="UPU329"/>
      <c r="UPV329"/>
      <c r="UPY329"/>
      <c r="UPZ329"/>
      <c r="UQC329"/>
      <c r="UQD329"/>
      <c r="UQG329"/>
      <c r="UQH329"/>
      <c r="UQK329"/>
      <c r="UQL329"/>
      <c r="UQO329"/>
      <c r="UQP329"/>
      <c r="UQS329"/>
      <c r="UQT329"/>
      <c r="UQW329"/>
      <c r="UQX329"/>
      <c r="URA329"/>
      <c r="URB329"/>
      <c r="URE329"/>
      <c r="URF329"/>
      <c r="URI329"/>
      <c r="URJ329"/>
      <c r="URM329"/>
      <c r="URN329"/>
      <c r="URQ329"/>
      <c r="URR329"/>
      <c r="URU329"/>
      <c r="URV329"/>
      <c r="URY329"/>
      <c r="URZ329"/>
      <c r="USC329"/>
      <c r="USD329"/>
      <c r="USG329"/>
      <c r="USH329"/>
      <c r="USK329"/>
      <c r="USL329"/>
      <c r="USO329"/>
      <c r="USP329"/>
      <c r="USS329"/>
      <c r="UST329"/>
      <c r="USW329"/>
      <c r="USX329"/>
      <c r="UTA329"/>
      <c r="UTB329"/>
      <c r="UTE329"/>
      <c r="UTF329"/>
      <c r="UTI329"/>
      <c r="UTJ329"/>
      <c r="UTM329"/>
      <c r="UTN329"/>
      <c r="UTQ329"/>
      <c r="UTR329"/>
      <c r="UTU329"/>
      <c r="UTV329"/>
      <c r="UTY329"/>
      <c r="UTZ329"/>
      <c r="UUC329"/>
      <c r="UUD329"/>
      <c r="UUG329"/>
      <c r="UUH329"/>
      <c r="UUK329"/>
      <c r="UUL329"/>
      <c r="UUO329"/>
      <c r="UUP329"/>
      <c r="UUS329"/>
      <c r="UUT329"/>
      <c r="UUW329"/>
      <c r="UUX329"/>
      <c r="UVA329"/>
      <c r="UVB329"/>
      <c r="UVE329"/>
      <c r="UVF329"/>
      <c r="UVI329"/>
      <c r="UVJ329"/>
      <c r="UVM329"/>
      <c r="UVN329"/>
      <c r="UVQ329"/>
      <c r="UVR329"/>
      <c r="UVU329"/>
      <c r="UVV329"/>
      <c r="UVY329"/>
      <c r="UVZ329"/>
      <c r="UWC329"/>
      <c r="UWD329"/>
      <c r="UWG329"/>
      <c r="UWH329"/>
      <c r="UWK329"/>
      <c r="UWL329"/>
      <c r="UWO329"/>
      <c r="UWP329"/>
      <c r="UWS329"/>
      <c r="UWT329"/>
      <c r="UWW329"/>
      <c r="UWX329"/>
      <c r="UXA329"/>
      <c r="UXB329"/>
      <c r="UXE329"/>
      <c r="UXF329"/>
      <c r="UXI329"/>
      <c r="UXJ329"/>
      <c r="UXM329"/>
      <c r="UXN329"/>
      <c r="UXQ329"/>
      <c r="UXR329"/>
      <c r="UXU329"/>
      <c r="UXV329"/>
      <c r="UXY329"/>
      <c r="UXZ329"/>
      <c r="UYC329"/>
      <c r="UYD329"/>
      <c r="UYG329"/>
      <c r="UYH329"/>
      <c r="UYK329"/>
      <c r="UYL329"/>
      <c r="UYO329"/>
      <c r="UYP329"/>
      <c r="UYS329"/>
      <c r="UYT329"/>
      <c r="UYW329"/>
      <c r="UYX329"/>
      <c r="UZA329"/>
      <c r="UZB329"/>
      <c r="UZE329"/>
      <c r="UZF329"/>
      <c r="UZI329"/>
      <c r="UZJ329"/>
      <c r="UZM329"/>
      <c r="UZN329"/>
      <c r="UZQ329"/>
      <c r="UZR329"/>
      <c r="UZU329"/>
      <c r="UZV329"/>
      <c r="UZY329"/>
      <c r="UZZ329"/>
      <c r="VAC329"/>
      <c r="VAD329"/>
      <c r="VAG329"/>
      <c r="VAH329"/>
      <c r="VAK329"/>
      <c r="VAL329"/>
      <c r="VAO329"/>
      <c r="VAP329"/>
      <c r="VAS329"/>
      <c r="VAT329"/>
      <c r="VAW329"/>
      <c r="VAX329"/>
      <c r="VBA329"/>
      <c r="VBB329"/>
      <c r="VBE329"/>
      <c r="VBF329"/>
      <c r="VBI329"/>
      <c r="VBJ329"/>
      <c r="VBM329"/>
      <c r="VBN329"/>
      <c r="VBQ329"/>
      <c r="VBR329"/>
      <c r="VBU329"/>
      <c r="VBV329"/>
      <c r="VBY329"/>
      <c r="VBZ329"/>
      <c r="VCC329"/>
      <c r="VCD329"/>
      <c r="VCG329"/>
      <c r="VCH329"/>
      <c r="VCK329"/>
      <c r="VCL329"/>
      <c r="VCO329"/>
      <c r="VCP329"/>
      <c r="VCS329"/>
      <c r="VCT329"/>
      <c r="VCW329"/>
      <c r="VCX329"/>
      <c r="VDA329"/>
      <c r="VDB329"/>
      <c r="VDE329"/>
      <c r="VDF329"/>
      <c r="VDI329"/>
      <c r="VDJ329"/>
      <c r="VDM329"/>
      <c r="VDN329"/>
      <c r="VDQ329"/>
      <c r="VDR329"/>
      <c r="VDU329"/>
      <c r="VDV329"/>
      <c r="VDY329"/>
      <c r="VDZ329"/>
      <c r="VEC329"/>
      <c r="VED329"/>
      <c r="VEG329"/>
      <c r="VEH329"/>
      <c r="VEK329"/>
      <c r="VEL329"/>
      <c r="VEO329"/>
      <c r="VEP329"/>
      <c r="VES329"/>
      <c r="VET329"/>
      <c r="VEW329"/>
      <c r="VEX329"/>
      <c r="VFA329"/>
      <c r="VFB329"/>
      <c r="VFE329"/>
      <c r="VFF329"/>
      <c r="VFI329"/>
      <c r="VFJ329"/>
      <c r="VFM329"/>
      <c r="VFN329"/>
      <c r="VFQ329"/>
      <c r="VFR329"/>
      <c r="VFU329"/>
      <c r="VFV329"/>
      <c r="VFY329"/>
      <c r="VFZ329"/>
      <c r="VGC329"/>
      <c r="VGD329"/>
      <c r="VGG329"/>
      <c r="VGH329"/>
      <c r="VGK329"/>
      <c r="VGL329"/>
      <c r="VGO329"/>
      <c r="VGP329"/>
      <c r="VGS329"/>
      <c r="VGT329"/>
      <c r="VGW329"/>
      <c r="VGX329"/>
      <c r="VHA329"/>
      <c r="VHB329"/>
      <c r="VHE329"/>
      <c r="VHF329"/>
      <c r="VHI329"/>
      <c r="VHJ329"/>
      <c r="VHM329"/>
      <c r="VHN329"/>
      <c r="VHQ329"/>
      <c r="VHR329"/>
      <c r="VHU329"/>
      <c r="VHV329"/>
      <c r="VHY329"/>
      <c r="VHZ329"/>
      <c r="VIC329"/>
      <c r="VID329"/>
      <c r="VIG329"/>
      <c r="VIH329"/>
      <c r="VIK329"/>
      <c r="VIL329"/>
      <c r="VIO329"/>
      <c r="VIP329"/>
      <c r="VIS329"/>
      <c r="VIT329"/>
      <c r="VIW329"/>
      <c r="VIX329"/>
      <c r="VJA329"/>
      <c r="VJB329"/>
      <c r="VJE329"/>
      <c r="VJF329"/>
      <c r="VJI329"/>
      <c r="VJJ329"/>
      <c r="VJM329"/>
      <c r="VJN329"/>
      <c r="VJQ329"/>
      <c r="VJR329"/>
      <c r="VJU329"/>
      <c r="VJV329"/>
      <c r="VJY329"/>
      <c r="VJZ329"/>
      <c r="VKC329"/>
      <c r="VKD329"/>
      <c r="VKG329"/>
      <c r="VKH329"/>
      <c r="VKK329"/>
      <c r="VKL329"/>
      <c r="VKO329"/>
      <c r="VKP329"/>
      <c r="VKS329"/>
      <c r="VKT329"/>
      <c r="VKW329"/>
      <c r="VKX329"/>
      <c r="VLA329"/>
      <c r="VLB329"/>
      <c r="VLE329"/>
      <c r="VLF329"/>
      <c r="VLI329"/>
      <c r="VLJ329"/>
      <c r="VLM329"/>
      <c r="VLN329"/>
      <c r="VLQ329"/>
      <c r="VLR329"/>
      <c r="VLU329"/>
      <c r="VLV329"/>
      <c r="VLY329"/>
      <c r="VLZ329"/>
      <c r="VMC329"/>
      <c r="VMD329"/>
      <c r="VMG329"/>
      <c r="VMH329"/>
      <c r="VMK329"/>
      <c r="VML329"/>
      <c r="VMO329"/>
      <c r="VMP329"/>
      <c r="VMS329"/>
      <c r="VMT329"/>
      <c r="VMW329"/>
      <c r="VMX329"/>
      <c r="VNA329"/>
      <c r="VNB329"/>
      <c r="VNE329"/>
      <c r="VNF329"/>
      <c r="VNI329"/>
      <c r="VNJ329"/>
      <c r="VNM329"/>
      <c r="VNN329"/>
      <c r="VNQ329"/>
      <c r="VNR329"/>
      <c r="VNU329"/>
      <c r="VNV329"/>
      <c r="VNY329"/>
      <c r="VNZ329"/>
      <c r="VOC329"/>
      <c r="VOD329"/>
      <c r="VOG329"/>
      <c r="VOH329"/>
      <c r="VOK329"/>
      <c r="VOL329"/>
      <c r="VOO329"/>
      <c r="VOP329"/>
      <c r="VOS329"/>
      <c r="VOT329"/>
      <c r="VOW329"/>
      <c r="VOX329"/>
      <c r="VPA329"/>
      <c r="VPB329"/>
      <c r="VPE329"/>
      <c r="VPF329"/>
      <c r="VPI329"/>
      <c r="VPJ329"/>
      <c r="VPM329"/>
      <c r="VPN329"/>
      <c r="VPQ329"/>
      <c r="VPR329"/>
      <c r="VPU329"/>
      <c r="VPV329"/>
      <c r="VPY329"/>
      <c r="VPZ329"/>
      <c r="VQC329"/>
      <c r="VQD329"/>
      <c r="VQG329"/>
      <c r="VQH329"/>
      <c r="VQK329"/>
      <c r="VQL329"/>
      <c r="VQO329"/>
      <c r="VQP329"/>
      <c r="VQS329"/>
      <c r="VQT329"/>
      <c r="VQW329"/>
      <c r="VQX329"/>
      <c r="VRA329"/>
      <c r="VRB329"/>
      <c r="VRE329"/>
      <c r="VRF329"/>
      <c r="VRI329"/>
      <c r="VRJ329"/>
      <c r="VRM329"/>
      <c r="VRN329"/>
      <c r="VRQ329"/>
      <c r="VRR329"/>
      <c r="VRU329"/>
      <c r="VRV329"/>
      <c r="VRY329"/>
      <c r="VRZ329"/>
      <c r="VSC329"/>
      <c r="VSD329"/>
      <c r="VSG329"/>
      <c r="VSH329"/>
      <c r="VSK329"/>
      <c r="VSL329"/>
      <c r="VSO329"/>
      <c r="VSP329"/>
      <c r="VSS329"/>
      <c r="VST329"/>
      <c r="VSW329"/>
      <c r="VSX329"/>
      <c r="VTA329"/>
      <c r="VTB329"/>
      <c r="VTE329"/>
      <c r="VTF329"/>
      <c r="VTI329"/>
      <c r="VTJ329"/>
      <c r="VTM329"/>
      <c r="VTN329"/>
      <c r="VTQ329"/>
      <c r="VTR329"/>
      <c r="VTU329"/>
      <c r="VTV329"/>
      <c r="VTY329"/>
      <c r="VTZ329"/>
      <c r="VUC329"/>
      <c r="VUD329"/>
      <c r="VUG329"/>
      <c r="VUH329"/>
      <c r="VUK329"/>
      <c r="VUL329"/>
      <c r="VUO329"/>
      <c r="VUP329"/>
      <c r="VUS329"/>
      <c r="VUT329"/>
      <c r="VUW329"/>
      <c r="VUX329"/>
      <c r="VVA329"/>
      <c r="VVB329"/>
      <c r="VVE329"/>
      <c r="VVF329"/>
      <c r="VVI329"/>
      <c r="VVJ329"/>
      <c r="VVM329"/>
      <c r="VVN329"/>
      <c r="VVQ329"/>
      <c r="VVR329"/>
      <c r="VVU329"/>
      <c r="VVV329"/>
      <c r="VVY329"/>
      <c r="VVZ329"/>
      <c r="VWC329"/>
      <c r="VWD329"/>
      <c r="VWG329"/>
      <c r="VWH329"/>
      <c r="VWK329"/>
      <c r="VWL329"/>
      <c r="VWO329"/>
      <c r="VWP329"/>
      <c r="VWS329"/>
      <c r="VWT329"/>
      <c r="VWW329"/>
      <c r="VWX329"/>
      <c r="VXA329"/>
      <c r="VXB329"/>
      <c r="VXE329"/>
      <c r="VXF329"/>
      <c r="VXI329"/>
      <c r="VXJ329"/>
      <c r="VXM329"/>
      <c r="VXN329"/>
      <c r="VXQ329"/>
      <c r="VXR329"/>
      <c r="VXU329"/>
      <c r="VXV329"/>
      <c r="VXY329"/>
      <c r="VXZ329"/>
      <c r="VYC329"/>
      <c r="VYD329"/>
      <c r="VYG329"/>
      <c r="VYH329"/>
      <c r="VYK329"/>
      <c r="VYL329"/>
      <c r="VYO329"/>
      <c r="VYP329"/>
      <c r="VYS329"/>
      <c r="VYT329"/>
      <c r="VYW329"/>
      <c r="VYX329"/>
      <c r="VZA329"/>
      <c r="VZB329"/>
      <c r="VZE329"/>
      <c r="VZF329"/>
      <c r="VZI329"/>
      <c r="VZJ329"/>
      <c r="VZM329"/>
      <c r="VZN329"/>
      <c r="VZQ329"/>
      <c r="VZR329"/>
      <c r="VZU329"/>
      <c r="VZV329"/>
      <c r="VZY329"/>
      <c r="VZZ329"/>
      <c r="WAC329"/>
      <c r="WAD329"/>
      <c r="WAG329"/>
      <c r="WAH329"/>
      <c r="WAK329"/>
      <c r="WAL329"/>
      <c r="WAO329"/>
      <c r="WAP329"/>
      <c r="WAS329"/>
      <c r="WAT329"/>
      <c r="WAW329"/>
      <c r="WAX329"/>
      <c r="WBA329"/>
      <c r="WBB329"/>
      <c r="WBE329"/>
      <c r="WBF329"/>
      <c r="WBI329"/>
      <c r="WBJ329"/>
      <c r="WBM329"/>
      <c r="WBN329"/>
      <c r="WBQ329"/>
      <c r="WBR329"/>
      <c r="WBU329"/>
      <c r="WBV329"/>
      <c r="WBY329"/>
      <c r="WBZ329"/>
      <c r="WCC329"/>
      <c r="WCD329"/>
      <c r="WCG329"/>
      <c r="WCH329"/>
      <c r="WCK329"/>
      <c r="WCL329"/>
      <c r="WCO329"/>
      <c r="WCP329"/>
      <c r="WCS329"/>
      <c r="WCT329"/>
      <c r="WCW329"/>
      <c r="WCX329"/>
      <c r="WDA329"/>
      <c r="WDB329"/>
      <c r="WDE329"/>
      <c r="WDF329"/>
      <c r="WDI329"/>
      <c r="WDJ329"/>
      <c r="WDM329"/>
      <c r="WDN329"/>
      <c r="WDQ329"/>
      <c r="WDR329"/>
      <c r="WDU329"/>
      <c r="WDV329"/>
      <c r="WDY329"/>
      <c r="WDZ329"/>
      <c r="WEC329"/>
      <c r="WED329"/>
      <c r="WEG329"/>
      <c r="WEH329"/>
      <c r="WEK329"/>
      <c r="WEL329"/>
      <c r="WEO329"/>
      <c r="WEP329"/>
      <c r="WES329"/>
      <c r="WET329"/>
      <c r="WEW329"/>
      <c r="WEX329"/>
      <c r="WFA329"/>
      <c r="WFB329"/>
      <c r="WFE329"/>
      <c r="WFF329"/>
      <c r="WFI329"/>
      <c r="WFJ329"/>
      <c r="WFM329"/>
      <c r="WFN329"/>
      <c r="WFQ329"/>
      <c r="WFR329"/>
      <c r="WFU329"/>
      <c r="WFV329"/>
      <c r="WFY329"/>
      <c r="WFZ329"/>
      <c r="WGC329"/>
      <c r="WGD329"/>
      <c r="WGG329"/>
      <c r="WGH329"/>
      <c r="WGK329"/>
      <c r="WGL329"/>
      <c r="WGO329"/>
      <c r="WGP329"/>
      <c r="WGS329"/>
      <c r="WGT329"/>
      <c r="WGW329"/>
      <c r="WGX329"/>
      <c r="WHA329"/>
      <c r="WHB329"/>
      <c r="WHE329"/>
      <c r="WHF329"/>
      <c r="WHI329"/>
      <c r="WHJ329"/>
      <c r="WHM329"/>
      <c r="WHN329"/>
      <c r="WHQ329"/>
      <c r="WHR329"/>
      <c r="WHU329"/>
      <c r="WHV329"/>
      <c r="WHY329"/>
      <c r="WHZ329"/>
      <c r="WIC329"/>
      <c r="WID329"/>
      <c r="WIG329"/>
      <c r="WIH329"/>
      <c r="WIK329"/>
      <c r="WIL329"/>
      <c r="WIO329"/>
      <c r="WIP329"/>
      <c r="WIS329"/>
      <c r="WIT329"/>
      <c r="WIW329"/>
      <c r="WIX329"/>
      <c r="WJA329"/>
      <c r="WJB329"/>
      <c r="WJE329"/>
      <c r="WJF329"/>
      <c r="WJI329"/>
      <c r="WJJ329"/>
      <c r="WJM329"/>
      <c r="WJN329"/>
      <c r="WJQ329"/>
      <c r="WJR329"/>
      <c r="WJU329"/>
      <c r="WJV329"/>
      <c r="WJY329"/>
      <c r="WJZ329"/>
      <c r="WKC329"/>
      <c r="WKD329"/>
      <c r="WKG329"/>
      <c r="WKH329"/>
      <c r="WKK329"/>
      <c r="WKL329"/>
      <c r="WKO329"/>
      <c r="WKP329"/>
      <c r="WKS329"/>
      <c r="WKT329"/>
      <c r="WKW329"/>
      <c r="WKX329"/>
      <c r="WLA329"/>
      <c r="WLB329"/>
      <c r="WLE329"/>
      <c r="WLF329"/>
      <c r="WLI329"/>
      <c r="WLJ329"/>
      <c r="WLM329"/>
      <c r="WLN329"/>
      <c r="WLQ329"/>
      <c r="WLR329"/>
      <c r="WLU329"/>
      <c r="WLV329"/>
      <c r="WLY329"/>
      <c r="WLZ329"/>
      <c r="WMC329"/>
      <c r="WMD329"/>
      <c r="WMG329"/>
      <c r="WMH329"/>
      <c r="WMK329"/>
      <c r="WML329"/>
      <c r="WMO329"/>
      <c r="WMP329"/>
      <c r="WMS329"/>
      <c r="WMT329"/>
      <c r="WMW329"/>
      <c r="WMX329"/>
      <c r="WNA329"/>
      <c r="WNB329"/>
      <c r="WNE329"/>
      <c r="WNF329"/>
      <c r="WNI329"/>
      <c r="WNJ329"/>
      <c r="WNM329"/>
      <c r="WNN329"/>
      <c r="WNQ329"/>
      <c r="WNR329"/>
      <c r="WNU329"/>
      <c r="WNV329"/>
      <c r="WNY329"/>
      <c r="WNZ329"/>
      <c r="WOC329"/>
      <c r="WOD329"/>
      <c r="WOG329"/>
      <c r="WOH329"/>
      <c r="WOK329"/>
      <c r="WOL329"/>
      <c r="WOO329"/>
      <c r="WOP329"/>
      <c r="WOS329"/>
      <c r="WOT329"/>
      <c r="WOW329"/>
      <c r="WOX329"/>
      <c r="WPA329"/>
      <c r="WPB329"/>
      <c r="WPE329"/>
      <c r="WPF329"/>
      <c r="WPI329"/>
      <c r="WPJ329"/>
      <c r="WPM329"/>
      <c r="WPN329"/>
      <c r="WPQ329"/>
      <c r="WPR329"/>
      <c r="WPU329"/>
      <c r="WPV329"/>
      <c r="WPY329"/>
      <c r="WPZ329"/>
      <c r="WQC329"/>
      <c r="WQD329"/>
      <c r="WQG329"/>
      <c r="WQH329"/>
      <c r="WQK329"/>
      <c r="WQL329"/>
      <c r="WQO329"/>
      <c r="WQP329"/>
      <c r="WQS329"/>
      <c r="WQT329"/>
      <c r="WQW329"/>
      <c r="WQX329"/>
      <c r="WRA329"/>
      <c r="WRB329"/>
      <c r="WRE329"/>
      <c r="WRF329"/>
      <c r="WRI329"/>
      <c r="WRJ329"/>
      <c r="WRM329"/>
      <c r="WRN329"/>
      <c r="WRQ329"/>
      <c r="WRR329"/>
      <c r="WRU329"/>
      <c r="WRV329"/>
      <c r="WRY329"/>
      <c r="WRZ329"/>
      <c r="WSC329"/>
      <c r="WSD329"/>
      <c r="WSG329"/>
      <c r="WSH329"/>
      <c r="WSK329"/>
      <c r="WSL329"/>
      <c r="WSO329"/>
      <c r="WSP329"/>
      <c r="WSS329"/>
      <c r="WST329"/>
      <c r="WSW329"/>
      <c r="WSX329"/>
      <c r="WTA329"/>
      <c r="WTB329"/>
      <c r="WTE329"/>
      <c r="WTF329"/>
      <c r="WTI329"/>
      <c r="WTJ329"/>
      <c r="WTM329"/>
      <c r="WTN329"/>
      <c r="WTQ329"/>
      <c r="WTR329"/>
      <c r="WTU329"/>
      <c r="WTV329"/>
      <c r="WTY329"/>
      <c r="WTZ329"/>
      <c r="WUC329"/>
      <c r="WUD329"/>
      <c r="WUG329"/>
      <c r="WUH329"/>
      <c r="WUK329"/>
      <c r="WUL329"/>
      <c r="WUO329"/>
      <c r="WUP329"/>
      <c r="WUS329"/>
      <c r="WUT329"/>
      <c r="WUW329"/>
      <c r="WUX329"/>
      <c r="WVA329"/>
      <c r="WVB329"/>
      <c r="WVE329"/>
      <c r="WVF329"/>
      <c r="WVI329"/>
      <c r="WVJ329"/>
      <c r="WVM329"/>
      <c r="WVN329"/>
      <c r="WVQ329"/>
      <c r="WVR329"/>
      <c r="WVU329"/>
      <c r="WVV329"/>
      <c r="WVY329"/>
      <c r="WVZ329"/>
      <c r="WWC329"/>
      <c r="WWD329"/>
      <c r="WWG329"/>
      <c r="WWH329"/>
      <c r="WWK329"/>
      <c r="WWL329"/>
      <c r="WWO329"/>
      <c r="WWP329"/>
      <c r="WWS329"/>
      <c r="WWT329"/>
      <c r="WWW329"/>
      <c r="WWX329"/>
      <c r="WXA329"/>
      <c r="WXB329"/>
      <c r="WXE329"/>
      <c r="WXF329"/>
      <c r="WXI329"/>
      <c r="WXJ329"/>
      <c r="WXM329"/>
      <c r="WXN329"/>
      <c r="WXQ329"/>
      <c r="WXR329"/>
      <c r="WXU329"/>
      <c r="WXV329"/>
      <c r="WXY329"/>
      <c r="WXZ329"/>
      <c r="WYC329"/>
      <c r="WYD329"/>
      <c r="WYG329"/>
      <c r="WYH329"/>
      <c r="WYK329"/>
      <c r="WYL329"/>
      <c r="WYO329"/>
      <c r="WYP329"/>
      <c r="WYS329"/>
      <c r="WYT329"/>
      <c r="WYW329"/>
      <c r="WYX329"/>
      <c r="WZA329"/>
      <c r="WZB329"/>
      <c r="WZE329"/>
      <c r="WZF329"/>
      <c r="WZI329"/>
      <c r="WZJ329"/>
      <c r="WZM329"/>
      <c r="WZN329"/>
      <c r="WZQ329"/>
      <c r="WZR329"/>
      <c r="WZU329"/>
      <c r="WZV329"/>
      <c r="WZY329"/>
      <c r="WZZ329"/>
      <c r="XAC329"/>
      <c r="XAD329"/>
      <c r="XAG329"/>
      <c r="XAH329"/>
      <c r="XAK329"/>
      <c r="XAL329"/>
      <c r="XAO329"/>
      <c r="XAP329"/>
      <c r="XAS329"/>
      <c r="XAT329"/>
      <c r="XAW329"/>
      <c r="XAX329"/>
      <c r="XBA329"/>
      <c r="XBB329"/>
      <c r="XBE329"/>
      <c r="XBF329"/>
      <c r="XBI329"/>
      <c r="XBJ329"/>
      <c r="XBM329"/>
      <c r="XBN329"/>
      <c r="XBQ329"/>
      <c r="XBR329"/>
      <c r="XBU329"/>
      <c r="XBV329"/>
      <c r="XBY329"/>
      <c r="XBZ329"/>
      <c r="XCC329"/>
      <c r="XCD329"/>
      <c r="XCG329"/>
      <c r="XCH329"/>
      <c r="XCK329"/>
      <c r="XCL329"/>
      <c r="XCO329"/>
      <c r="XCP329"/>
      <c r="XCS329"/>
      <c r="XCT329"/>
      <c r="XCW329"/>
      <c r="XCX329"/>
      <c r="XDA329"/>
      <c r="XDB329"/>
      <c r="XDE329"/>
      <c r="XDF329"/>
      <c r="XDI329"/>
      <c r="XDJ329"/>
      <c r="XDM329"/>
      <c r="XDN329"/>
      <c r="XDQ329"/>
      <c r="XDR329"/>
      <c r="XDU329"/>
      <c r="XDV329"/>
      <c r="XDY329"/>
      <c r="XDZ329"/>
      <c r="XEC329"/>
      <c r="XED329"/>
      <c r="XEG329"/>
      <c r="XEH329"/>
      <c r="XEK329"/>
      <c r="XEL329"/>
      <c r="XEO329"/>
      <c r="XEP329"/>
      <c r="XES329"/>
      <c r="XET329"/>
      <c r="XEW329"/>
      <c r="XEX329"/>
      <c r="XFA329"/>
      <c r="XFB329"/>
    </row>
    <row r="330" spans="1:1022 1025:2046 2049:3070 3073:4094 4097:5118 5121:6142 6145:7166 7169:8190 8193:9214 9217:10238 10241:11262 11265:12286 12289:13310 13313:14334 14337:15358 15361:16382" s="13" customFormat="1" outlineLevel="1" x14ac:dyDescent="0.3">
      <c r="A330" t="s">
        <v>1211</v>
      </c>
      <c r="B330" t="s">
        <v>168</v>
      </c>
      <c r="C330" s="13" t="s">
        <v>9</v>
      </c>
      <c r="D330" s="13" t="s">
        <v>1212</v>
      </c>
      <c r="E330" t="s">
        <v>5984</v>
      </c>
      <c r="F330"/>
      <c r="I330"/>
      <c r="J330" t="s">
        <v>6841</v>
      </c>
      <c r="K330" t="s">
        <v>6839</v>
      </c>
      <c r="M330"/>
      <c r="N330"/>
      <c r="Q330"/>
      <c r="R330"/>
      <c r="U330"/>
      <c r="V330"/>
      <c r="Y330"/>
      <c r="Z330"/>
      <c r="AC330"/>
      <c r="AD330"/>
      <c r="AG330"/>
      <c r="AH330"/>
      <c r="AK330"/>
      <c r="AL330"/>
      <c r="AO330"/>
      <c r="AP330"/>
      <c r="AS330"/>
      <c r="AT330"/>
      <c r="AW330"/>
      <c r="AX330"/>
      <c r="BA330"/>
      <c r="BB330"/>
      <c r="BE330"/>
      <c r="BF330"/>
      <c r="BI330"/>
      <c r="BJ330"/>
      <c r="BM330"/>
      <c r="BN330"/>
      <c r="BQ330"/>
      <c r="BR330"/>
      <c r="BU330"/>
      <c r="BV330"/>
      <c r="BY330"/>
      <c r="BZ330"/>
      <c r="CC330"/>
      <c r="CD330"/>
      <c r="CG330"/>
      <c r="CH330"/>
      <c r="CK330"/>
      <c r="CL330"/>
      <c r="CO330"/>
      <c r="CP330"/>
      <c r="CS330"/>
      <c r="CT330"/>
      <c r="CW330"/>
      <c r="CX330"/>
      <c r="DA330"/>
      <c r="DB330"/>
      <c r="DE330"/>
      <c r="DF330"/>
      <c r="DI330"/>
      <c r="DJ330"/>
      <c r="DM330"/>
      <c r="DN330"/>
      <c r="DQ330"/>
      <c r="DR330"/>
      <c r="DU330"/>
      <c r="DV330"/>
      <c r="DY330"/>
      <c r="DZ330"/>
      <c r="EC330"/>
      <c r="ED330"/>
      <c r="EG330"/>
      <c r="EH330"/>
      <c r="EK330"/>
      <c r="EL330"/>
      <c r="EO330"/>
      <c r="EP330"/>
      <c r="ES330"/>
      <c r="ET330"/>
      <c r="EW330"/>
      <c r="EX330"/>
      <c r="FA330"/>
      <c r="FB330"/>
      <c r="FE330"/>
      <c r="FF330"/>
      <c r="FI330"/>
      <c r="FJ330"/>
      <c r="FM330"/>
      <c r="FN330"/>
      <c r="FQ330"/>
      <c r="FR330"/>
      <c r="FU330"/>
      <c r="FV330"/>
      <c r="FY330"/>
      <c r="FZ330"/>
      <c r="GC330"/>
      <c r="GD330"/>
      <c r="GG330"/>
      <c r="GH330"/>
      <c r="GK330"/>
      <c r="GL330"/>
      <c r="GO330"/>
      <c r="GP330"/>
      <c r="GS330"/>
      <c r="GT330"/>
      <c r="GW330"/>
      <c r="GX330"/>
      <c r="HA330"/>
      <c r="HB330"/>
      <c r="HE330"/>
      <c r="HF330"/>
      <c r="HI330"/>
      <c r="HJ330"/>
      <c r="HM330"/>
      <c r="HN330"/>
      <c r="HQ330"/>
      <c r="HR330"/>
      <c r="HU330"/>
      <c r="HV330"/>
      <c r="HY330"/>
      <c r="HZ330"/>
      <c r="IC330"/>
      <c r="ID330"/>
      <c r="IG330"/>
      <c r="IH330"/>
      <c r="IK330"/>
      <c r="IL330"/>
      <c r="IO330"/>
      <c r="IP330"/>
      <c r="IS330"/>
      <c r="IT330"/>
      <c r="IW330"/>
      <c r="IX330"/>
      <c r="JA330"/>
      <c r="JB330"/>
      <c r="JE330"/>
      <c r="JF330"/>
      <c r="JI330"/>
      <c r="JJ330"/>
      <c r="JM330"/>
      <c r="JN330"/>
      <c r="JQ330"/>
      <c r="JR330"/>
      <c r="JU330"/>
      <c r="JV330"/>
      <c r="JY330"/>
      <c r="JZ330"/>
      <c r="KC330"/>
      <c r="KD330"/>
      <c r="KG330"/>
      <c r="KH330"/>
      <c r="KK330"/>
      <c r="KL330"/>
      <c r="KO330"/>
      <c r="KP330"/>
      <c r="KS330"/>
      <c r="KT330"/>
      <c r="KW330"/>
      <c r="KX330"/>
      <c r="LA330"/>
      <c r="LB330"/>
      <c r="LE330"/>
      <c r="LF330"/>
      <c r="LI330"/>
      <c r="LJ330"/>
      <c r="LM330"/>
      <c r="LN330"/>
      <c r="LQ330"/>
      <c r="LR330"/>
      <c r="LU330"/>
      <c r="LV330"/>
      <c r="LY330"/>
      <c r="LZ330"/>
      <c r="MC330"/>
      <c r="MD330"/>
      <c r="MG330"/>
      <c r="MH330"/>
      <c r="MK330"/>
      <c r="ML330"/>
      <c r="MO330"/>
      <c r="MP330"/>
      <c r="MS330"/>
      <c r="MT330"/>
      <c r="MW330"/>
      <c r="MX330"/>
      <c r="NA330"/>
      <c r="NB330"/>
      <c r="NE330"/>
      <c r="NF330"/>
      <c r="NI330"/>
      <c r="NJ330"/>
      <c r="NM330"/>
      <c r="NN330"/>
      <c r="NQ330"/>
      <c r="NR330"/>
      <c r="NU330"/>
      <c r="NV330"/>
      <c r="NY330"/>
      <c r="NZ330"/>
      <c r="OC330"/>
      <c r="OD330"/>
      <c r="OG330"/>
      <c r="OH330"/>
      <c r="OK330"/>
      <c r="OL330"/>
      <c r="OO330"/>
      <c r="OP330"/>
      <c r="OS330"/>
      <c r="OT330"/>
      <c r="OW330"/>
      <c r="OX330"/>
      <c r="PA330"/>
      <c r="PB330"/>
      <c r="PE330"/>
      <c r="PF330"/>
      <c r="PI330"/>
      <c r="PJ330"/>
      <c r="PM330"/>
      <c r="PN330"/>
      <c r="PQ330"/>
      <c r="PR330"/>
      <c r="PU330"/>
      <c r="PV330"/>
      <c r="PY330"/>
      <c r="PZ330"/>
      <c r="QC330"/>
      <c r="QD330"/>
      <c r="QG330"/>
      <c r="QH330"/>
      <c r="QK330"/>
      <c r="QL330"/>
      <c r="QO330"/>
      <c r="QP330"/>
      <c r="QS330"/>
      <c r="QT330"/>
      <c r="QW330"/>
      <c r="QX330"/>
      <c r="RA330"/>
      <c r="RB330"/>
      <c r="RE330"/>
      <c r="RF330"/>
      <c r="RI330"/>
      <c r="RJ330"/>
      <c r="RM330"/>
      <c r="RN330"/>
      <c r="RQ330"/>
      <c r="RR330"/>
      <c r="RU330"/>
      <c r="RV330"/>
      <c r="RY330"/>
      <c r="RZ330"/>
      <c r="SC330"/>
      <c r="SD330"/>
      <c r="SG330"/>
      <c r="SH330"/>
      <c r="SK330"/>
      <c r="SL330"/>
      <c r="SO330"/>
      <c r="SP330"/>
      <c r="SS330"/>
      <c r="ST330"/>
      <c r="SW330"/>
      <c r="SX330"/>
      <c r="TA330"/>
      <c r="TB330"/>
      <c r="TE330"/>
      <c r="TF330"/>
      <c r="TI330"/>
      <c r="TJ330"/>
      <c r="TM330"/>
      <c r="TN330"/>
      <c r="TQ330"/>
      <c r="TR330"/>
      <c r="TU330"/>
      <c r="TV330"/>
      <c r="TY330"/>
      <c r="TZ330"/>
      <c r="UC330"/>
      <c r="UD330"/>
      <c r="UG330"/>
      <c r="UH330"/>
      <c r="UK330"/>
      <c r="UL330"/>
      <c r="UO330"/>
      <c r="UP330"/>
      <c r="US330"/>
      <c r="UT330"/>
      <c r="UW330"/>
      <c r="UX330"/>
      <c r="VA330"/>
      <c r="VB330"/>
      <c r="VE330"/>
      <c r="VF330"/>
      <c r="VI330"/>
      <c r="VJ330"/>
      <c r="VM330"/>
      <c r="VN330"/>
      <c r="VQ330"/>
      <c r="VR330"/>
      <c r="VU330"/>
      <c r="VV330"/>
      <c r="VY330"/>
      <c r="VZ330"/>
      <c r="WC330"/>
      <c r="WD330"/>
      <c r="WG330"/>
      <c r="WH330"/>
      <c r="WK330"/>
      <c r="WL330"/>
      <c r="WO330"/>
      <c r="WP330"/>
      <c r="WS330"/>
      <c r="WT330"/>
      <c r="WW330"/>
      <c r="WX330"/>
      <c r="XA330"/>
      <c r="XB330"/>
      <c r="XE330"/>
      <c r="XF330"/>
      <c r="XI330"/>
      <c r="XJ330"/>
      <c r="XM330"/>
      <c r="XN330"/>
      <c r="XQ330"/>
      <c r="XR330"/>
      <c r="XU330"/>
      <c r="XV330"/>
      <c r="XY330"/>
      <c r="XZ330"/>
      <c r="YC330"/>
      <c r="YD330"/>
      <c r="YG330"/>
      <c r="YH330"/>
      <c r="YK330"/>
      <c r="YL330"/>
      <c r="YO330"/>
      <c r="YP330"/>
      <c r="YS330"/>
      <c r="YT330"/>
      <c r="YW330"/>
      <c r="YX330"/>
      <c r="ZA330"/>
      <c r="ZB330"/>
      <c r="ZE330"/>
      <c r="ZF330"/>
      <c r="ZI330"/>
      <c r="ZJ330"/>
      <c r="ZM330"/>
      <c r="ZN330"/>
      <c r="ZQ330"/>
      <c r="ZR330"/>
      <c r="ZU330"/>
      <c r="ZV330"/>
      <c r="ZY330"/>
      <c r="ZZ330"/>
      <c r="AAC330"/>
      <c r="AAD330"/>
      <c r="AAG330"/>
      <c r="AAH330"/>
      <c r="AAK330"/>
      <c r="AAL330"/>
      <c r="AAO330"/>
      <c r="AAP330"/>
      <c r="AAS330"/>
      <c r="AAT330"/>
      <c r="AAW330"/>
      <c r="AAX330"/>
      <c r="ABA330"/>
      <c r="ABB330"/>
      <c r="ABE330"/>
      <c r="ABF330"/>
      <c r="ABI330"/>
      <c r="ABJ330"/>
      <c r="ABM330"/>
      <c r="ABN330"/>
      <c r="ABQ330"/>
      <c r="ABR330"/>
      <c r="ABU330"/>
      <c r="ABV330"/>
      <c r="ABY330"/>
      <c r="ABZ330"/>
      <c r="ACC330"/>
      <c r="ACD330"/>
      <c r="ACG330"/>
      <c r="ACH330"/>
      <c r="ACK330"/>
      <c r="ACL330"/>
      <c r="ACO330"/>
      <c r="ACP330"/>
      <c r="ACS330"/>
      <c r="ACT330"/>
      <c r="ACW330"/>
      <c r="ACX330"/>
      <c r="ADA330"/>
      <c r="ADB330"/>
      <c r="ADE330"/>
      <c r="ADF330"/>
      <c r="ADI330"/>
      <c r="ADJ330"/>
      <c r="ADM330"/>
      <c r="ADN330"/>
      <c r="ADQ330"/>
      <c r="ADR330"/>
      <c r="ADU330"/>
      <c r="ADV330"/>
      <c r="ADY330"/>
      <c r="ADZ330"/>
      <c r="AEC330"/>
      <c r="AED330"/>
      <c r="AEG330"/>
      <c r="AEH330"/>
      <c r="AEK330"/>
      <c r="AEL330"/>
      <c r="AEO330"/>
      <c r="AEP330"/>
      <c r="AES330"/>
      <c r="AET330"/>
      <c r="AEW330"/>
      <c r="AEX330"/>
      <c r="AFA330"/>
      <c r="AFB330"/>
      <c r="AFE330"/>
      <c r="AFF330"/>
      <c r="AFI330"/>
      <c r="AFJ330"/>
      <c r="AFM330"/>
      <c r="AFN330"/>
      <c r="AFQ330"/>
      <c r="AFR330"/>
      <c r="AFU330"/>
      <c r="AFV330"/>
      <c r="AFY330"/>
      <c r="AFZ330"/>
      <c r="AGC330"/>
      <c r="AGD330"/>
      <c r="AGG330"/>
      <c r="AGH330"/>
      <c r="AGK330"/>
      <c r="AGL330"/>
      <c r="AGO330"/>
      <c r="AGP330"/>
      <c r="AGS330"/>
      <c r="AGT330"/>
      <c r="AGW330"/>
      <c r="AGX330"/>
      <c r="AHA330"/>
      <c r="AHB330"/>
      <c r="AHE330"/>
      <c r="AHF330"/>
      <c r="AHI330"/>
      <c r="AHJ330"/>
      <c r="AHM330"/>
      <c r="AHN330"/>
      <c r="AHQ330"/>
      <c r="AHR330"/>
      <c r="AHU330"/>
      <c r="AHV330"/>
      <c r="AHY330"/>
      <c r="AHZ330"/>
      <c r="AIC330"/>
      <c r="AID330"/>
      <c r="AIG330"/>
      <c r="AIH330"/>
      <c r="AIK330"/>
      <c r="AIL330"/>
      <c r="AIO330"/>
      <c r="AIP330"/>
      <c r="AIS330"/>
      <c r="AIT330"/>
      <c r="AIW330"/>
      <c r="AIX330"/>
      <c r="AJA330"/>
      <c r="AJB330"/>
      <c r="AJE330"/>
      <c r="AJF330"/>
      <c r="AJI330"/>
      <c r="AJJ330"/>
      <c r="AJM330"/>
      <c r="AJN330"/>
      <c r="AJQ330"/>
      <c r="AJR330"/>
      <c r="AJU330"/>
      <c r="AJV330"/>
      <c r="AJY330"/>
      <c r="AJZ330"/>
      <c r="AKC330"/>
      <c r="AKD330"/>
      <c r="AKG330"/>
      <c r="AKH330"/>
      <c r="AKK330"/>
      <c r="AKL330"/>
      <c r="AKO330"/>
      <c r="AKP330"/>
      <c r="AKS330"/>
      <c r="AKT330"/>
      <c r="AKW330"/>
      <c r="AKX330"/>
      <c r="ALA330"/>
      <c r="ALB330"/>
      <c r="ALE330"/>
      <c r="ALF330"/>
      <c r="ALI330"/>
      <c r="ALJ330"/>
      <c r="ALM330"/>
      <c r="ALN330"/>
      <c r="ALQ330"/>
      <c r="ALR330"/>
      <c r="ALU330"/>
      <c r="ALV330"/>
      <c r="ALY330"/>
      <c r="ALZ330"/>
      <c r="AMC330"/>
      <c r="AMD330"/>
      <c r="AMG330"/>
      <c r="AMH330"/>
      <c r="AMK330"/>
      <c r="AML330"/>
      <c r="AMO330"/>
      <c r="AMP330"/>
      <c r="AMS330"/>
      <c r="AMT330"/>
      <c r="AMW330"/>
      <c r="AMX330"/>
      <c r="ANA330"/>
      <c r="ANB330"/>
      <c r="ANE330"/>
      <c r="ANF330"/>
      <c r="ANI330"/>
      <c r="ANJ330"/>
      <c r="ANM330"/>
      <c r="ANN330"/>
      <c r="ANQ330"/>
      <c r="ANR330"/>
      <c r="ANU330"/>
      <c r="ANV330"/>
      <c r="ANY330"/>
      <c r="ANZ330"/>
      <c r="AOC330"/>
      <c r="AOD330"/>
      <c r="AOG330"/>
      <c r="AOH330"/>
      <c r="AOK330"/>
      <c r="AOL330"/>
      <c r="AOO330"/>
      <c r="AOP330"/>
      <c r="AOS330"/>
      <c r="AOT330"/>
      <c r="AOW330"/>
      <c r="AOX330"/>
      <c r="APA330"/>
      <c r="APB330"/>
      <c r="APE330"/>
      <c r="APF330"/>
      <c r="API330"/>
      <c r="APJ330"/>
      <c r="APM330"/>
      <c r="APN330"/>
      <c r="APQ330"/>
      <c r="APR330"/>
      <c r="APU330"/>
      <c r="APV330"/>
      <c r="APY330"/>
      <c r="APZ330"/>
      <c r="AQC330"/>
      <c r="AQD330"/>
      <c r="AQG330"/>
      <c r="AQH330"/>
      <c r="AQK330"/>
      <c r="AQL330"/>
      <c r="AQO330"/>
      <c r="AQP330"/>
      <c r="AQS330"/>
      <c r="AQT330"/>
      <c r="AQW330"/>
      <c r="AQX330"/>
      <c r="ARA330"/>
      <c r="ARB330"/>
      <c r="ARE330"/>
      <c r="ARF330"/>
      <c r="ARI330"/>
      <c r="ARJ330"/>
      <c r="ARM330"/>
      <c r="ARN330"/>
      <c r="ARQ330"/>
      <c r="ARR330"/>
      <c r="ARU330"/>
      <c r="ARV330"/>
      <c r="ARY330"/>
      <c r="ARZ330"/>
      <c r="ASC330"/>
      <c r="ASD330"/>
      <c r="ASG330"/>
      <c r="ASH330"/>
      <c r="ASK330"/>
      <c r="ASL330"/>
      <c r="ASO330"/>
      <c r="ASP330"/>
      <c r="ASS330"/>
      <c r="AST330"/>
      <c r="ASW330"/>
      <c r="ASX330"/>
      <c r="ATA330"/>
      <c r="ATB330"/>
      <c r="ATE330"/>
      <c r="ATF330"/>
      <c r="ATI330"/>
      <c r="ATJ330"/>
      <c r="ATM330"/>
      <c r="ATN330"/>
      <c r="ATQ330"/>
      <c r="ATR330"/>
      <c r="ATU330"/>
      <c r="ATV330"/>
      <c r="ATY330"/>
      <c r="ATZ330"/>
      <c r="AUC330"/>
      <c r="AUD330"/>
      <c r="AUG330"/>
      <c r="AUH330"/>
      <c r="AUK330"/>
      <c r="AUL330"/>
      <c r="AUO330"/>
      <c r="AUP330"/>
      <c r="AUS330"/>
      <c r="AUT330"/>
      <c r="AUW330"/>
      <c r="AUX330"/>
      <c r="AVA330"/>
      <c r="AVB330"/>
      <c r="AVE330"/>
      <c r="AVF330"/>
      <c r="AVI330"/>
      <c r="AVJ330"/>
      <c r="AVM330"/>
      <c r="AVN330"/>
      <c r="AVQ330"/>
      <c r="AVR330"/>
      <c r="AVU330"/>
      <c r="AVV330"/>
      <c r="AVY330"/>
      <c r="AVZ330"/>
      <c r="AWC330"/>
      <c r="AWD330"/>
      <c r="AWG330"/>
      <c r="AWH330"/>
      <c r="AWK330"/>
      <c r="AWL330"/>
      <c r="AWO330"/>
      <c r="AWP330"/>
      <c r="AWS330"/>
      <c r="AWT330"/>
      <c r="AWW330"/>
      <c r="AWX330"/>
      <c r="AXA330"/>
      <c r="AXB330"/>
      <c r="AXE330"/>
      <c r="AXF330"/>
      <c r="AXI330"/>
      <c r="AXJ330"/>
      <c r="AXM330"/>
      <c r="AXN330"/>
      <c r="AXQ330"/>
      <c r="AXR330"/>
      <c r="AXU330"/>
      <c r="AXV330"/>
      <c r="AXY330"/>
      <c r="AXZ330"/>
      <c r="AYC330"/>
      <c r="AYD330"/>
      <c r="AYG330"/>
      <c r="AYH330"/>
      <c r="AYK330"/>
      <c r="AYL330"/>
      <c r="AYO330"/>
      <c r="AYP330"/>
      <c r="AYS330"/>
      <c r="AYT330"/>
      <c r="AYW330"/>
      <c r="AYX330"/>
      <c r="AZA330"/>
      <c r="AZB330"/>
      <c r="AZE330"/>
      <c r="AZF330"/>
      <c r="AZI330"/>
      <c r="AZJ330"/>
      <c r="AZM330"/>
      <c r="AZN330"/>
      <c r="AZQ330"/>
      <c r="AZR330"/>
      <c r="AZU330"/>
      <c r="AZV330"/>
      <c r="AZY330"/>
      <c r="AZZ330"/>
      <c r="BAC330"/>
      <c r="BAD330"/>
      <c r="BAG330"/>
      <c r="BAH330"/>
      <c r="BAK330"/>
      <c r="BAL330"/>
      <c r="BAO330"/>
      <c r="BAP330"/>
      <c r="BAS330"/>
      <c r="BAT330"/>
      <c r="BAW330"/>
      <c r="BAX330"/>
      <c r="BBA330"/>
      <c r="BBB330"/>
      <c r="BBE330"/>
      <c r="BBF330"/>
      <c r="BBI330"/>
      <c r="BBJ330"/>
      <c r="BBM330"/>
      <c r="BBN330"/>
      <c r="BBQ330"/>
      <c r="BBR330"/>
      <c r="BBU330"/>
      <c r="BBV330"/>
      <c r="BBY330"/>
      <c r="BBZ330"/>
      <c r="BCC330"/>
      <c r="BCD330"/>
      <c r="BCG330"/>
      <c r="BCH330"/>
      <c r="BCK330"/>
      <c r="BCL330"/>
      <c r="BCO330"/>
      <c r="BCP330"/>
      <c r="BCS330"/>
      <c r="BCT330"/>
      <c r="BCW330"/>
      <c r="BCX330"/>
      <c r="BDA330"/>
      <c r="BDB330"/>
      <c r="BDE330"/>
      <c r="BDF330"/>
      <c r="BDI330"/>
      <c r="BDJ330"/>
      <c r="BDM330"/>
      <c r="BDN330"/>
      <c r="BDQ330"/>
      <c r="BDR330"/>
      <c r="BDU330"/>
      <c r="BDV330"/>
      <c r="BDY330"/>
      <c r="BDZ330"/>
      <c r="BEC330"/>
      <c r="BED330"/>
      <c r="BEG330"/>
      <c r="BEH330"/>
      <c r="BEK330"/>
      <c r="BEL330"/>
      <c r="BEO330"/>
      <c r="BEP330"/>
      <c r="BES330"/>
      <c r="BET330"/>
      <c r="BEW330"/>
      <c r="BEX330"/>
      <c r="BFA330"/>
      <c r="BFB330"/>
      <c r="BFE330"/>
      <c r="BFF330"/>
      <c r="BFI330"/>
      <c r="BFJ330"/>
      <c r="BFM330"/>
      <c r="BFN330"/>
      <c r="BFQ330"/>
      <c r="BFR330"/>
      <c r="BFU330"/>
      <c r="BFV330"/>
      <c r="BFY330"/>
      <c r="BFZ330"/>
      <c r="BGC330"/>
      <c r="BGD330"/>
      <c r="BGG330"/>
      <c r="BGH330"/>
      <c r="BGK330"/>
      <c r="BGL330"/>
      <c r="BGO330"/>
      <c r="BGP330"/>
      <c r="BGS330"/>
      <c r="BGT330"/>
      <c r="BGW330"/>
      <c r="BGX330"/>
      <c r="BHA330"/>
      <c r="BHB330"/>
      <c r="BHE330"/>
      <c r="BHF330"/>
      <c r="BHI330"/>
      <c r="BHJ330"/>
      <c r="BHM330"/>
      <c r="BHN330"/>
      <c r="BHQ330"/>
      <c r="BHR330"/>
      <c r="BHU330"/>
      <c r="BHV330"/>
      <c r="BHY330"/>
      <c r="BHZ330"/>
      <c r="BIC330"/>
      <c r="BID330"/>
      <c r="BIG330"/>
      <c r="BIH330"/>
      <c r="BIK330"/>
      <c r="BIL330"/>
      <c r="BIO330"/>
      <c r="BIP330"/>
      <c r="BIS330"/>
      <c r="BIT330"/>
      <c r="BIW330"/>
      <c r="BIX330"/>
      <c r="BJA330"/>
      <c r="BJB330"/>
      <c r="BJE330"/>
      <c r="BJF330"/>
      <c r="BJI330"/>
      <c r="BJJ330"/>
      <c r="BJM330"/>
      <c r="BJN330"/>
      <c r="BJQ330"/>
      <c r="BJR330"/>
      <c r="BJU330"/>
      <c r="BJV330"/>
      <c r="BJY330"/>
      <c r="BJZ330"/>
      <c r="BKC330"/>
      <c r="BKD330"/>
      <c r="BKG330"/>
      <c r="BKH330"/>
      <c r="BKK330"/>
      <c r="BKL330"/>
      <c r="BKO330"/>
      <c r="BKP330"/>
      <c r="BKS330"/>
      <c r="BKT330"/>
      <c r="BKW330"/>
      <c r="BKX330"/>
      <c r="BLA330"/>
      <c r="BLB330"/>
      <c r="BLE330"/>
      <c r="BLF330"/>
      <c r="BLI330"/>
      <c r="BLJ330"/>
      <c r="BLM330"/>
      <c r="BLN330"/>
      <c r="BLQ330"/>
      <c r="BLR330"/>
      <c r="BLU330"/>
      <c r="BLV330"/>
      <c r="BLY330"/>
      <c r="BLZ330"/>
      <c r="BMC330"/>
      <c r="BMD330"/>
      <c r="BMG330"/>
      <c r="BMH330"/>
      <c r="BMK330"/>
      <c r="BML330"/>
      <c r="BMO330"/>
      <c r="BMP330"/>
      <c r="BMS330"/>
      <c r="BMT330"/>
      <c r="BMW330"/>
      <c r="BMX330"/>
      <c r="BNA330"/>
      <c r="BNB330"/>
      <c r="BNE330"/>
      <c r="BNF330"/>
      <c r="BNI330"/>
      <c r="BNJ330"/>
      <c r="BNM330"/>
      <c r="BNN330"/>
      <c r="BNQ330"/>
      <c r="BNR330"/>
      <c r="BNU330"/>
      <c r="BNV330"/>
      <c r="BNY330"/>
      <c r="BNZ330"/>
      <c r="BOC330"/>
      <c r="BOD330"/>
      <c r="BOG330"/>
      <c r="BOH330"/>
      <c r="BOK330"/>
      <c r="BOL330"/>
      <c r="BOO330"/>
      <c r="BOP330"/>
      <c r="BOS330"/>
      <c r="BOT330"/>
      <c r="BOW330"/>
      <c r="BOX330"/>
      <c r="BPA330"/>
      <c r="BPB330"/>
      <c r="BPE330"/>
      <c r="BPF330"/>
      <c r="BPI330"/>
      <c r="BPJ330"/>
      <c r="BPM330"/>
      <c r="BPN330"/>
      <c r="BPQ330"/>
      <c r="BPR330"/>
      <c r="BPU330"/>
      <c r="BPV330"/>
      <c r="BPY330"/>
      <c r="BPZ330"/>
      <c r="BQC330"/>
      <c r="BQD330"/>
      <c r="BQG330"/>
      <c r="BQH330"/>
      <c r="BQK330"/>
      <c r="BQL330"/>
      <c r="BQO330"/>
      <c r="BQP330"/>
      <c r="BQS330"/>
      <c r="BQT330"/>
      <c r="BQW330"/>
      <c r="BQX330"/>
      <c r="BRA330"/>
      <c r="BRB330"/>
      <c r="BRE330"/>
      <c r="BRF330"/>
      <c r="BRI330"/>
      <c r="BRJ330"/>
      <c r="BRM330"/>
      <c r="BRN330"/>
      <c r="BRQ330"/>
      <c r="BRR330"/>
      <c r="BRU330"/>
      <c r="BRV330"/>
      <c r="BRY330"/>
      <c r="BRZ330"/>
      <c r="BSC330"/>
      <c r="BSD330"/>
      <c r="BSG330"/>
      <c r="BSH330"/>
      <c r="BSK330"/>
      <c r="BSL330"/>
      <c r="BSO330"/>
      <c r="BSP330"/>
      <c r="BSS330"/>
      <c r="BST330"/>
      <c r="BSW330"/>
      <c r="BSX330"/>
      <c r="BTA330"/>
      <c r="BTB330"/>
      <c r="BTE330"/>
      <c r="BTF330"/>
      <c r="BTI330"/>
      <c r="BTJ330"/>
      <c r="BTM330"/>
      <c r="BTN330"/>
      <c r="BTQ330"/>
      <c r="BTR330"/>
      <c r="BTU330"/>
      <c r="BTV330"/>
      <c r="BTY330"/>
      <c r="BTZ330"/>
      <c r="BUC330"/>
      <c r="BUD330"/>
      <c r="BUG330"/>
      <c r="BUH330"/>
      <c r="BUK330"/>
      <c r="BUL330"/>
      <c r="BUO330"/>
      <c r="BUP330"/>
      <c r="BUS330"/>
      <c r="BUT330"/>
      <c r="BUW330"/>
      <c r="BUX330"/>
      <c r="BVA330"/>
      <c r="BVB330"/>
      <c r="BVE330"/>
      <c r="BVF330"/>
      <c r="BVI330"/>
      <c r="BVJ330"/>
      <c r="BVM330"/>
      <c r="BVN330"/>
      <c r="BVQ330"/>
      <c r="BVR330"/>
      <c r="BVU330"/>
      <c r="BVV330"/>
      <c r="BVY330"/>
      <c r="BVZ330"/>
      <c r="BWC330"/>
      <c r="BWD330"/>
      <c r="BWG330"/>
      <c r="BWH330"/>
      <c r="BWK330"/>
      <c r="BWL330"/>
      <c r="BWO330"/>
      <c r="BWP330"/>
      <c r="BWS330"/>
      <c r="BWT330"/>
      <c r="BWW330"/>
      <c r="BWX330"/>
      <c r="BXA330"/>
      <c r="BXB330"/>
      <c r="BXE330"/>
      <c r="BXF330"/>
      <c r="BXI330"/>
      <c r="BXJ330"/>
      <c r="BXM330"/>
      <c r="BXN330"/>
      <c r="BXQ330"/>
      <c r="BXR330"/>
      <c r="BXU330"/>
      <c r="BXV330"/>
      <c r="BXY330"/>
      <c r="BXZ330"/>
      <c r="BYC330"/>
      <c r="BYD330"/>
      <c r="BYG330"/>
      <c r="BYH330"/>
      <c r="BYK330"/>
      <c r="BYL330"/>
      <c r="BYO330"/>
      <c r="BYP330"/>
      <c r="BYS330"/>
      <c r="BYT330"/>
      <c r="BYW330"/>
      <c r="BYX330"/>
      <c r="BZA330"/>
      <c r="BZB330"/>
      <c r="BZE330"/>
      <c r="BZF330"/>
      <c r="BZI330"/>
      <c r="BZJ330"/>
      <c r="BZM330"/>
      <c r="BZN330"/>
      <c r="BZQ330"/>
      <c r="BZR330"/>
      <c r="BZU330"/>
      <c r="BZV330"/>
      <c r="BZY330"/>
      <c r="BZZ330"/>
      <c r="CAC330"/>
      <c r="CAD330"/>
      <c r="CAG330"/>
      <c r="CAH330"/>
      <c r="CAK330"/>
      <c r="CAL330"/>
      <c r="CAO330"/>
      <c r="CAP330"/>
      <c r="CAS330"/>
      <c r="CAT330"/>
      <c r="CAW330"/>
      <c r="CAX330"/>
      <c r="CBA330"/>
      <c r="CBB330"/>
      <c r="CBE330"/>
      <c r="CBF330"/>
      <c r="CBI330"/>
      <c r="CBJ330"/>
      <c r="CBM330"/>
      <c r="CBN330"/>
      <c r="CBQ330"/>
      <c r="CBR330"/>
      <c r="CBU330"/>
      <c r="CBV330"/>
      <c r="CBY330"/>
      <c r="CBZ330"/>
      <c r="CCC330"/>
      <c r="CCD330"/>
      <c r="CCG330"/>
      <c r="CCH330"/>
      <c r="CCK330"/>
      <c r="CCL330"/>
      <c r="CCO330"/>
      <c r="CCP330"/>
      <c r="CCS330"/>
      <c r="CCT330"/>
      <c r="CCW330"/>
      <c r="CCX330"/>
      <c r="CDA330"/>
      <c r="CDB330"/>
      <c r="CDE330"/>
      <c r="CDF330"/>
      <c r="CDI330"/>
      <c r="CDJ330"/>
      <c r="CDM330"/>
      <c r="CDN330"/>
      <c r="CDQ330"/>
      <c r="CDR330"/>
      <c r="CDU330"/>
      <c r="CDV330"/>
      <c r="CDY330"/>
      <c r="CDZ330"/>
      <c r="CEC330"/>
      <c r="CED330"/>
      <c r="CEG330"/>
      <c r="CEH330"/>
      <c r="CEK330"/>
      <c r="CEL330"/>
      <c r="CEO330"/>
      <c r="CEP330"/>
      <c r="CES330"/>
      <c r="CET330"/>
      <c r="CEW330"/>
      <c r="CEX330"/>
      <c r="CFA330"/>
      <c r="CFB330"/>
      <c r="CFE330"/>
      <c r="CFF330"/>
      <c r="CFI330"/>
      <c r="CFJ330"/>
      <c r="CFM330"/>
      <c r="CFN330"/>
      <c r="CFQ330"/>
      <c r="CFR330"/>
      <c r="CFU330"/>
      <c r="CFV330"/>
      <c r="CFY330"/>
      <c r="CFZ330"/>
      <c r="CGC330"/>
      <c r="CGD330"/>
      <c r="CGG330"/>
      <c r="CGH330"/>
      <c r="CGK330"/>
      <c r="CGL330"/>
      <c r="CGO330"/>
      <c r="CGP330"/>
      <c r="CGS330"/>
      <c r="CGT330"/>
      <c r="CGW330"/>
      <c r="CGX330"/>
      <c r="CHA330"/>
      <c r="CHB330"/>
      <c r="CHE330"/>
      <c r="CHF330"/>
      <c r="CHI330"/>
      <c r="CHJ330"/>
      <c r="CHM330"/>
      <c r="CHN330"/>
      <c r="CHQ330"/>
      <c r="CHR330"/>
      <c r="CHU330"/>
      <c r="CHV330"/>
      <c r="CHY330"/>
      <c r="CHZ330"/>
      <c r="CIC330"/>
      <c r="CID330"/>
      <c r="CIG330"/>
      <c r="CIH330"/>
      <c r="CIK330"/>
      <c r="CIL330"/>
      <c r="CIO330"/>
      <c r="CIP330"/>
      <c r="CIS330"/>
      <c r="CIT330"/>
      <c r="CIW330"/>
      <c r="CIX330"/>
      <c r="CJA330"/>
      <c r="CJB330"/>
      <c r="CJE330"/>
      <c r="CJF330"/>
      <c r="CJI330"/>
      <c r="CJJ330"/>
      <c r="CJM330"/>
      <c r="CJN330"/>
      <c r="CJQ330"/>
      <c r="CJR330"/>
      <c r="CJU330"/>
      <c r="CJV330"/>
      <c r="CJY330"/>
      <c r="CJZ330"/>
      <c r="CKC330"/>
      <c r="CKD330"/>
      <c r="CKG330"/>
      <c r="CKH330"/>
      <c r="CKK330"/>
      <c r="CKL330"/>
      <c r="CKO330"/>
      <c r="CKP330"/>
      <c r="CKS330"/>
      <c r="CKT330"/>
      <c r="CKW330"/>
      <c r="CKX330"/>
      <c r="CLA330"/>
      <c r="CLB330"/>
      <c r="CLE330"/>
      <c r="CLF330"/>
      <c r="CLI330"/>
      <c r="CLJ330"/>
      <c r="CLM330"/>
      <c r="CLN330"/>
      <c r="CLQ330"/>
      <c r="CLR330"/>
      <c r="CLU330"/>
      <c r="CLV330"/>
      <c r="CLY330"/>
      <c r="CLZ330"/>
      <c r="CMC330"/>
      <c r="CMD330"/>
      <c r="CMG330"/>
      <c r="CMH330"/>
      <c r="CMK330"/>
      <c r="CML330"/>
      <c r="CMO330"/>
      <c r="CMP330"/>
      <c r="CMS330"/>
      <c r="CMT330"/>
      <c r="CMW330"/>
      <c r="CMX330"/>
      <c r="CNA330"/>
      <c r="CNB330"/>
      <c r="CNE330"/>
      <c r="CNF330"/>
      <c r="CNI330"/>
      <c r="CNJ330"/>
      <c r="CNM330"/>
      <c r="CNN330"/>
      <c r="CNQ330"/>
      <c r="CNR330"/>
      <c r="CNU330"/>
      <c r="CNV330"/>
      <c r="CNY330"/>
      <c r="CNZ330"/>
      <c r="COC330"/>
      <c r="COD330"/>
      <c r="COG330"/>
      <c r="COH330"/>
      <c r="COK330"/>
      <c r="COL330"/>
      <c r="COO330"/>
      <c r="COP330"/>
      <c r="COS330"/>
      <c r="COT330"/>
      <c r="COW330"/>
      <c r="COX330"/>
      <c r="CPA330"/>
      <c r="CPB330"/>
      <c r="CPE330"/>
      <c r="CPF330"/>
      <c r="CPI330"/>
      <c r="CPJ330"/>
      <c r="CPM330"/>
      <c r="CPN330"/>
      <c r="CPQ330"/>
      <c r="CPR330"/>
      <c r="CPU330"/>
      <c r="CPV330"/>
      <c r="CPY330"/>
      <c r="CPZ330"/>
      <c r="CQC330"/>
      <c r="CQD330"/>
      <c r="CQG330"/>
      <c r="CQH330"/>
      <c r="CQK330"/>
      <c r="CQL330"/>
      <c r="CQO330"/>
      <c r="CQP330"/>
      <c r="CQS330"/>
      <c r="CQT330"/>
      <c r="CQW330"/>
      <c r="CQX330"/>
      <c r="CRA330"/>
      <c r="CRB330"/>
      <c r="CRE330"/>
      <c r="CRF330"/>
      <c r="CRI330"/>
      <c r="CRJ330"/>
      <c r="CRM330"/>
      <c r="CRN330"/>
      <c r="CRQ330"/>
      <c r="CRR330"/>
      <c r="CRU330"/>
      <c r="CRV330"/>
      <c r="CRY330"/>
      <c r="CRZ330"/>
      <c r="CSC330"/>
      <c r="CSD330"/>
      <c r="CSG330"/>
      <c r="CSH330"/>
      <c r="CSK330"/>
      <c r="CSL330"/>
      <c r="CSO330"/>
      <c r="CSP330"/>
      <c r="CSS330"/>
      <c r="CST330"/>
      <c r="CSW330"/>
      <c r="CSX330"/>
      <c r="CTA330"/>
      <c r="CTB330"/>
      <c r="CTE330"/>
      <c r="CTF330"/>
      <c r="CTI330"/>
      <c r="CTJ330"/>
      <c r="CTM330"/>
      <c r="CTN330"/>
      <c r="CTQ330"/>
      <c r="CTR330"/>
      <c r="CTU330"/>
      <c r="CTV330"/>
      <c r="CTY330"/>
      <c r="CTZ330"/>
      <c r="CUC330"/>
      <c r="CUD330"/>
      <c r="CUG330"/>
      <c r="CUH330"/>
      <c r="CUK330"/>
      <c r="CUL330"/>
      <c r="CUO330"/>
      <c r="CUP330"/>
      <c r="CUS330"/>
      <c r="CUT330"/>
      <c r="CUW330"/>
      <c r="CUX330"/>
      <c r="CVA330"/>
      <c r="CVB330"/>
      <c r="CVE330"/>
      <c r="CVF330"/>
      <c r="CVI330"/>
      <c r="CVJ330"/>
      <c r="CVM330"/>
      <c r="CVN330"/>
      <c r="CVQ330"/>
      <c r="CVR330"/>
      <c r="CVU330"/>
      <c r="CVV330"/>
      <c r="CVY330"/>
      <c r="CVZ330"/>
      <c r="CWC330"/>
      <c r="CWD330"/>
      <c r="CWG330"/>
      <c r="CWH330"/>
      <c r="CWK330"/>
      <c r="CWL330"/>
      <c r="CWO330"/>
      <c r="CWP330"/>
      <c r="CWS330"/>
      <c r="CWT330"/>
      <c r="CWW330"/>
      <c r="CWX330"/>
      <c r="CXA330"/>
      <c r="CXB330"/>
      <c r="CXE330"/>
      <c r="CXF330"/>
      <c r="CXI330"/>
      <c r="CXJ330"/>
      <c r="CXM330"/>
      <c r="CXN330"/>
      <c r="CXQ330"/>
      <c r="CXR330"/>
      <c r="CXU330"/>
      <c r="CXV330"/>
      <c r="CXY330"/>
      <c r="CXZ330"/>
      <c r="CYC330"/>
      <c r="CYD330"/>
      <c r="CYG330"/>
      <c r="CYH330"/>
      <c r="CYK330"/>
      <c r="CYL330"/>
      <c r="CYO330"/>
      <c r="CYP330"/>
      <c r="CYS330"/>
      <c r="CYT330"/>
      <c r="CYW330"/>
      <c r="CYX330"/>
      <c r="CZA330"/>
      <c r="CZB330"/>
      <c r="CZE330"/>
      <c r="CZF330"/>
      <c r="CZI330"/>
      <c r="CZJ330"/>
      <c r="CZM330"/>
      <c r="CZN330"/>
      <c r="CZQ330"/>
      <c r="CZR330"/>
      <c r="CZU330"/>
      <c r="CZV330"/>
      <c r="CZY330"/>
      <c r="CZZ330"/>
      <c r="DAC330"/>
      <c r="DAD330"/>
      <c r="DAG330"/>
      <c r="DAH330"/>
      <c r="DAK330"/>
      <c r="DAL330"/>
      <c r="DAO330"/>
      <c r="DAP330"/>
      <c r="DAS330"/>
      <c r="DAT330"/>
      <c r="DAW330"/>
      <c r="DAX330"/>
      <c r="DBA330"/>
      <c r="DBB330"/>
      <c r="DBE330"/>
      <c r="DBF330"/>
      <c r="DBI330"/>
      <c r="DBJ330"/>
      <c r="DBM330"/>
      <c r="DBN330"/>
      <c r="DBQ330"/>
      <c r="DBR330"/>
      <c r="DBU330"/>
      <c r="DBV330"/>
      <c r="DBY330"/>
      <c r="DBZ330"/>
      <c r="DCC330"/>
      <c r="DCD330"/>
      <c r="DCG330"/>
      <c r="DCH330"/>
      <c r="DCK330"/>
      <c r="DCL330"/>
      <c r="DCO330"/>
      <c r="DCP330"/>
      <c r="DCS330"/>
      <c r="DCT330"/>
      <c r="DCW330"/>
      <c r="DCX330"/>
      <c r="DDA330"/>
      <c r="DDB330"/>
      <c r="DDE330"/>
      <c r="DDF330"/>
      <c r="DDI330"/>
      <c r="DDJ330"/>
      <c r="DDM330"/>
      <c r="DDN330"/>
      <c r="DDQ330"/>
      <c r="DDR330"/>
      <c r="DDU330"/>
      <c r="DDV330"/>
      <c r="DDY330"/>
      <c r="DDZ330"/>
      <c r="DEC330"/>
      <c r="DED330"/>
      <c r="DEG330"/>
      <c r="DEH330"/>
      <c r="DEK330"/>
      <c r="DEL330"/>
      <c r="DEO330"/>
      <c r="DEP330"/>
      <c r="DES330"/>
      <c r="DET330"/>
      <c r="DEW330"/>
      <c r="DEX330"/>
      <c r="DFA330"/>
      <c r="DFB330"/>
      <c r="DFE330"/>
      <c r="DFF330"/>
      <c r="DFI330"/>
      <c r="DFJ330"/>
      <c r="DFM330"/>
      <c r="DFN330"/>
      <c r="DFQ330"/>
      <c r="DFR330"/>
      <c r="DFU330"/>
      <c r="DFV330"/>
      <c r="DFY330"/>
      <c r="DFZ330"/>
      <c r="DGC330"/>
      <c r="DGD330"/>
      <c r="DGG330"/>
      <c r="DGH330"/>
      <c r="DGK330"/>
      <c r="DGL330"/>
      <c r="DGO330"/>
      <c r="DGP330"/>
      <c r="DGS330"/>
      <c r="DGT330"/>
      <c r="DGW330"/>
      <c r="DGX330"/>
      <c r="DHA330"/>
      <c r="DHB330"/>
      <c r="DHE330"/>
      <c r="DHF330"/>
      <c r="DHI330"/>
      <c r="DHJ330"/>
      <c r="DHM330"/>
      <c r="DHN330"/>
      <c r="DHQ330"/>
      <c r="DHR330"/>
      <c r="DHU330"/>
      <c r="DHV330"/>
      <c r="DHY330"/>
      <c r="DHZ330"/>
      <c r="DIC330"/>
      <c r="DID330"/>
      <c r="DIG330"/>
      <c r="DIH330"/>
      <c r="DIK330"/>
      <c r="DIL330"/>
      <c r="DIO330"/>
      <c r="DIP330"/>
      <c r="DIS330"/>
      <c r="DIT330"/>
      <c r="DIW330"/>
      <c r="DIX330"/>
      <c r="DJA330"/>
      <c r="DJB330"/>
      <c r="DJE330"/>
      <c r="DJF330"/>
      <c r="DJI330"/>
      <c r="DJJ330"/>
      <c r="DJM330"/>
      <c r="DJN330"/>
      <c r="DJQ330"/>
      <c r="DJR330"/>
      <c r="DJU330"/>
      <c r="DJV330"/>
      <c r="DJY330"/>
      <c r="DJZ330"/>
      <c r="DKC330"/>
      <c r="DKD330"/>
      <c r="DKG330"/>
      <c r="DKH330"/>
      <c r="DKK330"/>
      <c r="DKL330"/>
      <c r="DKO330"/>
      <c r="DKP330"/>
      <c r="DKS330"/>
      <c r="DKT330"/>
      <c r="DKW330"/>
      <c r="DKX330"/>
      <c r="DLA330"/>
      <c r="DLB330"/>
      <c r="DLE330"/>
      <c r="DLF330"/>
      <c r="DLI330"/>
      <c r="DLJ330"/>
      <c r="DLM330"/>
      <c r="DLN330"/>
      <c r="DLQ330"/>
      <c r="DLR330"/>
      <c r="DLU330"/>
      <c r="DLV330"/>
      <c r="DLY330"/>
      <c r="DLZ330"/>
      <c r="DMC330"/>
      <c r="DMD330"/>
      <c r="DMG330"/>
      <c r="DMH330"/>
      <c r="DMK330"/>
      <c r="DML330"/>
      <c r="DMO330"/>
      <c r="DMP330"/>
      <c r="DMS330"/>
      <c r="DMT330"/>
      <c r="DMW330"/>
      <c r="DMX330"/>
      <c r="DNA330"/>
      <c r="DNB330"/>
      <c r="DNE330"/>
      <c r="DNF330"/>
      <c r="DNI330"/>
      <c r="DNJ330"/>
      <c r="DNM330"/>
      <c r="DNN330"/>
      <c r="DNQ330"/>
      <c r="DNR330"/>
      <c r="DNU330"/>
      <c r="DNV330"/>
      <c r="DNY330"/>
      <c r="DNZ330"/>
      <c r="DOC330"/>
      <c r="DOD330"/>
      <c r="DOG330"/>
      <c r="DOH330"/>
      <c r="DOK330"/>
      <c r="DOL330"/>
      <c r="DOO330"/>
      <c r="DOP330"/>
      <c r="DOS330"/>
      <c r="DOT330"/>
      <c r="DOW330"/>
      <c r="DOX330"/>
      <c r="DPA330"/>
      <c r="DPB330"/>
      <c r="DPE330"/>
      <c r="DPF330"/>
      <c r="DPI330"/>
      <c r="DPJ330"/>
      <c r="DPM330"/>
      <c r="DPN330"/>
      <c r="DPQ330"/>
      <c r="DPR330"/>
      <c r="DPU330"/>
      <c r="DPV330"/>
      <c r="DPY330"/>
      <c r="DPZ330"/>
      <c r="DQC330"/>
      <c r="DQD330"/>
      <c r="DQG330"/>
      <c r="DQH330"/>
      <c r="DQK330"/>
      <c r="DQL330"/>
      <c r="DQO330"/>
      <c r="DQP330"/>
      <c r="DQS330"/>
      <c r="DQT330"/>
      <c r="DQW330"/>
      <c r="DQX330"/>
      <c r="DRA330"/>
      <c r="DRB330"/>
      <c r="DRE330"/>
      <c r="DRF330"/>
      <c r="DRI330"/>
      <c r="DRJ330"/>
      <c r="DRM330"/>
      <c r="DRN330"/>
      <c r="DRQ330"/>
      <c r="DRR330"/>
      <c r="DRU330"/>
      <c r="DRV330"/>
      <c r="DRY330"/>
      <c r="DRZ330"/>
      <c r="DSC330"/>
      <c r="DSD330"/>
      <c r="DSG330"/>
      <c r="DSH330"/>
      <c r="DSK330"/>
      <c r="DSL330"/>
      <c r="DSO330"/>
      <c r="DSP330"/>
      <c r="DSS330"/>
      <c r="DST330"/>
      <c r="DSW330"/>
      <c r="DSX330"/>
      <c r="DTA330"/>
      <c r="DTB330"/>
      <c r="DTE330"/>
      <c r="DTF330"/>
      <c r="DTI330"/>
      <c r="DTJ330"/>
      <c r="DTM330"/>
      <c r="DTN330"/>
      <c r="DTQ330"/>
      <c r="DTR330"/>
      <c r="DTU330"/>
      <c r="DTV330"/>
      <c r="DTY330"/>
      <c r="DTZ330"/>
      <c r="DUC330"/>
      <c r="DUD330"/>
      <c r="DUG330"/>
      <c r="DUH330"/>
      <c r="DUK330"/>
      <c r="DUL330"/>
      <c r="DUO330"/>
      <c r="DUP330"/>
      <c r="DUS330"/>
      <c r="DUT330"/>
      <c r="DUW330"/>
      <c r="DUX330"/>
      <c r="DVA330"/>
      <c r="DVB330"/>
      <c r="DVE330"/>
      <c r="DVF330"/>
      <c r="DVI330"/>
      <c r="DVJ330"/>
      <c r="DVM330"/>
      <c r="DVN330"/>
      <c r="DVQ330"/>
      <c r="DVR330"/>
      <c r="DVU330"/>
      <c r="DVV330"/>
      <c r="DVY330"/>
      <c r="DVZ330"/>
      <c r="DWC330"/>
      <c r="DWD330"/>
      <c r="DWG330"/>
      <c r="DWH330"/>
      <c r="DWK330"/>
      <c r="DWL330"/>
      <c r="DWO330"/>
      <c r="DWP330"/>
      <c r="DWS330"/>
      <c r="DWT330"/>
      <c r="DWW330"/>
      <c r="DWX330"/>
      <c r="DXA330"/>
      <c r="DXB330"/>
      <c r="DXE330"/>
      <c r="DXF330"/>
      <c r="DXI330"/>
      <c r="DXJ330"/>
      <c r="DXM330"/>
      <c r="DXN330"/>
      <c r="DXQ330"/>
      <c r="DXR330"/>
      <c r="DXU330"/>
      <c r="DXV330"/>
      <c r="DXY330"/>
      <c r="DXZ330"/>
      <c r="DYC330"/>
      <c r="DYD330"/>
      <c r="DYG330"/>
      <c r="DYH330"/>
      <c r="DYK330"/>
      <c r="DYL330"/>
      <c r="DYO330"/>
      <c r="DYP330"/>
      <c r="DYS330"/>
      <c r="DYT330"/>
      <c r="DYW330"/>
      <c r="DYX330"/>
      <c r="DZA330"/>
      <c r="DZB330"/>
      <c r="DZE330"/>
      <c r="DZF330"/>
      <c r="DZI330"/>
      <c r="DZJ330"/>
      <c r="DZM330"/>
      <c r="DZN330"/>
      <c r="DZQ330"/>
      <c r="DZR330"/>
      <c r="DZU330"/>
      <c r="DZV330"/>
      <c r="DZY330"/>
      <c r="DZZ330"/>
      <c r="EAC330"/>
      <c r="EAD330"/>
      <c r="EAG330"/>
      <c r="EAH330"/>
      <c r="EAK330"/>
      <c r="EAL330"/>
      <c r="EAO330"/>
      <c r="EAP330"/>
      <c r="EAS330"/>
      <c r="EAT330"/>
      <c r="EAW330"/>
      <c r="EAX330"/>
      <c r="EBA330"/>
      <c r="EBB330"/>
      <c r="EBE330"/>
      <c r="EBF330"/>
      <c r="EBI330"/>
      <c r="EBJ330"/>
      <c r="EBM330"/>
      <c r="EBN330"/>
      <c r="EBQ330"/>
      <c r="EBR330"/>
      <c r="EBU330"/>
      <c r="EBV330"/>
      <c r="EBY330"/>
      <c r="EBZ330"/>
      <c r="ECC330"/>
      <c r="ECD330"/>
      <c r="ECG330"/>
      <c r="ECH330"/>
      <c r="ECK330"/>
      <c r="ECL330"/>
      <c r="ECO330"/>
      <c r="ECP330"/>
      <c r="ECS330"/>
      <c r="ECT330"/>
      <c r="ECW330"/>
      <c r="ECX330"/>
      <c r="EDA330"/>
      <c r="EDB330"/>
      <c r="EDE330"/>
      <c r="EDF330"/>
      <c r="EDI330"/>
      <c r="EDJ330"/>
      <c r="EDM330"/>
      <c r="EDN330"/>
      <c r="EDQ330"/>
      <c r="EDR330"/>
      <c r="EDU330"/>
      <c r="EDV330"/>
      <c r="EDY330"/>
      <c r="EDZ330"/>
      <c r="EEC330"/>
      <c r="EED330"/>
      <c r="EEG330"/>
      <c r="EEH330"/>
      <c r="EEK330"/>
      <c r="EEL330"/>
      <c r="EEO330"/>
      <c r="EEP330"/>
      <c r="EES330"/>
      <c r="EET330"/>
      <c r="EEW330"/>
      <c r="EEX330"/>
      <c r="EFA330"/>
      <c r="EFB330"/>
      <c r="EFE330"/>
      <c r="EFF330"/>
      <c r="EFI330"/>
      <c r="EFJ330"/>
      <c r="EFM330"/>
      <c r="EFN330"/>
      <c r="EFQ330"/>
      <c r="EFR330"/>
      <c r="EFU330"/>
      <c r="EFV330"/>
      <c r="EFY330"/>
      <c r="EFZ330"/>
      <c r="EGC330"/>
      <c r="EGD330"/>
      <c r="EGG330"/>
      <c r="EGH330"/>
      <c r="EGK330"/>
      <c r="EGL330"/>
      <c r="EGO330"/>
      <c r="EGP330"/>
      <c r="EGS330"/>
      <c r="EGT330"/>
      <c r="EGW330"/>
      <c r="EGX330"/>
      <c r="EHA330"/>
      <c r="EHB330"/>
      <c r="EHE330"/>
      <c r="EHF330"/>
      <c r="EHI330"/>
      <c r="EHJ330"/>
      <c r="EHM330"/>
      <c r="EHN330"/>
      <c r="EHQ330"/>
      <c r="EHR330"/>
      <c r="EHU330"/>
      <c r="EHV330"/>
      <c r="EHY330"/>
      <c r="EHZ330"/>
      <c r="EIC330"/>
      <c r="EID330"/>
      <c r="EIG330"/>
      <c r="EIH330"/>
      <c r="EIK330"/>
      <c r="EIL330"/>
      <c r="EIO330"/>
      <c r="EIP330"/>
      <c r="EIS330"/>
      <c r="EIT330"/>
      <c r="EIW330"/>
      <c r="EIX330"/>
      <c r="EJA330"/>
      <c r="EJB330"/>
      <c r="EJE330"/>
      <c r="EJF330"/>
      <c r="EJI330"/>
      <c r="EJJ330"/>
      <c r="EJM330"/>
      <c r="EJN330"/>
      <c r="EJQ330"/>
      <c r="EJR330"/>
      <c r="EJU330"/>
      <c r="EJV330"/>
      <c r="EJY330"/>
      <c r="EJZ330"/>
      <c r="EKC330"/>
      <c r="EKD330"/>
      <c r="EKG330"/>
      <c r="EKH330"/>
      <c r="EKK330"/>
      <c r="EKL330"/>
      <c r="EKO330"/>
      <c r="EKP330"/>
      <c r="EKS330"/>
      <c r="EKT330"/>
      <c r="EKW330"/>
      <c r="EKX330"/>
      <c r="ELA330"/>
      <c r="ELB330"/>
      <c r="ELE330"/>
      <c r="ELF330"/>
      <c r="ELI330"/>
      <c r="ELJ330"/>
      <c r="ELM330"/>
      <c r="ELN330"/>
      <c r="ELQ330"/>
      <c r="ELR330"/>
      <c r="ELU330"/>
      <c r="ELV330"/>
      <c r="ELY330"/>
      <c r="ELZ330"/>
      <c r="EMC330"/>
      <c r="EMD330"/>
      <c r="EMG330"/>
      <c r="EMH330"/>
      <c r="EMK330"/>
      <c r="EML330"/>
      <c r="EMO330"/>
      <c r="EMP330"/>
      <c r="EMS330"/>
      <c r="EMT330"/>
      <c r="EMW330"/>
      <c r="EMX330"/>
      <c r="ENA330"/>
      <c r="ENB330"/>
      <c r="ENE330"/>
      <c r="ENF330"/>
      <c r="ENI330"/>
      <c r="ENJ330"/>
      <c r="ENM330"/>
      <c r="ENN330"/>
      <c r="ENQ330"/>
      <c r="ENR330"/>
      <c r="ENU330"/>
      <c r="ENV330"/>
      <c r="ENY330"/>
      <c r="ENZ330"/>
      <c r="EOC330"/>
      <c r="EOD330"/>
      <c r="EOG330"/>
      <c r="EOH330"/>
      <c r="EOK330"/>
      <c r="EOL330"/>
      <c r="EOO330"/>
      <c r="EOP330"/>
      <c r="EOS330"/>
      <c r="EOT330"/>
      <c r="EOW330"/>
      <c r="EOX330"/>
      <c r="EPA330"/>
      <c r="EPB330"/>
      <c r="EPE330"/>
      <c r="EPF330"/>
      <c r="EPI330"/>
      <c r="EPJ330"/>
      <c r="EPM330"/>
      <c r="EPN330"/>
      <c r="EPQ330"/>
      <c r="EPR330"/>
      <c r="EPU330"/>
      <c r="EPV330"/>
      <c r="EPY330"/>
      <c r="EPZ330"/>
      <c r="EQC330"/>
      <c r="EQD330"/>
      <c r="EQG330"/>
      <c r="EQH330"/>
      <c r="EQK330"/>
      <c r="EQL330"/>
      <c r="EQO330"/>
      <c r="EQP330"/>
      <c r="EQS330"/>
      <c r="EQT330"/>
      <c r="EQW330"/>
      <c r="EQX330"/>
      <c r="ERA330"/>
      <c r="ERB330"/>
      <c r="ERE330"/>
      <c r="ERF330"/>
      <c r="ERI330"/>
      <c r="ERJ330"/>
      <c r="ERM330"/>
      <c r="ERN330"/>
      <c r="ERQ330"/>
      <c r="ERR330"/>
      <c r="ERU330"/>
      <c r="ERV330"/>
      <c r="ERY330"/>
      <c r="ERZ330"/>
      <c r="ESC330"/>
      <c r="ESD330"/>
      <c r="ESG330"/>
      <c r="ESH330"/>
      <c r="ESK330"/>
      <c r="ESL330"/>
      <c r="ESO330"/>
      <c r="ESP330"/>
      <c r="ESS330"/>
      <c r="EST330"/>
      <c r="ESW330"/>
      <c r="ESX330"/>
      <c r="ETA330"/>
      <c r="ETB330"/>
      <c r="ETE330"/>
      <c r="ETF330"/>
      <c r="ETI330"/>
      <c r="ETJ330"/>
      <c r="ETM330"/>
      <c r="ETN330"/>
      <c r="ETQ330"/>
      <c r="ETR330"/>
      <c r="ETU330"/>
      <c r="ETV330"/>
      <c r="ETY330"/>
      <c r="ETZ330"/>
      <c r="EUC330"/>
      <c r="EUD330"/>
      <c r="EUG330"/>
      <c r="EUH330"/>
      <c r="EUK330"/>
      <c r="EUL330"/>
      <c r="EUO330"/>
      <c r="EUP330"/>
      <c r="EUS330"/>
      <c r="EUT330"/>
      <c r="EUW330"/>
      <c r="EUX330"/>
      <c r="EVA330"/>
      <c r="EVB330"/>
      <c r="EVE330"/>
      <c r="EVF330"/>
      <c r="EVI330"/>
      <c r="EVJ330"/>
      <c r="EVM330"/>
      <c r="EVN330"/>
      <c r="EVQ330"/>
      <c r="EVR330"/>
      <c r="EVU330"/>
      <c r="EVV330"/>
      <c r="EVY330"/>
      <c r="EVZ330"/>
      <c r="EWC330"/>
      <c r="EWD330"/>
      <c r="EWG330"/>
      <c r="EWH330"/>
      <c r="EWK330"/>
      <c r="EWL330"/>
      <c r="EWO330"/>
      <c r="EWP330"/>
      <c r="EWS330"/>
      <c r="EWT330"/>
      <c r="EWW330"/>
      <c r="EWX330"/>
      <c r="EXA330"/>
      <c r="EXB330"/>
      <c r="EXE330"/>
      <c r="EXF330"/>
      <c r="EXI330"/>
      <c r="EXJ330"/>
      <c r="EXM330"/>
      <c r="EXN330"/>
      <c r="EXQ330"/>
      <c r="EXR330"/>
      <c r="EXU330"/>
      <c r="EXV330"/>
      <c r="EXY330"/>
      <c r="EXZ330"/>
      <c r="EYC330"/>
      <c r="EYD330"/>
      <c r="EYG330"/>
      <c r="EYH330"/>
      <c r="EYK330"/>
      <c r="EYL330"/>
      <c r="EYO330"/>
      <c r="EYP330"/>
      <c r="EYS330"/>
      <c r="EYT330"/>
      <c r="EYW330"/>
      <c r="EYX330"/>
      <c r="EZA330"/>
      <c r="EZB330"/>
      <c r="EZE330"/>
      <c r="EZF330"/>
      <c r="EZI330"/>
      <c r="EZJ330"/>
      <c r="EZM330"/>
      <c r="EZN330"/>
      <c r="EZQ330"/>
      <c r="EZR330"/>
      <c r="EZU330"/>
      <c r="EZV330"/>
      <c r="EZY330"/>
      <c r="EZZ330"/>
      <c r="FAC330"/>
      <c r="FAD330"/>
      <c r="FAG330"/>
      <c r="FAH330"/>
      <c r="FAK330"/>
      <c r="FAL330"/>
      <c r="FAO330"/>
      <c r="FAP330"/>
      <c r="FAS330"/>
      <c r="FAT330"/>
      <c r="FAW330"/>
      <c r="FAX330"/>
      <c r="FBA330"/>
      <c r="FBB330"/>
      <c r="FBE330"/>
      <c r="FBF330"/>
      <c r="FBI330"/>
      <c r="FBJ330"/>
      <c r="FBM330"/>
      <c r="FBN330"/>
      <c r="FBQ330"/>
      <c r="FBR330"/>
      <c r="FBU330"/>
      <c r="FBV330"/>
      <c r="FBY330"/>
      <c r="FBZ330"/>
      <c r="FCC330"/>
      <c r="FCD330"/>
      <c r="FCG330"/>
      <c r="FCH330"/>
      <c r="FCK330"/>
      <c r="FCL330"/>
      <c r="FCO330"/>
      <c r="FCP330"/>
      <c r="FCS330"/>
      <c r="FCT330"/>
      <c r="FCW330"/>
      <c r="FCX330"/>
      <c r="FDA330"/>
      <c r="FDB330"/>
      <c r="FDE330"/>
      <c r="FDF330"/>
      <c r="FDI330"/>
      <c r="FDJ330"/>
      <c r="FDM330"/>
      <c r="FDN330"/>
      <c r="FDQ330"/>
      <c r="FDR330"/>
      <c r="FDU330"/>
      <c r="FDV330"/>
      <c r="FDY330"/>
      <c r="FDZ330"/>
      <c r="FEC330"/>
      <c r="FED330"/>
      <c r="FEG330"/>
      <c r="FEH330"/>
      <c r="FEK330"/>
      <c r="FEL330"/>
      <c r="FEO330"/>
      <c r="FEP330"/>
      <c r="FES330"/>
      <c r="FET330"/>
      <c r="FEW330"/>
      <c r="FEX330"/>
      <c r="FFA330"/>
      <c r="FFB330"/>
      <c r="FFE330"/>
      <c r="FFF330"/>
      <c r="FFI330"/>
      <c r="FFJ330"/>
      <c r="FFM330"/>
      <c r="FFN330"/>
      <c r="FFQ330"/>
      <c r="FFR330"/>
      <c r="FFU330"/>
      <c r="FFV330"/>
      <c r="FFY330"/>
      <c r="FFZ330"/>
      <c r="FGC330"/>
      <c r="FGD330"/>
      <c r="FGG330"/>
      <c r="FGH330"/>
      <c r="FGK330"/>
      <c r="FGL330"/>
      <c r="FGO330"/>
      <c r="FGP330"/>
      <c r="FGS330"/>
      <c r="FGT330"/>
      <c r="FGW330"/>
      <c r="FGX330"/>
      <c r="FHA330"/>
      <c r="FHB330"/>
      <c r="FHE330"/>
      <c r="FHF330"/>
      <c r="FHI330"/>
      <c r="FHJ330"/>
      <c r="FHM330"/>
      <c r="FHN330"/>
      <c r="FHQ330"/>
      <c r="FHR330"/>
      <c r="FHU330"/>
      <c r="FHV330"/>
      <c r="FHY330"/>
      <c r="FHZ330"/>
      <c r="FIC330"/>
      <c r="FID330"/>
      <c r="FIG330"/>
      <c r="FIH330"/>
      <c r="FIK330"/>
      <c r="FIL330"/>
      <c r="FIO330"/>
      <c r="FIP330"/>
      <c r="FIS330"/>
      <c r="FIT330"/>
      <c r="FIW330"/>
      <c r="FIX330"/>
      <c r="FJA330"/>
      <c r="FJB330"/>
      <c r="FJE330"/>
      <c r="FJF330"/>
      <c r="FJI330"/>
      <c r="FJJ330"/>
      <c r="FJM330"/>
      <c r="FJN330"/>
      <c r="FJQ330"/>
      <c r="FJR330"/>
      <c r="FJU330"/>
      <c r="FJV330"/>
      <c r="FJY330"/>
      <c r="FJZ330"/>
      <c r="FKC330"/>
      <c r="FKD330"/>
      <c r="FKG330"/>
      <c r="FKH330"/>
      <c r="FKK330"/>
      <c r="FKL330"/>
      <c r="FKO330"/>
      <c r="FKP330"/>
      <c r="FKS330"/>
      <c r="FKT330"/>
      <c r="FKW330"/>
      <c r="FKX330"/>
      <c r="FLA330"/>
      <c r="FLB330"/>
      <c r="FLE330"/>
      <c r="FLF330"/>
      <c r="FLI330"/>
      <c r="FLJ330"/>
      <c r="FLM330"/>
      <c r="FLN330"/>
      <c r="FLQ330"/>
      <c r="FLR330"/>
      <c r="FLU330"/>
      <c r="FLV330"/>
      <c r="FLY330"/>
      <c r="FLZ330"/>
      <c r="FMC330"/>
      <c r="FMD330"/>
      <c r="FMG330"/>
      <c r="FMH330"/>
      <c r="FMK330"/>
      <c r="FML330"/>
      <c r="FMO330"/>
      <c r="FMP330"/>
      <c r="FMS330"/>
      <c r="FMT330"/>
      <c r="FMW330"/>
      <c r="FMX330"/>
      <c r="FNA330"/>
      <c r="FNB330"/>
      <c r="FNE330"/>
      <c r="FNF330"/>
      <c r="FNI330"/>
      <c r="FNJ330"/>
      <c r="FNM330"/>
      <c r="FNN330"/>
      <c r="FNQ330"/>
      <c r="FNR330"/>
      <c r="FNU330"/>
      <c r="FNV330"/>
      <c r="FNY330"/>
      <c r="FNZ330"/>
      <c r="FOC330"/>
      <c r="FOD330"/>
      <c r="FOG330"/>
      <c r="FOH330"/>
      <c r="FOK330"/>
      <c r="FOL330"/>
      <c r="FOO330"/>
      <c r="FOP330"/>
      <c r="FOS330"/>
      <c r="FOT330"/>
      <c r="FOW330"/>
      <c r="FOX330"/>
      <c r="FPA330"/>
      <c r="FPB330"/>
      <c r="FPE330"/>
      <c r="FPF330"/>
      <c r="FPI330"/>
      <c r="FPJ330"/>
      <c r="FPM330"/>
      <c r="FPN330"/>
      <c r="FPQ330"/>
      <c r="FPR330"/>
      <c r="FPU330"/>
      <c r="FPV330"/>
      <c r="FPY330"/>
      <c r="FPZ330"/>
      <c r="FQC330"/>
      <c r="FQD330"/>
      <c r="FQG330"/>
      <c r="FQH330"/>
      <c r="FQK330"/>
      <c r="FQL330"/>
      <c r="FQO330"/>
      <c r="FQP330"/>
      <c r="FQS330"/>
      <c r="FQT330"/>
      <c r="FQW330"/>
      <c r="FQX330"/>
      <c r="FRA330"/>
      <c r="FRB330"/>
      <c r="FRE330"/>
      <c r="FRF330"/>
      <c r="FRI330"/>
      <c r="FRJ330"/>
      <c r="FRM330"/>
      <c r="FRN330"/>
      <c r="FRQ330"/>
      <c r="FRR330"/>
      <c r="FRU330"/>
      <c r="FRV330"/>
      <c r="FRY330"/>
      <c r="FRZ330"/>
      <c r="FSC330"/>
      <c r="FSD330"/>
      <c r="FSG330"/>
      <c r="FSH330"/>
      <c r="FSK330"/>
      <c r="FSL330"/>
      <c r="FSO330"/>
      <c r="FSP330"/>
      <c r="FSS330"/>
      <c r="FST330"/>
      <c r="FSW330"/>
      <c r="FSX330"/>
      <c r="FTA330"/>
      <c r="FTB330"/>
      <c r="FTE330"/>
      <c r="FTF330"/>
      <c r="FTI330"/>
      <c r="FTJ330"/>
      <c r="FTM330"/>
      <c r="FTN330"/>
      <c r="FTQ330"/>
      <c r="FTR330"/>
      <c r="FTU330"/>
      <c r="FTV330"/>
      <c r="FTY330"/>
      <c r="FTZ330"/>
      <c r="FUC330"/>
      <c r="FUD330"/>
      <c r="FUG330"/>
      <c r="FUH330"/>
      <c r="FUK330"/>
      <c r="FUL330"/>
      <c r="FUO330"/>
      <c r="FUP330"/>
      <c r="FUS330"/>
      <c r="FUT330"/>
      <c r="FUW330"/>
      <c r="FUX330"/>
      <c r="FVA330"/>
      <c r="FVB330"/>
      <c r="FVE330"/>
      <c r="FVF330"/>
      <c r="FVI330"/>
      <c r="FVJ330"/>
      <c r="FVM330"/>
      <c r="FVN330"/>
      <c r="FVQ330"/>
      <c r="FVR330"/>
      <c r="FVU330"/>
      <c r="FVV330"/>
      <c r="FVY330"/>
      <c r="FVZ330"/>
      <c r="FWC330"/>
      <c r="FWD330"/>
      <c r="FWG330"/>
      <c r="FWH330"/>
      <c r="FWK330"/>
      <c r="FWL330"/>
      <c r="FWO330"/>
      <c r="FWP330"/>
      <c r="FWS330"/>
      <c r="FWT330"/>
      <c r="FWW330"/>
      <c r="FWX330"/>
      <c r="FXA330"/>
      <c r="FXB330"/>
      <c r="FXE330"/>
      <c r="FXF330"/>
      <c r="FXI330"/>
      <c r="FXJ330"/>
      <c r="FXM330"/>
      <c r="FXN330"/>
      <c r="FXQ330"/>
      <c r="FXR330"/>
      <c r="FXU330"/>
      <c r="FXV330"/>
      <c r="FXY330"/>
      <c r="FXZ330"/>
      <c r="FYC330"/>
      <c r="FYD330"/>
      <c r="FYG330"/>
      <c r="FYH330"/>
      <c r="FYK330"/>
      <c r="FYL330"/>
      <c r="FYO330"/>
      <c r="FYP330"/>
      <c r="FYS330"/>
      <c r="FYT330"/>
      <c r="FYW330"/>
      <c r="FYX330"/>
      <c r="FZA330"/>
      <c r="FZB330"/>
      <c r="FZE330"/>
      <c r="FZF330"/>
      <c r="FZI330"/>
      <c r="FZJ330"/>
      <c r="FZM330"/>
      <c r="FZN330"/>
      <c r="FZQ330"/>
      <c r="FZR330"/>
      <c r="FZU330"/>
      <c r="FZV330"/>
      <c r="FZY330"/>
      <c r="FZZ330"/>
      <c r="GAC330"/>
      <c r="GAD330"/>
      <c r="GAG330"/>
      <c r="GAH330"/>
      <c r="GAK330"/>
      <c r="GAL330"/>
      <c r="GAO330"/>
      <c r="GAP330"/>
      <c r="GAS330"/>
      <c r="GAT330"/>
      <c r="GAW330"/>
      <c r="GAX330"/>
      <c r="GBA330"/>
      <c r="GBB330"/>
      <c r="GBE330"/>
      <c r="GBF330"/>
      <c r="GBI330"/>
      <c r="GBJ330"/>
      <c r="GBM330"/>
      <c r="GBN330"/>
      <c r="GBQ330"/>
      <c r="GBR330"/>
      <c r="GBU330"/>
      <c r="GBV330"/>
      <c r="GBY330"/>
      <c r="GBZ330"/>
      <c r="GCC330"/>
      <c r="GCD330"/>
      <c r="GCG330"/>
      <c r="GCH330"/>
      <c r="GCK330"/>
      <c r="GCL330"/>
      <c r="GCO330"/>
      <c r="GCP330"/>
      <c r="GCS330"/>
      <c r="GCT330"/>
      <c r="GCW330"/>
      <c r="GCX330"/>
      <c r="GDA330"/>
      <c r="GDB330"/>
      <c r="GDE330"/>
      <c r="GDF330"/>
      <c r="GDI330"/>
      <c r="GDJ330"/>
      <c r="GDM330"/>
      <c r="GDN330"/>
      <c r="GDQ330"/>
      <c r="GDR330"/>
      <c r="GDU330"/>
      <c r="GDV330"/>
      <c r="GDY330"/>
      <c r="GDZ330"/>
      <c r="GEC330"/>
      <c r="GED330"/>
      <c r="GEG330"/>
      <c r="GEH330"/>
      <c r="GEK330"/>
      <c r="GEL330"/>
      <c r="GEO330"/>
      <c r="GEP330"/>
      <c r="GES330"/>
      <c r="GET330"/>
      <c r="GEW330"/>
      <c r="GEX330"/>
      <c r="GFA330"/>
      <c r="GFB330"/>
      <c r="GFE330"/>
      <c r="GFF330"/>
      <c r="GFI330"/>
      <c r="GFJ330"/>
      <c r="GFM330"/>
      <c r="GFN330"/>
      <c r="GFQ330"/>
      <c r="GFR330"/>
      <c r="GFU330"/>
      <c r="GFV330"/>
      <c r="GFY330"/>
      <c r="GFZ330"/>
      <c r="GGC330"/>
      <c r="GGD330"/>
      <c r="GGG330"/>
      <c r="GGH330"/>
      <c r="GGK330"/>
      <c r="GGL330"/>
      <c r="GGO330"/>
      <c r="GGP330"/>
      <c r="GGS330"/>
      <c r="GGT330"/>
      <c r="GGW330"/>
      <c r="GGX330"/>
      <c r="GHA330"/>
      <c r="GHB330"/>
      <c r="GHE330"/>
      <c r="GHF330"/>
      <c r="GHI330"/>
      <c r="GHJ330"/>
      <c r="GHM330"/>
      <c r="GHN330"/>
      <c r="GHQ330"/>
      <c r="GHR330"/>
      <c r="GHU330"/>
      <c r="GHV330"/>
      <c r="GHY330"/>
      <c r="GHZ330"/>
      <c r="GIC330"/>
      <c r="GID330"/>
      <c r="GIG330"/>
      <c r="GIH330"/>
      <c r="GIK330"/>
      <c r="GIL330"/>
      <c r="GIO330"/>
      <c r="GIP330"/>
      <c r="GIS330"/>
      <c r="GIT330"/>
      <c r="GIW330"/>
      <c r="GIX330"/>
      <c r="GJA330"/>
      <c r="GJB330"/>
      <c r="GJE330"/>
      <c r="GJF330"/>
      <c r="GJI330"/>
      <c r="GJJ330"/>
      <c r="GJM330"/>
      <c r="GJN330"/>
      <c r="GJQ330"/>
      <c r="GJR330"/>
      <c r="GJU330"/>
      <c r="GJV330"/>
      <c r="GJY330"/>
      <c r="GJZ330"/>
      <c r="GKC330"/>
      <c r="GKD330"/>
      <c r="GKG330"/>
      <c r="GKH330"/>
      <c r="GKK330"/>
      <c r="GKL330"/>
      <c r="GKO330"/>
      <c r="GKP330"/>
      <c r="GKS330"/>
      <c r="GKT330"/>
      <c r="GKW330"/>
      <c r="GKX330"/>
      <c r="GLA330"/>
      <c r="GLB330"/>
      <c r="GLE330"/>
      <c r="GLF330"/>
      <c r="GLI330"/>
      <c r="GLJ330"/>
      <c r="GLM330"/>
      <c r="GLN330"/>
      <c r="GLQ330"/>
      <c r="GLR330"/>
      <c r="GLU330"/>
      <c r="GLV330"/>
      <c r="GLY330"/>
      <c r="GLZ330"/>
      <c r="GMC330"/>
      <c r="GMD330"/>
      <c r="GMG330"/>
      <c r="GMH330"/>
      <c r="GMK330"/>
      <c r="GML330"/>
      <c r="GMO330"/>
      <c r="GMP330"/>
      <c r="GMS330"/>
      <c r="GMT330"/>
      <c r="GMW330"/>
      <c r="GMX330"/>
      <c r="GNA330"/>
      <c r="GNB330"/>
      <c r="GNE330"/>
      <c r="GNF330"/>
      <c r="GNI330"/>
      <c r="GNJ330"/>
      <c r="GNM330"/>
      <c r="GNN330"/>
      <c r="GNQ330"/>
      <c r="GNR330"/>
      <c r="GNU330"/>
      <c r="GNV330"/>
      <c r="GNY330"/>
      <c r="GNZ330"/>
      <c r="GOC330"/>
      <c r="GOD330"/>
      <c r="GOG330"/>
      <c r="GOH330"/>
      <c r="GOK330"/>
      <c r="GOL330"/>
      <c r="GOO330"/>
      <c r="GOP330"/>
      <c r="GOS330"/>
      <c r="GOT330"/>
      <c r="GOW330"/>
      <c r="GOX330"/>
      <c r="GPA330"/>
      <c r="GPB330"/>
      <c r="GPE330"/>
      <c r="GPF330"/>
      <c r="GPI330"/>
      <c r="GPJ330"/>
      <c r="GPM330"/>
      <c r="GPN330"/>
      <c r="GPQ330"/>
      <c r="GPR330"/>
      <c r="GPU330"/>
      <c r="GPV330"/>
      <c r="GPY330"/>
      <c r="GPZ330"/>
      <c r="GQC330"/>
      <c r="GQD330"/>
      <c r="GQG330"/>
      <c r="GQH330"/>
      <c r="GQK330"/>
      <c r="GQL330"/>
      <c r="GQO330"/>
      <c r="GQP330"/>
      <c r="GQS330"/>
      <c r="GQT330"/>
      <c r="GQW330"/>
      <c r="GQX330"/>
      <c r="GRA330"/>
      <c r="GRB330"/>
      <c r="GRE330"/>
      <c r="GRF330"/>
      <c r="GRI330"/>
      <c r="GRJ330"/>
      <c r="GRM330"/>
      <c r="GRN330"/>
      <c r="GRQ330"/>
      <c r="GRR330"/>
      <c r="GRU330"/>
      <c r="GRV330"/>
      <c r="GRY330"/>
      <c r="GRZ330"/>
      <c r="GSC330"/>
      <c r="GSD330"/>
      <c r="GSG330"/>
      <c r="GSH330"/>
      <c r="GSK330"/>
      <c r="GSL330"/>
      <c r="GSO330"/>
      <c r="GSP330"/>
      <c r="GSS330"/>
      <c r="GST330"/>
      <c r="GSW330"/>
      <c r="GSX330"/>
      <c r="GTA330"/>
      <c r="GTB330"/>
      <c r="GTE330"/>
      <c r="GTF330"/>
      <c r="GTI330"/>
      <c r="GTJ330"/>
      <c r="GTM330"/>
      <c r="GTN330"/>
      <c r="GTQ330"/>
      <c r="GTR330"/>
      <c r="GTU330"/>
      <c r="GTV330"/>
      <c r="GTY330"/>
      <c r="GTZ330"/>
      <c r="GUC330"/>
      <c r="GUD330"/>
      <c r="GUG330"/>
      <c r="GUH330"/>
      <c r="GUK330"/>
      <c r="GUL330"/>
      <c r="GUO330"/>
      <c r="GUP330"/>
      <c r="GUS330"/>
      <c r="GUT330"/>
      <c r="GUW330"/>
      <c r="GUX330"/>
      <c r="GVA330"/>
      <c r="GVB330"/>
      <c r="GVE330"/>
      <c r="GVF330"/>
      <c r="GVI330"/>
      <c r="GVJ330"/>
      <c r="GVM330"/>
      <c r="GVN330"/>
      <c r="GVQ330"/>
      <c r="GVR330"/>
      <c r="GVU330"/>
      <c r="GVV330"/>
      <c r="GVY330"/>
      <c r="GVZ330"/>
      <c r="GWC330"/>
      <c r="GWD330"/>
      <c r="GWG330"/>
      <c r="GWH330"/>
      <c r="GWK330"/>
      <c r="GWL330"/>
      <c r="GWO330"/>
      <c r="GWP330"/>
      <c r="GWS330"/>
      <c r="GWT330"/>
      <c r="GWW330"/>
      <c r="GWX330"/>
      <c r="GXA330"/>
      <c r="GXB330"/>
      <c r="GXE330"/>
      <c r="GXF330"/>
      <c r="GXI330"/>
      <c r="GXJ330"/>
      <c r="GXM330"/>
      <c r="GXN330"/>
      <c r="GXQ330"/>
      <c r="GXR330"/>
      <c r="GXU330"/>
      <c r="GXV330"/>
      <c r="GXY330"/>
      <c r="GXZ330"/>
      <c r="GYC330"/>
      <c r="GYD330"/>
      <c r="GYG330"/>
      <c r="GYH330"/>
      <c r="GYK330"/>
      <c r="GYL330"/>
      <c r="GYO330"/>
      <c r="GYP330"/>
      <c r="GYS330"/>
      <c r="GYT330"/>
      <c r="GYW330"/>
      <c r="GYX330"/>
      <c r="GZA330"/>
      <c r="GZB330"/>
      <c r="GZE330"/>
      <c r="GZF330"/>
      <c r="GZI330"/>
      <c r="GZJ330"/>
      <c r="GZM330"/>
      <c r="GZN330"/>
      <c r="GZQ330"/>
      <c r="GZR330"/>
      <c r="GZU330"/>
      <c r="GZV330"/>
      <c r="GZY330"/>
      <c r="GZZ330"/>
      <c r="HAC330"/>
      <c r="HAD330"/>
      <c r="HAG330"/>
      <c r="HAH330"/>
      <c r="HAK330"/>
      <c r="HAL330"/>
      <c r="HAO330"/>
      <c r="HAP330"/>
      <c r="HAS330"/>
      <c r="HAT330"/>
      <c r="HAW330"/>
      <c r="HAX330"/>
      <c r="HBA330"/>
      <c r="HBB330"/>
      <c r="HBE330"/>
      <c r="HBF330"/>
      <c r="HBI330"/>
      <c r="HBJ330"/>
      <c r="HBM330"/>
      <c r="HBN330"/>
      <c r="HBQ330"/>
      <c r="HBR330"/>
      <c r="HBU330"/>
      <c r="HBV330"/>
      <c r="HBY330"/>
      <c r="HBZ330"/>
      <c r="HCC330"/>
      <c r="HCD330"/>
      <c r="HCG330"/>
      <c r="HCH330"/>
      <c r="HCK330"/>
      <c r="HCL330"/>
      <c r="HCO330"/>
      <c r="HCP330"/>
      <c r="HCS330"/>
      <c r="HCT330"/>
      <c r="HCW330"/>
      <c r="HCX330"/>
      <c r="HDA330"/>
      <c r="HDB330"/>
      <c r="HDE330"/>
      <c r="HDF330"/>
      <c r="HDI330"/>
      <c r="HDJ330"/>
      <c r="HDM330"/>
      <c r="HDN330"/>
      <c r="HDQ330"/>
      <c r="HDR330"/>
      <c r="HDU330"/>
      <c r="HDV330"/>
      <c r="HDY330"/>
      <c r="HDZ330"/>
      <c r="HEC330"/>
      <c r="HED330"/>
      <c r="HEG330"/>
      <c r="HEH330"/>
      <c r="HEK330"/>
      <c r="HEL330"/>
      <c r="HEO330"/>
      <c r="HEP330"/>
      <c r="HES330"/>
      <c r="HET330"/>
      <c r="HEW330"/>
      <c r="HEX330"/>
      <c r="HFA330"/>
      <c r="HFB330"/>
      <c r="HFE330"/>
      <c r="HFF330"/>
      <c r="HFI330"/>
      <c r="HFJ330"/>
      <c r="HFM330"/>
      <c r="HFN330"/>
      <c r="HFQ330"/>
      <c r="HFR330"/>
      <c r="HFU330"/>
      <c r="HFV330"/>
      <c r="HFY330"/>
      <c r="HFZ330"/>
      <c r="HGC330"/>
      <c r="HGD330"/>
      <c r="HGG330"/>
      <c r="HGH330"/>
      <c r="HGK330"/>
      <c r="HGL330"/>
      <c r="HGO330"/>
      <c r="HGP330"/>
      <c r="HGS330"/>
      <c r="HGT330"/>
      <c r="HGW330"/>
      <c r="HGX330"/>
      <c r="HHA330"/>
      <c r="HHB330"/>
      <c r="HHE330"/>
      <c r="HHF330"/>
      <c r="HHI330"/>
      <c r="HHJ330"/>
      <c r="HHM330"/>
      <c r="HHN330"/>
      <c r="HHQ330"/>
      <c r="HHR330"/>
      <c r="HHU330"/>
      <c r="HHV330"/>
      <c r="HHY330"/>
      <c r="HHZ330"/>
      <c r="HIC330"/>
      <c r="HID330"/>
      <c r="HIG330"/>
      <c r="HIH330"/>
      <c r="HIK330"/>
      <c r="HIL330"/>
      <c r="HIO330"/>
      <c r="HIP330"/>
      <c r="HIS330"/>
      <c r="HIT330"/>
      <c r="HIW330"/>
      <c r="HIX330"/>
      <c r="HJA330"/>
      <c r="HJB330"/>
      <c r="HJE330"/>
      <c r="HJF330"/>
      <c r="HJI330"/>
      <c r="HJJ330"/>
      <c r="HJM330"/>
      <c r="HJN330"/>
      <c r="HJQ330"/>
      <c r="HJR330"/>
      <c r="HJU330"/>
      <c r="HJV330"/>
      <c r="HJY330"/>
      <c r="HJZ330"/>
      <c r="HKC330"/>
      <c r="HKD330"/>
      <c r="HKG330"/>
      <c r="HKH330"/>
      <c r="HKK330"/>
      <c r="HKL330"/>
      <c r="HKO330"/>
      <c r="HKP330"/>
      <c r="HKS330"/>
      <c r="HKT330"/>
      <c r="HKW330"/>
      <c r="HKX330"/>
      <c r="HLA330"/>
      <c r="HLB330"/>
      <c r="HLE330"/>
      <c r="HLF330"/>
      <c r="HLI330"/>
      <c r="HLJ330"/>
      <c r="HLM330"/>
      <c r="HLN330"/>
      <c r="HLQ330"/>
      <c r="HLR330"/>
      <c r="HLU330"/>
      <c r="HLV330"/>
      <c r="HLY330"/>
      <c r="HLZ330"/>
      <c r="HMC330"/>
      <c r="HMD330"/>
      <c r="HMG330"/>
      <c r="HMH330"/>
      <c r="HMK330"/>
      <c r="HML330"/>
      <c r="HMO330"/>
      <c r="HMP330"/>
      <c r="HMS330"/>
      <c r="HMT330"/>
      <c r="HMW330"/>
      <c r="HMX330"/>
      <c r="HNA330"/>
      <c r="HNB330"/>
      <c r="HNE330"/>
      <c r="HNF330"/>
      <c r="HNI330"/>
      <c r="HNJ330"/>
      <c r="HNM330"/>
      <c r="HNN330"/>
      <c r="HNQ330"/>
      <c r="HNR330"/>
      <c r="HNU330"/>
      <c r="HNV330"/>
      <c r="HNY330"/>
      <c r="HNZ330"/>
      <c r="HOC330"/>
      <c r="HOD330"/>
      <c r="HOG330"/>
      <c r="HOH330"/>
      <c r="HOK330"/>
      <c r="HOL330"/>
      <c r="HOO330"/>
      <c r="HOP330"/>
      <c r="HOS330"/>
      <c r="HOT330"/>
      <c r="HOW330"/>
      <c r="HOX330"/>
      <c r="HPA330"/>
      <c r="HPB330"/>
      <c r="HPE330"/>
      <c r="HPF330"/>
      <c r="HPI330"/>
      <c r="HPJ330"/>
      <c r="HPM330"/>
      <c r="HPN330"/>
      <c r="HPQ330"/>
      <c r="HPR330"/>
      <c r="HPU330"/>
      <c r="HPV330"/>
      <c r="HPY330"/>
      <c r="HPZ330"/>
      <c r="HQC330"/>
      <c r="HQD330"/>
      <c r="HQG330"/>
      <c r="HQH330"/>
      <c r="HQK330"/>
      <c r="HQL330"/>
      <c r="HQO330"/>
      <c r="HQP330"/>
      <c r="HQS330"/>
      <c r="HQT330"/>
      <c r="HQW330"/>
      <c r="HQX330"/>
      <c r="HRA330"/>
      <c r="HRB330"/>
      <c r="HRE330"/>
      <c r="HRF330"/>
      <c r="HRI330"/>
      <c r="HRJ330"/>
      <c r="HRM330"/>
      <c r="HRN330"/>
      <c r="HRQ330"/>
      <c r="HRR330"/>
      <c r="HRU330"/>
      <c r="HRV330"/>
      <c r="HRY330"/>
      <c r="HRZ330"/>
      <c r="HSC330"/>
      <c r="HSD330"/>
      <c r="HSG330"/>
      <c r="HSH330"/>
      <c r="HSK330"/>
      <c r="HSL330"/>
      <c r="HSO330"/>
      <c r="HSP330"/>
      <c r="HSS330"/>
      <c r="HST330"/>
      <c r="HSW330"/>
      <c r="HSX330"/>
      <c r="HTA330"/>
      <c r="HTB330"/>
      <c r="HTE330"/>
      <c r="HTF330"/>
      <c r="HTI330"/>
      <c r="HTJ330"/>
      <c r="HTM330"/>
      <c r="HTN330"/>
      <c r="HTQ330"/>
      <c r="HTR330"/>
      <c r="HTU330"/>
      <c r="HTV330"/>
      <c r="HTY330"/>
      <c r="HTZ330"/>
      <c r="HUC330"/>
      <c r="HUD330"/>
      <c r="HUG330"/>
      <c r="HUH330"/>
      <c r="HUK330"/>
      <c r="HUL330"/>
      <c r="HUO330"/>
      <c r="HUP330"/>
      <c r="HUS330"/>
      <c r="HUT330"/>
      <c r="HUW330"/>
      <c r="HUX330"/>
      <c r="HVA330"/>
      <c r="HVB330"/>
      <c r="HVE330"/>
      <c r="HVF330"/>
      <c r="HVI330"/>
      <c r="HVJ330"/>
      <c r="HVM330"/>
      <c r="HVN330"/>
      <c r="HVQ330"/>
      <c r="HVR330"/>
      <c r="HVU330"/>
      <c r="HVV330"/>
      <c r="HVY330"/>
      <c r="HVZ330"/>
      <c r="HWC330"/>
      <c r="HWD330"/>
      <c r="HWG330"/>
      <c r="HWH330"/>
      <c r="HWK330"/>
      <c r="HWL330"/>
      <c r="HWO330"/>
      <c r="HWP330"/>
      <c r="HWS330"/>
      <c r="HWT330"/>
      <c r="HWW330"/>
      <c r="HWX330"/>
      <c r="HXA330"/>
      <c r="HXB330"/>
      <c r="HXE330"/>
      <c r="HXF330"/>
      <c r="HXI330"/>
      <c r="HXJ330"/>
      <c r="HXM330"/>
      <c r="HXN330"/>
      <c r="HXQ330"/>
      <c r="HXR330"/>
      <c r="HXU330"/>
      <c r="HXV330"/>
      <c r="HXY330"/>
      <c r="HXZ330"/>
      <c r="HYC330"/>
      <c r="HYD330"/>
      <c r="HYG330"/>
      <c r="HYH330"/>
      <c r="HYK330"/>
      <c r="HYL330"/>
      <c r="HYO330"/>
      <c r="HYP330"/>
      <c r="HYS330"/>
      <c r="HYT330"/>
      <c r="HYW330"/>
      <c r="HYX330"/>
      <c r="HZA330"/>
      <c r="HZB330"/>
      <c r="HZE330"/>
      <c r="HZF330"/>
      <c r="HZI330"/>
      <c r="HZJ330"/>
      <c r="HZM330"/>
      <c r="HZN330"/>
      <c r="HZQ330"/>
      <c r="HZR330"/>
      <c r="HZU330"/>
      <c r="HZV330"/>
      <c r="HZY330"/>
      <c r="HZZ330"/>
      <c r="IAC330"/>
      <c r="IAD330"/>
      <c r="IAG330"/>
      <c r="IAH330"/>
      <c r="IAK330"/>
      <c r="IAL330"/>
      <c r="IAO330"/>
      <c r="IAP330"/>
      <c r="IAS330"/>
      <c r="IAT330"/>
      <c r="IAW330"/>
      <c r="IAX330"/>
      <c r="IBA330"/>
      <c r="IBB330"/>
      <c r="IBE330"/>
      <c r="IBF330"/>
      <c r="IBI330"/>
      <c r="IBJ330"/>
      <c r="IBM330"/>
      <c r="IBN330"/>
      <c r="IBQ330"/>
      <c r="IBR330"/>
      <c r="IBU330"/>
      <c r="IBV330"/>
      <c r="IBY330"/>
      <c r="IBZ330"/>
      <c r="ICC330"/>
      <c r="ICD330"/>
      <c r="ICG330"/>
      <c r="ICH330"/>
      <c r="ICK330"/>
      <c r="ICL330"/>
      <c r="ICO330"/>
      <c r="ICP330"/>
      <c r="ICS330"/>
      <c r="ICT330"/>
      <c r="ICW330"/>
      <c r="ICX330"/>
      <c r="IDA330"/>
      <c r="IDB330"/>
      <c r="IDE330"/>
      <c r="IDF330"/>
      <c r="IDI330"/>
      <c r="IDJ330"/>
      <c r="IDM330"/>
      <c r="IDN330"/>
      <c r="IDQ330"/>
      <c r="IDR330"/>
      <c r="IDU330"/>
      <c r="IDV330"/>
      <c r="IDY330"/>
      <c r="IDZ330"/>
      <c r="IEC330"/>
      <c r="IED330"/>
      <c r="IEG330"/>
      <c r="IEH330"/>
      <c r="IEK330"/>
      <c r="IEL330"/>
      <c r="IEO330"/>
      <c r="IEP330"/>
      <c r="IES330"/>
      <c r="IET330"/>
      <c r="IEW330"/>
      <c r="IEX330"/>
      <c r="IFA330"/>
      <c r="IFB330"/>
      <c r="IFE330"/>
      <c r="IFF330"/>
      <c r="IFI330"/>
      <c r="IFJ330"/>
      <c r="IFM330"/>
      <c r="IFN330"/>
      <c r="IFQ330"/>
      <c r="IFR330"/>
      <c r="IFU330"/>
      <c r="IFV330"/>
      <c r="IFY330"/>
      <c r="IFZ330"/>
      <c r="IGC330"/>
      <c r="IGD330"/>
      <c r="IGG330"/>
      <c r="IGH330"/>
      <c r="IGK330"/>
      <c r="IGL330"/>
      <c r="IGO330"/>
      <c r="IGP330"/>
      <c r="IGS330"/>
      <c r="IGT330"/>
      <c r="IGW330"/>
      <c r="IGX330"/>
      <c r="IHA330"/>
      <c r="IHB330"/>
      <c r="IHE330"/>
      <c r="IHF330"/>
      <c r="IHI330"/>
      <c r="IHJ330"/>
      <c r="IHM330"/>
      <c r="IHN330"/>
      <c r="IHQ330"/>
      <c r="IHR330"/>
      <c r="IHU330"/>
      <c r="IHV330"/>
      <c r="IHY330"/>
      <c r="IHZ330"/>
      <c r="IIC330"/>
      <c r="IID330"/>
      <c r="IIG330"/>
      <c r="IIH330"/>
      <c r="IIK330"/>
      <c r="IIL330"/>
      <c r="IIO330"/>
      <c r="IIP330"/>
      <c r="IIS330"/>
      <c r="IIT330"/>
      <c r="IIW330"/>
      <c r="IIX330"/>
      <c r="IJA330"/>
      <c r="IJB330"/>
      <c r="IJE330"/>
      <c r="IJF330"/>
      <c r="IJI330"/>
      <c r="IJJ330"/>
      <c r="IJM330"/>
      <c r="IJN330"/>
      <c r="IJQ330"/>
      <c r="IJR330"/>
      <c r="IJU330"/>
      <c r="IJV330"/>
      <c r="IJY330"/>
      <c r="IJZ330"/>
      <c r="IKC330"/>
      <c r="IKD330"/>
      <c r="IKG330"/>
      <c r="IKH330"/>
      <c r="IKK330"/>
      <c r="IKL330"/>
      <c r="IKO330"/>
      <c r="IKP330"/>
      <c r="IKS330"/>
      <c r="IKT330"/>
      <c r="IKW330"/>
      <c r="IKX330"/>
      <c r="ILA330"/>
      <c r="ILB330"/>
      <c r="ILE330"/>
      <c r="ILF330"/>
      <c r="ILI330"/>
      <c r="ILJ330"/>
      <c r="ILM330"/>
      <c r="ILN330"/>
      <c r="ILQ330"/>
      <c r="ILR330"/>
      <c r="ILU330"/>
      <c r="ILV330"/>
      <c r="ILY330"/>
      <c r="ILZ330"/>
      <c r="IMC330"/>
      <c r="IMD330"/>
      <c r="IMG330"/>
      <c r="IMH330"/>
      <c r="IMK330"/>
      <c r="IML330"/>
      <c r="IMO330"/>
      <c r="IMP330"/>
      <c r="IMS330"/>
      <c r="IMT330"/>
      <c r="IMW330"/>
      <c r="IMX330"/>
      <c r="INA330"/>
      <c r="INB330"/>
      <c r="INE330"/>
      <c r="INF330"/>
      <c r="INI330"/>
      <c r="INJ330"/>
      <c r="INM330"/>
      <c r="INN330"/>
      <c r="INQ330"/>
      <c r="INR330"/>
      <c r="INU330"/>
      <c r="INV330"/>
      <c r="INY330"/>
      <c r="INZ330"/>
      <c r="IOC330"/>
      <c r="IOD330"/>
      <c r="IOG330"/>
      <c r="IOH330"/>
      <c r="IOK330"/>
      <c r="IOL330"/>
      <c r="IOO330"/>
      <c r="IOP330"/>
      <c r="IOS330"/>
      <c r="IOT330"/>
      <c r="IOW330"/>
      <c r="IOX330"/>
      <c r="IPA330"/>
      <c r="IPB330"/>
      <c r="IPE330"/>
      <c r="IPF330"/>
      <c r="IPI330"/>
      <c r="IPJ330"/>
      <c r="IPM330"/>
      <c r="IPN330"/>
      <c r="IPQ330"/>
      <c r="IPR330"/>
      <c r="IPU330"/>
      <c r="IPV330"/>
      <c r="IPY330"/>
      <c r="IPZ330"/>
      <c r="IQC330"/>
      <c r="IQD330"/>
      <c r="IQG330"/>
      <c r="IQH330"/>
      <c r="IQK330"/>
      <c r="IQL330"/>
      <c r="IQO330"/>
      <c r="IQP330"/>
      <c r="IQS330"/>
      <c r="IQT330"/>
      <c r="IQW330"/>
      <c r="IQX330"/>
      <c r="IRA330"/>
      <c r="IRB330"/>
      <c r="IRE330"/>
      <c r="IRF330"/>
      <c r="IRI330"/>
      <c r="IRJ330"/>
      <c r="IRM330"/>
      <c r="IRN330"/>
      <c r="IRQ330"/>
      <c r="IRR330"/>
      <c r="IRU330"/>
      <c r="IRV330"/>
      <c r="IRY330"/>
      <c r="IRZ330"/>
      <c r="ISC330"/>
      <c r="ISD330"/>
      <c r="ISG330"/>
      <c r="ISH330"/>
      <c r="ISK330"/>
      <c r="ISL330"/>
      <c r="ISO330"/>
      <c r="ISP330"/>
      <c r="ISS330"/>
      <c r="IST330"/>
      <c r="ISW330"/>
      <c r="ISX330"/>
      <c r="ITA330"/>
      <c r="ITB330"/>
      <c r="ITE330"/>
      <c r="ITF330"/>
      <c r="ITI330"/>
      <c r="ITJ330"/>
      <c r="ITM330"/>
      <c r="ITN330"/>
      <c r="ITQ330"/>
      <c r="ITR330"/>
      <c r="ITU330"/>
      <c r="ITV330"/>
      <c r="ITY330"/>
      <c r="ITZ330"/>
      <c r="IUC330"/>
      <c r="IUD330"/>
      <c r="IUG330"/>
      <c r="IUH330"/>
      <c r="IUK330"/>
      <c r="IUL330"/>
      <c r="IUO330"/>
      <c r="IUP330"/>
      <c r="IUS330"/>
      <c r="IUT330"/>
      <c r="IUW330"/>
      <c r="IUX330"/>
      <c r="IVA330"/>
      <c r="IVB330"/>
      <c r="IVE330"/>
      <c r="IVF330"/>
      <c r="IVI330"/>
      <c r="IVJ330"/>
      <c r="IVM330"/>
      <c r="IVN330"/>
      <c r="IVQ330"/>
      <c r="IVR330"/>
      <c r="IVU330"/>
      <c r="IVV330"/>
      <c r="IVY330"/>
      <c r="IVZ330"/>
      <c r="IWC330"/>
      <c r="IWD330"/>
      <c r="IWG330"/>
      <c r="IWH330"/>
      <c r="IWK330"/>
      <c r="IWL330"/>
      <c r="IWO330"/>
      <c r="IWP330"/>
      <c r="IWS330"/>
      <c r="IWT330"/>
      <c r="IWW330"/>
      <c r="IWX330"/>
      <c r="IXA330"/>
      <c r="IXB330"/>
      <c r="IXE330"/>
      <c r="IXF330"/>
      <c r="IXI330"/>
      <c r="IXJ330"/>
      <c r="IXM330"/>
      <c r="IXN330"/>
      <c r="IXQ330"/>
      <c r="IXR330"/>
      <c r="IXU330"/>
      <c r="IXV330"/>
      <c r="IXY330"/>
      <c r="IXZ330"/>
      <c r="IYC330"/>
      <c r="IYD330"/>
      <c r="IYG330"/>
      <c r="IYH330"/>
      <c r="IYK330"/>
      <c r="IYL330"/>
      <c r="IYO330"/>
      <c r="IYP330"/>
      <c r="IYS330"/>
      <c r="IYT330"/>
      <c r="IYW330"/>
      <c r="IYX330"/>
      <c r="IZA330"/>
      <c r="IZB330"/>
      <c r="IZE330"/>
      <c r="IZF330"/>
      <c r="IZI330"/>
      <c r="IZJ330"/>
      <c r="IZM330"/>
      <c r="IZN330"/>
      <c r="IZQ330"/>
      <c r="IZR330"/>
      <c r="IZU330"/>
      <c r="IZV330"/>
      <c r="IZY330"/>
      <c r="IZZ330"/>
      <c r="JAC330"/>
      <c r="JAD330"/>
      <c r="JAG330"/>
      <c r="JAH330"/>
      <c r="JAK330"/>
      <c r="JAL330"/>
      <c r="JAO330"/>
      <c r="JAP330"/>
      <c r="JAS330"/>
      <c r="JAT330"/>
      <c r="JAW330"/>
      <c r="JAX330"/>
      <c r="JBA330"/>
      <c r="JBB330"/>
      <c r="JBE330"/>
      <c r="JBF330"/>
      <c r="JBI330"/>
      <c r="JBJ330"/>
      <c r="JBM330"/>
      <c r="JBN330"/>
      <c r="JBQ330"/>
      <c r="JBR330"/>
      <c r="JBU330"/>
      <c r="JBV330"/>
      <c r="JBY330"/>
      <c r="JBZ330"/>
      <c r="JCC330"/>
      <c r="JCD330"/>
      <c r="JCG330"/>
      <c r="JCH330"/>
      <c r="JCK330"/>
      <c r="JCL330"/>
      <c r="JCO330"/>
      <c r="JCP330"/>
      <c r="JCS330"/>
      <c r="JCT330"/>
      <c r="JCW330"/>
      <c r="JCX330"/>
      <c r="JDA330"/>
      <c r="JDB330"/>
      <c r="JDE330"/>
      <c r="JDF330"/>
      <c r="JDI330"/>
      <c r="JDJ330"/>
      <c r="JDM330"/>
      <c r="JDN330"/>
      <c r="JDQ330"/>
      <c r="JDR330"/>
      <c r="JDU330"/>
      <c r="JDV330"/>
      <c r="JDY330"/>
      <c r="JDZ330"/>
      <c r="JEC330"/>
      <c r="JED330"/>
      <c r="JEG330"/>
      <c r="JEH330"/>
      <c r="JEK330"/>
      <c r="JEL330"/>
      <c r="JEO330"/>
      <c r="JEP330"/>
      <c r="JES330"/>
      <c r="JET330"/>
      <c r="JEW330"/>
      <c r="JEX330"/>
      <c r="JFA330"/>
      <c r="JFB330"/>
      <c r="JFE330"/>
      <c r="JFF330"/>
      <c r="JFI330"/>
      <c r="JFJ330"/>
      <c r="JFM330"/>
      <c r="JFN330"/>
      <c r="JFQ330"/>
      <c r="JFR330"/>
      <c r="JFU330"/>
      <c r="JFV330"/>
      <c r="JFY330"/>
      <c r="JFZ330"/>
      <c r="JGC330"/>
      <c r="JGD330"/>
      <c r="JGG330"/>
      <c r="JGH330"/>
      <c r="JGK330"/>
      <c r="JGL330"/>
      <c r="JGO330"/>
      <c r="JGP330"/>
      <c r="JGS330"/>
      <c r="JGT330"/>
      <c r="JGW330"/>
      <c r="JGX330"/>
      <c r="JHA330"/>
      <c r="JHB330"/>
      <c r="JHE330"/>
      <c r="JHF330"/>
      <c r="JHI330"/>
      <c r="JHJ330"/>
      <c r="JHM330"/>
      <c r="JHN330"/>
      <c r="JHQ330"/>
      <c r="JHR330"/>
      <c r="JHU330"/>
      <c r="JHV330"/>
      <c r="JHY330"/>
      <c r="JHZ330"/>
      <c r="JIC330"/>
      <c r="JID330"/>
      <c r="JIG330"/>
      <c r="JIH330"/>
      <c r="JIK330"/>
      <c r="JIL330"/>
      <c r="JIO330"/>
      <c r="JIP330"/>
      <c r="JIS330"/>
      <c r="JIT330"/>
      <c r="JIW330"/>
      <c r="JIX330"/>
      <c r="JJA330"/>
      <c r="JJB330"/>
      <c r="JJE330"/>
      <c r="JJF330"/>
      <c r="JJI330"/>
      <c r="JJJ330"/>
      <c r="JJM330"/>
      <c r="JJN330"/>
      <c r="JJQ330"/>
      <c r="JJR330"/>
      <c r="JJU330"/>
      <c r="JJV330"/>
      <c r="JJY330"/>
      <c r="JJZ330"/>
      <c r="JKC330"/>
      <c r="JKD330"/>
      <c r="JKG330"/>
      <c r="JKH330"/>
      <c r="JKK330"/>
      <c r="JKL330"/>
      <c r="JKO330"/>
      <c r="JKP330"/>
      <c r="JKS330"/>
      <c r="JKT330"/>
      <c r="JKW330"/>
      <c r="JKX330"/>
      <c r="JLA330"/>
      <c r="JLB330"/>
      <c r="JLE330"/>
      <c r="JLF330"/>
      <c r="JLI330"/>
      <c r="JLJ330"/>
      <c r="JLM330"/>
      <c r="JLN330"/>
      <c r="JLQ330"/>
      <c r="JLR330"/>
      <c r="JLU330"/>
      <c r="JLV330"/>
      <c r="JLY330"/>
      <c r="JLZ330"/>
      <c r="JMC330"/>
      <c r="JMD330"/>
      <c r="JMG330"/>
      <c r="JMH330"/>
      <c r="JMK330"/>
      <c r="JML330"/>
      <c r="JMO330"/>
      <c r="JMP330"/>
      <c r="JMS330"/>
      <c r="JMT330"/>
      <c r="JMW330"/>
      <c r="JMX330"/>
      <c r="JNA330"/>
      <c r="JNB330"/>
      <c r="JNE330"/>
      <c r="JNF330"/>
      <c r="JNI330"/>
      <c r="JNJ330"/>
      <c r="JNM330"/>
      <c r="JNN330"/>
      <c r="JNQ330"/>
      <c r="JNR330"/>
      <c r="JNU330"/>
      <c r="JNV330"/>
      <c r="JNY330"/>
      <c r="JNZ330"/>
      <c r="JOC330"/>
      <c r="JOD330"/>
      <c r="JOG330"/>
      <c r="JOH330"/>
      <c r="JOK330"/>
      <c r="JOL330"/>
      <c r="JOO330"/>
      <c r="JOP330"/>
      <c r="JOS330"/>
      <c r="JOT330"/>
      <c r="JOW330"/>
      <c r="JOX330"/>
      <c r="JPA330"/>
      <c r="JPB330"/>
      <c r="JPE330"/>
      <c r="JPF330"/>
      <c r="JPI330"/>
      <c r="JPJ330"/>
      <c r="JPM330"/>
      <c r="JPN330"/>
      <c r="JPQ330"/>
      <c r="JPR330"/>
      <c r="JPU330"/>
      <c r="JPV330"/>
      <c r="JPY330"/>
      <c r="JPZ330"/>
      <c r="JQC330"/>
      <c r="JQD330"/>
      <c r="JQG330"/>
      <c r="JQH330"/>
      <c r="JQK330"/>
      <c r="JQL330"/>
      <c r="JQO330"/>
      <c r="JQP330"/>
      <c r="JQS330"/>
      <c r="JQT330"/>
      <c r="JQW330"/>
      <c r="JQX330"/>
      <c r="JRA330"/>
      <c r="JRB330"/>
      <c r="JRE330"/>
      <c r="JRF330"/>
      <c r="JRI330"/>
      <c r="JRJ330"/>
      <c r="JRM330"/>
      <c r="JRN330"/>
      <c r="JRQ330"/>
      <c r="JRR330"/>
      <c r="JRU330"/>
      <c r="JRV330"/>
      <c r="JRY330"/>
      <c r="JRZ330"/>
      <c r="JSC330"/>
      <c r="JSD330"/>
      <c r="JSG330"/>
      <c r="JSH330"/>
      <c r="JSK330"/>
      <c r="JSL330"/>
      <c r="JSO330"/>
      <c r="JSP330"/>
      <c r="JSS330"/>
      <c r="JST330"/>
      <c r="JSW330"/>
      <c r="JSX330"/>
      <c r="JTA330"/>
      <c r="JTB330"/>
      <c r="JTE330"/>
      <c r="JTF330"/>
      <c r="JTI330"/>
      <c r="JTJ330"/>
      <c r="JTM330"/>
      <c r="JTN330"/>
      <c r="JTQ330"/>
      <c r="JTR330"/>
      <c r="JTU330"/>
      <c r="JTV330"/>
      <c r="JTY330"/>
      <c r="JTZ330"/>
      <c r="JUC330"/>
      <c r="JUD330"/>
      <c r="JUG330"/>
      <c r="JUH330"/>
      <c r="JUK330"/>
      <c r="JUL330"/>
      <c r="JUO330"/>
      <c r="JUP330"/>
      <c r="JUS330"/>
      <c r="JUT330"/>
      <c r="JUW330"/>
      <c r="JUX330"/>
      <c r="JVA330"/>
      <c r="JVB330"/>
      <c r="JVE330"/>
      <c r="JVF330"/>
      <c r="JVI330"/>
      <c r="JVJ330"/>
      <c r="JVM330"/>
      <c r="JVN330"/>
      <c r="JVQ330"/>
      <c r="JVR330"/>
      <c r="JVU330"/>
      <c r="JVV330"/>
      <c r="JVY330"/>
      <c r="JVZ330"/>
      <c r="JWC330"/>
      <c r="JWD330"/>
      <c r="JWG330"/>
      <c r="JWH330"/>
      <c r="JWK330"/>
      <c r="JWL330"/>
      <c r="JWO330"/>
      <c r="JWP330"/>
      <c r="JWS330"/>
      <c r="JWT330"/>
      <c r="JWW330"/>
      <c r="JWX330"/>
      <c r="JXA330"/>
      <c r="JXB330"/>
      <c r="JXE330"/>
      <c r="JXF330"/>
      <c r="JXI330"/>
      <c r="JXJ330"/>
      <c r="JXM330"/>
      <c r="JXN330"/>
      <c r="JXQ330"/>
      <c r="JXR330"/>
      <c r="JXU330"/>
      <c r="JXV330"/>
      <c r="JXY330"/>
      <c r="JXZ330"/>
      <c r="JYC330"/>
      <c r="JYD330"/>
      <c r="JYG330"/>
      <c r="JYH330"/>
      <c r="JYK330"/>
      <c r="JYL330"/>
      <c r="JYO330"/>
      <c r="JYP330"/>
      <c r="JYS330"/>
      <c r="JYT330"/>
      <c r="JYW330"/>
      <c r="JYX330"/>
      <c r="JZA330"/>
      <c r="JZB330"/>
      <c r="JZE330"/>
      <c r="JZF330"/>
      <c r="JZI330"/>
      <c r="JZJ330"/>
      <c r="JZM330"/>
      <c r="JZN330"/>
      <c r="JZQ330"/>
      <c r="JZR330"/>
      <c r="JZU330"/>
      <c r="JZV330"/>
      <c r="JZY330"/>
      <c r="JZZ330"/>
      <c r="KAC330"/>
      <c r="KAD330"/>
      <c r="KAG330"/>
      <c r="KAH330"/>
      <c r="KAK330"/>
      <c r="KAL330"/>
      <c r="KAO330"/>
      <c r="KAP330"/>
      <c r="KAS330"/>
      <c r="KAT330"/>
      <c r="KAW330"/>
      <c r="KAX330"/>
      <c r="KBA330"/>
      <c r="KBB330"/>
      <c r="KBE330"/>
      <c r="KBF330"/>
      <c r="KBI330"/>
      <c r="KBJ330"/>
      <c r="KBM330"/>
      <c r="KBN330"/>
      <c r="KBQ330"/>
      <c r="KBR330"/>
      <c r="KBU330"/>
      <c r="KBV330"/>
      <c r="KBY330"/>
      <c r="KBZ330"/>
      <c r="KCC330"/>
      <c r="KCD330"/>
      <c r="KCG330"/>
      <c r="KCH330"/>
      <c r="KCK330"/>
      <c r="KCL330"/>
      <c r="KCO330"/>
      <c r="KCP330"/>
      <c r="KCS330"/>
      <c r="KCT330"/>
      <c r="KCW330"/>
      <c r="KCX330"/>
      <c r="KDA330"/>
      <c r="KDB330"/>
      <c r="KDE330"/>
      <c r="KDF330"/>
      <c r="KDI330"/>
      <c r="KDJ330"/>
      <c r="KDM330"/>
      <c r="KDN330"/>
      <c r="KDQ330"/>
      <c r="KDR330"/>
      <c r="KDU330"/>
      <c r="KDV330"/>
      <c r="KDY330"/>
      <c r="KDZ330"/>
      <c r="KEC330"/>
      <c r="KED330"/>
      <c r="KEG330"/>
      <c r="KEH330"/>
      <c r="KEK330"/>
      <c r="KEL330"/>
      <c r="KEO330"/>
      <c r="KEP330"/>
      <c r="KES330"/>
      <c r="KET330"/>
      <c r="KEW330"/>
      <c r="KEX330"/>
      <c r="KFA330"/>
      <c r="KFB330"/>
      <c r="KFE330"/>
      <c r="KFF330"/>
      <c r="KFI330"/>
      <c r="KFJ330"/>
      <c r="KFM330"/>
      <c r="KFN330"/>
      <c r="KFQ330"/>
      <c r="KFR330"/>
      <c r="KFU330"/>
      <c r="KFV330"/>
      <c r="KFY330"/>
      <c r="KFZ330"/>
      <c r="KGC330"/>
      <c r="KGD330"/>
      <c r="KGG330"/>
      <c r="KGH330"/>
      <c r="KGK330"/>
      <c r="KGL330"/>
      <c r="KGO330"/>
      <c r="KGP330"/>
      <c r="KGS330"/>
      <c r="KGT330"/>
      <c r="KGW330"/>
      <c r="KGX330"/>
      <c r="KHA330"/>
      <c r="KHB330"/>
      <c r="KHE330"/>
      <c r="KHF330"/>
      <c r="KHI330"/>
      <c r="KHJ330"/>
      <c r="KHM330"/>
      <c r="KHN330"/>
      <c r="KHQ330"/>
      <c r="KHR330"/>
      <c r="KHU330"/>
      <c r="KHV330"/>
      <c r="KHY330"/>
      <c r="KHZ330"/>
      <c r="KIC330"/>
      <c r="KID330"/>
      <c r="KIG330"/>
      <c r="KIH330"/>
      <c r="KIK330"/>
      <c r="KIL330"/>
      <c r="KIO330"/>
      <c r="KIP330"/>
      <c r="KIS330"/>
      <c r="KIT330"/>
      <c r="KIW330"/>
      <c r="KIX330"/>
      <c r="KJA330"/>
      <c r="KJB330"/>
      <c r="KJE330"/>
      <c r="KJF330"/>
      <c r="KJI330"/>
      <c r="KJJ330"/>
      <c r="KJM330"/>
      <c r="KJN330"/>
      <c r="KJQ330"/>
      <c r="KJR330"/>
      <c r="KJU330"/>
      <c r="KJV330"/>
      <c r="KJY330"/>
      <c r="KJZ330"/>
      <c r="KKC330"/>
      <c r="KKD330"/>
      <c r="KKG330"/>
      <c r="KKH330"/>
      <c r="KKK330"/>
      <c r="KKL330"/>
      <c r="KKO330"/>
      <c r="KKP330"/>
      <c r="KKS330"/>
      <c r="KKT330"/>
      <c r="KKW330"/>
      <c r="KKX330"/>
      <c r="KLA330"/>
      <c r="KLB330"/>
      <c r="KLE330"/>
      <c r="KLF330"/>
      <c r="KLI330"/>
      <c r="KLJ330"/>
      <c r="KLM330"/>
      <c r="KLN330"/>
      <c r="KLQ330"/>
      <c r="KLR330"/>
      <c r="KLU330"/>
      <c r="KLV330"/>
      <c r="KLY330"/>
      <c r="KLZ330"/>
      <c r="KMC330"/>
      <c r="KMD330"/>
      <c r="KMG330"/>
      <c r="KMH330"/>
      <c r="KMK330"/>
      <c r="KML330"/>
      <c r="KMO330"/>
      <c r="KMP330"/>
      <c r="KMS330"/>
      <c r="KMT330"/>
      <c r="KMW330"/>
      <c r="KMX330"/>
      <c r="KNA330"/>
      <c r="KNB330"/>
      <c r="KNE330"/>
      <c r="KNF330"/>
      <c r="KNI330"/>
      <c r="KNJ330"/>
      <c r="KNM330"/>
      <c r="KNN330"/>
      <c r="KNQ330"/>
      <c r="KNR330"/>
      <c r="KNU330"/>
      <c r="KNV330"/>
      <c r="KNY330"/>
      <c r="KNZ330"/>
      <c r="KOC330"/>
      <c r="KOD330"/>
      <c r="KOG330"/>
      <c r="KOH330"/>
      <c r="KOK330"/>
      <c r="KOL330"/>
      <c r="KOO330"/>
      <c r="KOP330"/>
      <c r="KOS330"/>
      <c r="KOT330"/>
      <c r="KOW330"/>
      <c r="KOX330"/>
      <c r="KPA330"/>
      <c r="KPB330"/>
      <c r="KPE330"/>
      <c r="KPF330"/>
      <c r="KPI330"/>
      <c r="KPJ330"/>
      <c r="KPM330"/>
      <c r="KPN330"/>
      <c r="KPQ330"/>
      <c r="KPR330"/>
      <c r="KPU330"/>
      <c r="KPV330"/>
      <c r="KPY330"/>
      <c r="KPZ330"/>
      <c r="KQC330"/>
      <c r="KQD330"/>
      <c r="KQG330"/>
      <c r="KQH330"/>
      <c r="KQK330"/>
      <c r="KQL330"/>
      <c r="KQO330"/>
      <c r="KQP330"/>
      <c r="KQS330"/>
      <c r="KQT330"/>
      <c r="KQW330"/>
      <c r="KQX330"/>
      <c r="KRA330"/>
      <c r="KRB330"/>
      <c r="KRE330"/>
      <c r="KRF330"/>
      <c r="KRI330"/>
      <c r="KRJ330"/>
      <c r="KRM330"/>
      <c r="KRN330"/>
      <c r="KRQ330"/>
      <c r="KRR330"/>
      <c r="KRU330"/>
      <c r="KRV330"/>
      <c r="KRY330"/>
      <c r="KRZ330"/>
      <c r="KSC330"/>
      <c r="KSD330"/>
      <c r="KSG330"/>
      <c r="KSH330"/>
      <c r="KSK330"/>
      <c r="KSL330"/>
      <c r="KSO330"/>
      <c r="KSP330"/>
      <c r="KSS330"/>
      <c r="KST330"/>
      <c r="KSW330"/>
      <c r="KSX330"/>
      <c r="KTA330"/>
      <c r="KTB330"/>
      <c r="KTE330"/>
      <c r="KTF330"/>
      <c r="KTI330"/>
      <c r="KTJ330"/>
      <c r="KTM330"/>
      <c r="KTN330"/>
      <c r="KTQ330"/>
      <c r="KTR330"/>
      <c r="KTU330"/>
      <c r="KTV330"/>
      <c r="KTY330"/>
      <c r="KTZ330"/>
      <c r="KUC330"/>
      <c r="KUD330"/>
      <c r="KUG330"/>
      <c r="KUH330"/>
      <c r="KUK330"/>
      <c r="KUL330"/>
      <c r="KUO330"/>
      <c r="KUP330"/>
      <c r="KUS330"/>
      <c r="KUT330"/>
      <c r="KUW330"/>
      <c r="KUX330"/>
      <c r="KVA330"/>
      <c r="KVB330"/>
      <c r="KVE330"/>
      <c r="KVF330"/>
      <c r="KVI330"/>
      <c r="KVJ330"/>
      <c r="KVM330"/>
      <c r="KVN330"/>
      <c r="KVQ330"/>
      <c r="KVR330"/>
      <c r="KVU330"/>
      <c r="KVV330"/>
      <c r="KVY330"/>
      <c r="KVZ330"/>
      <c r="KWC330"/>
      <c r="KWD330"/>
      <c r="KWG330"/>
      <c r="KWH330"/>
      <c r="KWK330"/>
      <c r="KWL330"/>
      <c r="KWO330"/>
      <c r="KWP330"/>
      <c r="KWS330"/>
      <c r="KWT330"/>
      <c r="KWW330"/>
      <c r="KWX330"/>
      <c r="KXA330"/>
      <c r="KXB330"/>
      <c r="KXE330"/>
      <c r="KXF330"/>
      <c r="KXI330"/>
      <c r="KXJ330"/>
      <c r="KXM330"/>
      <c r="KXN330"/>
      <c r="KXQ330"/>
      <c r="KXR330"/>
      <c r="KXU330"/>
      <c r="KXV330"/>
      <c r="KXY330"/>
      <c r="KXZ330"/>
      <c r="KYC330"/>
      <c r="KYD330"/>
      <c r="KYG330"/>
      <c r="KYH330"/>
      <c r="KYK330"/>
      <c r="KYL330"/>
      <c r="KYO330"/>
      <c r="KYP330"/>
      <c r="KYS330"/>
      <c r="KYT330"/>
      <c r="KYW330"/>
      <c r="KYX330"/>
      <c r="KZA330"/>
      <c r="KZB330"/>
      <c r="KZE330"/>
      <c r="KZF330"/>
      <c r="KZI330"/>
      <c r="KZJ330"/>
      <c r="KZM330"/>
      <c r="KZN330"/>
      <c r="KZQ330"/>
      <c r="KZR330"/>
      <c r="KZU330"/>
      <c r="KZV330"/>
      <c r="KZY330"/>
      <c r="KZZ330"/>
      <c r="LAC330"/>
      <c r="LAD330"/>
      <c r="LAG330"/>
      <c r="LAH330"/>
      <c r="LAK330"/>
      <c r="LAL330"/>
      <c r="LAO330"/>
      <c r="LAP330"/>
      <c r="LAS330"/>
      <c r="LAT330"/>
      <c r="LAW330"/>
      <c r="LAX330"/>
      <c r="LBA330"/>
      <c r="LBB330"/>
      <c r="LBE330"/>
      <c r="LBF330"/>
      <c r="LBI330"/>
      <c r="LBJ330"/>
      <c r="LBM330"/>
      <c r="LBN330"/>
      <c r="LBQ330"/>
      <c r="LBR330"/>
      <c r="LBU330"/>
      <c r="LBV330"/>
      <c r="LBY330"/>
      <c r="LBZ330"/>
      <c r="LCC330"/>
      <c r="LCD330"/>
      <c r="LCG330"/>
      <c r="LCH330"/>
      <c r="LCK330"/>
      <c r="LCL330"/>
      <c r="LCO330"/>
      <c r="LCP330"/>
      <c r="LCS330"/>
      <c r="LCT330"/>
      <c r="LCW330"/>
      <c r="LCX330"/>
      <c r="LDA330"/>
      <c r="LDB330"/>
      <c r="LDE330"/>
      <c r="LDF330"/>
      <c r="LDI330"/>
      <c r="LDJ330"/>
      <c r="LDM330"/>
      <c r="LDN330"/>
      <c r="LDQ330"/>
      <c r="LDR330"/>
      <c r="LDU330"/>
      <c r="LDV330"/>
      <c r="LDY330"/>
      <c r="LDZ330"/>
      <c r="LEC330"/>
      <c r="LED330"/>
      <c r="LEG330"/>
      <c r="LEH330"/>
      <c r="LEK330"/>
      <c r="LEL330"/>
      <c r="LEO330"/>
      <c r="LEP330"/>
      <c r="LES330"/>
      <c r="LET330"/>
      <c r="LEW330"/>
      <c r="LEX330"/>
      <c r="LFA330"/>
      <c r="LFB330"/>
      <c r="LFE330"/>
      <c r="LFF330"/>
      <c r="LFI330"/>
      <c r="LFJ330"/>
      <c r="LFM330"/>
      <c r="LFN330"/>
      <c r="LFQ330"/>
      <c r="LFR330"/>
      <c r="LFU330"/>
      <c r="LFV330"/>
      <c r="LFY330"/>
      <c r="LFZ330"/>
      <c r="LGC330"/>
      <c r="LGD330"/>
      <c r="LGG330"/>
      <c r="LGH330"/>
      <c r="LGK330"/>
      <c r="LGL330"/>
      <c r="LGO330"/>
      <c r="LGP330"/>
      <c r="LGS330"/>
      <c r="LGT330"/>
      <c r="LGW330"/>
      <c r="LGX330"/>
      <c r="LHA330"/>
      <c r="LHB330"/>
      <c r="LHE330"/>
      <c r="LHF330"/>
      <c r="LHI330"/>
      <c r="LHJ330"/>
      <c r="LHM330"/>
      <c r="LHN330"/>
      <c r="LHQ330"/>
      <c r="LHR330"/>
      <c r="LHU330"/>
      <c r="LHV330"/>
      <c r="LHY330"/>
      <c r="LHZ330"/>
      <c r="LIC330"/>
      <c r="LID330"/>
      <c r="LIG330"/>
      <c r="LIH330"/>
      <c r="LIK330"/>
      <c r="LIL330"/>
      <c r="LIO330"/>
      <c r="LIP330"/>
      <c r="LIS330"/>
      <c r="LIT330"/>
      <c r="LIW330"/>
      <c r="LIX330"/>
      <c r="LJA330"/>
      <c r="LJB330"/>
      <c r="LJE330"/>
      <c r="LJF330"/>
      <c r="LJI330"/>
      <c r="LJJ330"/>
      <c r="LJM330"/>
      <c r="LJN330"/>
      <c r="LJQ330"/>
      <c r="LJR330"/>
      <c r="LJU330"/>
      <c r="LJV330"/>
      <c r="LJY330"/>
      <c r="LJZ330"/>
      <c r="LKC330"/>
      <c r="LKD330"/>
      <c r="LKG330"/>
      <c r="LKH330"/>
      <c r="LKK330"/>
      <c r="LKL330"/>
      <c r="LKO330"/>
      <c r="LKP330"/>
      <c r="LKS330"/>
      <c r="LKT330"/>
      <c r="LKW330"/>
      <c r="LKX330"/>
      <c r="LLA330"/>
      <c r="LLB330"/>
      <c r="LLE330"/>
      <c r="LLF330"/>
      <c r="LLI330"/>
      <c r="LLJ330"/>
      <c r="LLM330"/>
      <c r="LLN330"/>
      <c r="LLQ330"/>
      <c r="LLR330"/>
      <c r="LLU330"/>
      <c r="LLV330"/>
      <c r="LLY330"/>
      <c r="LLZ330"/>
      <c r="LMC330"/>
      <c r="LMD330"/>
      <c r="LMG330"/>
      <c r="LMH330"/>
      <c r="LMK330"/>
      <c r="LML330"/>
      <c r="LMO330"/>
      <c r="LMP330"/>
      <c r="LMS330"/>
      <c r="LMT330"/>
      <c r="LMW330"/>
      <c r="LMX330"/>
      <c r="LNA330"/>
      <c r="LNB330"/>
      <c r="LNE330"/>
      <c r="LNF330"/>
      <c r="LNI330"/>
      <c r="LNJ330"/>
      <c r="LNM330"/>
      <c r="LNN330"/>
      <c r="LNQ330"/>
      <c r="LNR330"/>
      <c r="LNU330"/>
      <c r="LNV330"/>
      <c r="LNY330"/>
      <c r="LNZ330"/>
      <c r="LOC330"/>
      <c r="LOD330"/>
      <c r="LOG330"/>
      <c r="LOH330"/>
      <c r="LOK330"/>
      <c r="LOL330"/>
      <c r="LOO330"/>
      <c r="LOP330"/>
      <c r="LOS330"/>
      <c r="LOT330"/>
      <c r="LOW330"/>
      <c r="LOX330"/>
      <c r="LPA330"/>
      <c r="LPB330"/>
      <c r="LPE330"/>
      <c r="LPF330"/>
      <c r="LPI330"/>
      <c r="LPJ330"/>
      <c r="LPM330"/>
      <c r="LPN330"/>
      <c r="LPQ330"/>
      <c r="LPR330"/>
      <c r="LPU330"/>
      <c r="LPV330"/>
      <c r="LPY330"/>
      <c r="LPZ330"/>
      <c r="LQC330"/>
      <c r="LQD330"/>
      <c r="LQG330"/>
      <c r="LQH330"/>
      <c r="LQK330"/>
      <c r="LQL330"/>
      <c r="LQO330"/>
      <c r="LQP330"/>
      <c r="LQS330"/>
      <c r="LQT330"/>
      <c r="LQW330"/>
      <c r="LQX330"/>
      <c r="LRA330"/>
      <c r="LRB330"/>
      <c r="LRE330"/>
      <c r="LRF330"/>
      <c r="LRI330"/>
      <c r="LRJ330"/>
      <c r="LRM330"/>
      <c r="LRN330"/>
      <c r="LRQ330"/>
      <c r="LRR330"/>
      <c r="LRU330"/>
      <c r="LRV330"/>
      <c r="LRY330"/>
      <c r="LRZ330"/>
      <c r="LSC330"/>
      <c r="LSD330"/>
      <c r="LSG330"/>
      <c r="LSH330"/>
      <c r="LSK330"/>
      <c r="LSL330"/>
      <c r="LSO330"/>
      <c r="LSP330"/>
      <c r="LSS330"/>
      <c r="LST330"/>
      <c r="LSW330"/>
      <c r="LSX330"/>
      <c r="LTA330"/>
      <c r="LTB330"/>
      <c r="LTE330"/>
      <c r="LTF330"/>
      <c r="LTI330"/>
      <c r="LTJ330"/>
      <c r="LTM330"/>
      <c r="LTN330"/>
      <c r="LTQ330"/>
      <c r="LTR330"/>
      <c r="LTU330"/>
      <c r="LTV330"/>
      <c r="LTY330"/>
      <c r="LTZ330"/>
      <c r="LUC330"/>
      <c r="LUD330"/>
      <c r="LUG330"/>
      <c r="LUH330"/>
      <c r="LUK330"/>
      <c r="LUL330"/>
      <c r="LUO330"/>
      <c r="LUP330"/>
      <c r="LUS330"/>
      <c r="LUT330"/>
      <c r="LUW330"/>
      <c r="LUX330"/>
      <c r="LVA330"/>
      <c r="LVB330"/>
      <c r="LVE330"/>
      <c r="LVF330"/>
      <c r="LVI330"/>
      <c r="LVJ330"/>
      <c r="LVM330"/>
      <c r="LVN330"/>
      <c r="LVQ330"/>
      <c r="LVR330"/>
      <c r="LVU330"/>
      <c r="LVV330"/>
      <c r="LVY330"/>
      <c r="LVZ330"/>
      <c r="LWC330"/>
      <c r="LWD330"/>
      <c r="LWG330"/>
      <c r="LWH330"/>
      <c r="LWK330"/>
      <c r="LWL330"/>
      <c r="LWO330"/>
      <c r="LWP330"/>
      <c r="LWS330"/>
      <c r="LWT330"/>
      <c r="LWW330"/>
      <c r="LWX330"/>
      <c r="LXA330"/>
      <c r="LXB330"/>
      <c r="LXE330"/>
      <c r="LXF330"/>
      <c r="LXI330"/>
      <c r="LXJ330"/>
      <c r="LXM330"/>
      <c r="LXN330"/>
      <c r="LXQ330"/>
      <c r="LXR330"/>
      <c r="LXU330"/>
      <c r="LXV330"/>
      <c r="LXY330"/>
      <c r="LXZ330"/>
      <c r="LYC330"/>
      <c r="LYD330"/>
      <c r="LYG330"/>
      <c r="LYH330"/>
      <c r="LYK330"/>
      <c r="LYL330"/>
      <c r="LYO330"/>
      <c r="LYP330"/>
      <c r="LYS330"/>
      <c r="LYT330"/>
      <c r="LYW330"/>
      <c r="LYX330"/>
      <c r="LZA330"/>
      <c r="LZB330"/>
      <c r="LZE330"/>
      <c r="LZF330"/>
      <c r="LZI330"/>
      <c r="LZJ330"/>
      <c r="LZM330"/>
      <c r="LZN330"/>
      <c r="LZQ330"/>
      <c r="LZR330"/>
      <c r="LZU330"/>
      <c r="LZV330"/>
      <c r="LZY330"/>
      <c r="LZZ330"/>
      <c r="MAC330"/>
      <c r="MAD330"/>
      <c r="MAG330"/>
      <c r="MAH330"/>
      <c r="MAK330"/>
      <c r="MAL330"/>
      <c r="MAO330"/>
      <c r="MAP330"/>
      <c r="MAS330"/>
      <c r="MAT330"/>
      <c r="MAW330"/>
      <c r="MAX330"/>
      <c r="MBA330"/>
      <c r="MBB330"/>
      <c r="MBE330"/>
      <c r="MBF330"/>
      <c r="MBI330"/>
      <c r="MBJ330"/>
      <c r="MBM330"/>
      <c r="MBN330"/>
      <c r="MBQ330"/>
      <c r="MBR330"/>
      <c r="MBU330"/>
      <c r="MBV330"/>
      <c r="MBY330"/>
      <c r="MBZ330"/>
      <c r="MCC330"/>
      <c r="MCD330"/>
      <c r="MCG330"/>
      <c r="MCH330"/>
      <c r="MCK330"/>
      <c r="MCL330"/>
      <c r="MCO330"/>
      <c r="MCP330"/>
      <c r="MCS330"/>
      <c r="MCT330"/>
      <c r="MCW330"/>
      <c r="MCX330"/>
      <c r="MDA330"/>
      <c r="MDB330"/>
      <c r="MDE330"/>
      <c r="MDF330"/>
      <c r="MDI330"/>
      <c r="MDJ330"/>
      <c r="MDM330"/>
      <c r="MDN330"/>
      <c r="MDQ330"/>
      <c r="MDR330"/>
      <c r="MDU330"/>
      <c r="MDV330"/>
      <c r="MDY330"/>
      <c r="MDZ330"/>
      <c r="MEC330"/>
      <c r="MED330"/>
      <c r="MEG330"/>
      <c r="MEH330"/>
      <c r="MEK330"/>
      <c r="MEL330"/>
      <c r="MEO330"/>
      <c r="MEP330"/>
      <c r="MES330"/>
      <c r="MET330"/>
      <c r="MEW330"/>
      <c r="MEX330"/>
      <c r="MFA330"/>
      <c r="MFB330"/>
      <c r="MFE330"/>
      <c r="MFF330"/>
      <c r="MFI330"/>
      <c r="MFJ330"/>
      <c r="MFM330"/>
      <c r="MFN330"/>
      <c r="MFQ330"/>
      <c r="MFR330"/>
      <c r="MFU330"/>
      <c r="MFV330"/>
      <c r="MFY330"/>
      <c r="MFZ330"/>
      <c r="MGC330"/>
      <c r="MGD330"/>
      <c r="MGG330"/>
      <c r="MGH330"/>
      <c r="MGK330"/>
      <c r="MGL330"/>
      <c r="MGO330"/>
      <c r="MGP330"/>
      <c r="MGS330"/>
      <c r="MGT330"/>
      <c r="MGW330"/>
      <c r="MGX330"/>
      <c r="MHA330"/>
      <c r="MHB330"/>
      <c r="MHE330"/>
      <c r="MHF330"/>
      <c r="MHI330"/>
      <c r="MHJ330"/>
      <c r="MHM330"/>
      <c r="MHN330"/>
      <c r="MHQ330"/>
      <c r="MHR330"/>
      <c r="MHU330"/>
      <c r="MHV330"/>
      <c r="MHY330"/>
      <c r="MHZ330"/>
      <c r="MIC330"/>
      <c r="MID330"/>
      <c r="MIG330"/>
      <c r="MIH330"/>
      <c r="MIK330"/>
      <c r="MIL330"/>
      <c r="MIO330"/>
      <c r="MIP330"/>
      <c r="MIS330"/>
      <c r="MIT330"/>
      <c r="MIW330"/>
      <c r="MIX330"/>
      <c r="MJA330"/>
      <c r="MJB330"/>
      <c r="MJE330"/>
      <c r="MJF330"/>
      <c r="MJI330"/>
      <c r="MJJ330"/>
      <c r="MJM330"/>
      <c r="MJN330"/>
      <c r="MJQ330"/>
      <c r="MJR330"/>
      <c r="MJU330"/>
      <c r="MJV330"/>
      <c r="MJY330"/>
      <c r="MJZ330"/>
      <c r="MKC330"/>
      <c r="MKD330"/>
      <c r="MKG330"/>
      <c r="MKH330"/>
      <c r="MKK330"/>
      <c r="MKL330"/>
      <c r="MKO330"/>
      <c r="MKP330"/>
      <c r="MKS330"/>
      <c r="MKT330"/>
      <c r="MKW330"/>
      <c r="MKX330"/>
      <c r="MLA330"/>
      <c r="MLB330"/>
      <c r="MLE330"/>
      <c r="MLF330"/>
      <c r="MLI330"/>
      <c r="MLJ330"/>
      <c r="MLM330"/>
      <c r="MLN330"/>
      <c r="MLQ330"/>
      <c r="MLR330"/>
      <c r="MLU330"/>
      <c r="MLV330"/>
      <c r="MLY330"/>
      <c r="MLZ330"/>
      <c r="MMC330"/>
      <c r="MMD330"/>
      <c r="MMG330"/>
      <c r="MMH330"/>
      <c r="MMK330"/>
      <c r="MML330"/>
      <c r="MMO330"/>
      <c r="MMP330"/>
      <c r="MMS330"/>
      <c r="MMT330"/>
      <c r="MMW330"/>
      <c r="MMX330"/>
      <c r="MNA330"/>
      <c r="MNB330"/>
      <c r="MNE330"/>
      <c r="MNF330"/>
      <c r="MNI330"/>
      <c r="MNJ330"/>
      <c r="MNM330"/>
      <c r="MNN330"/>
      <c r="MNQ330"/>
      <c r="MNR330"/>
      <c r="MNU330"/>
      <c r="MNV330"/>
      <c r="MNY330"/>
      <c r="MNZ330"/>
      <c r="MOC330"/>
      <c r="MOD330"/>
      <c r="MOG330"/>
      <c r="MOH330"/>
      <c r="MOK330"/>
      <c r="MOL330"/>
      <c r="MOO330"/>
      <c r="MOP330"/>
      <c r="MOS330"/>
      <c r="MOT330"/>
      <c r="MOW330"/>
      <c r="MOX330"/>
      <c r="MPA330"/>
      <c r="MPB330"/>
      <c r="MPE330"/>
      <c r="MPF330"/>
      <c r="MPI330"/>
      <c r="MPJ330"/>
      <c r="MPM330"/>
      <c r="MPN330"/>
      <c r="MPQ330"/>
      <c r="MPR330"/>
      <c r="MPU330"/>
      <c r="MPV330"/>
      <c r="MPY330"/>
      <c r="MPZ330"/>
      <c r="MQC330"/>
      <c r="MQD330"/>
      <c r="MQG330"/>
      <c r="MQH330"/>
      <c r="MQK330"/>
      <c r="MQL330"/>
      <c r="MQO330"/>
      <c r="MQP330"/>
      <c r="MQS330"/>
      <c r="MQT330"/>
      <c r="MQW330"/>
      <c r="MQX330"/>
      <c r="MRA330"/>
      <c r="MRB330"/>
      <c r="MRE330"/>
      <c r="MRF330"/>
      <c r="MRI330"/>
      <c r="MRJ330"/>
      <c r="MRM330"/>
      <c r="MRN330"/>
      <c r="MRQ330"/>
      <c r="MRR330"/>
      <c r="MRU330"/>
      <c r="MRV330"/>
      <c r="MRY330"/>
      <c r="MRZ330"/>
      <c r="MSC330"/>
      <c r="MSD330"/>
      <c r="MSG330"/>
      <c r="MSH330"/>
      <c r="MSK330"/>
      <c r="MSL330"/>
      <c r="MSO330"/>
      <c r="MSP330"/>
      <c r="MSS330"/>
      <c r="MST330"/>
      <c r="MSW330"/>
      <c r="MSX330"/>
      <c r="MTA330"/>
      <c r="MTB330"/>
      <c r="MTE330"/>
      <c r="MTF330"/>
      <c r="MTI330"/>
      <c r="MTJ330"/>
      <c r="MTM330"/>
      <c r="MTN330"/>
      <c r="MTQ330"/>
      <c r="MTR330"/>
      <c r="MTU330"/>
      <c r="MTV330"/>
      <c r="MTY330"/>
      <c r="MTZ330"/>
      <c r="MUC330"/>
      <c r="MUD330"/>
      <c r="MUG330"/>
      <c r="MUH330"/>
      <c r="MUK330"/>
      <c r="MUL330"/>
      <c r="MUO330"/>
      <c r="MUP330"/>
      <c r="MUS330"/>
      <c r="MUT330"/>
      <c r="MUW330"/>
      <c r="MUX330"/>
      <c r="MVA330"/>
      <c r="MVB330"/>
      <c r="MVE330"/>
      <c r="MVF330"/>
      <c r="MVI330"/>
      <c r="MVJ330"/>
      <c r="MVM330"/>
      <c r="MVN330"/>
      <c r="MVQ330"/>
      <c r="MVR330"/>
      <c r="MVU330"/>
      <c r="MVV330"/>
      <c r="MVY330"/>
      <c r="MVZ330"/>
      <c r="MWC330"/>
      <c r="MWD330"/>
      <c r="MWG330"/>
      <c r="MWH330"/>
      <c r="MWK330"/>
      <c r="MWL330"/>
      <c r="MWO330"/>
      <c r="MWP330"/>
      <c r="MWS330"/>
      <c r="MWT330"/>
      <c r="MWW330"/>
      <c r="MWX330"/>
      <c r="MXA330"/>
      <c r="MXB330"/>
      <c r="MXE330"/>
      <c r="MXF330"/>
      <c r="MXI330"/>
      <c r="MXJ330"/>
      <c r="MXM330"/>
      <c r="MXN330"/>
      <c r="MXQ330"/>
      <c r="MXR330"/>
      <c r="MXU330"/>
      <c r="MXV330"/>
      <c r="MXY330"/>
      <c r="MXZ330"/>
      <c r="MYC330"/>
      <c r="MYD330"/>
      <c r="MYG330"/>
      <c r="MYH330"/>
      <c r="MYK330"/>
      <c r="MYL330"/>
      <c r="MYO330"/>
      <c r="MYP330"/>
      <c r="MYS330"/>
      <c r="MYT330"/>
      <c r="MYW330"/>
      <c r="MYX330"/>
      <c r="MZA330"/>
      <c r="MZB330"/>
      <c r="MZE330"/>
      <c r="MZF330"/>
      <c r="MZI330"/>
      <c r="MZJ330"/>
      <c r="MZM330"/>
      <c r="MZN330"/>
      <c r="MZQ330"/>
      <c r="MZR330"/>
      <c r="MZU330"/>
      <c r="MZV330"/>
      <c r="MZY330"/>
      <c r="MZZ330"/>
      <c r="NAC330"/>
      <c r="NAD330"/>
      <c r="NAG330"/>
      <c r="NAH330"/>
      <c r="NAK330"/>
      <c r="NAL330"/>
      <c r="NAO330"/>
      <c r="NAP330"/>
      <c r="NAS330"/>
      <c r="NAT330"/>
      <c r="NAW330"/>
      <c r="NAX330"/>
      <c r="NBA330"/>
      <c r="NBB330"/>
      <c r="NBE330"/>
      <c r="NBF330"/>
      <c r="NBI330"/>
      <c r="NBJ330"/>
      <c r="NBM330"/>
      <c r="NBN330"/>
      <c r="NBQ330"/>
      <c r="NBR330"/>
      <c r="NBU330"/>
      <c r="NBV330"/>
      <c r="NBY330"/>
      <c r="NBZ330"/>
      <c r="NCC330"/>
      <c r="NCD330"/>
      <c r="NCG330"/>
      <c r="NCH330"/>
      <c r="NCK330"/>
      <c r="NCL330"/>
      <c r="NCO330"/>
      <c r="NCP330"/>
      <c r="NCS330"/>
      <c r="NCT330"/>
      <c r="NCW330"/>
      <c r="NCX330"/>
      <c r="NDA330"/>
      <c r="NDB330"/>
      <c r="NDE330"/>
      <c r="NDF330"/>
      <c r="NDI330"/>
      <c r="NDJ330"/>
      <c r="NDM330"/>
      <c r="NDN330"/>
      <c r="NDQ330"/>
      <c r="NDR330"/>
      <c r="NDU330"/>
      <c r="NDV330"/>
      <c r="NDY330"/>
      <c r="NDZ330"/>
      <c r="NEC330"/>
      <c r="NED330"/>
      <c r="NEG330"/>
      <c r="NEH330"/>
      <c r="NEK330"/>
      <c r="NEL330"/>
      <c r="NEO330"/>
      <c r="NEP330"/>
      <c r="NES330"/>
      <c r="NET330"/>
      <c r="NEW330"/>
      <c r="NEX330"/>
      <c r="NFA330"/>
      <c r="NFB330"/>
      <c r="NFE330"/>
      <c r="NFF330"/>
      <c r="NFI330"/>
      <c r="NFJ330"/>
      <c r="NFM330"/>
      <c r="NFN330"/>
      <c r="NFQ330"/>
      <c r="NFR330"/>
      <c r="NFU330"/>
      <c r="NFV330"/>
      <c r="NFY330"/>
      <c r="NFZ330"/>
      <c r="NGC330"/>
      <c r="NGD330"/>
      <c r="NGG330"/>
      <c r="NGH330"/>
      <c r="NGK330"/>
      <c r="NGL330"/>
      <c r="NGO330"/>
      <c r="NGP330"/>
      <c r="NGS330"/>
      <c r="NGT330"/>
      <c r="NGW330"/>
      <c r="NGX330"/>
      <c r="NHA330"/>
      <c r="NHB330"/>
      <c r="NHE330"/>
      <c r="NHF330"/>
      <c r="NHI330"/>
      <c r="NHJ330"/>
      <c r="NHM330"/>
      <c r="NHN330"/>
      <c r="NHQ330"/>
      <c r="NHR330"/>
      <c r="NHU330"/>
      <c r="NHV330"/>
      <c r="NHY330"/>
      <c r="NHZ330"/>
      <c r="NIC330"/>
      <c r="NID330"/>
      <c r="NIG330"/>
      <c r="NIH330"/>
      <c r="NIK330"/>
      <c r="NIL330"/>
      <c r="NIO330"/>
      <c r="NIP330"/>
      <c r="NIS330"/>
      <c r="NIT330"/>
      <c r="NIW330"/>
      <c r="NIX330"/>
      <c r="NJA330"/>
      <c r="NJB330"/>
      <c r="NJE330"/>
      <c r="NJF330"/>
      <c r="NJI330"/>
      <c r="NJJ330"/>
      <c r="NJM330"/>
      <c r="NJN330"/>
      <c r="NJQ330"/>
      <c r="NJR330"/>
      <c r="NJU330"/>
      <c r="NJV330"/>
      <c r="NJY330"/>
      <c r="NJZ330"/>
      <c r="NKC330"/>
      <c r="NKD330"/>
      <c r="NKG330"/>
      <c r="NKH330"/>
      <c r="NKK330"/>
      <c r="NKL330"/>
      <c r="NKO330"/>
      <c r="NKP330"/>
      <c r="NKS330"/>
      <c r="NKT330"/>
      <c r="NKW330"/>
      <c r="NKX330"/>
      <c r="NLA330"/>
      <c r="NLB330"/>
      <c r="NLE330"/>
      <c r="NLF330"/>
      <c r="NLI330"/>
      <c r="NLJ330"/>
      <c r="NLM330"/>
      <c r="NLN330"/>
      <c r="NLQ330"/>
      <c r="NLR330"/>
      <c r="NLU330"/>
      <c r="NLV330"/>
      <c r="NLY330"/>
      <c r="NLZ330"/>
      <c r="NMC330"/>
      <c r="NMD330"/>
      <c r="NMG330"/>
      <c r="NMH330"/>
      <c r="NMK330"/>
      <c r="NML330"/>
      <c r="NMO330"/>
      <c r="NMP330"/>
      <c r="NMS330"/>
      <c r="NMT330"/>
      <c r="NMW330"/>
      <c r="NMX330"/>
      <c r="NNA330"/>
      <c r="NNB330"/>
      <c r="NNE330"/>
      <c r="NNF330"/>
      <c r="NNI330"/>
      <c r="NNJ330"/>
      <c r="NNM330"/>
      <c r="NNN330"/>
      <c r="NNQ330"/>
      <c r="NNR330"/>
      <c r="NNU330"/>
      <c r="NNV330"/>
      <c r="NNY330"/>
      <c r="NNZ330"/>
      <c r="NOC330"/>
      <c r="NOD330"/>
      <c r="NOG330"/>
      <c r="NOH330"/>
      <c r="NOK330"/>
      <c r="NOL330"/>
      <c r="NOO330"/>
      <c r="NOP330"/>
      <c r="NOS330"/>
      <c r="NOT330"/>
      <c r="NOW330"/>
      <c r="NOX330"/>
      <c r="NPA330"/>
      <c r="NPB330"/>
      <c r="NPE330"/>
      <c r="NPF330"/>
      <c r="NPI330"/>
      <c r="NPJ330"/>
      <c r="NPM330"/>
      <c r="NPN330"/>
      <c r="NPQ330"/>
      <c r="NPR330"/>
      <c r="NPU330"/>
      <c r="NPV330"/>
      <c r="NPY330"/>
      <c r="NPZ330"/>
      <c r="NQC330"/>
      <c r="NQD330"/>
      <c r="NQG330"/>
      <c r="NQH330"/>
      <c r="NQK330"/>
      <c r="NQL330"/>
      <c r="NQO330"/>
      <c r="NQP330"/>
      <c r="NQS330"/>
      <c r="NQT330"/>
      <c r="NQW330"/>
      <c r="NQX330"/>
      <c r="NRA330"/>
      <c r="NRB330"/>
      <c r="NRE330"/>
      <c r="NRF330"/>
      <c r="NRI330"/>
      <c r="NRJ330"/>
      <c r="NRM330"/>
      <c r="NRN330"/>
      <c r="NRQ330"/>
      <c r="NRR330"/>
      <c r="NRU330"/>
      <c r="NRV330"/>
      <c r="NRY330"/>
      <c r="NRZ330"/>
      <c r="NSC330"/>
      <c r="NSD330"/>
      <c r="NSG330"/>
      <c r="NSH330"/>
      <c r="NSK330"/>
      <c r="NSL330"/>
      <c r="NSO330"/>
      <c r="NSP330"/>
      <c r="NSS330"/>
      <c r="NST330"/>
      <c r="NSW330"/>
      <c r="NSX330"/>
      <c r="NTA330"/>
      <c r="NTB330"/>
      <c r="NTE330"/>
      <c r="NTF330"/>
      <c r="NTI330"/>
      <c r="NTJ330"/>
      <c r="NTM330"/>
      <c r="NTN330"/>
      <c r="NTQ330"/>
      <c r="NTR330"/>
      <c r="NTU330"/>
      <c r="NTV330"/>
      <c r="NTY330"/>
      <c r="NTZ330"/>
      <c r="NUC330"/>
      <c r="NUD330"/>
      <c r="NUG330"/>
      <c r="NUH330"/>
      <c r="NUK330"/>
      <c r="NUL330"/>
      <c r="NUO330"/>
      <c r="NUP330"/>
      <c r="NUS330"/>
      <c r="NUT330"/>
      <c r="NUW330"/>
      <c r="NUX330"/>
      <c r="NVA330"/>
      <c r="NVB330"/>
      <c r="NVE330"/>
      <c r="NVF330"/>
      <c r="NVI330"/>
      <c r="NVJ330"/>
      <c r="NVM330"/>
      <c r="NVN330"/>
      <c r="NVQ330"/>
      <c r="NVR330"/>
      <c r="NVU330"/>
      <c r="NVV330"/>
      <c r="NVY330"/>
      <c r="NVZ330"/>
      <c r="NWC330"/>
      <c r="NWD330"/>
      <c r="NWG330"/>
      <c r="NWH330"/>
      <c r="NWK330"/>
      <c r="NWL330"/>
      <c r="NWO330"/>
      <c r="NWP330"/>
      <c r="NWS330"/>
      <c r="NWT330"/>
      <c r="NWW330"/>
      <c r="NWX330"/>
      <c r="NXA330"/>
      <c r="NXB330"/>
      <c r="NXE330"/>
      <c r="NXF330"/>
      <c r="NXI330"/>
      <c r="NXJ330"/>
      <c r="NXM330"/>
      <c r="NXN330"/>
      <c r="NXQ330"/>
      <c r="NXR330"/>
      <c r="NXU330"/>
      <c r="NXV330"/>
      <c r="NXY330"/>
      <c r="NXZ330"/>
      <c r="NYC330"/>
      <c r="NYD330"/>
      <c r="NYG330"/>
      <c r="NYH330"/>
      <c r="NYK330"/>
      <c r="NYL330"/>
      <c r="NYO330"/>
      <c r="NYP330"/>
      <c r="NYS330"/>
      <c r="NYT330"/>
      <c r="NYW330"/>
      <c r="NYX330"/>
      <c r="NZA330"/>
      <c r="NZB330"/>
      <c r="NZE330"/>
      <c r="NZF330"/>
      <c r="NZI330"/>
      <c r="NZJ330"/>
      <c r="NZM330"/>
      <c r="NZN330"/>
      <c r="NZQ330"/>
      <c r="NZR330"/>
      <c r="NZU330"/>
      <c r="NZV330"/>
      <c r="NZY330"/>
      <c r="NZZ330"/>
      <c r="OAC330"/>
      <c r="OAD330"/>
      <c r="OAG330"/>
      <c r="OAH330"/>
      <c r="OAK330"/>
      <c r="OAL330"/>
      <c r="OAO330"/>
      <c r="OAP330"/>
      <c r="OAS330"/>
      <c r="OAT330"/>
      <c r="OAW330"/>
      <c r="OAX330"/>
      <c r="OBA330"/>
      <c r="OBB330"/>
      <c r="OBE330"/>
      <c r="OBF330"/>
      <c r="OBI330"/>
      <c r="OBJ330"/>
      <c r="OBM330"/>
      <c r="OBN330"/>
      <c r="OBQ330"/>
      <c r="OBR330"/>
      <c r="OBU330"/>
      <c r="OBV330"/>
      <c r="OBY330"/>
      <c r="OBZ330"/>
      <c r="OCC330"/>
      <c r="OCD330"/>
      <c r="OCG330"/>
      <c r="OCH330"/>
      <c r="OCK330"/>
      <c r="OCL330"/>
      <c r="OCO330"/>
      <c r="OCP330"/>
      <c r="OCS330"/>
      <c r="OCT330"/>
      <c r="OCW330"/>
      <c r="OCX330"/>
      <c r="ODA330"/>
      <c r="ODB330"/>
      <c r="ODE330"/>
      <c r="ODF330"/>
      <c r="ODI330"/>
      <c r="ODJ330"/>
      <c r="ODM330"/>
      <c r="ODN330"/>
      <c r="ODQ330"/>
      <c r="ODR330"/>
      <c r="ODU330"/>
      <c r="ODV330"/>
      <c r="ODY330"/>
      <c r="ODZ330"/>
      <c r="OEC330"/>
      <c r="OED330"/>
      <c r="OEG330"/>
      <c r="OEH330"/>
      <c r="OEK330"/>
      <c r="OEL330"/>
      <c r="OEO330"/>
      <c r="OEP330"/>
      <c r="OES330"/>
      <c r="OET330"/>
      <c r="OEW330"/>
      <c r="OEX330"/>
      <c r="OFA330"/>
      <c r="OFB330"/>
      <c r="OFE330"/>
      <c r="OFF330"/>
      <c r="OFI330"/>
      <c r="OFJ330"/>
      <c r="OFM330"/>
      <c r="OFN330"/>
      <c r="OFQ330"/>
      <c r="OFR330"/>
      <c r="OFU330"/>
      <c r="OFV330"/>
      <c r="OFY330"/>
      <c r="OFZ330"/>
      <c r="OGC330"/>
      <c r="OGD330"/>
      <c r="OGG330"/>
      <c r="OGH330"/>
      <c r="OGK330"/>
      <c r="OGL330"/>
      <c r="OGO330"/>
      <c r="OGP330"/>
      <c r="OGS330"/>
      <c r="OGT330"/>
      <c r="OGW330"/>
      <c r="OGX330"/>
      <c r="OHA330"/>
      <c r="OHB330"/>
      <c r="OHE330"/>
      <c r="OHF330"/>
      <c r="OHI330"/>
      <c r="OHJ330"/>
      <c r="OHM330"/>
      <c r="OHN330"/>
      <c r="OHQ330"/>
      <c r="OHR330"/>
      <c r="OHU330"/>
      <c r="OHV330"/>
      <c r="OHY330"/>
      <c r="OHZ330"/>
      <c r="OIC330"/>
      <c r="OID330"/>
      <c r="OIG330"/>
      <c r="OIH330"/>
      <c r="OIK330"/>
      <c r="OIL330"/>
      <c r="OIO330"/>
      <c r="OIP330"/>
      <c r="OIS330"/>
      <c r="OIT330"/>
      <c r="OIW330"/>
      <c r="OIX330"/>
      <c r="OJA330"/>
      <c r="OJB330"/>
      <c r="OJE330"/>
      <c r="OJF330"/>
      <c r="OJI330"/>
      <c r="OJJ330"/>
      <c r="OJM330"/>
      <c r="OJN330"/>
      <c r="OJQ330"/>
      <c r="OJR330"/>
      <c r="OJU330"/>
      <c r="OJV330"/>
      <c r="OJY330"/>
      <c r="OJZ330"/>
      <c r="OKC330"/>
      <c r="OKD330"/>
      <c r="OKG330"/>
      <c r="OKH330"/>
      <c r="OKK330"/>
      <c r="OKL330"/>
      <c r="OKO330"/>
      <c r="OKP330"/>
      <c r="OKS330"/>
      <c r="OKT330"/>
      <c r="OKW330"/>
      <c r="OKX330"/>
      <c r="OLA330"/>
      <c r="OLB330"/>
      <c r="OLE330"/>
      <c r="OLF330"/>
      <c r="OLI330"/>
      <c r="OLJ330"/>
      <c r="OLM330"/>
      <c r="OLN330"/>
      <c r="OLQ330"/>
      <c r="OLR330"/>
      <c r="OLU330"/>
      <c r="OLV330"/>
      <c r="OLY330"/>
      <c r="OLZ330"/>
      <c r="OMC330"/>
      <c r="OMD330"/>
      <c r="OMG330"/>
      <c r="OMH330"/>
      <c r="OMK330"/>
      <c r="OML330"/>
      <c r="OMO330"/>
      <c r="OMP330"/>
      <c r="OMS330"/>
      <c r="OMT330"/>
      <c r="OMW330"/>
      <c r="OMX330"/>
      <c r="ONA330"/>
      <c r="ONB330"/>
      <c r="ONE330"/>
      <c r="ONF330"/>
      <c r="ONI330"/>
      <c r="ONJ330"/>
      <c r="ONM330"/>
      <c r="ONN330"/>
      <c r="ONQ330"/>
      <c r="ONR330"/>
      <c r="ONU330"/>
      <c r="ONV330"/>
      <c r="ONY330"/>
      <c r="ONZ330"/>
      <c r="OOC330"/>
      <c r="OOD330"/>
      <c r="OOG330"/>
      <c r="OOH330"/>
      <c r="OOK330"/>
      <c r="OOL330"/>
      <c r="OOO330"/>
      <c r="OOP330"/>
      <c r="OOS330"/>
      <c r="OOT330"/>
      <c r="OOW330"/>
      <c r="OOX330"/>
      <c r="OPA330"/>
      <c r="OPB330"/>
      <c r="OPE330"/>
      <c r="OPF330"/>
      <c r="OPI330"/>
      <c r="OPJ330"/>
      <c r="OPM330"/>
      <c r="OPN330"/>
      <c r="OPQ330"/>
      <c r="OPR330"/>
      <c r="OPU330"/>
      <c r="OPV330"/>
      <c r="OPY330"/>
      <c r="OPZ330"/>
      <c r="OQC330"/>
      <c r="OQD330"/>
      <c r="OQG330"/>
      <c r="OQH330"/>
      <c r="OQK330"/>
      <c r="OQL330"/>
      <c r="OQO330"/>
      <c r="OQP330"/>
      <c r="OQS330"/>
      <c r="OQT330"/>
      <c r="OQW330"/>
      <c r="OQX330"/>
      <c r="ORA330"/>
      <c r="ORB330"/>
      <c r="ORE330"/>
      <c r="ORF330"/>
      <c r="ORI330"/>
      <c r="ORJ330"/>
      <c r="ORM330"/>
      <c r="ORN330"/>
      <c r="ORQ330"/>
      <c r="ORR330"/>
      <c r="ORU330"/>
      <c r="ORV330"/>
      <c r="ORY330"/>
      <c r="ORZ330"/>
      <c r="OSC330"/>
      <c r="OSD330"/>
      <c r="OSG330"/>
      <c r="OSH330"/>
      <c r="OSK330"/>
      <c r="OSL330"/>
      <c r="OSO330"/>
      <c r="OSP330"/>
      <c r="OSS330"/>
      <c r="OST330"/>
      <c r="OSW330"/>
      <c r="OSX330"/>
      <c r="OTA330"/>
      <c r="OTB330"/>
      <c r="OTE330"/>
      <c r="OTF330"/>
      <c r="OTI330"/>
      <c r="OTJ330"/>
      <c r="OTM330"/>
      <c r="OTN330"/>
      <c r="OTQ330"/>
      <c r="OTR330"/>
      <c r="OTU330"/>
      <c r="OTV330"/>
      <c r="OTY330"/>
      <c r="OTZ330"/>
      <c r="OUC330"/>
      <c r="OUD330"/>
      <c r="OUG330"/>
      <c r="OUH330"/>
      <c r="OUK330"/>
      <c r="OUL330"/>
      <c r="OUO330"/>
      <c r="OUP330"/>
      <c r="OUS330"/>
      <c r="OUT330"/>
      <c r="OUW330"/>
      <c r="OUX330"/>
      <c r="OVA330"/>
      <c r="OVB330"/>
      <c r="OVE330"/>
      <c r="OVF330"/>
      <c r="OVI330"/>
      <c r="OVJ330"/>
      <c r="OVM330"/>
      <c r="OVN330"/>
      <c r="OVQ330"/>
      <c r="OVR330"/>
      <c r="OVU330"/>
      <c r="OVV330"/>
      <c r="OVY330"/>
      <c r="OVZ330"/>
      <c r="OWC330"/>
      <c r="OWD330"/>
      <c r="OWG330"/>
      <c r="OWH330"/>
      <c r="OWK330"/>
      <c r="OWL330"/>
      <c r="OWO330"/>
      <c r="OWP330"/>
      <c r="OWS330"/>
      <c r="OWT330"/>
      <c r="OWW330"/>
      <c r="OWX330"/>
      <c r="OXA330"/>
      <c r="OXB330"/>
      <c r="OXE330"/>
      <c r="OXF330"/>
      <c r="OXI330"/>
      <c r="OXJ330"/>
      <c r="OXM330"/>
      <c r="OXN330"/>
      <c r="OXQ330"/>
      <c r="OXR330"/>
      <c r="OXU330"/>
      <c r="OXV330"/>
      <c r="OXY330"/>
      <c r="OXZ330"/>
      <c r="OYC330"/>
      <c r="OYD330"/>
      <c r="OYG330"/>
      <c r="OYH330"/>
      <c r="OYK330"/>
      <c r="OYL330"/>
      <c r="OYO330"/>
      <c r="OYP330"/>
      <c r="OYS330"/>
      <c r="OYT330"/>
      <c r="OYW330"/>
      <c r="OYX330"/>
      <c r="OZA330"/>
      <c r="OZB330"/>
      <c r="OZE330"/>
      <c r="OZF330"/>
      <c r="OZI330"/>
      <c r="OZJ330"/>
      <c r="OZM330"/>
      <c r="OZN330"/>
      <c r="OZQ330"/>
      <c r="OZR330"/>
      <c r="OZU330"/>
      <c r="OZV330"/>
      <c r="OZY330"/>
      <c r="OZZ330"/>
      <c r="PAC330"/>
      <c r="PAD330"/>
      <c r="PAG330"/>
      <c r="PAH330"/>
      <c r="PAK330"/>
      <c r="PAL330"/>
      <c r="PAO330"/>
      <c r="PAP330"/>
      <c r="PAS330"/>
      <c r="PAT330"/>
      <c r="PAW330"/>
      <c r="PAX330"/>
      <c r="PBA330"/>
      <c r="PBB330"/>
      <c r="PBE330"/>
      <c r="PBF330"/>
      <c r="PBI330"/>
      <c r="PBJ330"/>
      <c r="PBM330"/>
      <c r="PBN330"/>
      <c r="PBQ330"/>
      <c r="PBR330"/>
      <c r="PBU330"/>
      <c r="PBV330"/>
      <c r="PBY330"/>
      <c r="PBZ330"/>
      <c r="PCC330"/>
      <c r="PCD330"/>
      <c r="PCG330"/>
      <c r="PCH330"/>
      <c r="PCK330"/>
      <c r="PCL330"/>
      <c r="PCO330"/>
      <c r="PCP330"/>
      <c r="PCS330"/>
      <c r="PCT330"/>
      <c r="PCW330"/>
      <c r="PCX330"/>
      <c r="PDA330"/>
      <c r="PDB330"/>
      <c r="PDE330"/>
      <c r="PDF330"/>
      <c r="PDI330"/>
      <c r="PDJ330"/>
      <c r="PDM330"/>
      <c r="PDN330"/>
      <c r="PDQ330"/>
      <c r="PDR330"/>
      <c r="PDU330"/>
      <c r="PDV330"/>
      <c r="PDY330"/>
      <c r="PDZ330"/>
      <c r="PEC330"/>
      <c r="PED330"/>
      <c r="PEG330"/>
      <c r="PEH330"/>
      <c r="PEK330"/>
      <c r="PEL330"/>
      <c r="PEO330"/>
      <c r="PEP330"/>
      <c r="PES330"/>
      <c r="PET330"/>
      <c r="PEW330"/>
      <c r="PEX330"/>
      <c r="PFA330"/>
      <c r="PFB330"/>
      <c r="PFE330"/>
      <c r="PFF330"/>
      <c r="PFI330"/>
      <c r="PFJ330"/>
      <c r="PFM330"/>
      <c r="PFN330"/>
      <c r="PFQ330"/>
      <c r="PFR330"/>
      <c r="PFU330"/>
      <c r="PFV330"/>
      <c r="PFY330"/>
      <c r="PFZ330"/>
      <c r="PGC330"/>
      <c r="PGD330"/>
      <c r="PGG330"/>
      <c r="PGH330"/>
      <c r="PGK330"/>
      <c r="PGL330"/>
      <c r="PGO330"/>
      <c r="PGP330"/>
      <c r="PGS330"/>
      <c r="PGT330"/>
      <c r="PGW330"/>
      <c r="PGX330"/>
      <c r="PHA330"/>
      <c r="PHB330"/>
      <c r="PHE330"/>
      <c r="PHF330"/>
      <c r="PHI330"/>
      <c r="PHJ330"/>
      <c r="PHM330"/>
      <c r="PHN330"/>
      <c r="PHQ330"/>
      <c r="PHR330"/>
      <c r="PHU330"/>
      <c r="PHV330"/>
      <c r="PHY330"/>
      <c r="PHZ330"/>
      <c r="PIC330"/>
      <c r="PID330"/>
      <c r="PIG330"/>
      <c r="PIH330"/>
      <c r="PIK330"/>
      <c r="PIL330"/>
      <c r="PIO330"/>
      <c r="PIP330"/>
      <c r="PIS330"/>
      <c r="PIT330"/>
      <c r="PIW330"/>
      <c r="PIX330"/>
      <c r="PJA330"/>
      <c r="PJB330"/>
      <c r="PJE330"/>
      <c r="PJF330"/>
      <c r="PJI330"/>
      <c r="PJJ330"/>
      <c r="PJM330"/>
      <c r="PJN330"/>
      <c r="PJQ330"/>
      <c r="PJR330"/>
      <c r="PJU330"/>
      <c r="PJV330"/>
      <c r="PJY330"/>
      <c r="PJZ330"/>
      <c r="PKC330"/>
      <c r="PKD330"/>
      <c r="PKG330"/>
      <c r="PKH330"/>
      <c r="PKK330"/>
      <c r="PKL330"/>
      <c r="PKO330"/>
      <c r="PKP330"/>
      <c r="PKS330"/>
      <c r="PKT330"/>
      <c r="PKW330"/>
      <c r="PKX330"/>
      <c r="PLA330"/>
      <c r="PLB330"/>
      <c r="PLE330"/>
      <c r="PLF330"/>
      <c r="PLI330"/>
      <c r="PLJ330"/>
      <c r="PLM330"/>
      <c r="PLN330"/>
      <c r="PLQ330"/>
      <c r="PLR330"/>
      <c r="PLU330"/>
      <c r="PLV330"/>
      <c r="PLY330"/>
      <c r="PLZ330"/>
      <c r="PMC330"/>
      <c r="PMD330"/>
      <c r="PMG330"/>
      <c r="PMH330"/>
      <c r="PMK330"/>
      <c r="PML330"/>
      <c r="PMO330"/>
      <c r="PMP330"/>
      <c r="PMS330"/>
      <c r="PMT330"/>
      <c r="PMW330"/>
      <c r="PMX330"/>
      <c r="PNA330"/>
      <c r="PNB330"/>
      <c r="PNE330"/>
      <c r="PNF330"/>
      <c r="PNI330"/>
      <c r="PNJ330"/>
      <c r="PNM330"/>
      <c r="PNN330"/>
      <c r="PNQ330"/>
      <c r="PNR330"/>
      <c r="PNU330"/>
      <c r="PNV330"/>
      <c r="PNY330"/>
      <c r="PNZ330"/>
      <c r="POC330"/>
      <c r="POD330"/>
      <c r="POG330"/>
      <c r="POH330"/>
      <c r="POK330"/>
      <c r="POL330"/>
      <c r="POO330"/>
      <c r="POP330"/>
      <c r="POS330"/>
      <c r="POT330"/>
      <c r="POW330"/>
      <c r="POX330"/>
      <c r="PPA330"/>
      <c r="PPB330"/>
      <c r="PPE330"/>
      <c r="PPF330"/>
      <c r="PPI330"/>
      <c r="PPJ330"/>
      <c r="PPM330"/>
      <c r="PPN330"/>
      <c r="PPQ330"/>
      <c r="PPR330"/>
      <c r="PPU330"/>
      <c r="PPV330"/>
      <c r="PPY330"/>
      <c r="PPZ330"/>
      <c r="PQC330"/>
      <c r="PQD330"/>
      <c r="PQG330"/>
      <c r="PQH330"/>
      <c r="PQK330"/>
      <c r="PQL330"/>
      <c r="PQO330"/>
      <c r="PQP330"/>
      <c r="PQS330"/>
      <c r="PQT330"/>
      <c r="PQW330"/>
      <c r="PQX330"/>
      <c r="PRA330"/>
      <c r="PRB330"/>
      <c r="PRE330"/>
      <c r="PRF330"/>
      <c r="PRI330"/>
      <c r="PRJ330"/>
      <c r="PRM330"/>
      <c r="PRN330"/>
      <c r="PRQ330"/>
      <c r="PRR330"/>
      <c r="PRU330"/>
      <c r="PRV330"/>
      <c r="PRY330"/>
      <c r="PRZ330"/>
      <c r="PSC330"/>
      <c r="PSD330"/>
      <c r="PSG330"/>
      <c r="PSH330"/>
      <c r="PSK330"/>
      <c r="PSL330"/>
      <c r="PSO330"/>
      <c r="PSP330"/>
      <c r="PSS330"/>
      <c r="PST330"/>
      <c r="PSW330"/>
      <c r="PSX330"/>
      <c r="PTA330"/>
      <c r="PTB330"/>
      <c r="PTE330"/>
      <c r="PTF330"/>
      <c r="PTI330"/>
      <c r="PTJ330"/>
      <c r="PTM330"/>
      <c r="PTN330"/>
      <c r="PTQ330"/>
      <c r="PTR330"/>
      <c r="PTU330"/>
      <c r="PTV330"/>
      <c r="PTY330"/>
      <c r="PTZ330"/>
      <c r="PUC330"/>
      <c r="PUD330"/>
      <c r="PUG330"/>
      <c r="PUH330"/>
      <c r="PUK330"/>
      <c r="PUL330"/>
      <c r="PUO330"/>
      <c r="PUP330"/>
      <c r="PUS330"/>
      <c r="PUT330"/>
      <c r="PUW330"/>
      <c r="PUX330"/>
      <c r="PVA330"/>
      <c r="PVB330"/>
      <c r="PVE330"/>
      <c r="PVF330"/>
      <c r="PVI330"/>
      <c r="PVJ330"/>
      <c r="PVM330"/>
      <c r="PVN330"/>
      <c r="PVQ330"/>
      <c r="PVR330"/>
      <c r="PVU330"/>
      <c r="PVV330"/>
      <c r="PVY330"/>
      <c r="PVZ330"/>
      <c r="PWC330"/>
      <c r="PWD330"/>
      <c r="PWG330"/>
      <c r="PWH330"/>
      <c r="PWK330"/>
      <c r="PWL330"/>
      <c r="PWO330"/>
      <c r="PWP330"/>
      <c r="PWS330"/>
      <c r="PWT330"/>
      <c r="PWW330"/>
      <c r="PWX330"/>
      <c r="PXA330"/>
      <c r="PXB330"/>
      <c r="PXE330"/>
      <c r="PXF330"/>
      <c r="PXI330"/>
      <c r="PXJ330"/>
      <c r="PXM330"/>
      <c r="PXN330"/>
      <c r="PXQ330"/>
      <c r="PXR330"/>
      <c r="PXU330"/>
      <c r="PXV330"/>
      <c r="PXY330"/>
      <c r="PXZ330"/>
      <c r="PYC330"/>
      <c r="PYD330"/>
      <c r="PYG330"/>
      <c r="PYH330"/>
      <c r="PYK330"/>
      <c r="PYL330"/>
      <c r="PYO330"/>
      <c r="PYP330"/>
      <c r="PYS330"/>
      <c r="PYT330"/>
      <c r="PYW330"/>
      <c r="PYX330"/>
      <c r="PZA330"/>
      <c r="PZB330"/>
      <c r="PZE330"/>
      <c r="PZF330"/>
      <c r="PZI330"/>
      <c r="PZJ330"/>
      <c r="PZM330"/>
      <c r="PZN330"/>
      <c r="PZQ330"/>
      <c r="PZR330"/>
      <c r="PZU330"/>
      <c r="PZV330"/>
      <c r="PZY330"/>
      <c r="PZZ330"/>
      <c r="QAC330"/>
      <c r="QAD330"/>
      <c r="QAG330"/>
      <c r="QAH330"/>
      <c r="QAK330"/>
      <c r="QAL330"/>
      <c r="QAO330"/>
      <c r="QAP330"/>
      <c r="QAS330"/>
      <c r="QAT330"/>
      <c r="QAW330"/>
      <c r="QAX330"/>
      <c r="QBA330"/>
      <c r="QBB330"/>
      <c r="QBE330"/>
      <c r="QBF330"/>
      <c r="QBI330"/>
      <c r="QBJ330"/>
      <c r="QBM330"/>
      <c r="QBN330"/>
      <c r="QBQ330"/>
      <c r="QBR330"/>
      <c r="QBU330"/>
      <c r="QBV330"/>
      <c r="QBY330"/>
      <c r="QBZ330"/>
      <c r="QCC330"/>
      <c r="QCD330"/>
      <c r="QCG330"/>
      <c r="QCH330"/>
      <c r="QCK330"/>
      <c r="QCL330"/>
      <c r="QCO330"/>
      <c r="QCP330"/>
      <c r="QCS330"/>
      <c r="QCT330"/>
      <c r="QCW330"/>
      <c r="QCX330"/>
      <c r="QDA330"/>
      <c r="QDB330"/>
      <c r="QDE330"/>
      <c r="QDF330"/>
      <c r="QDI330"/>
      <c r="QDJ330"/>
      <c r="QDM330"/>
      <c r="QDN330"/>
      <c r="QDQ330"/>
      <c r="QDR330"/>
      <c r="QDU330"/>
      <c r="QDV330"/>
      <c r="QDY330"/>
      <c r="QDZ330"/>
      <c r="QEC330"/>
      <c r="QED330"/>
      <c r="QEG330"/>
      <c r="QEH330"/>
      <c r="QEK330"/>
      <c r="QEL330"/>
      <c r="QEO330"/>
      <c r="QEP330"/>
      <c r="QES330"/>
      <c r="QET330"/>
      <c r="QEW330"/>
      <c r="QEX330"/>
      <c r="QFA330"/>
      <c r="QFB330"/>
      <c r="QFE330"/>
      <c r="QFF330"/>
      <c r="QFI330"/>
      <c r="QFJ330"/>
      <c r="QFM330"/>
      <c r="QFN330"/>
      <c r="QFQ330"/>
      <c r="QFR330"/>
      <c r="QFU330"/>
      <c r="QFV330"/>
      <c r="QFY330"/>
      <c r="QFZ330"/>
      <c r="QGC330"/>
      <c r="QGD330"/>
      <c r="QGG330"/>
      <c r="QGH330"/>
      <c r="QGK330"/>
      <c r="QGL330"/>
      <c r="QGO330"/>
      <c r="QGP330"/>
      <c r="QGS330"/>
      <c r="QGT330"/>
      <c r="QGW330"/>
      <c r="QGX330"/>
      <c r="QHA330"/>
      <c r="QHB330"/>
      <c r="QHE330"/>
      <c r="QHF330"/>
      <c r="QHI330"/>
      <c r="QHJ330"/>
      <c r="QHM330"/>
      <c r="QHN330"/>
      <c r="QHQ330"/>
      <c r="QHR330"/>
      <c r="QHU330"/>
      <c r="QHV330"/>
      <c r="QHY330"/>
      <c r="QHZ330"/>
      <c r="QIC330"/>
      <c r="QID330"/>
      <c r="QIG330"/>
      <c r="QIH330"/>
      <c r="QIK330"/>
      <c r="QIL330"/>
      <c r="QIO330"/>
      <c r="QIP330"/>
      <c r="QIS330"/>
      <c r="QIT330"/>
      <c r="QIW330"/>
      <c r="QIX330"/>
      <c r="QJA330"/>
      <c r="QJB330"/>
      <c r="QJE330"/>
      <c r="QJF330"/>
      <c r="QJI330"/>
      <c r="QJJ330"/>
      <c r="QJM330"/>
      <c r="QJN330"/>
      <c r="QJQ330"/>
      <c r="QJR330"/>
      <c r="QJU330"/>
      <c r="QJV330"/>
      <c r="QJY330"/>
      <c r="QJZ330"/>
      <c r="QKC330"/>
      <c r="QKD330"/>
      <c r="QKG330"/>
      <c r="QKH330"/>
      <c r="QKK330"/>
      <c r="QKL330"/>
      <c r="QKO330"/>
      <c r="QKP330"/>
      <c r="QKS330"/>
      <c r="QKT330"/>
      <c r="QKW330"/>
      <c r="QKX330"/>
      <c r="QLA330"/>
      <c r="QLB330"/>
      <c r="QLE330"/>
      <c r="QLF330"/>
      <c r="QLI330"/>
      <c r="QLJ330"/>
      <c r="QLM330"/>
      <c r="QLN330"/>
      <c r="QLQ330"/>
      <c r="QLR330"/>
      <c r="QLU330"/>
      <c r="QLV330"/>
      <c r="QLY330"/>
      <c r="QLZ330"/>
      <c r="QMC330"/>
      <c r="QMD330"/>
      <c r="QMG330"/>
      <c r="QMH330"/>
      <c r="QMK330"/>
      <c r="QML330"/>
      <c r="QMO330"/>
      <c r="QMP330"/>
      <c r="QMS330"/>
      <c r="QMT330"/>
      <c r="QMW330"/>
      <c r="QMX330"/>
      <c r="QNA330"/>
      <c r="QNB330"/>
      <c r="QNE330"/>
      <c r="QNF330"/>
      <c r="QNI330"/>
      <c r="QNJ330"/>
      <c r="QNM330"/>
      <c r="QNN330"/>
      <c r="QNQ330"/>
      <c r="QNR330"/>
      <c r="QNU330"/>
      <c r="QNV330"/>
      <c r="QNY330"/>
      <c r="QNZ330"/>
      <c r="QOC330"/>
      <c r="QOD330"/>
      <c r="QOG330"/>
      <c r="QOH330"/>
      <c r="QOK330"/>
      <c r="QOL330"/>
      <c r="QOO330"/>
      <c r="QOP330"/>
      <c r="QOS330"/>
      <c r="QOT330"/>
      <c r="QOW330"/>
      <c r="QOX330"/>
      <c r="QPA330"/>
      <c r="QPB330"/>
      <c r="QPE330"/>
      <c r="QPF330"/>
      <c r="QPI330"/>
      <c r="QPJ330"/>
      <c r="QPM330"/>
      <c r="QPN330"/>
      <c r="QPQ330"/>
      <c r="QPR330"/>
      <c r="QPU330"/>
      <c r="QPV330"/>
      <c r="QPY330"/>
      <c r="QPZ330"/>
      <c r="QQC330"/>
      <c r="QQD330"/>
      <c r="QQG330"/>
      <c r="QQH330"/>
      <c r="QQK330"/>
      <c r="QQL330"/>
      <c r="QQO330"/>
      <c r="QQP330"/>
      <c r="QQS330"/>
      <c r="QQT330"/>
      <c r="QQW330"/>
      <c r="QQX330"/>
      <c r="QRA330"/>
      <c r="QRB330"/>
      <c r="QRE330"/>
      <c r="QRF330"/>
      <c r="QRI330"/>
      <c r="QRJ330"/>
      <c r="QRM330"/>
      <c r="QRN330"/>
      <c r="QRQ330"/>
      <c r="QRR330"/>
      <c r="QRU330"/>
      <c r="QRV330"/>
      <c r="QRY330"/>
      <c r="QRZ330"/>
      <c r="QSC330"/>
      <c r="QSD330"/>
      <c r="QSG330"/>
      <c r="QSH330"/>
      <c r="QSK330"/>
      <c r="QSL330"/>
      <c r="QSO330"/>
      <c r="QSP330"/>
      <c r="QSS330"/>
      <c r="QST330"/>
      <c r="QSW330"/>
      <c r="QSX330"/>
      <c r="QTA330"/>
      <c r="QTB330"/>
      <c r="QTE330"/>
      <c r="QTF330"/>
      <c r="QTI330"/>
      <c r="QTJ330"/>
      <c r="QTM330"/>
      <c r="QTN330"/>
      <c r="QTQ330"/>
      <c r="QTR330"/>
      <c r="QTU330"/>
      <c r="QTV330"/>
      <c r="QTY330"/>
      <c r="QTZ330"/>
      <c r="QUC330"/>
      <c r="QUD330"/>
      <c r="QUG330"/>
      <c r="QUH330"/>
      <c r="QUK330"/>
      <c r="QUL330"/>
      <c r="QUO330"/>
      <c r="QUP330"/>
      <c r="QUS330"/>
      <c r="QUT330"/>
      <c r="QUW330"/>
      <c r="QUX330"/>
      <c r="QVA330"/>
      <c r="QVB330"/>
      <c r="QVE330"/>
      <c r="QVF330"/>
      <c r="QVI330"/>
      <c r="QVJ330"/>
      <c r="QVM330"/>
      <c r="QVN330"/>
      <c r="QVQ330"/>
      <c r="QVR330"/>
      <c r="QVU330"/>
      <c r="QVV330"/>
      <c r="QVY330"/>
      <c r="QVZ330"/>
      <c r="QWC330"/>
      <c r="QWD330"/>
      <c r="QWG330"/>
      <c r="QWH330"/>
      <c r="QWK330"/>
      <c r="QWL330"/>
      <c r="QWO330"/>
      <c r="QWP330"/>
      <c r="QWS330"/>
      <c r="QWT330"/>
      <c r="QWW330"/>
      <c r="QWX330"/>
      <c r="QXA330"/>
      <c r="QXB330"/>
      <c r="QXE330"/>
      <c r="QXF330"/>
      <c r="QXI330"/>
      <c r="QXJ330"/>
      <c r="QXM330"/>
      <c r="QXN330"/>
      <c r="QXQ330"/>
      <c r="QXR330"/>
      <c r="QXU330"/>
      <c r="QXV330"/>
      <c r="QXY330"/>
      <c r="QXZ330"/>
      <c r="QYC330"/>
      <c r="QYD330"/>
      <c r="QYG330"/>
      <c r="QYH330"/>
      <c r="QYK330"/>
      <c r="QYL330"/>
      <c r="QYO330"/>
      <c r="QYP330"/>
      <c r="QYS330"/>
      <c r="QYT330"/>
      <c r="QYW330"/>
      <c r="QYX330"/>
      <c r="QZA330"/>
      <c r="QZB330"/>
      <c r="QZE330"/>
      <c r="QZF330"/>
      <c r="QZI330"/>
      <c r="QZJ330"/>
      <c r="QZM330"/>
      <c r="QZN330"/>
      <c r="QZQ330"/>
      <c r="QZR330"/>
      <c r="QZU330"/>
      <c r="QZV330"/>
      <c r="QZY330"/>
      <c r="QZZ330"/>
      <c r="RAC330"/>
      <c r="RAD330"/>
      <c r="RAG330"/>
      <c r="RAH330"/>
      <c r="RAK330"/>
      <c r="RAL330"/>
      <c r="RAO330"/>
      <c r="RAP330"/>
      <c r="RAS330"/>
      <c r="RAT330"/>
      <c r="RAW330"/>
      <c r="RAX330"/>
      <c r="RBA330"/>
      <c r="RBB330"/>
      <c r="RBE330"/>
      <c r="RBF330"/>
      <c r="RBI330"/>
      <c r="RBJ330"/>
      <c r="RBM330"/>
      <c r="RBN330"/>
      <c r="RBQ330"/>
      <c r="RBR330"/>
      <c r="RBU330"/>
      <c r="RBV330"/>
      <c r="RBY330"/>
      <c r="RBZ330"/>
      <c r="RCC330"/>
      <c r="RCD330"/>
      <c r="RCG330"/>
      <c r="RCH330"/>
      <c r="RCK330"/>
      <c r="RCL330"/>
      <c r="RCO330"/>
      <c r="RCP330"/>
      <c r="RCS330"/>
      <c r="RCT330"/>
      <c r="RCW330"/>
      <c r="RCX330"/>
      <c r="RDA330"/>
      <c r="RDB330"/>
      <c r="RDE330"/>
      <c r="RDF330"/>
      <c r="RDI330"/>
      <c r="RDJ330"/>
      <c r="RDM330"/>
      <c r="RDN330"/>
      <c r="RDQ330"/>
      <c r="RDR330"/>
      <c r="RDU330"/>
      <c r="RDV330"/>
      <c r="RDY330"/>
      <c r="RDZ330"/>
      <c r="REC330"/>
      <c r="RED330"/>
      <c r="REG330"/>
      <c r="REH330"/>
      <c r="REK330"/>
      <c r="REL330"/>
      <c r="REO330"/>
      <c r="REP330"/>
      <c r="RES330"/>
      <c r="RET330"/>
      <c r="REW330"/>
      <c r="REX330"/>
      <c r="RFA330"/>
      <c r="RFB330"/>
      <c r="RFE330"/>
      <c r="RFF330"/>
      <c r="RFI330"/>
      <c r="RFJ330"/>
      <c r="RFM330"/>
      <c r="RFN330"/>
      <c r="RFQ330"/>
      <c r="RFR330"/>
      <c r="RFU330"/>
      <c r="RFV330"/>
      <c r="RFY330"/>
      <c r="RFZ330"/>
      <c r="RGC330"/>
      <c r="RGD330"/>
      <c r="RGG330"/>
      <c r="RGH330"/>
      <c r="RGK330"/>
      <c r="RGL330"/>
      <c r="RGO330"/>
      <c r="RGP330"/>
      <c r="RGS330"/>
      <c r="RGT330"/>
      <c r="RGW330"/>
      <c r="RGX330"/>
      <c r="RHA330"/>
      <c r="RHB330"/>
      <c r="RHE330"/>
      <c r="RHF330"/>
      <c r="RHI330"/>
      <c r="RHJ330"/>
      <c r="RHM330"/>
      <c r="RHN330"/>
      <c r="RHQ330"/>
      <c r="RHR330"/>
      <c r="RHU330"/>
      <c r="RHV330"/>
      <c r="RHY330"/>
      <c r="RHZ330"/>
      <c r="RIC330"/>
      <c r="RID330"/>
      <c r="RIG330"/>
      <c r="RIH330"/>
      <c r="RIK330"/>
      <c r="RIL330"/>
      <c r="RIO330"/>
      <c r="RIP330"/>
      <c r="RIS330"/>
      <c r="RIT330"/>
      <c r="RIW330"/>
      <c r="RIX330"/>
      <c r="RJA330"/>
      <c r="RJB330"/>
      <c r="RJE330"/>
      <c r="RJF330"/>
      <c r="RJI330"/>
      <c r="RJJ330"/>
      <c r="RJM330"/>
      <c r="RJN330"/>
      <c r="RJQ330"/>
      <c r="RJR330"/>
      <c r="RJU330"/>
      <c r="RJV330"/>
      <c r="RJY330"/>
      <c r="RJZ330"/>
      <c r="RKC330"/>
      <c r="RKD330"/>
      <c r="RKG330"/>
      <c r="RKH330"/>
      <c r="RKK330"/>
      <c r="RKL330"/>
      <c r="RKO330"/>
      <c r="RKP330"/>
      <c r="RKS330"/>
      <c r="RKT330"/>
      <c r="RKW330"/>
      <c r="RKX330"/>
      <c r="RLA330"/>
      <c r="RLB330"/>
      <c r="RLE330"/>
      <c r="RLF330"/>
      <c r="RLI330"/>
      <c r="RLJ330"/>
      <c r="RLM330"/>
      <c r="RLN330"/>
      <c r="RLQ330"/>
      <c r="RLR330"/>
      <c r="RLU330"/>
      <c r="RLV330"/>
      <c r="RLY330"/>
      <c r="RLZ330"/>
      <c r="RMC330"/>
      <c r="RMD330"/>
      <c r="RMG330"/>
      <c r="RMH330"/>
      <c r="RMK330"/>
      <c r="RML330"/>
      <c r="RMO330"/>
      <c r="RMP330"/>
      <c r="RMS330"/>
      <c r="RMT330"/>
      <c r="RMW330"/>
      <c r="RMX330"/>
      <c r="RNA330"/>
      <c r="RNB330"/>
      <c r="RNE330"/>
      <c r="RNF330"/>
      <c r="RNI330"/>
      <c r="RNJ330"/>
      <c r="RNM330"/>
      <c r="RNN330"/>
      <c r="RNQ330"/>
      <c r="RNR330"/>
      <c r="RNU330"/>
      <c r="RNV330"/>
      <c r="RNY330"/>
      <c r="RNZ330"/>
      <c r="ROC330"/>
      <c r="ROD330"/>
      <c r="ROG330"/>
      <c r="ROH330"/>
      <c r="ROK330"/>
      <c r="ROL330"/>
      <c r="ROO330"/>
      <c r="ROP330"/>
      <c r="ROS330"/>
      <c r="ROT330"/>
      <c r="ROW330"/>
      <c r="ROX330"/>
      <c r="RPA330"/>
      <c r="RPB330"/>
      <c r="RPE330"/>
      <c r="RPF330"/>
      <c r="RPI330"/>
      <c r="RPJ330"/>
      <c r="RPM330"/>
      <c r="RPN330"/>
      <c r="RPQ330"/>
      <c r="RPR330"/>
      <c r="RPU330"/>
      <c r="RPV330"/>
      <c r="RPY330"/>
      <c r="RPZ330"/>
      <c r="RQC330"/>
      <c r="RQD330"/>
      <c r="RQG330"/>
      <c r="RQH330"/>
      <c r="RQK330"/>
      <c r="RQL330"/>
      <c r="RQO330"/>
      <c r="RQP330"/>
      <c r="RQS330"/>
      <c r="RQT330"/>
      <c r="RQW330"/>
      <c r="RQX330"/>
      <c r="RRA330"/>
      <c r="RRB330"/>
      <c r="RRE330"/>
      <c r="RRF330"/>
      <c r="RRI330"/>
      <c r="RRJ330"/>
      <c r="RRM330"/>
      <c r="RRN330"/>
      <c r="RRQ330"/>
      <c r="RRR330"/>
      <c r="RRU330"/>
      <c r="RRV330"/>
      <c r="RRY330"/>
      <c r="RRZ330"/>
      <c r="RSC330"/>
      <c r="RSD330"/>
      <c r="RSG330"/>
      <c r="RSH330"/>
      <c r="RSK330"/>
      <c r="RSL330"/>
      <c r="RSO330"/>
      <c r="RSP330"/>
      <c r="RSS330"/>
      <c r="RST330"/>
      <c r="RSW330"/>
      <c r="RSX330"/>
      <c r="RTA330"/>
      <c r="RTB330"/>
      <c r="RTE330"/>
      <c r="RTF330"/>
      <c r="RTI330"/>
      <c r="RTJ330"/>
      <c r="RTM330"/>
      <c r="RTN330"/>
      <c r="RTQ330"/>
      <c r="RTR330"/>
      <c r="RTU330"/>
      <c r="RTV330"/>
      <c r="RTY330"/>
      <c r="RTZ330"/>
      <c r="RUC330"/>
      <c r="RUD330"/>
      <c r="RUG330"/>
      <c r="RUH330"/>
      <c r="RUK330"/>
      <c r="RUL330"/>
      <c r="RUO330"/>
      <c r="RUP330"/>
      <c r="RUS330"/>
      <c r="RUT330"/>
      <c r="RUW330"/>
      <c r="RUX330"/>
      <c r="RVA330"/>
      <c r="RVB330"/>
      <c r="RVE330"/>
      <c r="RVF330"/>
      <c r="RVI330"/>
      <c r="RVJ330"/>
      <c r="RVM330"/>
      <c r="RVN330"/>
      <c r="RVQ330"/>
      <c r="RVR330"/>
      <c r="RVU330"/>
      <c r="RVV330"/>
      <c r="RVY330"/>
      <c r="RVZ330"/>
      <c r="RWC330"/>
      <c r="RWD330"/>
      <c r="RWG330"/>
      <c r="RWH330"/>
      <c r="RWK330"/>
      <c r="RWL330"/>
      <c r="RWO330"/>
      <c r="RWP330"/>
      <c r="RWS330"/>
      <c r="RWT330"/>
      <c r="RWW330"/>
      <c r="RWX330"/>
      <c r="RXA330"/>
      <c r="RXB330"/>
      <c r="RXE330"/>
      <c r="RXF330"/>
      <c r="RXI330"/>
      <c r="RXJ330"/>
      <c r="RXM330"/>
      <c r="RXN330"/>
      <c r="RXQ330"/>
      <c r="RXR330"/>
      <c r="RXU330"/>
      <c r="RXV330"/>
      <c r="RXY330"/>
      <c r="RXZ330"/>
      <c r="RYC330"/>
      <c r="RYD330"/>
      <c r="RYG330"/>
      <c r="RYH330"/>
      <c r="RYK330"/>
      <c r="RYL330"/>
      <c r="RYO330"/>
      <c r="RYP330"/>
      <c r="RYS330"/>
      <c r="RYT330"/>
      <c r="RYW330"/>
      <c r="RYX330"/>
      <c r="RZA330"/>
      <c r="RZB330"/>
      <c r="RZE330"/>
      <c r="RZF330"/>
      <c r="RZI330"/>
      <c r="RZJ330"/>
      <c r="RZM330"/>
      <c r="RZN330"/>
      <c r="RZQ330"/>
      <c r="RZR330"/>
      <c r="RZU330"/>
      <c r="RZV330"/>
      <c r="RZY330"/>
      <c r="RZZ330"/>
      <c r="SAC330"/>
      <c r="SAD330"/>
      <c r="SAG330"/>
      <c r="SAH330"/>
      <c r="SAK330"/>
      <c r="SAL330"/>
      <c r="SAO330"/>
      <c r="SAP330"/>
      <c r="SAS330"/>
      <c r="SAT330"/>
      <c r="SAW330"/>
      <c r="SAX330"/>
      <c r="SBA330"/>
      <c r="SBB330"/>
      <c r="SBE330"/>
      <c r="SBF330"/>
      <c r="SBI330"/>
      <c r="SBJ330"/>
      <c r="SBM330"/>
      <c r="SBN330"/>
      <c r="SBQ330"/>
      <c r="SBR330"/>
      <c r="SBU330"/>
      <c r="SBV330"/>
      <c r="SBY330"/>
      <c r="SBZ330"/>
      <c r="SCC330"/>
      <c r="SCD330"/>
      <c r="SCG330"/>
      <c r="SCH330"/>
      <c r="SCK330"/>
      <c r="SCL330"/>
      <c r="SCO330"/>
      <c r="SCP330"/>
      <c r="SCS330"/>
      <c r="SCT330"/>
      <c r="SCW330"/>
      <c r="SCX330"/>
      <c r="SDA330"/>
      <c r="SDB330"/>
      <c r="SDE330"/>
      <c r="SDF330"/>
      <c r="SDI330"/>
      <c r="SDJ330"/>
      <c r="SDM330"/>
      <c r="SDN330"/>
      <c r="SDQ330"/>
      <c r="SDR330"/>
      <c r="SDU330"/>
      <c r="SDV330"/>
      <c r="SDY330"/>
      <c r="SDZ330"/>
      <c r="SEC330"/>
      <c r="SED330"/>
      <c r="SEG330"/>
      <c r="SEH330"/>
      <c r="SEK330"/>
      <c r="SEL330"/>
      <c r="SEO330"/>
      <c r="SEP330"/>
      <c r="SES330"/>
      <c r="SET330"/>
      <c r="SEW330"/>
      <c r="SEX330"/>
      <c r="SFA330"/>
      <c r="SFB330"/>
      <c r="SFE330"/>
      <c r="SFF330"/>
      <c r="SFI330"/>
      <c r="SFJ330"/>
      <c r="SFM330"/>
      <c r="SFN330"/>
      <c r="SFQ330"/>
      <c r="SFR330"/>
      <c r="SFU330"/>
      <c r="SFV330"/>
      <c r="SFY330"/>
      <c r="SFZ330"/>
      <c r="SGC330"/>
      <c r="SGD330"/>
      <c r="SGG330"/>
      <c r="SGH330"/>
      <c r="SGK330"/>
      <c r="SGL330"/>
      <c r="SGO330"/>
      <c r="SGP330"/>
      <c r="SGS330"/>
      <c r="SGT330"/>
      <c r="SGW330"/>
      <c r="SGX330"/>
      <c r="SHA330"/>
      <c r="SHB330"/>
      <c r="SHE330"/>
      <c r="SHF330"/>
      <c r="SHI330"/>
      <c r="SHJ330"/>
      <c r="SHM330"/>
      <c r="SHN330"/>
      <c r="SHQ330"/>
      <c r="SHR330"/>
      <c r="SHU330"/>
      <c r="SHV330"/>
      <c r="SHY330"/>
      <c r="SHZ330"/>
      <c r="SIC330"/>
      <c r="SID330"/>
      <c r="SIG330"/>
      <c r="SIH330"/>
      <c r="SIK330"/>
      <c r="SIL330"/>
      <c r="SIO330"/>
      <c r="SIP330"/>
      <c r="SIS330"/>
      <c r="SIT330"/>
      <c r="SIW330"/>
      <c r="SIX330"/>
      <c r="SJA330"/>
      <c r="SJB330"/>
      <c r="SJE330"/>
      <c r="SJF330"/>
      <c r="SJI330"/>
      <c r="SJJ330"/>
      <c r="SJM330"/>
      <c r="SJN330"/>
      <c r="SJQ330"/>
      <c r="SJR330"/>
      <c r="SJU330"/>
      <c r="SJV330"/>
      <c r="SJY330"/>
      <c r="SJZ330"/>
      <c r="SKC330"/>
      <c r="SKD330"/>
      <c r="SKG330"/>
      <c r="SKH330"/>
      <c r="SKK330"/>
      <c r="SKL330"/>
      <c r="SKO330"/>
      <c r="SKP330"/>
      <c r="SKS330"/>
      <c r="SKT330"/>
      <c r="SKW330"/>
      <c r="SKX330"/>
      <c r="SLA330"/>
      <c r="SLB330"/>
      <c r="SLE330"/>
      <c r="SLF330"/>
      <c r="SLI330"/>
      <c r="SLJ330"/>
      <c r="SLM330"/>
      <c r="SLN330"/>
      <c r="SLQ330"/>
      <c r="SLR330"/>
      <c r="SLU330"/>
      <c r="SLV330"/>
      <c r="SLY330"/>
      <c r="SLZ330"/>
      <c r="SMC330"/>
      <c r="SMD330"/>
      <c r="SMG330"/>
      <c r="SMH330"/>
      <c r="SMK330"/>
      <c r="SML330"/>
      <c r="SMO330"/>
      <c r="SMP330"/>
      <c r="SMS330"/>
      <c r="SMT330"/>
      <c r="SMW330"/>
      <c r="SMX330"/>
      <c r="SNA330"/>
      <c r="SNB330"/>
      <c r="SNE330"/>
      <c r="SNF330"/>
      <c r="SNI330"/>
      <c r="SNJ330"/>
      <c r="SNM330"/>
      <c r="SNN330"/>
      <c r="SNQ330"/>
      <c r="SNR330"/>
      <c r="SNU330"/>
      <c r="SNV330"/>
      <c r="SNY330"/>
      <c r="SNZ330"/>
      <c r="SOC330"/>
      <c r="SOD330"/>
      <c r="SOG330"/>
      <c r="SOH330"/>
      <c r="SOK330"/>
      <c r="SOL330"/>
      <c r="SOO330"/>
      <c r="SOP330"/>
      <c r="SOS330"/>
      <c r="SOT330"/>
      <c r="SOW330"/>
      <c r="SOX330"/>
      <c r="SPA330"/>
      <c r="SPB330"/>
      <c r="SPE330"/>
      <c r="SPF330"/>
      <c r="SPI330"/>
      <c r="SPJ330"/>
      <c r="SPM330"/>
      <c r="SPN330"/>
      <c r="SPQ330"/>
      <c r="SPR330"/>
      <c r="SPU330"/>
      <c r="SPV330"/>
      <c r="SPY330"/>
      <c r="SPZ330"/>
      <c r="SQC330"/>
      <c r="SQD330"/>
      <c r="SQG330"/>
      <c r="SQH330"/>
      <c r="SQK330"/>
      <c r="SQL330"/>
      <c r="SQO330"/>
      <c r="SQP330"/>
      <c r="SQS330"/>
      <c r="SQT330"/>
      <c r="SQW330"/>
      <c r="SQX330"/>
      <c r="SRA330"/>
      <c r="SRB330"/>
      <c r="SRE330"/>
      <c r="SRF330"/>
      <c r="SRI330"/>
      <c r="SRJ330"/>
      <c r="SRM330"/>
      <c r="SRN330"/>
      <c r="SRQ330"/>
      <c r="SRR330"/>
      <c r="SRU330"/>
      <c r="SRV330"/>
      <c r="SRY330"/>
      <c r="SRZ330"/>
      <c r="SSC330"/>
      <c r="SSD330"/>
      <c r="SSG330"/>
      <c r="SSH330"/>
      <c r="SSK330"/>
      <c r="SSL330"/>
      <c r="SSO330"/>
      <c r="SSP330"/>
      <c r="SSS330"/>
      <c r="SST330"/>
      <c r="SSW330"/>
      <c r="SSX330"/>
      <c r="STA330"/>
      <c r="STB330"/>
      <c r="STE330"/>
      <c r="STF330"/>
      <c r="STI330"/>
      <c r="STJ330"/>
      <c r="STM330"/>
      <c r="STN330"/>
      <c r="STQ330"/>
      <c r="STR330"/>
      <c r="STU330"/>
      <c r="STV330"/>
      <c r="STY330"/>
      <c r="STZ330"/>
      <c r="SUC330"/>
      <c r="SUD330"/>
      <c r="SUG330"/>
      <c r="SUH330"/>
      <c r="SUK330"/>
      <c r="SUL330"/>
      <c r="SUO330"/>
      <c r="SUP330"/>
      <c r="SUS330"/>
      <c r="SUT330"/>
      <c r="SUW330"/>
      <c r="SUX330"/>
      <c r="SVA330"/>
      <c r="SVB330"/>
      <c r="SVE330"/>
      <c r="SVF330"/>
      <c r="SVI330"/>
      <c r="SVJ330"/>
      <c r="SVM330"/>
      <c r="SVN330"/>
      <c r="SVQ330"/>
      <c r="SVR330"/>
      <c r="SVU330"/>
      <c r="SVV330"/>
      <c r="SVY330"/>
      <c r="SVZ330"/>
      <c r="SWC330"/>
      <c r="SWD330"/>
      <c r="SWG330"/>
      <c r="SWH330"/>
      <c r="SWK330"/>
      <c r="SWL330"/>
      <c r="SWO330"/>
      <c r="SWP330"/>
      <c r="SWS330"/>
      <c r="SWT330"/>
      <c r="SWW330"/>
      <c r="SWX330"/>
      <c r="SXA330"/>
      <c r="SXB330"/>
      <c r="SXE330"/>
      <c r="SXF330"/>
      <c r="SXI330"/>
      <c r="SXJ330"/>
      <c r="SXM330"/>
      <c r="SXN330"/>
      <c r="SXQ330"/>
      <c r="SXR330"/>
      <c r="SXU330"/>
      <c r="SXV330"/>
      <c r="SXY330"/>
      <c r="SXZ330"/>
      <c r="SYC330"/>
      <c r="SYD330"/>
      <c r="SYG330"/>
      <c r="SYH330"/>
      <c r="SYK330"/>
      <c r="SYL330"/>
      <c r="SYO330"/>
      <c r="SYP330"/>
      <c r="SYS330"/>
      <c r="SYT330"/>
      <c r="SYW330"/>
      <c r="SYX330"/>
      <c r="SZA330"/>
      <c r="SZB330"/>
      <c r="SZE330"/>
      <c r="SZF330"/>
      <c r="SZI330"/>
      <c r="SZJ330"/>
      <c r="SZM330"/>
      <c r="SZN330"/>
      <c r="SZQ330"/>
      <c r="SZR330"/>
      <c r="SZU330"/>
      <c r="SZV330"/>
      <c r="SZY330"/>
      <c r="SZZ330"/>
      <c r="TAC330"/>
      <c r="TAD330"/>
      <c r="TAG330"/>
      <c r="TAH330"/>
      <c r="TAK330"/>
      <c r="TAL330"/>
      <c r="TAO330"/>
      <c r="TAP330"/>
      <c r="TAS330"/>
      <c r="TAT330"/>
      <c r="TAW330"/>
      <c r="TAX330"/>
      <c r="TBA330"/>
      <c r="TBB330"/>
      <c r="TBE330"/>
      <c r="TBF330"/>
      <c r="TBI330"/>
      <c r="TBJ330"/>
      <c r="TBM330"/>
      <c r="TBN330"/>
      <c r="TBQ330"/>
      <c r="TBR330"/>
      <c r="TBU330"/>
      <c r="TBV330"/>
      <c r="TBY330"/>
      <c r="TBZ330"/>
      <c r="TCC330"/>
      <c r="TCD330"/>
      <c r="TCG330"/>
      <c r="TCH330"/>
      <c r="TCK330"/>
      <c r="TCL330"/>
      <c r="TCO330"/>
      <c r="TCP330"/>
      <c r="TCS330"/>
      <c r="TCT330"/>
      <c r="TCW330"/>
      <c r="TCX330"/>
      <c r="TDA330"/>
      <c r="TDB330"/>
      <c r="TDE330"/>
      <c r="TDF330"/>
      <c r="TDI330"/>
      <c r="TDJ330"/>
      <c r="TDM330"/>
      <c r="TDN330"/>
      <c r="TDQ330"/>
      <c r="TDR330"/>
      <c r="TDU330"/>
      <c r="TDV330"/>
      <c r="TDY330"/>
      <c r="TDZ330"/>
      <c r="TEC330"/>
      <c r="TED330"/>
      <c r="TEG330"/>
      <c r="TEH330"/>
      <c r="TEK330"/>
      <c r="TEL330"/>
      <c r="TEO330"/>
      <c r="TEP330"/>
      <c r="TES330"/>
      <c r="TET330"/>
      <c r="TEW330"/>
      <c r="TEX330"/>
      <c r="TFA330"/>
      <c r="TFB330"/>
      <c r="TFE330"/>
      <c r="TFF330"/>
      <c r="TFI330"/>
      <c r="TFJ330"/>
      <c r="TFM330"/>
      <c r="TFN330"/>
      <c r="TFQ330"/>
      <c r="TFR330"/>
      <c r="TFU330"/>
      <c r="TFV330"/>
      <c r="TFY330"/>
      <c r="TFZ330"/>
      <c r="TGC330"/>
      <c r="TGD330"/>
      <c r="TGG330"/>
      <c r="TGH330"/>
      <c r="TGK330"/>
      <c r="TGL330"/>
      <c r="TGO330"/>
      <c r="TGP330"/>
      <c r="TGS330"/>
      <c r="TGT330"/>
      <c r="TGW330"/>
      <c r="TGX330"/>
      <c r="THA330"/>
      <c r="THB330"/>
      <c r="THE330"/>
      <c r="THF330"/>
      <c r="THI330"/>
      <c r="THJ330"/>
      <c r="THM330"/>
      <c r="THN330"/>
      <c r="THQ330"/>
      <c r="THR330"/>
      <c r="THU330"/>
      <c r="THV330"/>
      <c r="THY330"/>
      <c r="THZ330"/>
      <c r="TIC330"/>
      <c r="TID330"/>
      <c r="TIG330"/>
      <c r="TIH330"/>
      <c r="TIK330"/>
      <c r="TIL330"/>
      <c r="TIO330"/>
      <c r="TIP330"/>
      <c r="TIS330"/>
      <c r="TIT330"/>
      <c r="TIW330"/>
      <c r="TIX330"/>
      <c r="TJA330"/>
      <c r="TJB330"/>
      <c r="TJE330"/>
      <c r="TJF330"/>
      <c r="TJI330"/>
      <c r="TJJ330"/>
      <c r="TJM330"/>
      <c r="TJN330"/>
      <c r="TJQ330"/>
      <c r="TJR330"/>
      <c r="TJU330"/>
      <c r="TJV330"/>
      <c r="TJY330"/>
      <c r="TJZ330"/>
      <c r="TKC330"/>
      <c r="TKD330"/>
      <c r="TKG330"/>
      <c r="TKH330"/>
      <c r="TKK330"/>
      <c r="TKL330"/>
      <c r="TKO330"/>
      <c r="TKP330"/>
      <c r="TKS330"/>
      <c r="TKT330"/>
      <c r="TKW330"/>
      <c r="TKX330"/>
      <c r="TLA330"/>
      <c r="TLB330"/>
      <c r="TLE330"/>
      <c r="TLF330"/>
      <c r="TLI330"/>
      <c r="TLJ330"/>
      <c r="TLM330"/>
      <c r="TLN330"/>
      <c r="TLQ330"/>
      <c r="TLR330"/>
      <c r="TLU330"/>
      <c r="TLV330"/>
      <c r="TLY330"/>
      <c r="TLZ330"/>
      <c r="TMC330"/>
      <c r="TMD330"/>
      <c r="TMG330"/>
      <c r="TMH330"/>
      <c r="TMK330"/>
      <c r="TML330"/>
      <c r="TMO330"/>
      <c r="TMP330"/>
      <c r="TMS330"/>
      <c r="TMT330"/>
      <c r="TMW330"/>
      <c r="TMX330"/>
      <c r="TNA330"/>
      <c r="TNB330"/>
      <c r="TNE330"/>
      <c r="TNF330"/>
      <c r="TNI330"/>
      <c r="TNJ330"/>
      <c r="TNM330"/>
      <c r="TNN330"/>
      <c r="TNQ330"/>
      <c r="TNR330"/>
      <c r="TNU330"/>
      <c r="TNV330"/>
      <c r="TNY330"/>
      <c r="TNZ330"/>
      <c r="TOC330"/>
      <c r="TOD330"/>
      <c r="TOG330"/>
      <c r="TOH330"/>
      <c r="TOK330"/>
      <c r="TOL330"/>
      <c r="TOO330"/>
      <c r="TOP330"/>
      <c r="TOS330"/>
      <c r="TOT330"/>
      <c r="TOW330"/>
      <c r="TOX330"/>
      <c r="TPA330"/>
      <c r="TPB330"/>
      <c r="TPE330"/>
      <c r="TPF330"/>
      <c r="TPI330"/>
      <c r="TPJ330"/>
      <c r="TPM330"/>
      <c r="TPN330"/>
      <c r="TPQ330"/>
      <c r="TPR330"/>
      <c r="TPU330"/>
      <c r="TPV330"/>
      <c r="TPY330"/>
      <c r="TPZ330"/>
      <c r="TQC330"/>
      <c r="TQD330"/>
      <c r="TQG330"/>
      <c r="TQH330"/>
      <c r="TQK330"/>
      <c r="TQL330"/>
      <c r="TQO330"/>
      <c r="TQP330"/>
      <c r="TQS330"/>
      <c r="TQT330"/>
      <c r="TQW330"/>
      <c r="TQX330"/>
      <c r="TRA330"/>
      <c r="TRB330"/>
      <c r="TRE330"/>
      <c r="TRF330"/>
      <c r="TRI330"/>
      <c r="TRJ330"/>
      <c r="TRM330"/>
      <c r="TRN330"/>
      <c r="TRQ330"/>
      <c r="TRR330"/>
      <c r="TRU330"/>
      <c r="TRV330"/>
      <c r="TRY330"/>
      <c r="TRZ330"/>
      <c r="TSC330"/>
      <c r="TSD330"/>
      <c r="TSG330"/>
      <c r="TSH330"/>
      <c r="TSK330"/>
      <c r="TSL330"/>
      <c r="TSO330"/>
      <c r="TSP330"/>
      <c r="TSS330"/>
      <c r="TST330"/>
      <c r="TSW330"/>
      <c r="TSX330"/>
      <c r="TTA330"/>
      <c r="TTB330"/>
      <c r="TTE330"/>
      <c r="TTF330"/>
      <c r="TTI330"/>
      <c r="TTJ330"/>
      <c r="TTM330"/>
      <c r="TTN330"/>
      <c r="TTQ330"/>
      <c r="TTR330"/>
      <c r="TTU330"/>
      <c r="TTV330"/>
      <c r="TTY330"/>
      <c r="TTZ330"/>
      <c r="TUC330"/>
      <c r="TUD330"/>
      <c r="TUG330"/>
      <c r="TUH330"/>
      <c r="TUK330"/>
      <c r="TUL330"/>
      <c r="TUO330"/>
      <c r="TUP330"/>
      <c r="TUS330"/>
      <c r="TUT330"/>
      <c r="TUW330"/>
      <c r="TUX330"/>
      <c r="TVA330"/>
      <c r="TVB330"/>
      <c r="TVE330"/>
      <c r="TVF330"/>
      <c r="TVI330"/>
      <c r="TVJ330"/>
      <c r="TVM330"/>
      <c r="TVN330"/>
      <c r="TVQ330"/>
      <c r="TVR330"/>
      <c r="TVU330"/>
      <c r="TVV330"/>
      <c r="TVY330"/>
      <c r="TVZ330"/>
      <c r="TWC330"/>
      <c r="TWD330"/>
      <c r="TWG330"/>
      <c r="TWH330"/>
      <c r="TWK330"/>
      <c r="TWL330"/>
      <c r="TWO330"/>
      <c r="TWP330"/>
      <c r="TWS330"/>
      <c r="TWT330"/>
      <c r="TWW330"/>
      <c r="TWX330"/>
      <c r="TXA330"/>
      <c r="TXB330"/>
      <c r="TXE330"/>
      <c r="TXF330"/>
      <c r="TXI330"/>
      <c r="TXJ330"/>
      <c r="TXM330"/>
      <c r="TXN330"/>
      <c r="TXQ330"/>
      <c r="TXR330"/>
      <c r="TXU330"/>
      <c r="TXV330"/>
      <c r="TXY330"/>
      <c r="TXZ330"/>
      <c r="TYC330"/>
      <c r="TYD330"/>
      <c r="TYG330"/>
      <c r="TYH330"/>
      <c r="TYK330"/>
      <c r="TYL330"/>
      <c r="TYO330"/>
      <c r="TYP330"/>
      <c r="TYS330"/>
      <c r="TYT330"/>
      <c r="TYW330"/>
      <c r="TYX330"/>
      <c r="TZA330"/>
      <c r="TZB330"/>
      <c r="TZE330"/>
      <c r="TZF330"/>
      <c r="TZI330"/>
      <c r="TZJ330"/>
      <c r="TZM330"/>
      <c r="TZN330"/>
      <c r="TZQ330"/>
      <c r="TZR330"/>
      <c r="TZU330"/>
      <c r="TZV330"/>
      <c r="TZY330"/>
      <c r="TZZ330"/>
      <c r="UAC330"/>
      <c r="UAD330"/>
      <c r="UAG330"/>
      <c r="UAH330"/>
      <c r="UAK330"/>
      <c r="UAL330"/>
      <c r="UAO330"/>
      <c r="UAP330"/>
      <c r="UAS330"/>
      <c r="UAT330"/>
      <c r="UAW330"/>
      <c r="UAX330"/>
      <c r="UBA330"/>
      <c r="UBB330"/>
      <c r="UBE330"/>
      <c r="UBF330"/>
      <c r="UBI330"/>
      <c r="UBJ330"/>
      <c r="UBM330"/>
      <c r="UBN330"/>
      <c r="UBQ330"/>
      <c r="UBR330"/>
      <c r="UBU330"/>
      <c r="UBV330"/>
      <c r="UBY330"/>
      <c r="UBZ330"/>
      <c r="UCC330"/>
      <c r="UCD330"/>
      <c r="UCG330"/>
      <c r="UCH330"/>
      <c r="UCK330"/>
      <c r="UCL330"/>
      <c r="UCO330"/>
      <c r="UCP330"/>
      <c r="UCS330"/>
      <c r="UCT330"/>
      <c r="UCW330"/>
      <c r="UCX330"/>
      <c r="UDA330"/>
      <c r="UDB330"/>
      <c r="UDE330"/>
      <c r="UDF330"/>
      <c r="UDI330"/>
      <c r="UDJ330"/>
      <c r="UDM330"/>
      <c r="UDN330"/>
      <c r="UDQ330"/>
      <c r="UDR330"/>
      <c r="UDU330"/>
      <c r="UDV330"/>
      <c r="UDY330"/>
      <c r="UDZ330"/>
      <c r="UEC330"/>
      <c r="UED330"/>
      <c r="UEG330"/>
      <c r="UEH330"/>
      <c r="UEK330"/>
      <c r="UEL330"/>
      <c r="UEO330"/>
      <c r="UEP330"/>
      <c r="UES330"/>
      <c r="UET330"/>
      <c r="UEW330"/>
      <c r="UEX330"/>
      <c r="UFA330"/>
      <c r="UFB330"/>
      <c r="UFE330"/>
      <c r="UFF330"/>
      <c r="UFI330"/>
      <c r="UFJ330"/>
      <c r="UFM330"/>
      <c r="UFN330"/>
      <c r="UFQ330"/>
      <c r="UFR330"/>
      <c r="UFU330"/>
      <c r="UFV330"/>
      <c r="UFY330"/>
      <c r="UFZ330"/>
      <c r="UGC330"/>
      <c r="UGD330"/>
      <c r="UGG330"/>
      <c r="UGH330"/>
      <c r="UGK330"/>
      <c r="UGL330"/>
      <c r="UGO330"/>
      <c r="UGP330"/>
      <c r="UGS330"/>
      <c r="UGT330"/>
      <c r="UGW330"/>
      <c r="UGX330"/>
      <c r="UHA330"/>
      <c r="UHB330"/>
      <c r="UHE330"/>
      <c r="UHF330"/>
      <c r="UHI330"/>
      <c r="UHJ330"/>
      <c r="UHM330"/>
      <c r="UHN330"/>
      <c r="UHQ330"/>
      <c r="UHR330"/>
      <c r="UHU330"/>
      <c r="UHV330"/>
      <c r="UHY330"/>
      <c r="UHZ330"/>
      <c r="UIC330"/>
      <c r="UID330"/>
      <c r="UIG330"/>
      <c r="UIH330"/>
      <c r="UIK330"/>
      <c r="UIL330"/>
      <c r="UIO330"/>
      <c r="UIP330"/>
      <c r="UIS330"/>
      <c r="UIT330"/>
      <c r="UIW330"/>
      <c r="UIX330"/>
      <c r="UJA330"/>
      <c r="UJB330"/>
      <c r="UJE330"/>
      <c r="UJF330"/>
      <c r="UJI330"/>
      <c r="UJJ330"/>
      <c r="UJM330"/>
      <c r="UJN330"/>
      <c r="UJQ330"/>
      <c r="UJR330"/>
      <c r="UJU330"/>
      <c r="UJV330"/>
      <c r="UJY330"/>
      <c r="UJZ330"/>
      <c r="UKC330"/>
      <c r="UKD330"/>
      <c r="UKG330"/>
      <c r="UKH330"/>
      <c r="UKK330"/>
      <c r="UKL330"/>
      <c r="UKO330"/>
      <c r="UKP330"/>
      <c r="UKS330"/>
      <c r="UKT330"/>
      <c r="UKW330"/>
      <c r="UKX330"/>
      <c r="ULA330"/>
      <c r="ULB330"/>
      <c r="ULE330"/>
      <c r="ULF330"/>
      <c r="ULI330"/>
      <c r="ULJ330"/>
      <c r="ULM330"/>
      <c r="ULN330"/>
      <c r="ULQ330"/>
      <c r="ULR330"/>
      <c r="ULU330"/>
      <c r="ULV330"/>
      <c r="ULY330"/>
      <c r="ULZ330"/>
      <c r="UMC330"/>
      <c r="UMD330"/>
      <c r="UMG330"/>
      <c r="UMH330"/>
      <c r="UMK330"/>
      <c r="UML330"/>
      <c r="UMO330"/>
      <c r="UMP330"/>
      <c r="UMS330"/>
      <c r="UMT330"/>
      <c r="UMW330"/>
      <c r="UMX330"/>
      <c r="UNA330"/>
      <c r="UNB330"/>
      <c r="UNE330"/>
      <c r="UNF330"/>
      <c r="UNI330"/>
      <c r="UNJ330"/>
      <c r="UNM330"/>
      <c r="UNN330"/>
      <c r="UNQ330"/>
      <c r="UNR330"/>
      <c r="UNU330"/>
      <c r="UNV330"/>
      <c r="UNY330"/>
      <c r="UNZ330"/>
      <c r="UOC330"/>
      <c r="UOD330"/>
      <c r="UOG330"/>
      <c r="UOH330"/>
      <c r="UOK330"/>
      <c r="UOL330"/>
      <c r="UOO330"/>
      <c r="UOP330"/>
      <c r="UOS330"/>
      <c r="UOT330"/>
      <c r="UOW330"/>
      <c r="UOX330"/>
      <c r="UPA330"/>
      <c r="UPB330"/>
      <c r="UPE330"/>
      <c r="UPF330"/>
      <c r="UPI330"/>
      <c r="UPJ330"/>
      <c r="UPM330"/>
      <c r="UPN330"/>
      <c r="UPQ330"/>
      <c r="UPR330"/>
      <c r="UPU330"/>
      <c r="UPV330"/>
      <c r="UPY330"/>
      <c r="UPZ330"/>
      <c r="UQC330"/>
      <c r="UQD330"/>
      <c r="UQG330"/>
      <c r="UQH330"/>
      <c r="UQK330"/>
      <c r="UQL330"/>
      <c r="UQO330"/>
      <c r="UQP330"/>
      <c r="UQS330"/>
      <c r="UQT330"/>
      <c r="UQW330"/>
      <c r="UQX330"/>
      <c r="URA330"/>
      <c r="URB330"/>
      <c r="URE330"/>
      <c r="URF330"/>
      <c r="URI330"/>
      <c r="URJ330"/>
      <c r="URM330"/>
      <c r="URN330"/>
      <c r="URQ330"/>
      <c r="URR330"/>
      <c r="URU330"/>
      <c r="URV330"/>
      <c r="URY330"/>
      <c r="URZ330"/>
      <c r="USC330"/>
      <c r="USD330"/>
      <c r="USG330"/>
      <c r="USH330"/>
      <c r="USK330"/>
      <c r="USL330"/>
      <c r="USO330"/>
      <c r="USP330"/>
      <c r="USS330"/>
      <c r="UST330"/>
      <c r="USW330"/>
      <c r="USX330"/>
      <c r="UTA330"/>
      <c r="UTB330"/>
      <c r="UTE330"/>
      <c r="UTF330"/>
      <c r="UTI330"/>
      <c r="UTJ330"/>
      <c r="UTM330"/>
      <c r="UTN330"/>
      <c r="UTQ330"/>
      <c r="UTR330"/>
      <c r="UTU330"/>
      <c r="UTV330"/>
      <c r="UTY330"/>
      <c r="UTZ330"/>
      <c r="UUC330"/>
      <c r="UUD330"/>
      <c r="UUG330"/>
      <c r="UUH330"/>
      <c r="UUK330"/>
      <c r="UUL330"/>
      <c r="UUO330"/>
      <c r="UUP330"/>
      <c r="UUS330"/>
      <c r="UUT330"/>
      <c r="UUW330"/>
      <c r="UUX330"/>
      <c r="UVA330"/>
      <c r="UVB330"/>
      <c r="UVE330"/>
      <c r="UVF330"/>
      <c r="UVI330"/>
      <c r="UVJ330"/>
      <c r="UVM330"/>
      <c r="UVN330"/>
      <c r="UVQ330"/>
      <c r="UVR330"/>
      <c r="UVU330"/>
      <c r="UVV330"/>
      <c r="UVY330"/>
      <c r="UVZ330"/>
      <c r="UWC330"/>
      <c r="UWD330"/>
      <c r="UWG330"/>
      <c r="UWH330"/>
      <c r="UWK330"/>
      <c r="UWL330"/>
      <c r="UWO330"/>
      <c r="UWP330"/>
      <c r="UWS330"/>
      <c r="UWT330"/>
      <c r="UWW330"/>
      <c r="UWX330"/>
      <c r="UXA330"/>
      <c r="UXB330"/>
      <c r="UXE330"/>
      <c r="UXF330"/>
      <c r="UXI330"/>
      <c r="UXJ330"/>
      <c r="UXM330"/>
      <c r="UXN330"/>
      <c r="UXQ330"/>
      <c r="UXR330"/>
      <c r="UXU330"/>
      <c r="UXV330"/>
      <c r="UXY330"/>
      <c r="UXZ330"/>
      <c r="UYC330"/>
      <c r="UYD330"/>
      <c r="UYG330"/>
      <c r="UYH330"/>
      <c r="UYK330"/>
      <c r="UYL330"/>
      <c r="UYO330"/>
      <c r="UYP330"/>
      <c r="UYS330"/>
      <c r="UYT330"/>
      <c r="UYW330"/>
      <c r="UYX330"/>
      <c r="UZA330"/>
      <c r="UZB330"/>
      <c r="UZE330"/>
      <c r="UZF330"/>
      <c r="UZI330"/>
      <c r="UZJ330"/>
      <c r="UZM330"/>
      <c r="UZN330"/>
      <c r="UZQ330"/>
      <c r="UZR330"/>
      <c r="UZU330"/>
      <c r="UZV330"/>
      <c r="UZY330"/>
      <c r="UZZ330"/>
      <c r="VAC330"/>
      <c r="VAD330"/>
      <c r="VAG330"/>
      <c r="VAH330"/>
      <c r="VAK330"/>
      <c r="VAL330"/>
      <c r="VAO330"/>
      <c r="VAP330"/>
      <c r="VAS330"/>
      <c r="VAT330"/>
      <c r="VAW330"/>
      <c r="VAX330"/>
      <c r="VBA330"/>
      <c r="VBB330"/>
      <c r="VBE330"/>
      <c r="VBF330"/>
      <c r="VBI330"/>
      <c r="VBJ330"/>
      <c r="VBM330"/>
      <c r="VBN330"/>
      <c r="VBQ330"/>
      <c r="VBR330"/>
      <c r="VBU330"/>
      <c r="VBV330"/>
      <c r="VBY330"/>
      <c r="VBZ330"/>
      <c r="VCC330"/>
      <c r="VCD330"/>
      <c r="VCG330"/>
      <c r="VCH330"/>
      <c r="VCK330"/>
      <c r="VCL330"/>
      <c r="VCO330"/>
      <c r="VCP330"/>
      <c r="VCS330"/>
      <c r="VCT330"/>
      <c r="VCW330"/>
      <c r="VCX330"/>
      <c r="VDA330"/>
      <c r="VDB330"/>
      <c r="VDE330"/>
      <c r="VDF330"/>
      <c r="VDI330"/>
      <c r="VDJ330"/>
      <c r="VDM330"/>
      <c r="VDN330"/>
      <c r="VDQ330"/>
      <c r="VDR330"/>
      <c r="VDU330"/>
      <c r="VDV330"/>
      <c r="VDY330"/>
      <c r="VDZ330"/>
      <c r="VEC330"/>
      <c r="VED330"/>
      <c r="VEG330"/>
      <c r="VEH330"/>
      <c r="VEK330"/>
      <c r="VEL330"/>
      <c r="VEO330"/>
      <c r="VEP330"/>
      <c r="VES330"/>
      <c r="VET330"/>
      <c r="VEW330"/>
      <c r="VEX330"/>
      <c r="VFA330"/>
      <c r="VFB330"/>
      <c r="VFE330"/>
      <c r="VFF330"/>
      <c r="VFI330"/>
      <c r="VFJ330"/>
      <c r="VFM330"/>
      <c r="VFN330"/>
      <c r="VFQ330"/>
      <c r="VFR330"/>
      <c r="VFU330"/>
      <c r="VFV330"/>
      <c r="VFY330"/>
      <c r="VFZ330"/>
      <c r="VGC330"/>
      <c r="VGD330"/>
      <c r="VGG330"/>
      <c r="VGH330"/>
      <c r="VGK330"/>
      <c r="VGL330"/>
      <c r="VGO330"/>
      <c r="VGP330"/>
      <c r="VGS330"/>
      <c r="VGT330"/>
      <c r="VGW330"/>
      <c r="VGX330"/>
      <c r="VHA330"/>
      <c r="VHB330"/>
      <c r="VHE330"/>
      <c r="VHF330"/>
      <c r="VHI330"/>
      <c r="VHJ330"/>
      <c r="VHM330"/>
      <c r="VHN330"/>
      <c r="VHQ330"/>
      <c r="VHR330"/>
      <c r="VHU330"/>
      <c r="VHV330"/>
      <c r="VHY330"/>
      <c r="VHZ330"/>
      <c r="VIC330"/>
      <c r="VID330"/>
      <c r="VIG330"/>
      <c r="VIH330"/>
      <c r="VIK330"/>
      <c r="VIL330"/>
      <c r="VIO330"/>
      <c r="VIP330"/>
      <c r="VIS330"/>
      <c r="VIT330"/>
      <c r="VIW330"/>
      <c r="VIX330"/>
      <c r="VJA330"/>
      <c r="VJB330"/>
      <c r="VJE330"/>
      <c r="VJF330"/>
      <c r="VJI330"/>
      <c r="VJJ330"/>
      <c r="VJM330"/>
      <c r="VJN330"/>
      <c r="VJQ330"/>
      <c r="VJR330"/>
      <c r="VJU330"/>
      <c r="VJV330"/>
      <c r="VJY330"/>
      <c r="VJZ330"/>
      <c r="VKC330"/>
      <c r="VKD330"/>
      <c r="VKG330"/>
      <c r="VKH330"/>
      <c r="VKK330"/>
      <c r="VKL330"/>
      <c r="VKO330"/>
      <c r="VKP330"/>
      <c r="VKS330"/>
      <c r="VKT330"/>
      <c r="VKW330"/>
      <c r="VKX330"/>
      <c r="VLA330"/>
      <c r="VLB330"/>
      <c r="VLE330"/>
      <c r="VLF330"/>
      <c r="VLI330"/>
      <c r="VLJ330"/>
      <c r="VLM330"/>
      <c r="VLN330"/>
      <c r="VLQ330"/>
      <c r="VLR330"/>
      <c r="VLU330"/>
      <c r="VLV330"/>
      <c r="VLY330"/>
      <c r="VLZ330"/>
      <c r="VMC330"/>
      <c r="VMD330"/>
      <c r="VMG330"/>
      <c r="VMH330"/>
      <c r="VMK330"/>
      <c r="VML330"/>
      <c r="VMO330"/>
      <c r="VMP330"/>
      <c r="VMS330"/>
      <c r="VMT330"/>
      <c r="VMW330"/>
      <c r="VMX330"/>
      <c r="VNA330"/>
      <c r="VNB330"/>
      <c r="VNE330"/>
      <c r="VNF330"/>
      <c r="VNI330"/>
      <c r="VNJ330"/>
      <c r="VNM330"/>
      <c r="VNN330"/>
      <c r="VNQ330"/>
      <c r="VNR330"/>
      <c r="VNU330"/>
      <c r="VNV330"/>
      <c r="VNY330"/>
      <c r="VNZ330"/>
      <c r="VOC330"/>
      <c r="VOD330"/>
      <c r="VOG330"/>
      <c r="VOH330"/>
      <c r="VOK330"/>
      <c r="VOL330"/>
      <c r="VOO330"/>
      <c r="VOP330"/>
      <c r="VOS330"/>
      <c r="VOT330"/>
      <c r="VOW330"/>
      <c r="VOX330"/>
      <c r="VPA330"/>
      <c r="VPB330"/>
      <c r="VPE330"/>
      <c r="VPF330"/>
      <c r="VPI330"/>
      <c r="VPJ330"/>
      <c r="VPM330"/>
      <c r="VPN330"/>
      <c r="VPQ330"/>
      <c r="VPR330"/>
      <c r="VPU330"/>
      <c r="VPV330"/>
      <c r="VPY330"/>
      <c r="VPZ330"/>
      <c r="VQC330"/>
      <c r="VQD330"/>
      <c r="VQG330"/>
      <c r="VQH330"/>
      <c r="VQK330"/>
      <c r="VQL330"/>
      <c r="VQO330"/>
      <c r="VQP330"/>
      <c r="VQS330"/>
      <c r="VQT330"/>
      <c r="VQW330"/>
      <c r="VQX330"/>
      <c r="VRA330"/>
      <c r="VRB330"/>
      <c r="VRE330"/>
      <c r="VRF330"/>
      <c r="VRI330"/>
      <c r="VRJ330"/>
      <c r="VRM330"/>
      <c r="VRN330"/>
      <c r="VRQ330"/>
      <c r="VRR330"/>
      <c r="VRU330"/>
      <c r="VRV330"/>
      <c r="VRY330"/>
      <c r="VRZ330"/>
      <c r="VSC330"/>
      <c r="VSD330"/>
      <c r="VSG330"/>
      <c r="VSH330"/>
      <c r="VSK330"/>
      <c r="VSL330"/>
      <c r="VSO330"/>
      <c r="VSP330"/>
      <c r="VSS330"/>
      <c r="VST330"/>
      <c r="VSW330"/>
      <c r="VSX330"/>
      <c r="VTA330"/>
      <c r="VTB330"/>
      <c r="VTE330"/>
      <c r="VTF330"/>
      <c r="VTI330"/>
      <c r="VTJ330"/>
      <c r="VTM330"/>
      <c r="VTN330"/>
      <c r="VTQ330"/>
      <c r="VTR330"/>
      <c r="VTU330"/>
      <c r="VTV330"/>
      <c r="VTY330"/>
      <c r="VTZ330"/>
      <c r="VUC330"/>
      <c r="VUD330"/>
      <c r="VUG330"/>
      <c r="VUH330"/>
      <c r="VUK330"/>
      <c r="VUL330"/>
      <c r="VUO330"/>
      <c r="VUP330"/>
      <c r="VUS330"/>
      <c r="VUT330"/>
      <c r="VUW330"/>
      <c r="VUX330"/>
      <c r="VVA330"/>
      <c r="VVB330"/>
      <c r="VVE330"/>
      <c r="VVF330"/>
      <c r="VVI330"/>
      <c r="VVJ330"/>
      <c r="VVM330"/>
      <c r="VVN330"/>
      <c r="VVQ330"/>
      <c r="VVR330"/>
      <c r="VVU330"/>
      <c r="VVV330"/>
      <c r="VVY330"/>
      <c r="VVZ330"/>
      <c r="VWC330"/>
      <c r="VWD330"/>
      <c r="VWG330"/>
      <c r="VWH330"/>
      <c r="VWK330"/>
      <c r="VWL330"/>
      <c r="VWO330"/>
      <c r="VWP330"/>
      <c r="VWS330"/>
      <c r="VWT330"/>
      <c r="VWW330"/>
      <c r="VWX330"/>
      <c r="VXA330"/>
      <c r="VXB330"/>
      <c r="VXE330"/>
      <c r="VXF330"/>
      <c r="VXI330"/>
      <c r="VXJ330"/>
      <c r="VXM330"/>
      <c r="VXN330"/>
      <c r="VXQ330"/>
      <c r="VXR330"/>
      <c r="VXU330"/>
      <c r="VXV330"/>
      <c r="VXY330"/>
      <c r="VXZ330"/>
      <c r="VYC330"/>
      <c r="VYD330"/>
      <c r="VYG330"/>
      <c r="VYH330"/>
      <c r="VYK330"/>
      <c r="VYL330"/>
      <c r="VYO330"/>
      <c r="VYP330"/>
      <c r="VYS330"/>
      <c r="VYT330"/>
      <c r="VYW330"/>
      <c r="VYX330"/>
      <c r="VZA330"/>
      <c r="VZB330"/>
      <c r="VZE330"/>
      <c r="VZF330"/>
      <c r="VZI330"/>
      <c r="VZJ330"/>
      <c r="VZM330"/>
      <c r="VZN330"/>
      <c r="VZQ330"/>
      <c r="VZR330"/>
      <c r="VZU330"/>
      <c r="VZV330"/>
      <c r="VZY330"/>
      <c r="VZZ330"/>
      <c r="WAC330"/>
      <c r="WAD330"/>
      <c r="WAG330"/>
      <c r="WAH330"/>
      <c r="WAK330"/>
      <c r="WAL330"/>
      <c r="WAO330"/>
      <c r="WAP330"/>
      <c r="WAS330"/>
      <c r="WAT330"/>
      <c r="WAW330"/>
      <c r="WAX330"/>
      <c r="WBA330"/>
      <c r="WBB330"/>
      <c r="WBE330"/>
      <c r="WBF330"/>
      <c r="WBI330"/>
      <c r="WBJ330"/>
      <c r="WBM330"/>
      <c r="WBN330"/>
      <c r="WBQ330"/>
      <c r="WBR330"/>
      <c r="WBU330"/>
      <c r="WBV330"/>
      <c r="WBY330"/>
      <c r="WBZ330"/>
      <c r="WCC330"/>
      <c r="WCD330"/>
      <c r="WCG330"/>
      <c r="WCH330"/>
      <c r="WCK330"/>
      <c r="WCL330"/>
      <c r="WCO330"/>
      <c r="WCP330"/>
      <c r="WCS330"/>
      <c r="WCT330"/>
      <c r="WCW330"/>
      <c r="WCX330"/>
      <c r="WDA330"/>
      <c r="WDB330"/>
      <c r="WDE330"/>
      <c r="WDF330"/>
      <c r="WDI330"/>
      <c r="WDJ330"/>
      <c r="WDM330"/>
      <c r="WDN330"/>
      <c r="WDQ330"/>
      <c r="WDR330"/>
      <c r="WDU330"/>
      <c r="WDV330"/>
      <c r="WDY330"/>
      <c r="WDZ330"/>
      <c r="WEC330"/>
      <c r="WED330"/>
      <c r="WEG330"/>
      <c r="WEH330"/>
      <c r="WEK330"/>
      <c r="WEL330"/>
      <c r="WEO330"/>
      <c r="WEP330"/>
      <c r="WES330"/>
      <c r="WET330"/>
      <c r="WEW330"/>
      <c r="WEX330"/>
      <c r="WFA330"/>
      <c r="WFB330"/>
      <c r="WFE330"/>
      <c r="WFF330"/>
      <c r="WFI330"/>
      <c r="WFJ330"/>
      <c r="WFM330"/>
      <c r="WFN330"/>
      <c r="WFQ330"/>
      <c r="WFR330"/>
      <c r="WFU330"/>
      <c r="WFV330"/>
      <c r="WFY330"/>
      <c r="WFZ330"/>
      <c r="WGC330"/>
      <c r="WGD330"/>
      <c r="WGG330"/>
      <c r="WGH330"/>
      <c r="WGK330"/>
      <c r="WGL330"/>
      <c r="WGO330"/>
      <c r="WGP330"/>
      <c r="WGS330"/>
      <c r="WGT330"/>
      <c r="WGW330"/>
      <c r="WGX330"/>
      <c r="WHA330"/>
      <c r="WHB330"/>
      <c r="WHE330"/>
      <c r="WHF330"/>
      <c r="WHI330"/>
      <c r="WHJ330"/>
      <c r="WHM330"/>
      <c r="WHN330"/>
      <c r="WHQ330"/>
      <c r="WHR330"/>
      <c r="WHU330"/>
      <c r="WHV330"/>
      <c r="WHY330"/>
      <c r="WHZ330"/>
      <c r="WIC330"/>
      <c r="WID330"/>
      <c r="WIG330"/>
      <c r="WIH330"/>
      <c r="WIK330"/>
      <c r="WIL330"/>
      <c r="WIO330"/>
      <c r="WIP330"/>
      <c r="WIS330"/>
      <c r="WIT330"/>
      <c r="WIW330"/>
      <c r="WIX330"/>
      <c r="WJA330"/>
      <c r="WJB330"/>
      <c r="WJE330"/>
      <c r="WJF330"/>
      <c r="WJI330"/>
      <c r="WJJ330"/>
      <c r="WJM330"/>
      <c r="WJN330"/>
      <c r="WJQ330"/>
      <c r="WJR330"/>
      <c r="WJU330"/>
      <c r="WJV330"/>
      <c r="WJY330"/>
      <c r="WJZ330"/>
      <c r="WKC330"/>
      <c r="WKD330"/>
      <c r="WKG330"/>
      <c r="WKH330"/>
      <c r="WKK330"/>
      <c r="WKL330"/>
      <c r="WKO330"/>
      <c r="WKP330"/>
      <c r="WKS330"/>
      <c r="WKT330"/>
      <c r="WKW330"/>
      <c r="WKX330"/>
      <c r="WLA330"/>
      <c r="WLB330"/>
      <c r="WLE330"/>
      <c r="WLF330"/>
      <c r="WLI330"/>
      <c r="WLJ330"/>
      <c r="WLM330"/>
      <c r="WLN330"/>
      <c r="WLQ330"/>
      <c r="WLR330"/>
      <c r="WLU330"/>
      <c r="WLV330"/>
      <c r="WLY330"/>
      <c r="WLZ330"/>
      <c r="WMC330"/>
      <c r="WMD330"/>
      <c r="WMG330"/>
      <c r="WMH330"/>
      <c r="WMK330"/>
      <c r="WML330"/>
      <c r="WMO330"/>
      <c r="WMP330"/>
      <c r="WMS330"/>
      <c r="WMT330"/>
      <c r="WMW330"/>
      <c r="WMX330"/>
      <c r="WNA330"/>
      <c r="WNB330"/>
      <c r="WNE330"/>
      <c r="WNF330"/>
      <c r="WNI330"/>
      <c r="WNJ330"/>
      <c r="WNM330"/>
      <c r="WNN330"/>
      <c r="WNQ330"/>
      <c r="WNR330"/>
      <c r="WNU330"/>
      <c r="WNV330"/>
      <c r="WNY330"/>
      <c r="WNZ330"/>
      <c r="WOC330"/>
      <c r="WOD330"/>
      <c r="WOG330"/>
      <c r="WOH330"/>
      <c r="WOK330"/>
      <c r="WOL330"/>
      <c r="WOO330"/>
      <c r="WOP330"/>
      <c r="WOS330"/>
      <c r="WOT330"/>
      <c r="WOW330"/>
      <c r="WOX330"/>
      <c r="WPA330"/>
      <c r="WPB330"/>
      <c r="WPE330"/>
      <c r="WPF330"/>
      <c r="WPI330"/>
      <c r="WPJ330"/>
      <c r="WPM330"/>
      <c r="WPN330"/>
      <c r="WPQ330"/>
      <c r="WPR330"/>
      <c r="WPU330"/>
      <c r="WPV330"/>
      <c r="WPY330"/>
      <c r="WPZ330"/>
      <c r="WQC330"/>
      <c r="WQD330"/>
      <c r="WQG330"/>
      <c r="WQH330"/>
      <c r="WQK330"/>
      <c r="WQL330"/>
      <c r="WQO330"/>
      <c r="WQP330"/>
      <c r="WQS330"/>
      <c r="WQT330"/>
      <c r="WQW330"/>
      <c r="WQX330"/>
      <c r="WRA330"/>
      <c r="WRB330"/>
      <c r="WRE330"/>
      <c r="WRF330"/>
      <c r="WRI330"/>
      <c r="WRJ330"/>
      <c r="WRM330"/>
      <c r="WRN330"/>
      <c r="WRQ330"/>
      <c r="WRR330"/>
      <c r="WRU330"/>
      <c r="WRV330"/>
      <c r="WRY330"/>
      <c r="WRZ330"/>
      <c r="WSC330"/>
      <c r="WSD330"/>
      <c r="WSG330"/>
      <c r="WSH330"/>
      <c r="WSK330"/>
      <c r="WSL330"/>
      <c r="WSO330"/>
      <c r="WSP330"/>
      <c r="WSS330"/>
      <c r="WST330"/>
      <c r="WSW330"/>
      <c r="WSX330"/>
      <c r="WTA330"/>
      <c r="WTB330"/>
      <c r="WTE330"/>
      <c r="WTF330"/>
      <c r="WTI330"/>
      <c r="WTJ330"/>
      <c r="WTM330"/>
      <c r="WTN330"/>
      <c r="WTQ330"/>
      <c r="WTR330"/>
      <c r="WTU330"/>
      <c r="WTV330"/>
      <c r="WTY330"/>
      <c r="WTZ330"/>
      <c r="WUC330"/>
      <c r="WUD330"/>
      <c r="WUG330"/>
      <c r="WUH330"/>
      <c r="WUK330"/>
      <c r="WUL330"/>
      <c r="WUO330"/>
      <c r="WUP330"/>
      <c r="WUS330"/>
      <c r="WUT330"/>
      <c r="WUW330"/>
      <c r="WUX330"/>
      <c r="WVA330"/>
      <c r="WVB330"/>
      <c r="WVE330"/>
      <c r="WVF330"/>
      <c r="WVI330"/>
      <c r="WVJ330"/>
      <c r="WVM330"/>
      <c r="WVN330"/>
      <c r="WVQ330"/>
      <c r="WVR330"/>
      <c r="WVU330"/>
      <c r="WVV330"/>
      <c r="WVY330"/>
      <c r="WVZ330"/>
      <c r="WWC330"/>
      <c r="WWD330"/>
      <c r="WWG330"/>
      <c r="WWH330"/>
      <c r="WWK330"/>
      <c r="WWL330"/>
      <c r="WWO330"/>
      <c r="WWP330"/>
      <c r="WWS330"/>
      <c r="WWT330"/>
      <c r="WWW330"/>
      <c r="WWX330"/>
      <c r="WXA330"/>
      <c r="WXB330"/>
      <c r="WXE330"/>
      <c r="WXF330"/>
      <c r="WXI330"/>
      <c r="WXJ330"/>
      <c r="WXM330"/>
      <c r="WXN330"/>
      <c r="WXQ330"/>
      <c r="WXR330"/>
      <c r="WXU330"/>
      <c r="WXV330"/>
      <c r="WXY330"/>
      <c r="WXZ330"/>
      <c r="WYC330"/>
      <c r="WYD330"/>
      <c r="WYG330"/>
      <c r="WYH330"/>
      <c r="WYK330"/>
      <c r="WYL330"/>
      <c r="WYO330"/>
      <c r="WYP330"/>
      <c r="WYS330"/>
      <c r="WYT330"/>
      <c r="WYW330"/>
      <c r="WYX330"/>
      <c r="WZA330"/>
      <c r="WZB330"/>
      <c r="WZE330"/>
      <c r="WZF330"/>
      <c r="WZI330"/>
      <c r="WZJ330"/>
      <c r="WZM330"/>
      <c r="WZN330"/>
      <c r="WZQ330"/>
      <c r="WZR330"/>
      <c r="WZU330"/>
      <c r="WZV330"/>
      <c r="WZY330"/>
      <c r="WZZ330"/>
      <c r="XAC330"/>
      <c r="XAD330"/>
      <c r="XAG330"/>
      <c r="XAH330"/>
      <c r="XAK330"/>
      <c r="XAL330"/>
      <c r="XAO330"/>
      <c r="XAP330"/>
      <c r="XAS330"/>
      <c r="XAT330"/>
      <c r="XAW330"/>
      <c r="XAX330"/>
      <c r="XBA330"/>
      <c r="XBB330"/>
      <c r="XBE330"/>
      <c r="XBF330"/>
      <c r="XBI330"/>
      <c r="XBJ330"/>
      <c r="XBM330"/>
      <c r="XBN330"/>
      <c r="XBQ330"/>
      <c r="XBR330"/>
      <c r="XBU330"/>
      <c r="XBV330"/>
      <c r="XBY330"/>
      <c r="XBZ330"/>
      <c r="XCC330"/>
      <c r="XCD330"/>
      <c r="XCG330"/>
      <c r="XCH330"/>
      <c r="XCK330"/>
      <c r="XCL330"/>
      <c r="XCO330"/>
      <c r="XCP330"/>
      <c r="XCS330"/>
      <c r="XCT330"/>
      <c r="XCW330"/>
      <c r="XCX330"/>
      <c r="XDA330"/>
      <c r="XDB330"/>
      <c r="XDE330"/>
      <c r="XDF330"/>
      <c r="XDI330"/>
      <c r="XDJ330"/>
      <c r="XDM330"/>
      <c r="XDN330"/>
      <c r="XDQ330"/>
      <c r="XDR330"/>
      <c r="XDU330"/>
      <c r="XDV330"/>
      <c r="XDY330"/>
      <c r="XDZ330"/>
      <c r="XEC330"/>
      <c r="XED330"/>
      <c r="XEG330"/>
      <c r="XEH330"/>
      <c r="XEK330"/>
      <c r="XEL330"/>
      <c r="XEO330"/>
      <c r="XEP330"/>
      <c r="XES330"/>
      <c r="XET330"/>
      <c r="XEW330"/>
      <c r="XEX330"/>
      <c r="XFA330"/>
      <c r="XFB330"/>
    </row>
    <row r="331" spans="1:1022 1025:2046 2049:3070 3073:4094 4097:5118 5121:6142 6145:7166 7169:8190 8193:9214 9217:10238 10241:11262 11265:12286 12289:13310 13313:14334 14337:15358 15361:16382" s="13" customFormat="1" outlineLevel="1" x14ac:dyDescent="0.3">
      <c r="A331" t="s">
        <v>1213</v>
      </c>
      <c r="B331" t="s">
        <v>168</v>
      </c>
      <c r="C331" s="13" t="s">
        <v>9</v>
      </c>
      <c r="D331" s="13" t="s">
        <v>1212</v>
      </c>
      <c r="E331" t="s">
        <v>5984</v>
      </c>
      <c r="F331"/>
      <c r="G331"/>
      <c r="H331"/>
      <c r="I331"/>
      <c r="J331" t="s">
        <v>6841</v>
      </c>
      <c r="K331" t="s">
        <v>6803</v>
      </c>
      <c r="M331"/>
      <c r="N331"/>
      <c r="Q331"/>
      <c r="R331"/>
      <c r="U331"/>
      <c r="V331"/>
      <c r="Y331"/>
      <c r="Z331"/>
      <c r="AC331"/>
      <c r="AD331"/>
      <c r="AG331"/>
      <c r="AH331"/>
      <c r="AK331"/>
      <c r="AL331"/>
      <c r="AO331"/>
      <c r="AP331"/>
      <c r="AS331"/>
      <c r="AT331"/>
      <c r="AW331"/>
      <c r="AX331"/>
      <c r="BA331"/>
      <c r="BB331"/>
      <c r="BE331"/>
      <c r="BF331"/>
      <c r="BI331"/>
      <c r="BJ331"/>
      <c r="BM331"/>
      <c r="BN331"/>
      <c r="BQ331"/>
      <c r="BR331"/>
      <c r="BU331"/>
      <c r="BV331"/>
      <c r="BY331"/>
      <c r="BZ331"/>
      <c r="CC331"/>
      <c r="CD331" s="25"/>
      <c r="CG331"/>
      <c r="CH331"/>
      <c r="CK331"/>
      <c r="CL331"/>
      <c r="CO331"/>
      <c r="CP331"/>
      <c r="CS331"/>
      <c r="CT331"/>
      <c r="CW331"/>
      <c r="CX331"/>
      <c r="DA331"/>
      <c r="DB331"/>
      <c r="DE331" s="25"/>
      <c r="DF331"/>
      <c r="DI331"/>
      <c r="DJ331"/>
      <c r="DM331"/>
      <c r="DN331"/>
      <c r="DQ331"/>
      <c r="DR331"/>
      <c r="DU331"/>
      <c r="DV331"/>
      <c r="DY331"/>
      <c r="DZ331"/>
      <c r="EC331"/>
      <c r="ED331"/>
      <c r="EG331"/>
      <c r="EH331"/>
      <c r="EK331"/>
      <c r="EL331"/>
      <c r="EO331"/>
      <c r="EP331"/>
      <c r="ES331"/>
      <c r="ET331"/>
      <c r="EW331"/>
      <c r="EX331"/>
      <c r="FA331"/>
      <c r="FB331"/>
      <c r="FE331"/>
      <c r="FF331"/>
      <c r="FI331"/>
      <c r="FJ331"/>
      <c r="FM331"/>
      <c r="FN331"/>
      <c r="FQ331"/>
      <c r="FR331"/>
      <c r="FU331"/>
      <c r="FV331"/>
      <c r="FY331"/>
      <c r="FZ331"/>
      <c r="GC331"/>
      <c r="GD331"/>
      <c r="GG331"/>
      <c r="GH331" s="25"/>
      <c r="GK331"/>
      <c r="GL331"/>
      <c r="GO331"/>
      <c r="GP331"/>
      <c r="GS331"/>
      <c r="GT331"/>
      <c r="GW331"/>
      <c r="GX331"/>
      <c r="HA331"/>
      <c r="HB331"/>
      <c r="HE331"/>
      <c r="HF331"/>
      <c r="HI331" s="25"/>
      <c r="HJ331"/>
      <c r="HM331"/>
      <c r="HN331"/>
      <c r="HQ331"/>
      <c r="HR331"/>
      <c r="HU331"/>
      <c r="HV331"/>
      <c r="HY331"/>
      <c r="HZ331"/>
      <c r="IC331"/>
      <c r="ID331"/>
      <c r="IG331"/>
      <c r="IH331"/>
      <c r="IK331"/>
      <c r="IL331"/>
      <c r="IO331"/>
      <c r="IP331"/>
      <c r="IS331"/>
      <c r="IT331"/>
      <c r="IW331"/>
      <c r="IX331"/>
      <c r="JA331"/>
      <c r="JB331"/>
      <c r="JE331"/>
      <c r="JF331"/>
      <c r="JI331"/>
      <c r="JJ331"/>
      <c r="JM331"/>
      <c r="JN331"/>
      <c r="JQ331"/>
      <c r="JR331"/>
      <c r="JU331"/>
      <c r="JV331"/>
      <c r="JY331"/>
      <c r="JZ331"/>
      <c r="KC331"/>
      <c r="KD331"/>
      <c r="KG331"/>
      <c r="KH331"/>
      <c r="KK331"/>
      <c r="KL331"/>
      <c r="KO331"/>
      <c r="KP331"/>
      <c r="KS331"/>
      <c r="KT331"/>
      <c r="KW331"/>
      <c r="KX331"/>
      <c r="LA331"/>
      <c r="LB331"/>
      <c r="LE331"/>
      <c r="LF331"/>
      <c r="LI331"/>
      <c r="LJ331"/>
      <c r="LM331"/>
      <c r="LN331"/>
      <c r="LQ331"/>
      <c r="LR331"/>
      <c r="LU331"/>
      <c r="LV331"/>
      <c r="LY331"/>
      <c r="LZ331"/>
      <c r="MC331"/>
      <c r="MD331"/>
      <c r="MG331"/>
      <c r="MH331"/>
      <c r="MK331"/>
      <c r="ML331"/>
      <c r="MO331"/>
      <c r="MP331"/>
      <c r="MS331"/>
      <c r="MT331"/>
      <c r="MW331"/>
      <c r="MX331"/>
      <c r="NA331"/>
      <c r="NB331"/>
      <c r="NE331"/>
      <c r="NF331"/>
      <c r="NI331"/>
      <c r="NJ331"/>
      <c r="NM331"/>
      <c r="NN331"/>
      <c r="NQ331"/>
      <c r="NR331"/>
      <c r="NU331"/>
      <c r="NV331"/>
      <c r="NY331"/>
      <c r="NZ331"/>
      <c r="OC331"/>
      <c r="OD331"/>
      <c r="OG331"/>
      <c r="OH331"/>
      <c r="OK331"/>
      <c r="OL331"/>
      <c r="OO331"/>
      <c r="OP331"/>
      <c r="OS331"/>
      <c r="OT331"/>
      <c r="OW331"/>
      <c r="OX331"/>
      <c r="PA331"/>
      <c r="PB331"/>
      <c r="PE331"/>
      <c r="PF331"/>
      <c r="PI331"/>
      <c r="PJ331"/>
      <c r="PM331"/>
      <c r="PN331"/>
      <c r="PQ331"/>
      <c r="PR331"/>
      <c r="PU331"/>
      <c r="PV331"/>
      <c r="PY331"/>
      <c r="PZ331"/>
      <c r="QC331"/>
      <c r="QD331"/>
      <c r="QG331"/>
      <c r="QH331"/>
      <c r="QK331"/>
      <c r="QL331"/>
      <c r="QO331"/>
      <c r="QP331"/>
      <c r="QS331"/>
      <c r="QT331"/>
      <c r="QW331"/>
      <c r="QX331"/>
      <c r="RA331"/>
      <c r="RB331"/>
      <c r="RE331"/>
      <c r="RF331"/>
      <c r="RI331"/>
      <c r="RJ331"/>
      <c r="RM331"/>
      <c r="RN331"/>
      <c r="RQ331"/>
      <c r="RR331"/>
      <c r="RU331"/>
      <c r="RV331"/>
      <c r="RY331"/>
      <c r="RZ331"/>
      <c r="SC331"/>
      <c r="SD331"/>
      <c r="SG331"/>
      <c r="SH331"/>
      <c r="SK331"/>
      <c r="SL331"/>
      <c r="SO331"/>
      <c r="SP331"/>
      <c r="SS331"/>
      <c r="ST331"/>
      <c r="SW331"/>
      <c r="SX331"/>
      <c r="TA331"/>
      <c r="TB331"/>
      <c r="TE331"/>
      <c r="TF331"/>
      <c r="TI331"/>
      <c r="TJ331"/>
      <c r="TM331"/>
      <c r="TN331"/>
      <c r="TQ331"/>
      <c r="TR331"/>
      <c r="TU331"/>
      <c r="TV331"/>
      <c r="TY331"/>
      <c r="TZ331"/>
      <c r="UC331"/>
      <c r="UD331"/>
      <c r="UG331"/>
      <c r="UH331"/>
      <c r="UK331"/>
      <c r="UL331"/>
      <c r="UO331"/>
      <c r="UP331"/>
      <c r="US331"/>
      <c r="UT331"/>
      <c r="UW331"/>
      <c r="UX331"/>
      <c r="VA331"/>
      <c r="VB331"/>
      <c r="VE331"/>
      <c r="VF331"/>
      <c r="VI331"/>
      <c r="VJ331"/>
      <c r="VM331"/>
      <c r="VN331"/>
      <c r="VQ331"/>
      <c r="VR331"/>
      <c r="VU331"/>
      <c r="VV331"/>
      <c r="VY331"/>
      <c r="VZ331"/>
      <c r="WC331"/>
      <c r="WD331"/>
      <c r="WG331"/>
      <c r="WH331"/>
      <c r="WK331"/>
      <c r="WL331"/>
      <c r="WO331"/>
      <c r="WP331"/>
      <c r="WS331"/>
      <c r="WT331"/>
      <c r="WW331"/>
      <c r="WX331"/>
      <c r="XA331"/>
      <c r="XB331"/>
      <c r="XE331"/>
      <c r="XF331"/>
      <c r="XI331"/>
      <c r="XJ331"/>
      <c r="XM331"/>
      <c r="XN331"/>
      <c r="XQ331"/>
      <c r="XR331"/>
      <c r="XU331"/>
      <c r="XV331"/>
      <c r="XY331"/>
      <c r="XZ331"/>
      <c r="YC331"/>
      <c r="YD331"/>
      <c r="YG331"/>
      <c r="YH331"/>
      <c r="YK331"/>
      <c r="YL331"/>
      <c r="YO331"/>
      <c r="YP331"/>
      <c r="YS331"/>
      <c r="YT331"/>
      <c r="YW331"/>
      <c r="YX331"/>
      <c r="ZA331"/>
      <c r="ZB331"/>
      <c r="ZE331"/>
      <c r="ZF331"/>
      <c r="ZI331"/>
      <c r="ZJ331"/>
      <c r="ZM331"/>
      <c r="ZN331"/>
      <c r="ZQ331"/>
      <c r="ZR331"/>
      <c r="ZU331"/>
      <c r="ZV331"/>
      <c r="ZY331"/>
      <c r="ZZ331"/>
      <c r="AAC331"/>
      <c r="AAD331"/>
      <c r="AAG331"/>
      <c r="AAH331"/>
      <c r="AAK331"/>
      <c r="AAL331"/>
      <c r="AAO331"/>
      <c r="AAP331"/>
      <c r="AAS331"/>
      <c r="AAT331"/>
      <c r="AAW331"/>
      <c r="AAX331"/>
      <c r="ABA331"/>
      <c r="ABB331"/>
      <c r="ABE331"/>
      <c r="ABF331"/>
      <c r="ABI331"/>
      <c r="ABJ331"/>
      <c r="ABM331"/>
      <c r="ABN331"/>
      <c r="ABQ331"/>
      <c r="ABR331"/>
      <c r="ABU331"/>
      <c r="ABV331"/>
      <c r="ABY331"/>
      <c r="ABZ331"/>
      <c r="ACC331"/>
      <c r="ACD331"/>
      <c r="ACG331"/>
      <c r="ACH331"/>
      <c r="ACK331"/>
      <c r="ACL331"/>
      <c r="ACO331"/>
      <c r="ACP331"/>
      <c r="ACS331"/>
      <c r="ACT331"/>
      <c r="ACW331"/>
      <c r="ACX331"/>
      <c r="ADA331"/>
      <c r="ADB331"/>
      <c r="ADE331"/>
      <c r="ADF331"/>
      <c r="ADI331"/>
      <c r="ADJ331"/>
      <c r="ADM331"/>
      <c r="ADN331"/>
      <c r="ADQ331"/>
      <c r="ADR331"/>
      <c r="ADU331"/>
      <c r="ADV331"/>
      <c r="ADY331"/>
      <c r="ADZ331"/>
      <c r="AEC331"/>
      <c r="AED331"/>
      <c r="AEG331"/>
      <c r="AEH331"/>
      <c r="AEK331"/>
      <c r="AEL331"/>
      <c r="AEO331"/>
      <c r="AEP331"/>
      <c r="AES331"/>
      <c r="AET331"/>
      <c r="AEW331"/>
      <c r="AEX331"/>
      <c r="AFA331"/>
      <c r="AFB331"/>
      <c r="AFE331"/>
      <c r="AFF331"/>
      <c r="AFI331"/>
      <c r="AFJ331"/>
      <c r="AFM331"/>
      <c r="AFN331"/>
      <c r="AFQ331"/>
      <c r="AFR331"/>
      <c r="AFU331"/>
      <c r="AFV331"/>
      <c r="AFY331"/>
      <c r="AFZ331"/>
      <c r="AGC331"/>
      <c r="AGD331"/>
      <c r="AGG331"/>
      <c r="AGH331"/>
      <c r="AGK331"/>
      <c r="AGL331"/>
      <c r="AGO331"/>
      <c r="AGP331"/>
      <c r="AGS331"/>
      <c r="AGT331"/>
      <c r="AGW331"/>
      <c r="AGX331"/>
      <c r="AHA331"/>
      <c r="AHB331"/>
      <c r="AHE331"/>
      <c r="AHF331"/>
      <c r="AHI331"/>
      <c r="AHJ331"/>
      <c r="AHM331"/>
      <c r="AHN331"/>
      <c r="AHQ331"/>
      <c r="AHR331"/>
      <c r="AHU331"/>
      <c r="AHV331"/>
      <c r="AHY331"/>
      <c r="AHZ331"/>
      <c r="AIC331"/>
      <c r="AID331"/>
      <c r="AIG331"/>
      <c r="AIH331"/>
      <c r="AIK331"/>
      <c r="AIL331"/>
      <c r="AIO331"/>
      <c r="AIP331"/>
      <c r="AIS331"/>
      <c r="AIT331"/>
      <c r="AIW331"/>
      <c r="AIX331"/>
      <c r="AJA331"/>
      <c r="AJB331"/>
      <c r="AJE331"/>
      <c r="AJF331"/>
      <c r="AJI331"/>
      <c r="AJJ331"/>
      <c r="AJM331"/>
      <c r="AJN331"/>
      <c r="AJQ331"/>
      <c r="AJR331"/>
      <c r="AJU331"/>
      <c r="AJV331"/>
      <c r="AJY331"/>
      <c r="AJZ331"/>
      <c r="AKC331"/>
      <c r="AKD331"/>
      <c r="AKG331"/>
      <c r="AKH331"/>
      <c r="AKK331"/>
      <c r="AKL331"/>
      <c r="AKO331"/>
      <c r="AKP331"/>
      <c r="AKS331"/>
      <c r="AKT331"/>
      <c r="AKW331"/>
      <c r="AKX331"/>
      <c r="ALA331"/>
      <c r="ALB331"/>
      <c r="ALE331"/>
      <c r="ALF331"/>
      <c r="ALI331"/>
      <c r="ALJ331"/>
      <c r="ALM331"/>
      <c r="ALN331"/>
      <c r="ALQ331"/>
      <c r="ALR331"/>
      <c r="ALU331"/>
      <c r="ALV331"/>
      <c r="ALY331"/>
      <c r="ALZ331"/>
      <c r="AMC331"/>
      <c r="AMD331"/>
      <c r="AMG331"/>
      <c r="AMH331"/>
      <c r="AMK331"/>
      <c r="AML331"/>
      <c r="AMO331"/>
      <c r="AMP331"/>
      <c r="AMS331"/>
      <c r="AMT331"/>
      <c r="AMW331"/>
      <c r="AMX331"/>
      <c r="ANA331"/>
      <c r="ANB331"/>
      <c r="ANE331"/>
      <c r="ANF331"/>
      <c r="ANI331"/>
      <c r="ANJ331"/>
      <c r="ANM331"/>
      <c r="ANN331"/>
      <c r="ANQ331"/>
      <c r="ANR331"/>
      <c r="ANU331"/>
      <c r="ANV331"/>
      <c r="ANY331"/>
      <c r="ANZ331"/>
      <c r="AOC331"/>
      <c r="AOD331"/>
      <c r="AOG331"/>
      <c r="AOH331"/>
      <c r="AOK331"/>
      <c r="AOL331"/>
      <c r="AOO331"/>
      <c r="AOP331"/>
      <c r="AOS331"/>
      <c r="AOT331"/>
      <c r="AOW331"/>
      <c r="AOX331"/>
      <c r="APA331"/>
      <c r="APB331"/>
      <c r="APE331"/>
      <c r="APF331"/>
      <c r="API331"/>
      <c r="APJ331"/>
      <c r="APM331"/>
      <c r="APN331"/>
      <c r="APQ331"/>
      <c r="APR331"/>
      <c r="APU331"/>
      <c r="APV331"/>
      <c r="APY331"/>
      <c r="APZ331"/>
      <c r="AQC331"/>
      <c r="AQD331"/>
      <c r="AQG331"/>
      <c r="AQH331"/>
      <c r="AQK331"/>
      <c r="AQL331"/>
      <c r="AQO331"/>
      <c r="AQP331"/>
      <c r="AQS331"/>
      <c r="AQT331"/>
      <c r="AQW331"/>
      <c r="AQX331"/>
      <c r="ARA331"/>
      <c r="ARB331"/>
      <c r="ARE331"/>
      <c r="ARF331"/>
      <c r="ARI331"/>
      <c r="ARJ331"/>
      <c r="ARM331"/>
      <c r="ARN331"/>
      <c r="ARQ331"/>
      <c r="ARR331"/>
      <c r="ARU331"/>
      <c r="ARV331"/>
      <c r="ARY331"/>
      <c r="ARZ331"/>
      <c r="ASC331"/>
      <c r="ASD331"/>
      <c r="ASG331"/>
      <c r="ASH331"/>
      <c r="ASK331"/>
      <c r="ASL331"/>
      <c r="ASO331"/>
      <c r="ASP331"/>
      <c r="ASS331"/>
      <c r="AST331"/>
      <c r="ASW331"/>
      <c r="ASX331"/>
      <c r="ATA331"/>
      <c r="ATB331"/>
      <c r="ATE331"/>
      <c r="ATF331"/>
      <c r="ATI331"/>
      <c r="ATJ331"/>
      <c r="ATM331"/>
      <c r="ATN331"/>
      <c r="ATQ331"/>
      <c r="ATR331"/>
      <c r="ATU331"/>
      <c r="ATV331"/>
      <c r="ATY331"/>
      <c r="ATZ331"/>
      <c r="AUC331"/>
      <c r="AUD331"/>
      <c r="AUG331"/>
      <c r="AUH331"/>
      <c r="AUK331"/>
      <c r="AUL331"/>
      <c r="AUO331"/>
      <c r="AUP331"/>
      <c r="AUS331"/>
      <c r="AUT331"/>
      <c r="AUW331"/>
      <c r="AUX331"/>
      <c r="AVA331"/>
      <c r="AVB331"/>
      <c r="AVE331"/>
      <c r="AVF331"/>
      <c r="AVI331"/>
      <c r="AVJ331"/>
      <c r="AVM331"/>
      <c r="AVN331"/>
      <c r="AVQ331"/>
      <c r="AVR331"/>
      <c r="AVU331"/>
      <c r="AVV331"/>
      <c r="AVY331"/>
      <c r="AVZ331"/>
      <c r="AWC331"/>
      <c r="AWD331"/>
      <c r="AWG331"/>
      <c r="AWH331"/>
      <c r="AWK331"/>
      <c r="AWL331"/>
      <c r="AWO331"/>
      <c r="AWP331"/>
      <c r="AWS331"/>
      <c r="AWT331"/>
      <c r="AWW331"/>
      <c r="AWX331"/>
      <c r="AXA331"/>
      <c r="AXB331"/>
      <c r="AXE331"/>
      <c r="AXF331"/>
      <c r="AXI331"/>
      <c r="AXJ331"/>
      <c r="AXM331"/>
      <c r="AXN331"/>
      <c r="AXQ331"/>
      <c r="AXR331"/>
      <c r="AXU331"/>
      <c r="AXV331"/>
      <c r="AXY331"/>
      <c r="AXZ331"/>
      <c r="AYC331"/>
      <c r="AYD331"/>
      <c r="AYG331"/>
      <c r="AYH331"/>
      <c r="AYK331"/>
      <c r="AYL331"/>
      <c r="AYO331"/>
      <c r="AYP331"/>
      <c r="AYS331"/>
      <c r="AYT331"/>
      <c r="AYW331"/>
      <c r="AYX331"/>
      <c r="AZA331"/>
      <c r="AZB331"/>
      <c r="AZE331"/>
      <c r="AZF331"/>
      <c r="AZI331"/>
      <c r="AZJ331"/>
      <c r="AZM331"/>
      <c r="AZN331"/>
      <c r="AZQ331"/>
      <c r="AZR331"/>
      <c r="AZU331"/>
      <c r="AZV331"/>
      <c r="AZY331"/>
      <c r="AZZ331"/>
      <c r="BAC331"/>
      <c r="BAD331"/>
      <c r="BAG331"/>
      <c r="BAH331"/>
      <c r="BAK331"/>
      <c r="BAL331"/>
      <c r="BAO331"/>
      <c r="BAP331"/>
      <c r="BAS331"/>
      <c r="BAT331"/>
      <c r="BAW331"/>
      <c r="BAX331"/>
      <c r="BBA331"/>
      <c r="BBB331"/>
      <c r="BBE331"/>
      <c r="BBF331"/>
      <c r="BBI331"/>
      <c r="BBJ331"/>
      <c r="BBM331"/>
      <c r="BBN331"/>
      <c r="BBQ331"/>
      <c r="BBR331"/>
      <c r="BBU331"/>
      <c r="BBV331"/>
      <c r="BBY331"/>
      <c r="BBZ331"/>
      <c r="BCC331"/>
      <c r="BCD331" s="25"/>
      <c r="BCG331"/>
      <c r="BCH331"/>
      <c r="BCK331"/>
      <c r="BCL331"/>
      <c r="BCO331"/>
      <c r="BCP331"/>
      <c r="BCS331"/>
      <c r="BCT331"/>
      <c r="BCW331"/>
      <c r="BCX331"/>
      <c r="BDA331"/>
      <c r="BDB331"/>
      <c r="BDE331"/>
      <c r="BDF331"/>
      <c r="BDI331"/>
      <c r="BDJ331"/>
      <c r="BDM331"/>
      <c r="BDN331"/>
      <c r="BDQ331"/>
      <c r="BDR331"/>
      <c r="BDU331"/>
      <c r="BDV331"/>
      <c r="BDY331"/>
      <c r="BDZ331"/>
      <c r="BEC331"/>
      <c r="BED331"/>
      <c r="BEG331"/>
      <c r="BEH331"/>
      <c r="BEK331"/>
      <c r="BEL331"/>
      <c r="BEO331"/>
      <c r="BEP331"/>
      <c r="BES331"/>
      <c r="BET331"/>
      <c r="BEW331"/>
      <c r="BEX331"/>
      <c r="BFA331"/>
      <c r="BFB331"/>
      <c r="BFE331"/>
      <c r="BFF331"/>
      <c r="BFI331"/>
      <c r="BFJ331"/>
      <c r="BFM331"/>
      <c r="BFN331"/>
      <c r="BFQ331"/>
      <c r="BFR331"/>
      <c r="BFU331"/>
      <c r="BFV331"/>
      <c r="BFY331"/>
      <c r="BFZ331"/>
      <c r="BGC331"/>
      <c r="BGD331"/>
      <c r="BGG331"/>
      <c r="BGH331"/>
      <c r="BGK331"/>
      <c r="BGL331"/>
      <c r="BGO331"/>
      <c r="BGP331"/>
      <c r="BGS331"/>
      <c r="BGT331"/>
      <c r="BGW331"/>
      <c r="BGX331"/>
      <c r="BHA331"/>
      <c r="BHB331"/>
      <c r="BHE331"/>
      <c r="BHF331"/>
      <c r="BHI331"/>
      <c r="BHJ331"/>
      <c r="BHM331"/>
      <c r="BHN331"/>
      <c r="BHQ331"/>
      <c r="BHR331"/>
      <c r="BHU331"/>
      <c r="BHV331"/>
      <c r="BHY331"/>
      <c r="BHZ331"/>
      <c r="BIC331"/>
      <c r="BID331"/>
      <c r="BIG331"/>
      <c r="BIH331"/>
      <c r="BIK331"/>
      <c r="BIL331"/>
      <c r="BIO331"/>
      <c r="BIP331"/>
      <c r="BIS331"/>
      <c r="BIT331"/>
      <c r="BIW331"/>
      <c r="BIX331"/>
      <c r="BJA331"/>
      <c r="BJB331"/>
      <c r="BJE331"/>
      <c r="BJF331"/>
      <c r="BJI331"/>
      <c r="BJJ331"/>
      <c r="BJM331"/>
      <c r="BJN331"/>
      <c r="BJQ331"/>
      <c r="BJR331"/>
      <c r="BJU331"/>
      <c r="BJV331"/>
      <c r="BJY331"/>
      <c r="BJZ331"/>
      <c r="BKC331"/>
      <c r="BKD331"/>
      <c r="BKG331"/>
      <c r="BKH331"/>
      <c r="BKK331"/>
      <c r="BKL331"/>
      <c r="BKO331"/>
      <c r="BKP331"/>
      <c r="BKS331"/>
      <c r="BKT331"/>
      <c r="BKW331"/>
      <c r="BKX331"/>
      <c r="BLA331"/>
      <c r="BLB331"/>
      <c r="BLE331"/>
      <c r="BLF331"/>
      <c r="BLI331"/>
      <c r="BLJ331"/>
      <c r="BLM331"/>
      <c r="BLN331"/>
      <c r="BLQ331"/>
      <c r="BLR331"/>
      <c r="BLU331"/>
      <c r="BLV331"/>
      <c r="BLY331"/>
      <c r="BLZ331"/>
      <c r="BMC331"/>
      <c r="BMD331"/>
      <c r="BMG331"/>
      <c r="BMH331"/>
      <c r="BMK331"/>
      <c r="BML331"/>
      <c r="BMO331"/>
      <c r="BMP331"/>
      <c r="BMS331"/>
      <c r="BMT331"/>
      <c r="BMW331"/>
      <c r="BMX331"/>
      <c r="BNA331"/>
      <c r="BNB331"/>
      <c r="BNE331"/>
      <c r="BNF331"/>
      <c r="BNI331"/>
      <c r="BNJ331"/>
      <c r="BNM331"/>
      <c r="BNN331"/>
      <c r="BNQ331"/>
      <c r="BNR331"/>
      <c r="BNU331"/>
      <c r="BNV331"/>
      <c r="BNY331"/>
      <c r="BNZ331"/>
      <c r="BOC331"/>
      <c r="BOD331"/>
      <c r="BOG331"/>
      <c r="BOH331"/>
      <c r="BOK331"/>
      <c r="BOL331"/>
      <c r="BOO331"/>
      <c r="BOP331"/>
      <c r="BOS331"/>
      <c r="BOT331"/>
      <c r="BOW331"/>
      <c r="BOX331"/>
      <c r="BPA331"/>
      <c r="BPB331"/>
      <c r="BPE331"/>
      <c r="BPF331"/>
      <c r="BPI331"/>
      <c r="BPJ331"/>
      <c r="BPM331"/>
      <c r="BPN331"/>
      <c r="BPQ331"/>
      <c r="BPR331"/>
      <c r="BPU331"/>
      <c r="BPV331"/>
      <c r="BPY331"/>
      <c r="BPZ331"/>
      <c r="BQC331"/>
      <c r="BQD331"/>
      <c r="BQG331"/>
      <c r="BQH331"/>
      <c r="BQK331"/>
      <c r="BQL331"/>
      <c r="BQO331"/>
      <c r="BQP331"/>
      <c r="BQS331"/>
      <c r="BQT331"/>
      <c r="BQW331"/>
      <c r="BQX331"/>
      <c r="BRA331"/>
      <c r="BRB331"/>
      <c r="BRE331"/>
      <c r="BRF331"/>
      <c r="BRI331"/>
      <c r="BRJ331"/>
      <c r="BRM331"/>
      <c r="BRN331"/>
      <c r="BRQ331"/>
      <c r="BRR331"/>
      <c r="BRU331"/>
      <c r="BRV331"/>
      <c r="BRY331"/>
      <c r="BRZ331"/>
      <c r="BSC331"/>
      <c r="BSD331"/>
      <c r="BSG331"/>
      <c r="BSH331"/>
      <c r="BSK331"/>
      <c r="BSL331"/>
      <c r="BSO331"/>
      <c r="BSP331"/>
      <c r="BSS331"/>
      <c r="BST331"/>
      <c r="BSW331"/>
      <c r="BSX331"/>
      <c r="BTA331"/>
      <c r="BTB331"/>
      <c r="BTE331"/>
      <c r="BTF331"/>
      <c r="BTI331"/>
      <c r="BTJ331"/>
      <c r="BTM331"/>
      <c r="BTN331"/>
      <c r="BTQ331"/>
      <c r="BTR331"/>
      <c r="BTU331"/>
      <c r="BTV331"/>
      <c r="BTY331"/>
      <c r="BTZ331"/>
      <c r="BUC331"/>
      <c r="BUD331"/>
      <c r="BUG331"/>
      <c r="BUH331"/>
      <c r="BUK331"/>
      <c r="BUL331"/>
      <c r="BUO331"/>
      <c r="BUP331"/>
      <c r="BUS331"/>
      <c r="BUT331"/>
      <c r="BUW331"/>
      <c r="BUX331"/>
      <c r="BVA331"/>
      <c r="BVB331"/>
      <c r="BVE331"/>
      <c r="BVF331"/>
      <c r="BVI331"/>
      <c r="BVJ331"/>
      <c r="BVM331"/>
      <c r="BVN331"/>
      <c r="BVQ331"/>
      <c r="BVR331"/>
      <c r="BVU331"/>
      <c r="BVV331"/>
      <c r="BVY331"/>
      <c r="BVZ331"/>
      <c r="BWC331"/>
      <c r="BWD331"/>
      <c r="BWG331"/>
      <c r="BWH331"/>
      <c r="BWK331"/>
      <c r="BWL331"/>
      <c r="BWO331"/>
      <c r="BWP331"/>
      <c r="BWS331"/>
      <c r="BWT331"/>
      <c r="BWW331"/>
      <c r="BWX331"/>
      <c r="BXA331"/>
      <c r="BXB331"/>
      <c r="BXE331"/>
      <c r="BXF331"/>
      <c r="BXI331"/>
      <c r="BXJ331"/>
      <c r="BXM331"/>
      <c r="BXN331"/>
      <c r="BXQ331"/>
      <c r="BXR331"/>
      <c r="BXU331"/>
      <c r="BXV331"/>
      <c r="BXY331"/>
      <c r="BXZ331"/>
      <c r="BYC331"/>
      <c r="BYD331"/>
      <c r="BYG331"/>
      <c r="BYH331"/>
      <c r="BYK331"/>
      <c r="BYL331"/>
      <c r="BYO331"/>
      <c r="BYP331"/>
      <c r="BYS331"/>
      <c r="BYT331"/>
      <c r="BYW331"/>
      <c r="BYX331"/>
      <c r="BZA331"/>
      <c r="BZB331"/>
      <c r="BZE331"/>
      <c r="BZF331"/>
      <c r="BZI331"/>
      <c r="BZJ331"/>
      <c r="BZM331"/>
      <c r="BZN331"/>
      <c r="BZQ331"/>
      <c r="BZR331"/>
      <c r="BZU331"/>
      <c r="BZV331"/>
      <c r="BZY331"/>
      <c r="BZZ331"/>
      <c r="CAC331"/>
      <c r="CAD331"/>
      <c r="CAG331"/>
      <c r="CAH331"/>
      <c r="CAK331"/>
      <c r="CAL331"/>
      <c r="CAO331"/>
      <c r="CAP331"/>
      <c r="CAS331"/>
      <c r="CAT331"/>
      <c r="CAW331"/>
      <c r="CAX331"/>
      <c r="CBA331"/>
      <c r="CBB331"/>
      <c r="CBE331"/>
      <c r="CBF331"/>
      <c r="CBI331"/>
      <c r="CBJ331"/>
      <c r="CBM331"/>
      <c r="CBN331"/>
      <c r="CBQ331"/>
      <c r="CBR331"/>
      <c r="CBU331"/>
      <c r="CBV331"/>
      <c r="CBY331"/>
      <c r="CBZ331"/>
      <c r="CCC331"/>
      <c r="CCD331"/>
      <c r="CCG331"/>
      <c r="CCH331"/>
      <c r="CCK331"/>
      <c r="CCL331"/>
      <c r="CCO331"/>
      <c r="CCP331"/>
      <c r="CCS331"/>
      <c r="CCT331"/>
      <c r="CCW331"/>
      <c r="CCX331"/>
      <c r="CDA331"/>
      <c r="CDB331"/>
      <c r="CDE331" s="25"/>
      <c r="CDF331"/>
      <c r="CDI331"/>
      <c r="CDJ331"/>
      <c r="CDM331"/>
      <c r="CDN331"/>
      <c r="CDQ331"/>
      <c r="CDR331"/>
      <c r="CDU331"/>
      <c r="CDV331"/>
      <c r="CDY331"/>
      <c r="CDZ331"/>
      <c r="CEC331"/>
      <c r="CED331"/>
      <c r="CEG331"/>
      <c r="CEH331"/>
      <c r="CEK331"/>
      <c r="CEL331"/>
      <c r="CEO331"/>
      <c r="CEP331"/>
      <c r="CES331"/>
      <c r="CET331"/>
      <c r="CEW331"/>
      <c r="CEX331"/>
      <c r="CFA331"/>
      <c r="CFB331"/>
      <c r="CFE331"/>
      <c r="CFF331"/>
      <c r="CFI331"/>
      <c r="CFJ331"/>
      <c r="CFM331"/>
      <c r="CFN331"/>
      <c r="CFQ331"/>
      <c r="CFR331"/>
      <c r="CFU331"/>
      <c r="CFV331"/>
      <c r="CFY331"/>
      <c r="CFZ331"/>
      <c r="CGC331"/>
      <c r="CGD331"/>
      <c r="CGG331"/>
      <c r="CGH331"/>
      <c r="CGK331"/>
      <c r="CGL331"/>
      <c r="CGO331"/>
      <c r="CGP331"/>
      <c r="CGS331"/>
      <c r="CGT331"/>
      <c r="CGW331"/>
      <c r="CGX331"/>
      <c r="CHA331"/>
      <c r="CHB331"/>
      <c r="CHE331"/>
      <c r="CHF331"/>
      <c r="CHI331"/>
      <c r="CHJ331"/>
      <c r="CHM331"/>
      <c r="CHN331"/>
      <c r="CHQ331"/>
      <c r="CHR331"/>
      <c r="CHU331"/>
      <c r="CHV331"/>
      <c r="CHY331"/>
      <c r="CHZ331"/>
      <c r="CIC331"/>
      <c r="CID331"/>
      <c r="CIG331"/>
      <c r="CIH331"/>
      <c r="CIK331"/>
      <c r="CIL331"/>
      <c r="CIO331"/>
      <c r="CIP331"/>
      <c r="CIS331"/>
      <c r="CIT331"/>
      <c r="CIW331"/>
      <c r="CIX331"/>
      <c r="CJA331"/>
      <c r="CJB331"/>
      <c r="CJE331"/>
      <c r="CJF331"/>
      <c r="CJI331"/>
      <c r="CJJ331"/>
      <c r="CJM331"/>
      <c r="CJN331"/>
      <c r="CJQ331"/>
      <c r="CJR331"/>
      <c r="CJU331"/>
      <c r="CJV331"/>
      <c r="CJY331"/>
      <c r="CJZ331"/>
      <c r="CKC331"/>
      <c r="CKD331"/>
      <c r="CKG331"/>
      <c r="CKH331"/>
      <c r="CKK331"/>
      <c r="CKL331"/>
      <c r="CKO331"/>
      <c r="CKP331"/>
      <c r="CKS331"/>
      <c r="CKT331"/>
      <c r="CKW331"/>
      <c r="CKX331"/>
      <c r="CLA331"/>
      <c r="CLB331"/>
      <c r="CLE331"/>
      <c r="CLF331"/>
      <c r="CLI331"/>
      <c r="CLJ331"/>
      <c r="CLM331"/>
      <c r="CLN331"/>
      <c r="CLQ331"/>
      <c r="CLR331"/>
      <c r="CLU331"/>
      <c r="CLV331"/>
      <c r="CLY331"/>
      <c r="CLZ331"/>
      <c r="CMC331"/>
      <c r="CMD331"/>
      <c r="CMG331"/>
      <c r="CMH331"/>
      <c r="CMK331"/>
      <c r="CML331"/>
      <c r="CMO331"/>
      <c r="CMP331"/>
      <c r="CMS331"/>
      <c r="CMT331"/>
      <c r="CMW331"/>
      <c r="CMX331"/>
      <c r="CNA331"/>
      <c r="CNB331"/>
      <c r="CNE331"/>
      <c r="CNF331"/>
      <c r="CNI331"/>
      <c r="CNJ331"/>
      <c r="CNM331"/>
      <c r="CNN331"/>
      <c r="CNQ331"/>
      <c r="CNR331"/>
      <c r="CNU331"/>
      <c r="CNV331"/>
      <c r="CNY331"/>
      <c r="CNZ331"/>
      <c r="COC331"/>
      <c r="COD331"/>
      <c r="COG331"/>
      <c r="COH331"/>
      <c r="COK331"/>
      <c r="COL331"/>
      <c r="COO331"/>
      <c r="COP331"/>
      <c r="COS331"/>
      <c r="COT331"/>
      <c r="COW331"/>
      <c r="COX331"/>
      <c r="CPA331"/>
      <c r="CPB331"/>
      <c r="CPE331"/>
      <c r="CPF331"/>
      <c r="CPI331"/>
      <c r="CPJ331"/>
      <c r="CPM331"/>
      <c r="CPN331"/>
      <c r="CPQ331"/>
      <c r="CPR331"/>
      <c r="CPU331"/>
      <c r="CPV331"/>
      <c r="CPY331"/>
      <c r="CPZ331"/>
      <c r="CQC331"/>
      <c r="CQD331"/>
      <c r="CQG331"/>
      <c r="CQH331"/>
      <c r="CQK331"/>
      <c r="CQL331"/>
      <c r="CQO331"/>
      <c r="CQP331"/>
      <c r="CQS331"/>
      <c r="CQT331"/>
      <c r="CQW331"/>
      <c r="CQX331"/>
      <c r="CRA331"/>
      <c r="CRB331"/>
      <c r="CRE331"/>
      <c r="CRF331"/>
      <c r="CRI331"/>
      <c r="CRJ331"/>
      <c r="CRM331"/>
      <c r="CRN331"/>
      <c r="CRQ331"/>
      <c r="CRR331"/>
      <c r="CRU331"/>
      <c r="CRV331"/>
      <c r="CRY331"/>
      <c r="CRZ331"/>
      <c r="CSC331"/>
      <c r="CSD331"/>
      <c r="CSG331"/>
      <c r="CSH331"/>
      <c r="CSK331"/>
      <c r="CSL331"/>
      <c r="CSO331"/>
      <c r="CSP331"/>
      <c r="CSS331"/>
      <c r="CST331"/>
      <c r="CSW331"/>
      <c r="CSX331"/>
      <c r="CTA331"/>
      <c r="CTB331"/>
      <c r="CTE331"/>
      <c r="CTF331"/>
      <c r="CTI331"/>
      <c r="CTJ331"/>
      <c r="CTM331"/>
      <c r="CTN331"/>
      <c r="CTQ331"/>
      <c r="CTR331"/>
      <c r="CTU331"/>
      <c r="CTV331"/>
      <c r="CTY331"/>
      <c r="CTZ331"/>
      <c r="CUC331"/>
      <c r="CUD331"/>
      <c r="CUG331"/>
      <c r="CUH331"/>
      <c r="CUK331"/>
      <c r="CUL331"/>
      <c r="CUO331"/>
      <c r="CUP331"/>
      <c r="CUS331"/>
      <c r="CUT331"/>
      <c r="CUW331"/>
      <c r="CUX331"/>
      <c r="CVA331"/>
      <c r="CVB331"/>
      <c r="CVE331"/>
      <c r="CVF331"/>
      <c r="CVI331"/>
      <c r="CVJ331"/>
      <c r="CVM331"/>
      <c r="CVN331"/>
      <c r="CVQ331"/>
      <c r="CVR331"/>
      <c r="CVU331"/>
      <c r="CVV331"/>
      <c r="CVY331"/>
      <c r="CVZ331"/>
      <c r="CWC331"/>
      <c r="CWD331"/>
      <c r="CWG331"/>
      <c r="CWH331"/>
      <c r="CWK331"/>
      <c r="CWL331"/>
      <c r="CWO331"/>
      <c r="CWP331"/>
      <c r="CWS331"/>
      <c r="CWT331"/>
      <c r="CWW331"/>
      <c r="CWX331"/>
      <c r="CXA331"/>
      <c r="CXB331"/>
      <c r="CXE331"/>
      <c r="CXF331"/>
      <c r="CXI331"/>
      <c r="CXJ331"/>
      <c r="CXM331"/>
      <c r="CXN331"/>
      <c r="CXQ331"/>
      <c r="CXR331"/>
      <c r="CXU331"/>
      <c r="CXV331"/>
      <c r="CXY331"/>
      <c r="CXZ331"/>
      <c r="CYC331"/>
      <c r="CYD331"/>
      <c r="CYG331"/>
      <c r="CYH331"/>
      <c r="CYK331"/>
      <c r="CYL331"/>
      <c r="CYO331"/>
      <c r="CYP331"/>
      <c r="CYS331"/>
      <c r="CYT331"/>
      <c r="CYW331"/>
      <c r="CYX331"/>
      <c r="CZA331"/>
      <c r="CZB331"/>
      <c r="CZE331"/>
      <c r="CZF331"/>
      <c r="CZI331"/>
      <c r="CZJ331"/>
      <c r="CZM331"/>
      <c r="CZN331"/>
      <c r="CZQ331"/>
      <c r="CZR331"/>
      <c r="CZU331"/>
      <c r="CZV331"/>
      <c r="CZY331"/>
      <c r="CZZ331"/>
      <c r="DAC331"/>
      <c r="DAD331"/>
      <c r="DAG331"/>
      <c r="DAH331"/>
      <c r="DAK331"/>
      <c r="DAL331"/>
      <c r="DAO331"/>
      <c r="DAP331"/>
      <c r="DAS331"/>
      <c r="DAT331"/>
      <c r="DAW331"/>
      <c r="DAX331"/>
      <c r="DBA331"/>
      <c r="DBB331"/>
      <c r="DBE331"/>
      <c r="DBF331"/>
      <c r="DBI331"/>
      <c r="DBJ331"/>
      <c r="DBM331"/>
      <c r="DBN331"/>
      <c r="DBQ331"/>
      <c r="DBR331"/>
      <c r="DBU331"/>
      <c r="DBV331"/>
      <c r="DBY331"/>
      <c r="DBZ331"/>
      <c r="DCC331"/>
      <c r="DCD331"/>
      <c r="DCG331"/>
      <c r="DCH331"/>
      <c r="DCK331"/>
      <c r="DCL331"/>
      <c r="DCO331"/>
      <c r="DCP331"/>
      <c r="DCS331"/>
      <c r="DCT331"/>
      <c r="DCW331"/>
      <c r="DCX331"/>
      <c r="DDA331"/>
      <c r="DDB331"/>
      <c r="DDE331"/>
      <c r="DDF331"/>
      <c r="DDI331"/>
      <c r="DDJ331"/>
      <c r="DDM331"/>
      <c r="DDN331"/>
      <c r="DDQ331"/>
      <c r="DDR331"/>
      <c r="DDU331"/>
      <c r="DDV331"/>
      <c r="DDY331"/>
      <c r="DDZ331"/>
      <c r="DEC331"/>
      <c r="DED331"/>
      <c r="DEG331"/>
      <c r="DEH331"/>
      <c r="DEK331"/>
      <c r="DEL331"/>
      <c r="DEO331"/>
      <c r="DEP331"/>
      <c r="DES331"/>
      <c r="DET331"/>
      <c r="DEW331"/>
      <c r="DEX331"/>
      <c r="DFA331"/>
      <c r="DFB331"/>
      <c r="DFE331"/>
      <c r="DFF331"/>
      <c r="DFI331"/>
      <c r="DFJ331"/>
      <c r="DFM331"/>
      <c r="DFN331"/>
      <c r="DFQ331"/>
      <c r="DFR331"/>
      <c r="DFU331"/>
      <c r="DFV331"/>
      <c r="DFY331"/>
      <c r="DFZ331"/>
      <c r="DGC331"/>
      <c r="DGD331"/>
      <c r="DGG331"/>
      <c r="DGH331"/>
      <c r="DGK331"/>
      <c r="DGL331"/>
      <c r="DGO331"/>
      <c r="DGP331"/>
      <c r="DGS331"/>
      <c r="DGT331"/>
      <c r="DGW331"/>
      <c r="DGX331"/>
      <c r="DHA331"/>
      <c r="DHB331"/>
      <c r="DHE331"/>
      <c r="DHF331"/>
      <c r="DHI331"/>
      <c r="DHJ331"/>
      <c r="DHM331"/>
      <c r="DHN331"/>
      <c r="DHQ331"/>
      <c r="DHR331"/>
      <c r="DHU331"/>
      <c r="DHV331"/>
      <c r="DHY331"/>
      <c r="DHZ331"/>
      <c r="DIC331"/>
      <c r="DID331"/>
      <c r="DIG331"/>
      <c r="DIH331"/>
      <c r="DIK331"/>
      <c r="DIL331"/>
      <c r="DIO331"/>
      <c r="DIP331"/>
      <c r="DIS331"/>
      <c r="DIT331"/>
      <c r="DIW331"/>
      <c r="DIX331"/>
      <c r="DJA331"/>
      <c r="DJB331"/>
      <c r="DJE331"/>
      <c r="DJF331"/>
      <c r="DJI331"/>
      <c r="DJJ331"/>
      <c r="DJM331"/>
      <c r="DJN331"/>
      <c r="DJQ331"/>
      <c r="DJR331"/>
      <c r="DJU331"/>
      <c r="DJV331"/>
      <c r="DJY331"/>
      <c r="DJZ331"/>
      <c r="DKC331"/>
      <c r="DKD331"/>
      <c r="DKG331"/>
      <c r="DKH331"/>
      <c r="DKK331"/>
      <c r="DKL331"/>
      <c r="DKO331"/>
      <c r="DKP331"/>
      <c r="DKS331"/>
      <c r="DKT331"/>
      <c r="DKW331"/>
      <c r="DKX331"/>
      <c r="DLA331"/>
      <c r="DLB331"/>
      <c r="DLE331"/>
      <c r="DLF331"/>
      <c r="DLI331"/>
      <c r="DLJ331"/>
      <c r="DLM331"/>
      <c r="DLN331"/>
      <c r="DLQ331"/>
      <c r="DLR331"/>
      <c r="DLU331"/>
      <c r="DLV331"/>
      <c r="DLY331"/>
      <c r="DLZ331"/>
      <c r="DMC331"/>
      <c r="DMD331"/>
      <c r="DMG331"/>
      <c r="DMH331"/>
      <c r="DMK331"/>
      <c r="DML331"/>
      <c r="DMO331"/>
      <c r="DMP331"/>
      <c r="DMS331"/>
      <c r="DMT331"/>
      <c r="DMW331"/>
      <c r="DMX331"/>
      <c r="DNA331"/>
      <c r="DNB331"/>
      <c r="DNE331"/>
      <c r="DNF331"/>
      <c r="DNI331"/>
      <c r="DNJ331"/>
      <c r="DNM331"/>
      <c r="DNN331"/>
      <c r="DNQ331"/>
      <c r="DNR331"/>
      <c r="DNU331"/>
      <c r="DNV331"/>
      <c r="DNY331"/>
      <c r="DNZ331"/>
      <c r="DOC331"/>
      <c r="DOD331"/>
      <c r="DOG331"/>
      <c r="DOH331"/>
      <c r="DOK331"/>
      <c r="DOL331"/>
      <c r="DOO331"/>
      <c r="DOP331"/>
      <c r="DOS331"/>
      <c r="DOT331"/>
      <c r="DOW331"/>
      <c r="DOX331"/>
      <c r="DPA331"/>
      <c r="DPB331"/>
      <c r="DPE331"/>
      <c r="DPF331"/>
      <c r="DPI331"/>
      <c r="DPJ331"/>
      <c r="DPM331"/>
      <c r="DPN331"/>
      <c r="DPQ331"/>
      <c r="DPR331"/>
      <c r="DPU331"/>
      <c r="DPV331"/>
      <c r="DPY331"/>
      <c r="DPZ331"/>
      <c r="DQC331"/>
      <c r="DQD331"/>
      <c r="DQG331"/>
      <c r="DQH331"/>
      <c r="DQK331"/>
      <c r="DQL331"/>
      <c r="DQO331"/>
      <c r="DQP331"/>
      <c r="DQS331"/>
      <c r="DQT331"/>
      <c r="DQW331"/>
      <c r="DQX331"/>
      <c r="DRA331"/>
      <c r="DRB331"/>
      <c r="DRE331"/>
      <c r="DRF331"/>
      <c r="DRI331"/>
      <c r="DRJ331"/>
      <c r="DRM331"/>
      <c r="DRN331"/>
      <c r="DRQ331"/>
      <c r="DRR331"/>
      <c r="DRU331"/>
      <c r="DRV331"/>
      <c r="DRY331"/>
      <c r="DRZ331"/>
      <c r="DSC331"/>
      <c r="DSD331"/>
      <c r="DSG331"/>
      <c r="DSH331"/>
      <c r="DSK331"/>
      <c r="DSL331"/>
      <c r="DSO331"/>
      <c r="DSP331"/>
      <c r="DSS331"/>
      <c r="DST331"/>
      <c r="DSW331"/>
      <c r="DSX331"/>
      <c r="DTA331"/>
      <c r="DTB331"/>
      <c r="DTE331"/>
      <c r="DTF331"/>
      <c r="DTI331"/>
      <c r="DTJ331"/>
      <c r="DTM331"/>
      <c r="DTN331"/>
      <c r="DTQ331"/>
      <c r="DTR331"/>
      <c r="DTU331"/>
      <c r="DTV331"/>
      <c r="DTY331"/>
      <c r="DTZ331"/>
      <c r="DUC331"/>
      <c r="DUD331"/>
      <c r="DUG331"/>
      <c r="DUH331"/>
      <c r="DUK331"/>
      <c r="DUL331"/>
      <c r="DUO331"/>
      <c r="DUP331"/>
      <c r="DUS331"/>
      <c r="DUT331"/>
      <c r="DUW331"/>
      <c r="DUX331"/>
      <c r="DVA331"/>
      <c r="DVB331"/>
      <c r="DVE331"/>
      <c r="DVF331"/>
      <c r="DVI331"/>
      <c r="DVJ331"/>
      <c r="DVM331"/>
      <c r="DVN331"/>
      <c r="DVQ331"/>
      <c r="DVR331"/>
      <c r="DVU331"/>
      <c r="DVV331"/>
      <c r="DVY331"/>
      <c r="DVZ331"/>
      <c r="DWC331"/>
      <c r="DWD331"/>
      <c r="DWG331"/>
      <c r="DWH331"/>
      <c r="DWK331"/>
      <c r="DWL331"/>
      <c r="DWO331"/>
      <c r="DWP331"/>
      <c r="DWS331"/>
      <c r="DWT331"/>
      <c r="DWW331"/>
      <c r="DWX331"/>
      <c r="DXA331"/>
      <c r="DXB331"/>
      <c r="DXE331"/>
      <c r="DXF331"/>
      <c r="DXI331"/>
      <c r="DXJ331"/>
      <c r="DXM331"/>
      <c r="DXN331"/>
      <c r="DXQ331"/>
      <c r="DXR331"/>
      <c r="DXU331"/>
      <c r="DXV331"/>
      <c r="DXY331"/>
      <c r="DXZ331"/>
      <c r="DYC331"/>
      <c r="DYD331"/>
      <c r="DYG331"/>
      <c r="DYH331"/>
      <c r="DYK331"/>
      <c r="DYL331"/>
      <c r="DYO331"/>
      <c r="DYP331"/>
      <c r="DYS331"/>
      <c r="DYT331"/>
      <c r="DYW331"/>
      <c r="DYX331"/>
      <c r="DZA331"/>
      <c r="DZB331"/>
      <c r="DZE331"/>
      <c r="DZF331"/>
      <c r="DZI331"/>
      <c r="DZJ331"/>
      <c r="DZM331"/>
      <c r="DZN331"/>
      <c r="DZQ331"/>
      <c r="DZR331"/>
      <c r="DZU331"/>
      <c r="DZV331"/>
      <c r="DZY331"/>
      <c r="DZZ331"/>
      <c r="EAC331"/>
      <c r="EAD331"/>
      <c r="EAG331"/>
      <c r="EAH331"/>
      <c r="EAK331"/>
      <c r="EAL331"/>
      <c r="EAO331"/>
      <c r="EAP331"/>
      <c r="EAS331"/>
      <c r="EAT331"/>
      <c r="EAW331"/>
      <c r="EAX331"/>
      <c r="EBA331"/>
      <c r="EBB331"/>
      <c r="EBE331"/>
      <c r="EBF331"/>
      <c r="EBI331"/>
      <c r="EBJ331"/>
      <c r="EBM331"/>
      <c r="EBN331"/>
      <c r="EBQ331"/>
      <c r="EBR331"/>
      <c r="EBU331"/>
      <c r="EBV331"/>
      <c r="EBY331"/>
      <c r="EBZ331"/>
      <c r="ECC331"/>
      <c r="ECD331"/>
      <c r="ECG331"/>
      <c r="ECH331"/>
      <c r="ECK331"/>
      <c r="ECL331"/>
      <c r="ECO331"/>
      <c r="ECP331"/>
      <c r="ECS331"/>
      <c r="ECT331"/>
      <c r="ECW331"/>
      <c r="ECX331"/>
      <c r="EDA331"/>
      <c r="EDB331"/>
      <c r="EDE331"/>
      <c r="EDF331"/>
      <c r="EDI331"/>
      <c r="EDJ331"/>
      <c r="EDM331"/>
      <c r="EDN331"/>
      <c r="EDQ331"/>
      <c r="EDR331"/>
      <c r="EDU331"/>
      <c r="EDV331"/>
      <c r="EDY331"/>
      <c r="EDZ331"/>
      <c r="EEC331"/>
      <c r="EED331"/>
      <c r="EEG331"/>
      <c r="EEH331"/>
      <c r="EEK331"/>
      <c r="EEL331"/>
      <c r="EEO331"/>
      <c r="EEP331"/>
      <c r="EES331"/>
      <c r="EET331"/>
      <c r="EEW331"/>
      <c r="EEX331"/>
      <c r="EFA331"/>
      <c r="EFB331"/>
      <c r="EFE331"/>
      <c r="EFF331"/>
      <c r="EFI331"/>
      <c r="EFJ331"/>
      <c r="EFM331"/>
      <c r="EFN331"/>
      <c r="EFQ331"/>
      <c r="EFR331"/>
      <c r="EFU331"/>
      <c r="EFV331"/>
      <c r="EFY331"/>
      <c r="EFZ331"/>
      <c r="EGC331"/>
      <c r="EGD331"/>
      <c r="EGG331"/>
      <c r="EGH331"/>
      <c r="EGK331"/>
      <c r="EGL331"/>
      <c r="EGO331"/>
      <c r="EGP331"/>
      <c r="EGS331"/>
      <c r="EGT331"/>
      <c r="EGW331"/>
      <c r="EGX331"/>
      <c r="EHA331"/>
      <c r="EHB331"/>
      <c r="EHE331"/>
      <c r="EHF331"/>
      <c r="EHI331"/>
      <c r="EHJ331"/>
      <c r="EHM331"/>
      <c r="EHN331"/>
      <c r="EHQ331"/>
      <c r="EHR331"/>
      <c r="EHU331"/>
      <c r="EHV331"/>
      <c r="EHY331"/>
      <c r="EHZ331"/>
      <c r="EIC331"/>
      <c r="EID331"/>
      <c r="EIG331"/>
      <c r="EIH331"/>
      <c r="EIK331"/>
      <c r="EIL331"/>
      <c r="EIO331"/>
      <c r="EIP331"/>
      <c r="EIS331"/>
      <c r="EIT331"/>
      <c r="EIW331"/>
      <c r="EIX331"/>
      <c r="EJA331"/>
      <c r="EJB331"/>
      <c r="EJE331"/>
      <c r="EJF331"/>
      <c r="EJI331"/>
      <c r="EJJ331"/>
      <c r="EJM331"/>
      <c r="EJN331"/>
      <c r="EJQ331"/>
      <c r="EJR331"/>
      <c r="EJU331"/>
      <c r="EJV331"/>
      <c r="EJY331"/>
      <c r="EJZ331"/>
      <c r="EKC331"/>
      <c r="EKD331"/>
      <c r="EKG331"/>
      <c r="EKH331"/>
      <c r="EKK331"/>
      <c r="EKL331"/>
      <c r="EKO331"/>
      <c r="EKP331"/>
      <c r="EKS331"/>
      <c r="EKT331"/>
      <c r="EKW331"/>
      <c r="EKX331"/>
      <c r="ELA331"/>
      <c r="ELB331"/>
      <c r="ELE331"/>
      <c r="ELF331"/>
      <c r="ELI331"/>
      <c r="ELJ331"/>
      <c r="ELM331"/>
      <c r="ELN331"/>
      <c r="ELQ331"/>
      <c r="ELR331"/>
      <c r="ELU331"/>
      <c r="ELV331"/>
      <c r="ELY331"/>
      <c r="ELZ331"/>
      <c r="EMC331"/>
      <c r="EMD331"/>
      <c r="EMG331"/>
      <c r="EMH331"/>
      <c r="EMK331"/>
      <c r="EML331"/>
      <c r="EMO331"/>
      <c r="EMP331"/>
      <c r="EMS331"/>
      <c r="EMT331"/>
      <c r="EMW331"/>
      <c r="EMX331"/>
      <c r="ENA331"/>
      <c r="ENB331"/>
      <c r="ENE331"/>
      <c r="ENF331"/>
      <c r="ENI331"/>
      <c r="ENJ331"/>
      <c r="ENM331"/>
      <c r="ENN331"/>
      <c r="ENQ331"/>
      <c r="ENR331"/>
      <c r="ENU331"/>
      <c r="ENV331"/>
      <c r="ENY331"/>
      <c r="ENZ331"/>
      <c r="EOC331"/>
      <c r="EOD331"/>
      <c r="EOG331"/>
      <c r="EOH331"/>
      <c r="EOK331"/>
      <c r="EOL331"/>
      <c r="EOO331"/>
      <c r="EOP331"/>
      <c r="EOS331"/>
      <c r="EOT331"/>
      <c r="EOW331"/>
      <c r="EOX331"/>
      <c r="EPA331"/>
      <c r="EPB331"/>
      <c r="EPE331"/>
      <c r="EPF331"/>
      <c r="EPI331"/>
      <c r="EPJ331"/>
      <c r="EPM331"/>
      <c r="EPN331"/>
      <c r="EPQ331"/>
      <c r="EPR331"/>
      <c r="EPU331"/>
      <c r="EPV331"/>
      <c r="EPY331"/>
      <c r="EPZ331"/>
      <c r="EQC331"/>
      <c r="EQD331"/>
      <c r="EQG331"/>
      <c r="EQH331"/>
      <c r="EQK331"/>
      <c r="EQL331"/>
      <c r="EQO331"/>
      <c r="EQP331"/>
      <c r="EQS331"/>
      <c r="EQT331"/>
      <c r="EQW331"/>
      <c r="EQX331"/>
      <c r="ERA331"/>
      <c r="ERB331"/>
      <c r="ERE331"/>
      <c r="ERF331"/>
      <c r="ERI331"/>
      <c r="ERJ331"/>
      <c r="ERM331"/>
      <c r="ERN331"/>
      <c r="ERQ331"/>
      <c r="ERR331"/>
      <c r="ERU331"/>
      <c r="ERV331"/>
      <c r="ERY331"/>
      <c r="ERZ331"/>
      <c r="ESC331"/>
      <c r="ESD331"/>
      <c r="ESG331"/>
      <c r="ESH331"/>
      <c r="ESK331"/>
      <c r="ESL331"/>
      <c r="ESO331"/>
      <c r="ESP331"/>
      <c r="ESS331"/>
      <c r="EST331"/>
      <c r="ESW331"/>
      <c r="ESX331"/>
      <c r="ETA331"/>
      <c r="ETB331"/>
      <c r="ETE331"/>
      <c r="ETF331"/>
      <c r="ETI331"/>
      <c r="ETJ331"/>
      <c r="ETM331"/>
      <c r="ETN331"/>
      <c r="ETQ331"/>
      <c r="ETR331"/>
      <c r="ETU331"/>
      <c r="ETV331"/>
      <c r="ETY331"/>
      <c r="ETZ331"/>
      <c r="EUC331"/>
      <c r="EUD331"/>
      <c r="EUG331"/>
      <c r="EUH331"/>
      <c r="EUK331"/>
      <c r="EUL331"/>
      <c r="EUO331"/>
      <c r="EUP331"/>
      <c r="EUS331"/>
      <c r="EUT331"/>
      <c r="EUW331"/>
      <c r="EUX331"/>
      <c r="EVA331"/>
      <c r="EVB331"/>
      <c r="EVE331"/>
      <c r="EVF331"/>
      <c r="EVI331"/>
      <c r="EVJ331"/>
      <c r="EVM331"/>
      <c r="EVN331"/>
      <c r="EVQ331"/>
      <c r="EVR331"/>
      <c r="EVU331"/>
      <c r="EVV331"/>
      <c r="EVY331"/>
      <c r="EVZ331"/>
      <c r="EWC331"/>
      <c r="EWD331"/>
      <c r="EWG331"/>
      <c r="EWH331"/>
      <c r="EWK331"/>
      <c r="EWL331"/>
      <c r="EWO331"/>
      <c r="EWP331"/>
      <c r="EWS331"/>
      <c r="EWT331"/>
      <c r="EWW331"/>
      <c r="EWX331"/>
      <c r="EXA331"/>
      <c r="EXB331"/>
      <c r="EXE331"/>
      <c r="EXF331"/>
      <c r="EXI331"/>
      <c r="EXJ331"/>
      <c r="EXM331"/>
      <c r="EXN331"/>
      <c r="EXQ331"/>
      <c r="EXR331"/>
      <c r="EXU331"/>
      <c r="EXV331"/>
      <c r="EXY331"/>
      <c r="EXZ331"/>
      <c r="EYC331"/>
      <c r="EYD331"/>
      <c r="EYG331"/>
      <c r="EYH331"/>
      <c r="EYK331"/>
      <c r="EYL331"/>
      <c r="EYO331"/>
      <c r="EYP331"/>
      <c r="EYS331"/>
      <c r="EYT331"/>
      <c r="EYW331"/>
      <c r="EYX331"/>
      <c r="EZA331"/>
      <c r="EZB331"/>
      <c r="EZE331"/>
      <c r="EZF331"/>
      <c r="EZI331"/>
      <c r="EZJ331"/>
      <c r="EZM331"/>
      <c r="EZN331"/>
      <c r="EZQ331"/>
      <c r="EZR331"/>
      <c r="EZU331"/>
      <c r="EZV331"/>
      <c r="EZY331"/>
      <c r="EZZ331"/>
      <c r="FAC331"/>
      <c r="FAD331"/>
      <c r="FAG331"/>
      <c r="FAH331"/>
      <c r="FAK331"/>
      <c r="FAL331"/>
      <c r="FAO331"/>
      <c r="FAP331"/>
      <c r="FAS331"/>
      <c r="FAT331"/>
      <c r="FAW331"/>
      <c r="FAX331"/>
      <c r="FBA331"/>
      <c r="FBB331"/>
      <c r="FBE331"/>
      <c r="FBF331"/>
      <c r="FBI331"/>
      <c r="FBJ331"/>
      <c r="FBM331"/>
      <c r="FBN331"/>
      <c r="FBQ331"/>
      <c r="FBR331"/>
      <c r="FBU331"/>
      <c r="FBV331"/>
      <c r="FBY331"/>
      <c r="FBZ331"/>
      <c r="FCC331"/>
      <c r="FCD331"/>
      <c r="FCG331"/>
      <c r="FCH331"/>
      <c r="FCK331"/>
      <c r="FCL331"/>
      <c r="FCO331"/>
      <c r="FCP331"/>
      <c r="FCS331"/>
      <c r="FCT331"/>
      <c r="FCW331"/>
      <c r="FCX331"/>
      <c r="FDA331"/>
      <c r="FDB331"/>
      <c r="FDE331"/>
      <c r="FDF331"/>
      <c r="FDI331"/>
      <c r="FDJ331"/>
      <c r="FDM331"/>
      <c r="FDN331"/>
      <c r="FDQ331"/>
      <c r="FDR331"/>
      <c r="FDU331"/>
      <c r="FDV331"/>
      <c r="FDY331"/>
      <c r="FDZ331"/>
      <c r="FEC331"/>
      <c r="FED331"/>
      <c r="FEG331"/>
      <c r="FEH331"/>
      <c r="FEK331"/>
      <c r="FEL331"/>
      <c r="FEO331"/>
      <c r="FEP331"/>
      <c r="FES331"/>
      <c r="FET331"/>
      <c r="FEW331"/>
      <c r="FEX331"/>
      <c r="FFA331"/>
      <c r="FFB331"/>
      <c r="FFE331"/>
      <c r="FFF331"/>
      <c r="FFI331"/>
      <c r="FFJ331"/>
      <c r="FFM331"/>
      <c r="FFN331"/>
      <c r="FFQ331"/>
      <c r="FFR331"/>
      <c r="FFU331"/>
      <c r="FFV331"/>
      <c r="FFY331"/>
      <c r="FFZ331"/>
      <c r="FGC331"/>
      <c r="FGD331"/>
      <c r="FGG331"/>
      <c r="FGH331" s="25"/>
      <c r="FGK331"/>
      <c r="FGL331"/>
      <c r="FGO331"/>
      <c r="FGP331"/>
      <c r="FGS331"/>
      <c r="FGT331"/>
      <c r="FGW331"/>
      <c r="FGX331"/>
      <c r="FHA331"/>
      <c r="FHB331"/>
      <c r="FHE331"/>
      <c r="FHF331"/>
      <c r="FHI331"/>
      <c r="FHJ331"/>
      <c r="FHM331"/>
      <c r="FHN331"/>
      <c r="FHQ331"/>
      <c r="FHR331"/>
      <c r="FHU331"/>
      <c r="FHV331"/>
      <c r="FHY331"/>
      <c r="FHZ331"/>
      <c r="FIC331"/>
      <c r="FID331"/>
      <c r="FIG331"/>
      <c r="FIH331"/>
      <c r="FIK331"/>
      <c r="FIL331"/>
      <c r="FIO331"/>
      <c r="FIP331"/>
      <c r="FIS331"/>
      <c r="FIT331"/>
      <c r="FIW331"/>
      <c r="FIX331"/>
      <c r="FJA331"/>
      <c r="FJB331"/>
      <c r="FJE331"/>
      <c r="FJF331"/>
      <c r="FJI331"/>
      <c r="FJJ331"/>
      <c r="FJM331"/>
      <c r="FJN331"/>
      <c r="FJQ331"/>
      <c r="FJR331"/>
      <c r="FJU331"/>
      <c r="FJV331"/>
      <c r="FJY331"/>
      <c r="FJZ331"/>
      <c r="FKC331"/>
      <c r="FKD331"/>
      <c r="FKG331"/>
      <c r="FKH331"/>
      <c r="FKK331"/>
      <c r="FKL331"/>
      <c r="FKO331"/>
      <c r="FKP331"/>
      <c r="FKS331"/>
      <c r="FKT331"/>
      <c r="FKW331"/>
      <c r="FKX331"/>
      <c r="FLA331"/>
      <c r="FLB331"/>
      <c r="FLE331"/>
      <c r="FLF331"/>
      <c r="FLI331"/>
      <c r="FLJ331"/>
      <c r="FLM331"/>
      <c r="FLN331"/>
      <c r="FLQ331"/>
      <c r="FLR331"/>
      <c r="FLU331"/>
      <c r="FLV331"/>
      <c r="FLY331"/>
      <c r="FLZ331"/>
      <c r="FMC331"/>
      <c r="FMD331"/>
      <c r="FMG331"/>
      <c r="FMH331"/>
      <c r="FMK331"/>
      <c r="FML331"/>
      <c r="FMO331"/>
      <c r="FMP331"/>
      <c r="FMS331"/>
      <c r="FMT331"/>
      <c r="FMW331"/>
      <c r="FMX331"/>
      <c r="FNA331"/>
      <c r="FNB331"/>
      <c r="FNE331"/>
      <c r="FNF331"/>
      <c r="FNI331"/>
      <c r="FNJ331"/>
      <c r="FNM331"/>
      <c r="FNN331"/>
      <c r="FNQ331"/>
      <c r="FNR331"/>
      <c r="FNU331"/>
      <c r="FNV331"/>
      <c r="FNY331"/>
      <c r="FNZ331"/>
      <c r="FOC331"/>
      <c r="FOD331"/>
      <c r="FOG331"/>
      <c r="FOH331"/>
      <c r="FOK331"/>
      <c r="FOL331"/>
      <c r="FOO331"/>
      <c r="FOP331"/>
      <c r="FOS331"/>
      <c r="FOT331"/>
      <c r="FOW331"/>
      <c r="FOX331"/>
      <c r="FPA331"/>
      <c r="FPB331"/>
      <c r="FPE331"/>
      <c r="FPF331"/>
      <c r="FPI331"/>
      <c r="FPJ331"/>
      <c r="FPM331"/>
      <c r="FPN331"/>
      <c r="FPQ331"/>
      <c r="FPR331"/>
      <c r="FPU331"/>
      <c r="FPV331"/>
      <c r="FPY331"/>
      <c r="FPZ331"/>
      <c r="FQC331"/>
      <c r="FQD331"/>
      <c r="FQG331"/>
      <c r="FQH331"/>
      <c r="FQK331"/>
      <c r="FQL331"/>
      <c r="FQO331"/>
      <c r="FQP331"/>
      <c r="FQS331"/>
      <c r="FQT331"/>
      <c r="FQW331"/>
      <c r="FQX331"/>
      <c r="FRA331"/>
      <c r="FRB331"/>
      <c r="FRE331"/>
      <c r="FRF331"/>
      <c r="FRI331"/>
      <c r="FRJ331"/>
      <c r="FRM331"/>
      <c r="FRN331"/>
      <c r="FRQ331"/>
      <c r="FRR331"/>
      <c r="FRU331"/>
      <c r="FRV331"/>
      <c r="FRY331"/>
      <c r="FRZ331"/>
      <c r="FSC331"/>
      <c r="FSD331"/>
      <c r="FSG331"/>
      <c r="FSH331"/>
      <c r="FSK331"/>
      <c r="FSL331"/>
      <c r="FSO331"/>
      <c r="FSP331"/>
      <c r="FSS331"/>
      <c r="FST331"/>
      <c r="FSW331"/>
      <c r="FSX331"/>
      <c r="FTA331"/>
      <c r="FTB331"/>
      <c r="FTE331"/>
      <c r="FTF331"/>
      <c r="FTI331"/>
      <c r="FTJ331"/>
      <c r="FTM331"/>
      <c r="FTN331"/>
      <c r="FTQ331"/>
      <c r="FTR331"/>
      <c r="FTU331"/>
      <c r="FTV331"/>
      <c r="FTY331"/>
      <c r="FTZ331"/>
      <c r="FUC331"/>
      <c r="FUD331"/>
      <c r="FUG331"/>
      <c r="FUH331"/>
      <c r="FUK331"/>
      <c r="FUL331"/>
      <c r="FUO331"/>
      <c r="FUP331"/>
      <c r="FUS331"/>
      <c r="FUT331"/>
      <c r="FUW331"/>
      <c r="FUX331"/>
      <c r="FVA331"/>
      <c r="FVB331"/>
      <c r="FVE331"/>
      <c r="FVF331"/>
      <c r="FVI331"/>
      <c r="FVJ331"/>
      <c r="FVM331"/>
      <c r="FVN331"/>
      <c r="FVQ331"/>
      <c r="FVR331"/>
      <c r="FVU331"/>
      <c r="FVV331"/>
      <c r="FVY331"/>
      <c r="FVZ331"/>
      <c r="FWC331"/>
      <c r="FWD331"/>
      <c r="FWG331"/>
      <c r="FWH331"/>
      <c r="FWK331"/>
      <c r="FWL331"/>
      <c r="FWO331"/>
      <c r="FWP331"/>
      <c r="FWS331"/>
      <c r="FWT331"/>
      <c r="FWW331"/>
      <c r="FWX331"/>
      <c r="FXA331"/>
      <c r="FXB331"/>
      <c r="FXE331"/>
      <c r="FXF331"/>
      <c r="FXI331"/>
      <c r="FXJ331"/>
      <c r="FXM331"/>
      <c r="FXN331"/>
      <c r="FXQ331"/>
      <c r="FXR331"/>
      <c r="FXU331"/>
      <c r="FXV331"/>
      <c r="FXY331"/>
      <c r="FXZ331"/>
      <c r="FYC331"/>
      <c r="FYD331"/>
      <c r="FYG331"/>
      <c r="FYH331"/>
      <c r="FYK331"/>
      <c r="FYL331"/>
      <c r="FYO331"/>
      <c r="FYP331"/>
      <c r="FYS331"/>
      <c r="FYT331"/>
      <c r="FYW331"/>
      <c r="FYX331"/>
      <c r="FZA331"/>
      <c r="FZB331"/>
      <c r="FZE331"/>
      <c r="FZF331"/>
      <c r="FZI331"/>
      <c r="FZJ331"/>
      <c r="FZM331"/>
      <c r="FZN331"/>
      <c r="FZQ331"/>
      <c r="FZR331"/>
      <c r="FZU331"/>
      <c r="FZV331"/>
      <c r="FZY331"/>
      <c r="FZZ331"/>
      <c r="GAC331"/>
      <c r="GAD331"/>
      <c r="GAG331"/>
      <c r="GAH331"/>
      <c r="GAK331"/>
      <c r="GAL331"/>
      <c r="GAO331"/>
      <c r="GAP331"/>
      <c r="GAS331"/>
      <c r="GAT331"/>
      <c r="GAW331"/>
      <c r="GAX331"/>
      <c r="GBA331"/>
      <c r="GBB331"/>
      <c r="GBE331"/>
      <c r="GBF331"/>
      <c r="GBI331"/>
      <c r="GBJ331"/>
      <c r="GBM331"/>
      <c r="GBN331"/>
      <c r="GBQ331"/>
      <c r="GBR331"/>
      <c r="GBU331"/>
      <c r="GBV331"/>
      <c r="GBY331"/>
      <c r="GBZ331"/>
      <c r="GCC331"/>
      <c r="GCD331"/>
      <c r="GCG331"/>
      <c r="GCH331"/>
      <c r="GCK331"/>
      <c r="GCL331"/>
      <c r="GCO331"/>
      <c r="GCP331"/>
      <c r="GCS331"/>
      <c r="GCT331"/>
      <c r="GCW331"/>
      <c r="GCX331"/>
      <c r="GDA331"/>
      <c r="GDB331"/>
      <c r="GDE331"/>
      <c r="GDF331"/>
      <c r="GDI331"/>
      <c r="GDJ331"/>
      <c r="GDM331"/>
      <c r="GDN331"/>
      <c r="GDQ331"/>
      <c r="GDR331"/>
      <c r="GDU331"/>
      <c r="GDV331"/>
      <c r="GDY331"/>
      <c r="GDZ331"/>
      <c r="GEC331"/>
      <c r="GED331"/>
      <c r="GEG331"/>
      <c r="GEH331"/>
      <c r="GEK331"/>
      <c r="GEL331"/>
      <c r="GEO331"/>
      <c r="GEP331"/>
      <c r="GES331"/>
      <c r="GET331"/>
      <c r="GEW331"/>
      <c r="GEX331"/>
      <c r="GFA331"/>
      <c r="GFB331"/>
      <c r="GFE331"/>
      <c r="GFF331"/>
      <c r="GFI331"/>
      <c r="GFJ331"/>
      <c r="GFM331"/>
      <c r="GFN331"/>
      <c r="GFQ331"/>
      <c r="GFR331"/>
      <c r="GFU331"/>
      <c r="GFV331"/>
      <c r="GFY331"/>
      <c r="GFZ331"/>
      <c r="GGC331"/>
      <c r="GGD331"/>
      <c r="GGG331"/>
      <c r="GGH331"/>
      <c r="GGK331"/>
      <c r="GGL331"/>
      <c r="GGO331"/>
      <c r="GGP331"/>
      <c r="GGS331"/>
      <c r="GGT331"/>
      <c r="GGW331"/>
      <c r="GGX331"/>
      <c r="GHA331"/>
      <c r="GHB331"/>
      <c r="GHE331"/>
      <c r="GHF331"/>
      <c r="GHI331" s="25"/>
      <c r="GHJ331"/>
      <c r="GHM331"/>
      <c r="GHN331"/>
      <c r="GHQ331"/>
      <c r="GHR331"/>
      <c r="GHU331"/>
      <c r="GHV331"/>
      <c r="GHY331"/>
      <c r="GHZ331"/>
      <c r="GIC331"/>
      <c r="GID331"/>
      <c r="GIG331"/>
      <c r="GIH331"/>
      <c r="GIK331"/>
      <c r="GIL331"/>
      <c r="GIO331"/>
      <c r="GIP331"/>
      <c r="GIS331"/>
      <c r="GIT331"/>
      <c r="GIW331"/>
      <c r="GIX331"/>
      <c r="GJA331"/>
      <c r="GJB331"/>
      <c r="GJE331"/>
      <c r="GJF331"/>
      <c r="GJI331"/>
      <c r="GJJ331"/>
      <c r="GJM331"/>
      <c r="GJN331"/>
      <c r="GJQ331"/>
      <c r="GJR331"/>
      <c r="GJU331"/>
      <c r="GJV331"/>
      <c r="GJY331"/>
      <c r="GJZ331"/>
      <c r="GKC331"/>
      <c r="GKD331"/>
      <c r="GKG331"/>
      <c r="GKH331"/>
      <c r="GKK331"/>
      <c r="GKL331"/>
      <c r="GKO331"/>
      <c r="GKP331"/>
      <c r="GKS331"/>
      <c r="GKT331"/>
      <c r="GKW331"/>
      <c r="GKX331"/>
      <c r="GLA331"/>
      <c r="GLB331"/>
      <c r="GLE331"/>
      <c r="GLF331"/>
      <c r="GLI331"/>
      <c r="GLJ331"/>
      <c r="GLM331"/>
      <c r="GLN331"/>
      <c r="GLQ331"/>
      <c r="GLR331"/>
      <c r="GLU331"/>
      <c r="GLV331"/>
      <c r="GLY331"/>
      <c r="GLZ331"/>
      <c r="GMC331"/>
      <c r="GMD331"/>
      <c r="GMG331"/>
      <c r="GMH331"/>
      <c r="GMK331"/>
      <c r="GML331"/>
      <c r="GMO331"/>
      <c r="GMP331"/>
      <c r="GMS331"/>
      <c r="GMT331"/>
      <c r="GMW331"/>
      <c r="GMX331"/>
      <c r="GNA331"/>
      <c r="GNB331"/>
      <c r="GNE331"/>
      <c r="GNF331"/>
      <c r="GNI331"/>
      <c r="GNJ331"/>
      <c r="GNM331"/>
      <c r="GNN331"/>
      <c r="GNQ331"/>
      <c r="GNR331"/>
      <c r="GNU331"/>
      <c r="GNV331"/>
      <c r="GNY331"/>
      <c r="GNZ331"/>
      <c r="GOC331"/>
      <c r="GOD331"/>
      <c r="GOG331"/>
      <c r="GOH331"/>
      <c r="GOK331"/>
      <c r="GOL331"/>
      <c r="GOO331"/>
      <c r="GOP331"/>
      <c r="GOS331"/>
      <c r="GOT331"/>
      <c r="GOW331"/>
      <c r="GOX331"/>
      <c r="GPA331"/>
      <c r="GPB331"/>
      <c r="GPE331"/>
      <c r="GPF331"/>
      <c r="GPI331"/>
      <c r="GPJ331"/>
      <c r="GPM331"/>
      <c r="GPN331"/>
      <c r="GPQ331"/>
      <c r="GPR331"/>
      <c r="GPU331"/>
      <c r="GPV331"/>
      <c r="GPY331"/>
      <c r="GPZ331"/>
      <c r="GQC331"/>
      <c r="GQD331"/>
      <c r="GQG331"/>
      <c r="GQH331"/>
      <c r="GQK331"/>
      <c r="GQL331"/>
      <c r="GQO331"/>
      <c r="GQP331"/>
      <c r="GQS331"/>
      <c r="GQT331"/>
      <c r="GQW331"/>
      <c r="GQX331"/>
      <c r="GRA331"/>
      <c r="GRB331"/>
      <c r="GRE331"/>
      <c r="GRF331"/>
      <c r="GRI331"/>
      <c r="GRJ331"/>
      <c r="GRM331"/>
      <c r="GRN331"/>
      <c r="GRQ331"/>
      <c r="GRR331"/>
      <c r="GRU331"/>
      <c r="GRV331"/>
      <c r="GRY331"/>
      <c r="GRZ331"/>
      <c r="GSC331"/>
      <c r="GSD331"/>
      <c r="GSG331"/>
      <c r="GSH331"/>
      <c r="GSK331"/>
      <c r="GSL331"/>
      <c r="GSO331"/>
      <c r="GSP331"/>
      <c r="GSS331"/>
      <c r="GST331"/>
      <c r="GSW331"/>
      <c r="GSX331"/>
      <c r="GTA331"/>
      <c r="GTB331"/>
      <c r="GTE331"/>
      <c r="GTF331"/>
      <c r="GTI331"/>
      <c r="GTJ331"/>
      <c r="GTM331"/>
      <c r="GTN331"/>
      <c r="GTQ331"/>
      <c r="GTR331"/>
      <c r="GTU331"/>
      <c r="GTV331"/>
      <c r="GTY331"/>
      <c r="GTZ331"/>
      <c r="GUC331"/>
      <c r="GUD331"/>
      <c r="GUG331"/>
      <c r="GUH331"/>
      <c r="GUK331"/>
      <c r="GUL331"/>
      <c r="GUO331"/>
      <c r="GUP331"/>
      <c r="GUS331"/>
      <c r="GUT331"/>
      <c r="GUW331"/>
      <c r="GUX331"/>
      <c r="GVA331"/>
      <c r="GVB331"/>
      <c r="GVE331"/>
      <c r="GVF331"/>
      <c r="GVI331"/>
      <c r="GVJ331"/>
      <c r="GVM331"/>
      <c r="GVN331"/>
      <c r="GVQ331"/>
      <c r="GVR331"/>
      <c r="GVU331"/>
      <c r="GVV331"/>
      <c r="GVY331"/>
      <c r="GVZ331"/>
      <c r="GWC331"/>
      <c r="GWD331"/>
      <c r="GWG331"/>
      <c r="GWH331"/>
      <c r="GWK331"/>
      <c r="GWL331"/>
      <c r="GWO331"/>
      <c r="GWP331"/>
      <c r="GWS331"/>
      <c r="GWT331"/>
      <c r="GWW331"/>
      <c r="GWX331"/>
      <c r="GXA331"/>
      <c r="GXB331"/>
      <c r="GXE331"/>
      <c r="GXF331"/>
      <c r="GXI331"/>
      <c r="GXJ331"/>
      <c r="GXM331"/>
      <c r="GXN331"/>
      <c r="GXQ331"/>
      <c r="GXR331"/>
      <c r="GXU331"/>
      <c r="GXV331"/>
      <c r="GXY331"/>
      <c r="GXZ331"/>
      <c r="GYC331"/>
      <c r="GYD331"/>
      <c r="GYG331"/>
      <c r="GYH331"/>
      <c r="GYK331"/>
      <c r="GYL331"/>
      <c r="GYO331"/>
      <c r="GYP331"/>
      <c r="GYS331"/>
      <c r="GYT331"/>
      <c r="GYW331"/>
      <c r="GYX331"/>
      <c r="GZA331"/>
      <c r="GZB331"/>
      <c r="GZE331"/>
      <c r="GZF331"/>
      <c r="GZI331"/>
      <c r="GZJ331"/>
      <c r="GZM331"/>
      <c r="GZN331"/>
      <c r="GZQ331"/>
      <c r="GZR331"/>
      <c r="GZU331"/>
      <c r="GZV331"/>
      <c r="GZY331"/>
      <c r="GZZ331"/>
      <c r="HAC331"/>
      <c r="HAD331"/>
      <c r="HAG331"/>
      <c r="HAH331"/>
      <c r="HAK331"/>
      <c r="HAL331"/>
      <c r="HAO331"/>
      <c r="HAP331"/>
      <c r="HAS331"/>
      <c r="HAT331"/>
      <c r="HAW331"/>
      <c r="HAX331"/>
      <c r="HBA331"/>
      <c r="HBB331"/>
      <c r="HBE331"/>
      <c r="HBF331"/>
      <c r="HBI331"/>
      <c r="HBJ331"/>
      <c r="HBM331"/>
      <c r="HBN331"/>
      <c r="HBQ331"/>
      <c r="HBR331"/>
      <c r="HBU331"/>
      <c r="HBV331"/>
      <c r="HBY331"/>
      <c r="HBZ331"/>
      <c r="HCC331"/>
      <c r="HCD331"/>
      <c r="HCG331"/>
      <c r="HCH331"/>
      <c r="HCK331"/>
      <c r="HCL331"/>
      <c r="HCO331"/>
      <c r="HCP331"/>
      <c r="HCS331"/>
      <c r="HCT331"/>
      <c r="HCW331"/>
      <c r="HCX331"/>
      <c r="HDA331"/>
      <c r="HDB331"/>
      <c r="HDE331"/>
      <c r="HDF331"/>
      <c r="HDI331"/>
      <c r="HDJ331"/>
      <c r="HDM331"/>
      <c r="HDN331"/>
      <c r="HDQ331"/>
      <c r="HDR331"/>
      <c r="HDU331"/>
      <c r="HDV331"/>
      <c r="HDY331"/>
      <c r="HDZ331"/>
      <c r="HEC331"/>
      <c r="HED331"/>
      <c r="HEG331"/>
      <c r="HEH331"/>
      <c r="HEK331"/>
      <c r="HEL331"/>
      <c r="HEO331"/>
      <c r="HEP331"/>
      <c r="HES331"/>
      <c r="HET331"/>
      <c r="HEW331"/>
      <c r="HEX331"/>
      <c r="HFA331"/>
      <c r="HFB331"/>
      <c r="HFE331"/>
      <c r="HFF331"/>
      <c r="HFI331"/>
      <c r="HFJ331"/>
      <c r="HFM331"/>
      <c r="HFN331"/>
      <c r="HFQ331"/>
      <c r="HFR331"/>
      <c r="HFU331"/>
      <c r="HFV331"/>
      <c r="HFY331"/>
      <c r="HFZ331"/>
      <c r="HGC331"/>
      <c r="HGD331"/>
      <c r="HGG331"/>
      <c r="HGH331"/>
      <c r="HGK331"/>
      <c r="HGL331"/>
      <c r="HGO331"/>
      <c r="HGP331"/>
      <c r="HGS331"/>
      <c r="HGT331"/>
      <c r="HGW331"/>
      <c r="HGX331"/>
      <c r="HHA331"/>
      <c r="HHB331"/>
      <c r="HHE331"/>
      <c r="HHF331"/>
      <c r="HHI331"/>
      <c r="HHJ331"/>
      <c r="HHM331"/>
      <c r="HHN331"/>
      <c r="HHQ331"/>
      <c r="HHR331"/>
      <c r="HHU331"/>
      <c r="HHV331"/>
      <c r="HHY331"/>
      <c r="HHZ331"/>
      <c r="HIC331"/>
      <c r="HID331"/>
      <c r="HIG331"/>
      <c r="HIH331"/>
      <c r="HIK331"/>
      <c r="HIL331"/>
      <c r="HIO331"/>
      <c r="HIP331"/>
      <c r="HIS331"/>
      <c r="HIT331"/>
      <c r="HIW331"/>
      <c r="HIX331"/>
      <c r="HJA331"/>
      <c r="HJB331"/>
      <c r="HJE331"/>
      <c r="HJF331"/>
      <c r="HJI331"/>
      <c r="HJJ331"/>
      <c r="HJM331"/>
      <c r="HJN331"/>
      <c r="HJQ331"/>
      <c r="HJR331"/>
      <c r="HJU331"/>
      <c r="HJV331"/>
      <c r="HJY331"/>
      <c r="HJZ331"/>
      <c r="HKC331"/>
      <c r="HKD331"/>
      <c r="HKG331"/>
      <c r="HKH331"/>
      <c r="HKK331"/>
      <c r="HKL331"/>
      <c r="HKO331"/>
      <c r="HKP331"/>
      <c r="HKS331"/>
      <c r="HKT331"/>
      <c r="HKW331"/>
      <c r="HKX331"/>
      <c r="HLA331"/>
      <c r="HLB331"/>
      <c r="HLE331"/>
      <c r="HLF331"/>
      <c r="HLI331"/>
      <c r="HLJ331"/>
      <c r="HLM331"/>
      <c r="HLN331"/>
      <c r="HLQ331"/>
      <c r="HLR331"/>
      <c r="HLU331"/>
      <c r="HLV331"/>
      <c r="HLY331"/>
      <c r="HLZ331"/>
      <c r="HMC331"/>
      <c r="HMD331"/>
      <c r="HMG331"/>
      <c r="HMH331"/>
      <c r="HMK331"/>
      <c r="HML331"/>
      <c r="HMO331"/>
      <c r="HMP331"/>
      <c r="HMS331"/>
      <c r="HMT331"/>
      <c r="HMW331"/>
      <c r="HMX331"/>
      <c r="HNA331"/>
      <c r="HNB331"/>
      <c r="HNE331"/>
      <c r="HNF331"/>
      <c r="HNI331"/>
      <c r="HNJ331"/>
      <c r="HNM331"/>
      <c r="HNN331"/>
      <c r="HNQ331"/>
      <c r="HNR331"/>
      <c r="HNU331"/>
      <c r="HNV331"/>
      <c r="HNY331"/>
      <c r="HNZ331"/>
      <c r="HOC331"/>
      <c r="HOD331"/>
      <c r="HOG331"/>
      <c r="HOH331"/>
      <c r="HOK331"/>
      <c r="HOL331"/>
      <c r="HOO331"/>
      <c r="HOP331"/>
      <c r="HOS331"/>
      <c r="HOT331"/>
      <c r="HOW331"/>
      <c r="HOX331"/>
      <c r="HPA331"/>
      <c r="HPB331"/>
      <c r="HPE331"/>
      <c r="HPF331"/>
      <c r="HPI331"/>
      <c r="HPJ331"/>
      <c r="HPM331"/>
      <c r="HPN331"/>
      <c r="HPQ331"/>
      <c r="HPR331"/>
      <c r="HPU331"/>
      <c r="HPV331"/>
      <c r="HPY331"/>
      <c r="HPZ331"/>
      <c r="HQC331"/>
      <c r="HQD331"/>
      <c r="HQG331"/>
      <c r="HQH331"/>
      <c r="HQK331"/>
      <c r="HQL331"/>
      <c r="HQO331"/>
      <c r="HQP331"/>
      <c r="HQS331"/>
      <c r="HQT331"/>
      <c r="HQW331"/>
      <c r="HQX331"/>
      <c r="HRA331"/>
      <c r="HRB331"/>
      <c r="HRE331"/>
      <c r="HRF331"/>
      <c r="HRI331"/>
      <c r="HRJ331"/>
      <c r="HRM331"/>
      <c r="HRN331"/>
      <c r="HRQ331"/>
      <c r="HRR331"/>
      <c r="HRU331"/>
      <c r="HRV331"/>
      <c r="HRY331"/>
      <c r="HRZ331"/>
      <c r="HSC331"/>
      <c r="HSD331"/>
      <c r="HSG331"/>
      <c r="HSH331"/>
      <c r="HSK331"/>
      <c r="HSL331"/>
      <c r="HSO331"/>
      <c r="HSP331"/>
      <c r="HSS331"/>
      <c r="HST331"/>
      <c r="HSW331"/>
      <c r="HSX331"/>
      <c r="HTA331"/>
      <c r="HTB331"/>
      <c r="HTE331"/>
      <c r="HTF331"/>
      <c r="HTI331"/>
      <c r="HTJ331"/>
      <c r="HTM331"/>
      <c r="HTN331"/>
      <c r="HTQ331"/>
      <c r="HTR331"/>
      <c r="HTU331"/>
      <c r="HTV331"/>
      <c r="HTY331"/>
      <c r="HTZ331"/>
      <c r="HUC331"/>
      <c r="HUD331"/>
      <c r="HUG331"/>
      <c r="HUH331"/>
      <c r="HUK331"/>
      <c r="HUL331"/>
      <c r="HUO331"/>
      <c r="HUP331"/>
      <c r="HUS331"/>
      <c r="HUT331"/>
      <c r="HUW331"/>
      <c r="HUX331"/>
      <c r="HVA331"/>
      <c r="HVB331"/>
      <c r="HVE331"/>
      <c r="HVF331"/>
      <c r="HVI331"/>
      <c r="HVJ331"/>
      <c r="HVM331"/>
      <c r="HVN331"/>
      <c r="HVQ331"/>
      <c r="HVR331"/>
      <c r="HVU331"/>
      <c r="HVV331"/>
      <c r="HVY331"/>
      <c r="HVZ331"/>
      <c r="HWC331"/>
      <c r="HWD331"/>
      <c r="HWG331"/>
      <c r="HWH331"/>
      <c r="HWK331"/>
      <c r="HWL331"/>
      <c r="HWO331"/>
      <c r="HWP331"/>
      <c r="HWS331"/>
      <c r="HWT331"/>
      <c r="HWW331"/>
      <c r="HWX331"/>
      <c r="HXA331"/>
      <c r="HXB331"/>
      <c r="HXE331"/>
      <c r="HXF331"/>
      <c r="HXI331"/>
      <c r="HXJ331"/>
      <c r="HXM331"/>
      <c r="HXN331"/>
      <c r="HXQ331"/>
      <c r="HXR331"/>
      <c r="HXU331"/>
      <c r="HXV331"/>
      <c r="HXY331"/>
      <c r="HXZ331"/>
      <c r="HYC331"/>
      <c r="HYD331"/>
      <c r="HYG331"/>
      <c r="HYH331"/>
      <c r="HYK331"/>
      <c r="HYL331"/>
      <c r="HYO331"/>
      <c r="HYP331"/>
      <c r="HYS331"/>
      <c r="HYT331"/>
      <c r="HYW331"/>
      <c r="HYX331"/>
      <c r="HZA331"/>
      <c r="HZB331"/>
      <c r="HZE331"/>
      <c r="HZF331"/>
      <c r="HZI331"/>
      <c r="HZJ331"/>
      <c r="HZM331"/>
      <c r="HZN331"/>
      <c r="HZQ331"/>
      <c r="HZR331"/>
      <c r="HZU331"/>
      <c r="HZV331"/>
      <c r="HZY331"/>
      <c r="HZZ331"/>
      <c r="IAC331"/>
      <c r="IAD331"/>
      <c r="IAG331"/>
      <c r="IAH331"/>
      <c r="IAK331"/>
      <c r="IAL331"/>
      <c r="IAO331"/>
      <c r="IAP331"/>
      <c r="IAS331"/>
      <c r="IAT331"/>
      <c r="IAW331"/>
      <c r="IAX331"/>
      <c r="IBA331"/>
      <c r="IBB331"/>
      <c r="IBE331"/>
      <c r="IBF331"/>
      <c r="IBI331"/>
      <c r="IBJ331"/>
      <c r="IBM331"/>
      <c r="IBN331"/>
      <c r="IBQ331"/>
      <c r="IBR331"/>
      <c r="IBU331"/>
      <c r="IBV331"/>
      <c r="IBY331"/>
      <c r="IBZ331"/>
      <c r="ICC331"/>
      <c r="ICD331"/>
      <c r="ICG331"/>
      <c r="ICH331"/>
      <c r="ICK331"/>
      <c r="ICL331"/>
      <c r="ICO331"/>
      <c r="ICP331"/>
      <c r="ICS331"/>
      <c r="ICT331"/>
      <c r="ICW331"/>
      <c r="ICX331"/>
      <c r="IDA331"/>
      <c r="IDB331"/>
      <c r="IDE331"/>
      <c r="IDF331"/>
      <c r="IDI331"/>
      <c r="IDJ331"/>
      <c r="IDM331"/>
      <c r="IDN331"/>
      <c r="IDQ331"/>
      <c r="IDR331"/>
      <c r="IDU331"/>
      <c r="IDV331"/>
      <c r="IDY331"/>
      <c r="IDZ331"/>
      <c r="IEC331"/>
      <c r="IED331"/>
      <c r="IEG331"/>
      <c r="IEH331"/>
      <c r="IEK331"/>
      <c r="IEL331"/>
      <c r="IEO331"/>
      <c r="IEP331"/>
      <c r="IES331"/>
      <c r="IET331"/>
      <c r="IEW331"/>
      <c r="IEX331"/>
      <c r="IFA331"/>
      <c r="IFB331"/>
      <c r="IFE331"/>
      <c r="IFF331"/>
      <c r="IFI331"/>
      <c r="IFJ331"/>
      <c r="IFM331"/>
      <c r="IFN331"/>
      <c r="IFQ331"/>
      <c r="IFR331"/>
      <c r="IFU331"/>
      <c r="IFV331"/>
      <c r="IFY331"/>
      <c r="IFZ331"/>
      <c r="IGC331"/>
      <c r="IGD331"/>
      <c r="IGG331"/>
      <c r="IGH331"/>
      <c r="IGK331"/>
      <c r="IGL331"/>
      <c r="IGO331"/>
      <c r="IGP331"/>
      <c r="IGS331"/>
      <c r="IGT331"/>
      <c r="IGW331"/>
      <c r="IGX331"/>
      <c r="IHA331"/>
      <c r="IHB331"/>
      <c r="IHE331"/>
      <c r="IHF331"/>
      <c r="IHI331"/>
      <c r="IHJ331"/>
      <c r="IHM331"/>
      <c r="IHN331"/>
      <c r="IHQ331"/>
      <c r="IHR331"/>
      <c r="IHU331"/>
      <c r="IHV331"/>
      <c r="IHY331"/>
      <c r="IHZ331"/>
      <c r="IIC331"/>
      <c r="IID331"/>
      <c r="IIG331"/>
      <c r="IIH331"/>
      <c r="IIK331"/>
      <c r="IIL331"/>
      <c r="IIO331"/>
      <c r="IIP331"/>
      <c r="IIS331"/>
      <c r="IIT331"/>
      <c r="IIW331"/>
      <c r="IIX331"/>
      <c r="IJA331"/>
      <c r="IJB331"/>
      <c r="IJE331"/>
      <c r="IJF331"/>
      <c r="IJI331"/>
      <c r="IJJ331"/>
      <c r="IJM331"/>
      <c r="IJN331"/>
      <c r="IJQ331"/>
      <c r="IJR331"/>
      <c r="IJU331"/>
      <c r="IJV331"/>
      <c r="IJY331"/>
      <c r="IJZ331"/>
      <c r="IKC331"/>
      <c r="IKD331"/>
      <c r="IKG331"/>
      <c r="IKH331"/>
      <c r="IKK331"/>
      <c r="IKL331"/>
      <c r="IKO331"/>
      <c r="IKP331"/>
      <c r="IKS331"/>
      <c r="IKT331"/>
      <c r="IKW331"/>
      <c r="IKX331"/>
      <c r="ILA331"/>
      <c r="ILB331"/>
      <c r="ILE331"/>
      <c r="ILF331"/>
      <c r="ILI331"/>
      <c r="ILJ331"/>
      <c r="ILM331"/>
      <c r="ILN331"/>
      <c r="ILQ331"/>
      <c r="ILR331"/>
      <c r="ILU331"/>
      <c r="ILV331"/>
      <c r="ILY331"/>
      <c r="ILZ331"/>
      <c r="IMC331"/>
      <c r="IMD331"/>
      <c r="IMG331"/>
      <c r="IMH331"/>
      <c r="IMK331"/>
      <c r="IML331"/>
      <c r="IMO331"/>
      <c r="IMP331"/>
      <c r="IMS331"/>
      <c r="IMT331"/>
      <c r="IMW331"/>
      <c r="IMX331"/>
      <c r="INA331"/>
      <c r="INB331"/>
      <c r="INE331"/>
      <c r="INF331"/>
      <c r="INI331"/>
      <c r="INJ331"/>
      <c r="INM331"/>
      <c r="INN331"/>
      <c r="INQ331"/>
      <c r="INR331"/>
      <c r="INU331"/>
      <c r="INV331"/>
      <c r="INY331"/>
      <c r="INZ331"/>
      <c r="IOC331"/>
      <c r="IOD331"/>
      <c r="IOG331"/>
      <c r="IOH331"/>
      <c r="IOK331"/>
      <c r="IOL331"/>
      <c r="IOO331"/>
      <c r="IOP331"/>
      <c r="IOS331"/>
      <c r="IOT331"/>
      <c r="IOW331"/>
      <c r="IOX331"/>
      <c r="IPA331"/>
      <c r="IPB331"/>
      <c r="IPE331"/>
      <c r="IPF331"/>
      <c r="IPI331"/>
      <c r="IPJ331"/>
      <c r="IPM331"/>
      <c r="IPN331"/>
      <c r="IPQ331"/>
      <c r="IPR331"/>
      <c r="IPU331"/>
      <c r="IPV331"/>
      <c r="IPY331"/>
      <c r="IPZ331"/>
      <c r="IQC331"/>
      <c r="IQD331"/>
      <c r="IQG331"/>
      <c r="IQH331"/>
      <c r="IQK331"/>
      <c r="IQL331"/>
      <c r="IQO331"/>
      <c r="IQP331"/>
      <c r="IQS331"/>
      <c r="IQT331"/>
      <c r="IQW331"/>
      <c r="IQX331"/>
      <c r="IRA331"/>
      <c r="IRB331"/>
      <c r="IRE331"/>
      <c r="IRF331"/>
      <c r="IRI331"/>
      <c r="IRJ331"/>
      <c r="IRM331"/>
      <c r="IRN331"/>
      <c r="IRQ331"/>
      <c r="IRR331"/>
      <c r="IRU331"/>
      <c r="IRV331"/>
      <c r="IRY331"/>
      <c r="IRZ331"/>
      <c r="ISC331"/>
      <c r="ISD331"/>
      <c r="ISG331"/>
      <c r="ISH331"/>
      <c r="ISK331"/>
      <c r="ISL331"/>
      <c r="ISO331"/>
      <c r="ISP331"/>
      <c r="ISS331"/>
      <c r="IST331"/>
      <c r="ISW331"/>
      <c r="ISX331"/>
      <c r="ITA331"/>
      <c r="ITB331"/>
      <c r="ITE331"/>
      <c r="ITF331"/>
      <c r="ITI331"/>
      <c r="ITJ331"/>
      <c r="ITM331"/>
      <c r="ITN331"/>
      <c r="ITQ331"/>
      <c r="ITR331"/>
      <c r="ITU331"/>
      <c r="ITV331"/>
      <c r="ITY331"/>
      <c r="ITZ331"/>
      <c r="IUC331"/>
      <c r="IUD331"/>
      <c r="IUG331"/>
      <c r="IUH331"/>
      <c r="IUK331"/>
      <c r="IUL331"/>
      <c r="IUO331"/>
      <c r="IUP331"/>
      <c r="IUS331"/>
      <c r="IUT331"/>
      <c r="IUW331"/>
      <c r="IUX331"/>
      <c r="IVA331"/>
      <c r="IVB331"/>
      <c r="IVE331"/>
      <c r="IVF331"/>
      <c r="IVI331"/>
      <c r="IVJ331"/>
      <c r="IVM331"/>
      <c r="IVN331"/>
      <c r="IVQ331"/>
      <c r="IVR331"/>
      <c r="IVU331"/>
      <c r="IVV331"/>
      <c r="IVY331"/>
      <c r="IVZ331"/>
      <c r="IWC331"/>
      <c r="IWD331"/>
      <c r="IWG331"/>
      <c r="IWH331"/>
      <c r="IWK331"/>
      <c r="IWL331"/>
      <c r="IWO331"/>
      <c r="IWP331"/>
      <c r="IWS331"/>
      <c r="IWT331"/>
      <c r="IWW331"/>
      <c r="IWX331"/>
      <c r="IXA331"/>
      <c r="IXB331"/>
      <c r="IXE331"/>
      <c r="IXF331"/>
      <c r="IXI331"/>
      <c r="IXJ331"/>
      <c r="IXM331"/>
      <c r="IXN331"/>
      <c r="IXQ331"/>
      <c r="IXR331"/>
      <c r="IXU331"/>
      <c r="IXV331"/>
      <c r="IXY331"/>
      <c r="IXZ331"/>
      <c r="IYC331"/>
      <c r="IYD331"/>
      <c r="IYG331"/>
      <c r="IYH331"/>
      <c r="IYK331"/>
      <c r="IYL331"/>
      <c r="IYO331"/>
      <c r="IYP331"/>
      <c r="IYS331"/>
      <c r="IYT331"/>
      <c r="IYW331"/>
      <c r="IYX331"/>
      <c r="IZA331"/>
      <c r="IZB331"/>
      <c r="IZE331"/>
      <c r="IZF331"/>
      <c r="IZI331"/>
      <c r="IZJ331"/>
      <c r="IZM331"/>
      <c r="IZN331"/>
      <c r="IZQ331"/>
      <c r="IZR331"/>
      <c r="IZU331"/>
      <c r="IZV331"/>
      <c r="IZY331"/>
      <c r="IZZ331"/>
      <c r="JAC331"/>
      <c r="JAD331"/>
      <c r="JAG331"/>
      <c r="JAH331"/>
      <c r="JAK331"/>
      <c r="JAL331"/>
      <c r="JAO331"/>
      <c r="JAP331"/>
      <c r="JAS331"/>
      <c r="JAT331"/>
      <c r="JAW331"/>
      <c r="JAX331"/>
      <c r="JBA331"/>
      <c r="JBB331"/>
      <c r="JBE331"/>
      <c r="JBF331"/>
      <c r="JBI331"/>
      <c r="JBJ331"/>
      <c r="JBM331"/>
      <c r="JBN331"/>
      <c r="JBQ331"/>
      <c r="JBR331"/>
      <c r="JBU331"/>
      <c r="JBV331"/>
      <c r="JBY331"/>
      <c r="JBZ331"/>
      <c r="JCC331"/>
      <c r="JCD331"/>
      <c r="JCG331"/>
      <c r="JCH331"/>
      <c r="JCK331"/>
      <c r="JCL331"/>
      <c r="JCO331"/>
      <c r="JCP331"/>
      <c r="JCS331"/>
      <c r="JCT331"/>
      <c r="JCW331"/>
      <c r="JCX331"/>
      <c r="JDA331"/>
      <c r="JDB331"/>
      <c r="JDE331"/>
      <c r="JDF331"/>
      <c r="JDI331"/>
      <c r="JDJ331"/>
      <c r="JDM331"/>
      <c r="JDN331"/>
      <c r="JDQ331"/>
      <c r="JDR331"/>
      <c r="JDU331"/>
      <c r="JDV331"/>
      <c r="JDY331"/>
      <c r="JDZ331"/>
      <c r="JEC331"/>
      <c r="JED331"/>
      <c r="JEG331"/>
      <c r="JEH331"/>
      <c r="JEK331"/>
      <c r="JEL331"/>
      <c r="JEO331"/>
      <c r="JEP331"/>
      <c r="JES331"/>
      <c r="JET331"/>
      <c r="JEW331"/>
      <c r="JEX331"/>
      <c r="JFA331"/>
      <c r="JFB331"/>
      <c r="JFE331"/>
      <c r="JFF331"/>
      <c r="JFI331"/>
      <c r="JFJ331"/>
      <c r="JFM331"/>
      <c r="JFN331"/>
      <c r="JFQ331"/>
      <c r="JFR331"/>
      <c r="JFU331"/>
      <c r="JFV331"/>
      <c r="JFY331"/>
      <c r="JFZ331"/>
      <c r="JGC331"/>
      <c r="JGD331"/>
      <c r="JGG331"/>
      <c r="JGH331"/>
      <c r="JGK331"/>
      <c r="JGL331"/>
      <c r="JGO331"/>
      <c r="JGP331"/>
      <c r="JGS331"/>
      <c r="JGT331"/>
      <c r="JGW331"/>
      <c r="JGX331"/>
      <c r="JHA331"/>
      <c r="JHB331"/>
      <c r="JHE331"/>
      <c r="JHF331"/>
      <c r="JHI331"/>
      <c r="JHJ331"/>
      <c r="JHM331"/>
      <c r="JHN331"/>
      <c r="JHQ331"/>
      <c r="JHR331"/>
      <c r="JHU331"/>
      <c r="JHV331"/>
      <c r="JHY331"/>
      <c r="JHZ331"/>
      <c r="JIC331"/>
      <c r="JID331"/>
      <c r="JIG331"/>
      <c r="JIH331"/>
      <c r="JIK331"/>
      <c r="JIL331"/>
      <c r="JIO331"/>
      <c r="JIP331"/>
      <c r="JIS331"/>
      <c r="JIT331"/>
      <c r="JIW331"/>
      <c r="JIX331"/>
      <c r="JJA331"/>
      <c r="JJB331"/>
      <c r="JJE331"/>
      <c r="JJF331"/>
      <c r="JJI331"/>
      <c r="JJJ331"/>
      <c r="JJM331"/>
      <c r="JJN331"/>
      <c r="JJQ331"/>
      <c r="JJR331"/>
      <c r="JJU331"/>
      <c r="JJV331"/>
      <c r="JJY331"/>
      <c r="JJZ331"/>
      <c r="JKC331"/>
      <c r="JKD331"/>
      <c r="JKG331"/>
      <c r="JKH331"/>
      <c r="JKK331"/>
      <c r="JKL331"/>
      <c r="JKO331"/>
      <c r="JKP331"/>
      <c r="JKS331"/>
      <c r="JKT331"/>
      <c r="JKW331"/>
      <c r="JKX331"/>
      <c r="JLA331"/>
      <c r="JLB331"/>
      <c r="JLE331"/>
      <c r="JLF331"/>
      <c r="JLI331"/>
      <c r="JLJ331"/>
      <c r="JLM331"/>
      <c r="JLN331"/>
      <c r="JLQ331"/>
      <c r="JLR331"/>
      <c r="JLU331"/>
      <c r="JLV331"/>
      <c r="JLY331"/>
      <c r="JLZ331"/>
      <c r="JMC331"/>
      <c r="JMD331"/>
      <c r="JMG331"/>
      <c r="JMH331"/>
      <c r="JMK331"/>
      <c r="JML331"/>
      <c r="JMO331"/>
      <c r="JMP331"/>
      <c r="JMS331"/>
      <c r="JMT331"/>
      <c r="JMW331"/>
      <c r="JMX331"/>
      <c r="JNA331"/>
      <c r="JNB331"/>
      <c r="JNE331"/>
      <c r="JNF331"/>
      <c r="JNI331"/>
      <c r="JNJ331"/>
      <c r="JNM331"/>
      <c r="JNN331"/>
      <c r="JNQ331"/>
      <c r="JNR331"/>
      <c r="JNU331"/>
      <c r="JNV331"/>
      <c r="JNY331"/>
      <c r="JNZ331"/>
      <c r="JOC331"/>
      <c r="JOD331"/>
      <c r="JOG331"/>
      <c r="JOH331"/>
      <c r="JOK331"/>
      <c r="JOL331"/>
      <c r="JOO331"/>
      <c r="JOP331"/>
      <c r="JOS331"/>
      <c r="JOT331"/>
      <c r="JOW331"/>
      <c r="JOX331"/>
      <c r="JPA331"/>
      <c r="JPB331"/>
      <c r="JPE331"/>
      <c r="JPF331"/>
      <c r="JPI331"/>
      <c r="JPJ331"/>
      <c r="JPM331"/>
      <c r="JPN331"/>
      <c r="JPQ331"/>
      <c r="JPR331"/>
      <c r="JPU331"/>
      <c r="JPV331"/>
      <c r="JPY331"/>
      <c r="JPZ331"/>
      <c r="JQC331"/>
      <c r="JQD331"/>
      <c r="JQG331"/>
      <c r="JQH331"/>
      <c r="JQK331"/>
      <c r="JQL331"/>
      <c r="JQO331"/>
      <c r="JQP331"/>
      <c r="JQS331"/>
      <c r="JQT331"/>
      <c r="JQW331"/>
      <c r="JQX331"/>
      <c r="JRA331"/>
      <c r="JRB331"/>
      <c r="JRE331"/>
      <c r="JRF331"/>
      <c r="JRI331"/>
      <c r="JRJ331"/>
      <c r="JRM331"/>
      <c r="JRN331"/>
      <c r="JRQ331"/>
      <c r="JRR331"/>
      <c r="JRU331"/>
      <c r="JRV331"/>
      <c r="JRY331"/>
      <c r="JRZ331"/>
      <c r="JSC331"/>
      <c r="JSD331"/>
      <c r="JSG331"/>
      <c r="JSH331"/>
      <c r="JSK331"/>
      <c r="JSL331"/>
      <c r="JSO331"/>
      <c r="JSP331"/>
      <c r="JSS331"/>
      <c r="JST331"/>
      <c r="JSW331"/>
      <c r="JSX331"/>
      <c r="JTA331"/>
      <c r="JTB331"/>
      <c r="JTE331"/>
      <c r="JTF331"/>
      <c r="JTI331"/>
      <c r="JTJ331"/>
      <c r="JTM331"/>
      <c r="JTN331"/>
      <c r="JTQ331"/>
      <c r="JTR331"/>
      <c r="JTU331"/>
      <c r="JTV331"/>
      <c r="JTY331"/>
      <c r="JTZ331"/>
      <c r="JUC331"/>
      <c r="JUD331"/>
      <c r="JUG331"/>
      <c r="JUH331"/>
      <c r="JUK331"/>
      <c r="JUL331"/>
      <c r="JUO331"/>
      <c r="JUP331"/>
      <c r="JUS331"/>
      <c r="JUT331"/>
      <c r="JUW331"/>
      <c r="JUX331"/>
      <c r="JVA331"/>
      <c r="JVB331"/>
      <c r="JVE331"/>
      <c r="JVF331"/>
      <c r="JVI331"/>
      <c r="JVJ331"/>
      <c r="JVM331"/>
      <c r="JVN331"/>
      <c r="JVQ331"/>
      <c r="JVR331"/>
      <c r="JVU331"/>
      <c r="JVV331"/>
      <c r="JVY331"/>
      <c r="JVZ331"/>
      <c r="JWC331"/>
      <c r="JWD331"/>
      <c r="JWG331"/>
      <c r="JWH331"/>
      <c r="JWK331"/>
      <c r="JWL331"/>
      <c r="JWO331"/>
      <c r="JWP331"/>
      <c r="JWS331"/>
      <c r="JWT331"/>
      <c r="JWW331"/>
      <c r="JWX331"/>
      <c r="JXA331"/>
      <c r="JXB331"/>
      <c r="JXE331"/>
      <c r="JXF331"/>
      <c r="JXI331"/>
      <c r="JXJ331"/>
      <c r="JXM331"/>
      <c r="JXN331"/>
      <c r="JXQ331"/>
      <c r="JXR331"/>
      <c r="JXU331"/>
      <c r="JXV331"/>
      <c r="JXY331"/>
      <c r="JXZ331"/>
      <c r="JYC331"/>
      <c r="JYD331"/>
      <c r="JYG331"/>
      <c r="JYH331"/>
      <c r="JYK331"/>
      <c r="JYL331"/>
      <c r="JYO331"/>
      <c r="JYP331"/>
      <c r="JYS331"/>
      <c r="JYT331"/>
      <c r="JYW331"/>
      <c r="JYX331"/>
      <c r="JZA331"/>
      <c r="JZB331"/>
      <c r="JZE331"/>
      <c r="JZF331"/>
      <c r="JZI331"/>
      <c r="JZJ331"/>
      <c r="JZM331"/>
      <c r="JZN331"/>
      <c r="JZQ331"/>
      <c r="JZR331"/>
      <c r="JZU331"/>
      <c r="JZV331"/>
      <c r="JZY331"/>
      <c r="JZZ331"/>
      <c r="KAC331"/>
      <c r="KAD331"/>
      <c r="KAG331"/>
      <c r="KAH331"/>
      <c r="KAK331"/>
      <c r="KAL331"/>
      <c r="KAO331"/>
      <c r="KAP331"/>
      <c r="KAS331"/>
      <c r="KAT331"/>
      <c r="KAW331"/>
      <c r="KAX331"/>
      <c r="KBA331"/>
      <c r="KBB331"/>
      <c r="KBE331"/>
      <c r="KBF331"/>
      <c r="KBI331"/>
      <c r="KBJ331"/>
      <c r="KBM331"/>
      <c r="KBN331"/>
      <c r="KBQ331"/>
      <c r="KBR331"/>
      <c r="KBU331"/>
      <c r="KBV331"/>
      <c r="KBY331"/>
      <c r="KBZ331"/>
      <c r="KCC331"/>
      <c r="KCD331"/>
      <c r="KCG331"/>
      <c r="KCH331"/>
      <c r="KCK331"/>
      <c r="KCL331"/>
      <c r="KCO331"/>
      <c r="KCP331"/>
      <c r="KCS331"/>
      <c r="KCT331"/>
      <c r="KCW331"/>
      <c r="KCX331"/>
      <c r="KDA331"/>
      <c r="KDB331"/>
      <c r="KDE331"/>
      <c r="KDF331"/>
      <c r="KDI331"/>
      <c r="KDJ331"/>
      <c r="KDM331"/>
      <c r="KDN331"/>
      <c r="KDQ331"/>
      <c r="KDR331"/>
      <c r="KDU331"/>
      <c r="KDV331"/>
      <c r="KDY331"/>
      <c r="KDZ331"/>
      <c r="KEC331"/>
      <c r="KED331"/>
      <c r="KEG331"/>
      <c r="KEH331"/>
      <c r="KEK331"/>
      <c r="KEL331"/>
      <c r="KEO331"/>
      <c r="KEP331"/>
      <c r="KES331"/>
      <c r="KET331"/>
      <c r="KEW331"/>
      <c r="KEX331"/>
      <c r="KFA331"/>
      <c r="KFB331"/>
      <c r="KFE331"/>
      <c r="KFF331"/>
      <c r="KFI331"/>
      <c r="KFJ331"/>
      <c r="KFM331"/>
      <c r="KFN331"/>
      <c r="KFQ331"/>
      <c r="KFR331"/>
      <c r="KFU331"/>
      <c r="KFV331"/>
      <c r="KFY331"/>
      <c r="KFZ331"/>
      <c r="KGC331"/>
      <c r="KGD331"/>
      <c r="KGG331"/>
      <c r="KGH331"/>
      <c r="KGK331"/>
      <c r="KGL331"/>
      <c r="KGO331"/>
      <c r="KGP331"/>
      <c r="KGS331"/>
      <c r="KGT331"/>
      <c r="KGW331"/>
      <c r="KGX331"/>
      <c r="KHA331"/>
      <c r="KHB331"/>
      <c r="KHE331"/>
      <c r="KHF331"/>
      <c r="KHI331"/>
      <c r="KHJ331"/>
      <c r="KHM331"/>
      <c r="KHN331"/>
      <c r="KHQ331"/>
      <c r="KHR331"/>
      <c r="KHU331"/>
      <c r="KHV331"/>
      <c r="KHY331"/>
      <c r="KHZ331"/>
      <c r="KIC331"/>
      <c r="KID331"/>
      <c r="KIG331"/>
      <c r="KIH331"/>
      <c r="KIK331"/>
      <c r="KIL331"/>
      <c r="KIO331"/>
      <c r="KIP331"/>
      <c r="KIS331"/>
      <c r="KIT331"/>
      <c r="KIW331"/>
      <c r="KIX331"/>
      <c r="KJA331"/>
      <c r="KJB331"/>
      <c r="KJE331"/>
      <c r="KJF331"/>
      <c r="KJI331"/>
      <c r="KJJ331"/>
      <c r="KJM331"/>
      <c r="KJN331"/>
      <c r="KJQ331"/>
      <c r="KJR331"/>
      <c r="KJU331"/>
      <c r="KJV331"/>
      <c r="KJY331"/>
      <c r="KJZ331"/>
      <c r="KKC331"/>
      <c r="KKD331"/>
      <c r="KKG331"/>
      <c r="KKH331"/>
      <c r="KKK331"/>
      <c r="KKL331"/>
      <c r="KKO331"/>
      <c r="KKP331"/>
      <c r="KKS331"/>
      <c r="KKT331"/>
      <c r="KKW331"/>
      <c r="KKX331"/>
      <c r="KLA331"/>
      <c r="KLB331"/>
      <c r="KLE331"/>
      <c r="KLF331"/>
      <c r="KLI331"/>
      <c r="KLJ331"/>
      <c r="KLM331"/>
      <c r="KLN331"/>
      <c r="KLQ331"/>
      <c r="KLR331"/>
      <c r="KLU331"/>
      <c r="KLV331"/>
      <c r="KLY331"/>
      <c r="KLZ331"/>
      <c r="KMC331"/>
      <c r="KMD331"/>
      <c r="KMG331"/>
      <c r="KMH331"/>
      <c r="KMK331"/>
      <c r="KML331"/>
      <c r="KMO331"/>
      <c r="KMP331"/>
      <c r="KMS331"/>
      <c r="KMT331"/>
      <c r="KMW331"/>
      <c r="KMX331"/>
      <c r="KNA331"/>
      <c r="KNB331"/>
      <c r="KNE331"/>
      <c r="KNF331"/>
      <c r="KNI331"/>
      <c r="KNJ331"/>
      <c r="KNM331"/>
      <c r="KNN331"/>
      <c r="KNQ331"/>
      <c r="KNR331"/>
      <c r="KNU331"/>
      <c r="KNV331"/>
      <c r="KNY331"/>
      <c r="KNZ331"/>
      <c r="KOC331"/>
      <c r="KOD331"/>
      <c r="KOG331"/>
      <c r="KOH331"/>
      <c r="KOK331"/>
      <c r="KOL331"/>
      <c r="KOO331"/>
      <c r="KOP331"/>
      <c r="KOS331"/>
      <c r="KOT331"/>
      <c r="KOW331"/>
      <c r="KOX331"/>
      <c r="KPA331"/>
      <c r="KPB331"/>
      <c r="KPE331"/>
      <c r="KPF331"/>
      <c r="KPI331"/>
      <c r="KPJ331"/>
      <c r="KPM331"/>
      <c r="KPN331"/>
      <c r="KPQ331"/>
      <c r="KPR331"/>
      <c r="KPU331"/>
      <c r="KPV331"/>
      <c r="KPY331"/>
      <c r="KPZ331"/>
      <c r="KQC331"/>
      <c r="KQD331"/>
      <c r="KQG331"/>
      <c r="KQH331"/>
      <c r="KQK331"/>
      <c r="KQL331"/>
      <c r="KQO331"/>
      <c r="KQP331"/>
      <c r="KQS331"/>
      <c r="KQT331"/>
      <c r="KQW331"/>
      <c r="KQX331"/>
      <c r="KRA331"/>
      <c r="KRB331"/>
      <c r="KRE331"/>
      <c r="KRF331"/>
      <c r="KRI331"/>
      <c r="KRJ331"/>
      <c r="KRM331"/>
      <c r="KRN331"/>
      <c r="KRQ331"/>
      <c r="KRR331"/>
      <c r="KRU331"/>
      <c r="KRV331"/>
      <c r="KRY331"/>
      <c r="KRZ331"/>
      <c r="KSC331"/>
      <c r="KSD331"/>
      <c r="KSG331"/>
      <c r="KSH331"/>
      <c r="KSK331"/>
      <c r="KSL331"/>
      <c r="KSO331"/>
      <c r="KSP331"/>
      <c r="KSS331"/>
      <c r="KST331"/>
      <c r="KSW331"/>
      <c r="KSX331"/>
      <c r="KTA331"/>
      <c r="KTB331"/>
      <c r="KTE331"/>
      <c r="KTF331"/>
      <c r="KTI331"/>
      <c r="KTJ331"/>
      <c r="KTM331"/>
      <c r="KTN331"/>
      <c r="KTQ331"/>
      <c r="KTR331"/>
      <c r="KTU331"/>
      <c r="KTV331"/>
      <c r="KTY331"/>
      <c r="KTZ331"/>
      <c r="KUC331"/>
      <c r="KUD331"/>
      <c r="KUG331"/>
      <c r="KUH331"/>
      <c r="KUK331"/>
      <c r="KUL331"/>
      <c r="KUO331"/>
      <c r="KUP331"/>
      <c r="KUS331"/>
      <c r="KUT331"/>
      <c r="KUW331"/>
      <c r="KUX331"/>
      <c r="KVA331"/>
      <c r="KVB331"/>
      <c r="KVE331"/>
      <c r="KVF331"/>
      <c r="KVI331"/>
      <c r="KVJ331"/>
      <c r="KVM331"/>
      <c r="KVN331"/>
      <c r="KVQ331"/>
      <c r="KVR331"/>
      <c r="KVU331"/>
      <c r="KVV331"/>
      <c r="KVY331"/>
      <c r="KVZ331"/>
      <c r="KWC331"/>
      <c r="KWD331"/>
      <c r="KWG331"/>
      <c r="KWH331"/>
      <c r="KWK331"/>
      <c r="KWL331"/>
      <c r="KWO331"/>
      <c r="KWP331"/>
      <c r="KWS331"/>
      <c r="KWT331"/>
      <c r="KWW331"/>
      <c r="KWX331"/>
      <c r="KXA331"/>
      <c r="KXB331"/>
      <c r="KXE331"/>
      <c r="KXF331"/>
      <c r="KXI331"/>
      <c r="KXJ331"/>
      <c r="KXM331"/>
      <c r="KXN331"/>
      <c r="KXQ331"/>
      <c r="KXR331"/>
      <c r="KXU331"/>
      <c r="KXV331"/>
      <c r="KXY331"/>
      <c r="KXZ331"/>
      <c r="KYC331"/>
      <c r="KYD331"/>
      <c r="KYG331"/>
      <c r="KYH331"/>
      <c r="KYK331"/>
      <c r="KYL331"/>
      <c r="KYO331"/>
      <c r="KYP331"/>
      <c r="KYS331"/>
      <c r="KYT331"/>
      <c r="KYW331"/>
      <c r="KYX331"/>
      <c r="KZA331"/>
      <c r="KZB331"/>
      <c r="KZE331"/>
      <c r="KZF331"/>
      <c r="KZI331"/>
      <c r="KZJ331"/>
      <c r="KZM331"/>
      <c r="KZN331"/>
      <c r="KZQ331"/>
      <c r="KZR331"/>
      <c r="KZU331"/>
      <c r="KZV331"/>
      <c r="KZY331"/>
      <c r="KZZ331"/>
      <c r="LAC331"/>
      <c r="LAD331"/>
      <c r="LAG331"/>
      <c r="LAH331"/>
      <c r="LAK331"/>
      <c r="LAL331"/>
      <c r="LAO331"/>
      <c r="LAP331"/>
      <c r="LAS331"/>
      <c r="LAT331"/>
      <c r="LAW331"/>
      <c r="LAX331"/>
      <c r="LBA331"/>
      <c r="LBB331"/>
      <c r="LBE331"/>
      <c r="LBF331"/>
      <c r="LBI331"/>
      <c r="LBJ331"/>
      <c r="LBM331"/>
      <c r="LBN331"/>
      <c r="LBQ331"/>
      <c r="LBR331"/>
      <c r="LBU331"/>
      <c r="LBV331"/>
      <c r="LBY331"/>
      <c r="LBZ331"/>
      <c r="LCC331"/>
      <c r="LCD331"/>
      <c r="LCG331"/>
      <c r="LCH331"/>
      <c r="LCK331"/>
      <c r="LCL331"/>
      <c r="LCO331"/>
      <c r="LCP331"/>
      <c r="LCS331"/>
      <c r="LCT331"/>
      <c r="LCW331"/>
      <c r="LCX331"/>
      <c r="LDA331"/>
      <c r="LDB331"/>
      <c r="LDE331"/>
      <c r="LDF331"/>
      <c r="LDI331"/>
      <c r="LDJ331"/>
      <c r="LDM331"/>
      <c r="LDN331"/>
      <c r="LDQ331"/>
      <c r="LDR331"/>
      <c r="LDU331"/>
      <c r="LDV331"/>
      <c r="LDY331"/>
      <c r="LDZ331"/>
      <c r="LEC331"/>
      <c r="LED331"/>
      <c r="LEG331"/>
      <c r="LEH331"/>
      <c r="LEK331"/>
      <c r="LEL331"/>
      <c r="LEO331"/>
      <c r="LEP331"/>
      <c r="LES331"/>
      <c r="LET331"/>
      <c r="LEW331"/>
      <c r="LEX331"/>
      <c r="LFA331"/>
      <c r="LFB331"/>
      <c r="LFE331"/>
      <c r="LFF331"/>
      <c r="LFI331"/>
      <c r="LFJ331"/>
      <c r="LFM331"/>
      <c r="LFN331"/>
      <c r="LFQ331"/>
      <c r="LFR331"/>
      <c r="LFU331"/>
      <c r="LFV331"/>
      <c r="LFY331"/>
      <c r="LFZ331"/>
      <c r="LGC331"/>
      <c r="LGD331"/>
      <c r="LGG331"/>
      <c r="LGH331"/>
      <c r="LGK331"/>
      <c r="LGL331"/>
      <c r="LGO331"/>
      <c r="LGP331"/>
      <c r="LGS331"/>
      <c r="LGT331"/>
      <c r="LGW331"/>
      <c r="LGX331"/>
      <c r="LHA331"/>
      <c r="LHB331"/>
      <c r="LHE331"/>
      <c r="LHF331"/>
      <c r="LHI331"/>
      <c r="LHJ331"/>
      <c r="LHM331"/>
      <c r="LHN331"/>
      <c r="LHQ331"/>
      <c r="LHR331"/>
      <c r="LHU331"/>
      <c r="LHV331"/>
      <c r="LHY331"/>
      <c r="LHZ331"/>
      <c r="LIC331"/>
      <c r="LID331"/>
      <c r="LIG331"/>
      <c r="LIH331"/>
      <c r="LIK331"/>
      <c r="LIL331"/>
      <c r="LIO331"/>
      <c r="LIP331"/>
      <c r="LIS331"/>
      <c r="LIT331"/>
      <c r="LIW331"/>
      <c r="LIX331"/>
      <c r="LJA331"/>
      <c r="LJB331"/>
      <c r="LJE331"/>
      <c r="LJF331"/>
      <c r="LJI331"/>
      <c r="LJJ331"/>
      <c r="LJM331"/>
      <c r="LJN331"/>
      <c r="LJQ331"/>
      <c r="LJR331"/>
      <c r="LJU331"/>
      <c r="LJV331"/>
      <c r="LJY331"/>
      <c r="LJZ331"/>
      <c r="LKC331"/>
      <c r="LKD331"/>
      <c r="LKG331"/>
      <c r="LKH331"/>
      <c r="LKK331"/>
      <c r="LKL331"/>
      <c r="LKO331"/>
      <c r="LKP331"/>
      <c r="LKS331"/>
      <c r="LKT331"/>
      <c r="LKW331"/>
      <c r="LKX331"/>
      <c r="LLA331"/>
      <c r="LLB331"/>
      <c r="LLE331"/>
      <c r="LLF331"/>
      <c r="LLI331"/>
      <c r="LLJ331"/>
      <c r="LLM331"/>
      <c r="LLN331"/>
      <c r="LLQ331"/>
      <c r="LLR331"/>
      <c r="LLU331"/>
      <c r="LLV331"/>
      <c r="LLY331"/>
      <c r="LLZ331"/>
      <c r="LMC331"/>
      <c r="LMD331"/>
      <c r="LMG331"/>
      <c r="LMH331"/>
      <c r="LMK331"/>
      <c r="LML331"/>
      <c r="LMO331"/>
      <c r="LMP331"/>
      <c r="LMS331"/>
      <c r="LMT331"/>
      <c r="LMW331"/>
      <c r="LMX331"/>
      <c r="LNA331"/>
      <c r="LNB331"/>
      <c r="LNE331"/>
      <c r="LNF331"/>
      <c r="LNI331"/>
      <c r="LNJ331"/>
      <c r="LNM331"/>
      <c r="LNN331"/>
      <c r="LNQ331"/>
      <c r="LNR331"/>
      <c r="LNU331"/>
      <c r="LNV331"/>
      <c r="LNY331"/>
      <c r="LNZ331"/>
      <c r="LOC331"/>
      <c r="LOD331"/>
      <c r="LOG331"/>
      <c r="LOH331"/>
      <c r="LOK331"/>
      <c r="LOL331"/>
      <c r="LOO331"/>
      <c r="LOP331"/>
      <c r="LOS331"/>
      <c r="LOT331"/>
      <c r="LOW331"/>
      <c r="LOX331"/>
      <c r="LPA331"/>
      <c r="LPB331"/>
      <c r="LPE331"/>
      <c r="LPF331"/>
      <c r="LPI331"/>
      <c r="LPJ331"/>
      <c r="LPM331"/>
      <c r="LPN331"/>
      <c r="LPQ331"/>
      <c r="LPR331"/>
      <c r="LPU331"/>
      <c r="LPV331"/>
      <c r="LPY331"/>
      <c r="LPZ331"/>
      <c r="LQC331"/>
      <c r="LQD331"/>
      <c r="LQG331"/>
      <c r="LQH331"/>
      <c r="LQK331"/>
      <c r="LQL331"/>
      <c r="LQO331"/>
      <c r="LQP331"/>
      <c r="LQS331"/>
      <c r="LQT331"/>
      <c r="LQW331"/>
      <c r="LQX331"/>
      <c r="LRA331"/>
      <c r="LRB331"/>
      <c r="LRE331"/>
      <c r="LRF331"/>
      <c r="LRI331"/>
      <c r="LRJ331"/>
      <c r="LRM331"/>
      <c r="LRN331"/>
      <c r="LRQ331"/>
      <c r="LRR331"/>
      <c r="LRU331"/>
      <c r="LRV331"/>
      <c r="LRY331"/>
      <c r="LRZ331"/>
      <c r="LSC331"/>
      <c r="LSD331"/>
      <c r="LSG331"/>
      <c r="LSH331"/>
      <c r="LSK331"/>
      <c r="LSL331"/>
      <c r="LSO331"/>
      <c r="LSP331"/>
      <c r="LSS331"/>
      <c r="LST331"/>
      <c r="LSW331"/>
      <c r="LSX331"/>
      <c r="LTA331"/>
      <c r="LTB331"/>
      <c r="LTE331"/>
      <c r="LTF331"/>
      <c r="LTI331"/>
      <c r="LTJ331"/>
      <c r="LTM331"/>
      <c r="LTN331"/>
      <c r="LTQ331"/>
      <c r="LTR331"/>
      <c r="LTU331"/>
      <c r="LTV331"/>
      <c r="LTY331"/>
      <c r="LTZ331"/>
      <c r="LUC331"/>
      <c r="LUD331"/>
      <c r="LUG331"/>
      <c r="LUH331"/>
      <c r="LUK331"/>
      <c r="LUL331"/>
      <c r="LUO331"/>
      <c r="LUP331"/>
      <c r="LUS331"/>
      <c r="LUT331"/>
      <c r="LUW331"/>
      <c r="LUX331"/>
      <c r="LVA331"/>
      <c r="LVB331"/>
      <c r="LVE331"/>
      <c r="LVF331"/>
      <c r="LVI331"/>
      <c r="LVJ331"/>
      <c r="LVM331"/>
      <c r="LVN331"/>
      <c r="LVQ331"/>
      <c r="LVR331"/>
      <c r="LVU331"/>
      <c r="LVV331"/>
      <c r="LVY331"/>
      <c r="LVZ331"/>
      <c r="LWC331"/>
      <c r="LWD331"/>
      <c r="LWG331"/>
      <c r="LWH331"/>
      <c r="LWK331"/>
      <c r="LWL331"/>
      <c r="LWO331"/>
      <c r="LWP331"/>
      <c r="LWS331"/>
      <c r="LWT331"/>
      <c r="LWW331"/>
      <c r="LWX331"/>
      <c r="LXA331"/>
      <c r="LXB331"/>
      <c r="LXE331"/>
      <c r="LXF331"/>
      <c r="LXI331"/>
      <c r="LXJ331"/>
      <c r="LXM331"/>
      <c r="LXN331"/>
      <c r="LXQ331"/>
      <c r="LXR331"/>
      <c r="LXU331"/>
      <c r="LXV331"/>
      <c r="LXY331"/>
      <c r="LXZ331"/>
      <c r="LYC331"/>
      <c r="LYD331"/>
      <c r="LYG331"/>
      <c r="LYH331"/>
      <c r="LYK331"/>
      <c r="LYL331"/>
      <c r="LYO331"/>
      <c r="LYP331"/>
      <c r="LYS331"/>
      <c r="LYT331"/>
      <c r="LYW331"/>
      <c r="LYX331"/>
      <c r="LZA331"/>
      <c r="LZB331"/>
      <c r="LZE331"/>
      <c r="LZF331"/>
      <c r="LZI331"/>
      <c r="LZJ331"/>
      <c r="LZM331"/>
      <c r="LZN331"/>
      <c r="LZQ331"/>
      <c r="LZR331"/>
      <c r="LZU331"/>
      <c r="LZV331"/>
      <c r="LZY331"/>
      <c r="LZZ331"/>
      <c r="MAC331"/>
      <c r="MAD331"/>
      <c r="MAG331"/>
      <c r="MAH331"/>
      <c r="MAK331"/>
      <c r="MAL331"/>
      <c r="MAO331"/>
      <c r="MAP331"/>
      <c r="MAS331"/>
      <c r="MAT331"/>
      <c r="MAW331"/>
      <c r="MAX331"/>
      <c r="MBA331"/>
      <c r="MBB331"/>
      <c r="MBE331"/>
      <c r="MBF331"/>
      <c r="MBI331"/>
      <c r="MBJ331"/>
      <c r="MBM331"/>
      <c r="MBN331"/>
      <c r="MBQ331"/>
      <c r="MBR331"/>
      <c r="MBU331"/>
      <c r="MBV331"/>
      <c r="MBY331"/>
      <c r="MBZ331"/>
      <c r="MCC331"/>
      <c r="MCD331"/>
      <c r="MCG331"/>
      <c r="MCH331"/>
      <c r="MCK331"/>
      <c r="MCL331"/>
      <c r="MCO331"/>
      <c r="MCP331"/>
      <c r="MCS331"/>
      <c r="MCT331"/>
      <c r="MCW331"/>
      <c r="MCX331"/>
      <c r="MDA331"/>
      <c r="MDB331"/>
      <c r="MDE331"/>
      <c r="MDF331"/>
      <c r="MDI331"/>
      <c r="MDJ331"/>
      <c r="MDM331"/>
      <c r="MDN331"/>
      <c r="MDQ331"/>
      <c r="MDR331"/>
      <c r="MDU331"/>
      <c r="MDV331"/>
      <c r="MDY331"/>
      <c r="MDZ331"/>
      <c r="MEC331"/>
      <c r="MED331"/>
      <c r="MEG331"/>
      <c r="MEH331"/>
      <c r="MEK331"/>
      <c r="MEL331"/>
      <c r="MEO331"/>
      <c r="MEP331"/>
      <c r="MES331"/>
      <c r="MET331"/>
      <c r="MEW331"/>
      <c r="MEX331"/>
      <c r="MFA331"/>
      <c r="MFB331"/>
      <c r="MFE331"/>
      <c r="MFF331"/>
      <c r="MFI331"/>
      <c r="MFJ331"/>
      <c r="MFM331"/>
      <c r="MFN331"/>
      <c r="MFQ331"/>
      <c r="MFR331"/>
      <c r="MFU331"/>
      <c r="MFV331"/>
      <c r="MFY331"/>
      <c r="MFZ331"/>
      <c r="MGC331"/>
      <c r="MGD331"/>
      <c r="MGG331"/>
      <c r="MGH331"/>
      <c r="MGK331"/>
      <c r="MGL331"/>
      <c r="MGO331"/>
      <c r="MGP331"/>
      <c r="MGS331"/>
      <c r="MGT331"/>
      <c r="MGW331"/>
      <c r="MGX331"/>
      <c r="MHA331"/>
      <c r="MHB331"/>
      <c r="MHE331"/>
      <c r="MHF331"/>
      <c r="MHI331"/>
      <c r="MHJ331"/>
      <c r="MHM331"/>
      <c r="MHN331"/>
      <c r="MHQ331"/>
      <c r="MHR331"/>
      <c r="MHU331"/>
      <c r="MHV331"/>
      <c r="MHY331"/>
      <c r="MHZ331"/>
      <c r="MIC331"/>
      <c r="MID331"/>
      <c r="MIG331"/>
      <c r="MIH331"/>
      <c r="MIK331"/>
      <c r="MIL331"/>
      <c r="MIO331"/>
      <c r="MIP331"/>
      <c r="MIS331"/>
      <c r="MIT331"/>
      <c r="MIW331"/>
      <c r="MIX331"/>
      <c r="MJA331"/>
      <c r="MJB331"/>
      <c r="MJE331"/>
      <c r="MJF331"/>
      <c r="MJI331"/>
      <c r="MJJ331"/>
      <c r="MJM331"/>
      <c r="MJN331"/>
      <c r="MJQ331"/>
      <c r="MJR331"/>
      <c r="MJU331"/>
      <c r="MJV331"/>
      <c r="MJY331"/>
      <c r="MJZ331"/>
      <c r="MKC331"/>
      <c r="MKD331"/>
      <c r="MKG331"/>
      <c r="MKH331"/>
      <c r="MKK331"/>
      <c r="MKL331"/>
      <c r="MKO331"/>
      <c r="MKP331"/>
      <c r="MKS331"/>
      <c r="MKT331"/>
      <c r="MKW331"/>
      <c r="MKX331"/>
      <c r="MLA331"/>
      <c r="MLB331"/>
      <c r="MLE331"/>
      <c r="MLF331"/>
      <c r="MLI331"/>
      <c r="MLJ331"/>
      <c r="MLM331"/>
      <c r="MLN331"/>
      <c r="MLQ331"/>
      <c r="MLR331"/>
      <c r="MLU331"/>
      <c r="MLV331"/>
      <c r="MLY331"/>
      <c r="MLZ331"/>
      <c r="MMC331"/>
      <c r="MMD331"/>
      <c r="MMG331"/>
      <c r="MMH331"/>
      <c r="MMK331"/>
      <c r="MML331"/>
      <c r="MMO331"/>
      <c r="MMP331"/>
      <c r="MMS331"/>
      <c r="MMT331"/>
      <c r="MMW331"/>
      <c r="MMX331"/>
      <c r="MNA331"/>
      <c r="MNB331"/>
      <c r="MNE331"/>
      <c r="MNF331"/>
      <c r="MNI331"/>
      <c r="MNJ331"/>
      <c r="MNM331"/>
      <c r="MNN331"/>
      <c r="MNQ331"/>
      <c r="MNR331"/>
      <c r="MNU331"/>
      <c r="MNV331"/>
      <c r="MNY331"/>
      <c r="MNZ331"/>
      <c r="MOC331"/>
      <c r="MOD331"/>
      <c r="MOG331"/>
      <c r="MOH331"/>
      <c r="MOK331"/>
      <c r="MOL331"/>
      <c r="MOO331"/>
      <c r="MOP331"/>
      <c r="MOS331"/>
      <c r="MOT331"/>
      <c r="MOW331"/>
      <c r="MOX331"/>
      <c r="MPA331"/>
      <c r="MPB331"/>
      <c r="MPE331"/>
      <c r="MPF331"/>
      <c r="MPI331"/>
      <c r="MPJ331"/>
      <c r="MPM331"/>
      <c r="MPN331"/>
      <c r="MPQ331"/>
      <c r="MPR331"/>
      <c r="MPU331"/>
      <c r="MPV331"/>
      <c r="MPY331"/>
      <c r="MPZ331"/>
      <c r="MQC331"/>
      <c r="MQD331"/>
      <c r="MQG331"/>
      <c r="MQH331"/>
      <c r="MQK331"/>
      <c r="MQL331"/>
      <c r="MQO331"/>
      <c r="MQP331"/>
      <c r="MQS331"/>
      <c r="MQT331"/>
      <c r="MQW331"/>
      <c r="MQX331"/>
      <c r="MRA331"/>
      <c r="MRB331"/>
      <c r="MRE331"/>
      <c r="MRF331"/>
      <c r="MRI331"/>
      <c r="MRJ331"/>
      <c r="MRM331"/>
      <c r="MRN331"/>
      <c r="MRQ331"/>
      <c r="MRR331"/>
      <c r="MRU331"/>
      <c r="MRV331"/>
      <c r="MRY331"/>
      <c r="MRZ331"/>
      <c r="MSC331"/>
      <c r="MSD331"/>
      <c r="MSG331"/>
      <c r="MSH331"/>
      <c r="MSK331"/>
      <c r="MSL331"/>
      <c r="MSO331"/>
      <c r="MSP331"/>
      <c r="MSS331"/>
      <c r="MST331"/>
      <c r="MSW331"/>
      <c r="MSX331"/>
      <c r="MTA331"/>
      <c r="MTB331"/>
      <c r="MTE331"/>
      <c r="MTF331"/>
      <c r="MTI331"/>
      <c r="MTJ331"/>
      <c r="MTM331"/>
      <c r="MTN331"/>
      <c r="MTQ331"/>
      <c r="MTR331"/>
      <c r="MTU331"/>
      <c r="MTV331"/>
      <c r="MTY331"/>
      <c r="MTZ331"/>
      <c r="MUC331"/>
      <c r="MUD331"/>
      <c r="MUG331"/>
      <c r="MUH331"/>
      <c r="MUK331"/>
      <c r="MUL331"/>
      <c r="MUO331"/>
      <c r="MUP331"/>
      <c r="MUS331"/>
      <c r="MUT331"/>
      <c r="MUW331"/>
      <c r="MUX331"/>
      <c r="MVA331"/>
      <c r="MVB331"/>
      <c r="MVE331"/>
      <c r="MVF331"/>
      <c r="MVI331"/>
      <c r="MVJ331"/>
      <c r="MVM331"/>
      <c r="MVN331"/>
      <c r="MVQ331"/>
      <c r="MVR331"/>
      <c r="MVU331"/>
      <c r="MVV331"/>
      <c r="MVY331"/>
      <c r="MVZ331"/>
      <c r="MWC331"/>
      <c r="MWD331"/>
      <c r="MWG331"/>
      <c r="MWH331"/>
      <c r="MWK331"/>
      <c r="MWL331"/>
      <c r="MWO331"/>
      <c r="MWP331"/>
      <c r="MWS331"/>
      <c r="MWT331"/>
      <c r="MWW331"/>
      <c r="MWX331"/>
      <c r="MXA331"/>
      <c r="MXB331"/>
      <c r="MXE331"/>
      <c r="MXF331"/>
      <c r="MXI331"/>
      <c r="MXJ331"/>
      <c r="MXM331"/>
      <c r="MXN331"/>
      <c r="MXQ331"/>
      <c r="MXR331"/>
      <c r="MXU331"/>
      <c r="MXV331"/>
      <c r="MXY331"/>
      <c r="MXZ331"/>
      <c r="MYC331"/>
      <c r="MYD331"/>
      <c r="MYG331"/>
      <c r="MYH331"/>
      <c r="MYK331"/>
      <c r="MYL331"/>
      <c r="MYO331"/>
      <c r="MYP331"/>
      <c r="MYS331"/>
      <c r="MYT331"/>
      <c r="MYW331"/>
      <c r="MYX331"/>
      <c r="MZA331"/>
      <c r="MZB331"/>
      <c r="MZE331"/>
      <c r="MZF331"/>
      <c r="MZI331"/>
      <c r="MZJ331"/>
      <c r="MZM331"/>
      <c r="MZN331"/>
      <c r="MZQ331"/>
      <c r="MZR331"/>
      <c r="MZU331"/>
      <c r="MZV331"/>
      <c r="MZY331"/>
      <c r="MZZ331"/>
      <c r="NAC331"/>
      <c r="NAD331"/>
      <c r="NAG331"/>
      <c r="NAH331"/>
      <c r="NAK331"/>
      <c r="NAL331"/>
      <c r="NAO331"/>
      <c r="NAP331"/>
      <c r="NAS331"/>
      <c r="NAT331"/>
      <c r="NAW331"/>
      <c r="NAX331"/>
      <c r="NBA331"/>
      <c r="NBB331"/>
      <c r="NBE331"/>
      <c r="NBF331"/>
      <c r="NBI331"/>
      <c r="NBJ331"/>
      <c r="NBM331"/>
      <c r="NBN331"/>
      <c r="NBQ331"/>
      <c r="NBR331"/>
      <c r="NBU331"/>
      <c r="NBV331"/>
      <c r="NBY331"/>
      <c r="NBZ331"/>
      <c r="NCC331"/>
      <c r="NCD331"/>
      <c r="NCG331"/>
      <c r="NCH331"/>
      <c r="NCK331"/>
      <c r="NCL331"/>
      <c r="NCO331"/>
      <c r="NCP331"/>
      <c r="NCS331"/>
      <c r="NCT331"/>
      <c r="NCW331"/>
      <c r="NCX331"/>
      <c r="NDA331"/>
      <c r="NDB331"/>
      <c r="NDE331"/>
      <c r="NDF331"/>
      <c r="NDI331"/>
      <c r="NDJ331"/>
      <c r="NDM331"/>
      <c r="NDN331"/>
      <c r="NDQ331"/>
      <c r="NDR331"/>
      <c r="NDU331"/>
      <c r="NDV331"/>
      <c r="NDY331"/>
      <c r="NDZ331"/>
      <c r="NEC331"/>
      <c r="NED331"/>
      <c r="NEG331"/>
      <c r="NEH331"/>
      <c r="NEK331"/>
      <c r="NEL331"/>
      <c r="NEO331"/>
      <c r="NEP331"/>
      <c r="NES331"/>
      <c r="NET331"/>
      <c r="NEW331"/>
      <c r="NEX331"/>
      <c r="NFA331"/>
      <c r="NFB331"/>
      <c r="NFE331"/>
      <c r="NFF331"/>
      <c r="NFI331"/>
      <c r="NFJ331"/>
      <c r="NFM331"/>
      <c r="NFN331"/>
      <c r="NFQ331"/>
      <c r="NFR331"/>
      <c r="NFU331"/>
      <c r="NFV331"/>
      <c r="NFY331"/>
      <c r="NFZ331"/>
      <c r="NGC331"/>
      <c r="NGD331"/>
      <c r="NGG331"/>
      <c r="NGH331"/>
      <c r="NGK331"/>
      <c r="NGL331"/>
      <c r="NGO331"/>
      <c r="NGP331"/>
      <c r="NGS331"/>
      <c r="NGT331"/>
      <c r="NGW331"/>
      <c r="NGX331"/>
      <c r="NHA331"/>
      <c r="NHB331"/>
      <c r="NHE331"/>
      <c r="NHF331"/>
      <c r="NHI331"/>
      <c r="NHJ331"/>
      <c r="NHM331"/>
      <c r="NHN331"/>
      <c r="NHQ331"/>
      <c r="NHR331"/>
      <c r="NHU331"/>
      <c r="NHV331"/>
      <c r="NHY331"/>
      <c r="NHZ331"/>
      <c r="NIC331"/>
      <c r="NID331"/>
      <c r="NIG331"/>
      <c r="NIH331"/>
      <c r="NIK331"/>
      <c r="NIL331"/>
      <c r="NIO331"/>
      <c r="NIP331"/>
      <c r="NIS331"/>
      <c r="NIT331"/>
      <c r="NIW331"/>
      <c r="NIX331"/>
      <c r="NJA331"/>
      <c r="NJB331"/>
      <c r="NJE331"/>
      <c r="NJF331"/>
      <c r="NJI331"/>
      <c r="NJJ331"/>
      <c r="NJM331"/>
      <c r="NJN331"/>
      <c r="NJQ331"/>
      <c r="NJR331"/>
      <c r="NJU331"/>
      <c r="NJV331"/>
      <c r="NJY331"/>
      <c r="NJZ331"/>
      <c r="NKC331"/>
      <c r="NKD331"/>
      <c r="NKG331"/>
      <c r="NKH331"/>
      <c r="NKK331"/>
      <c r="NKL331"/>
      <c r="NKO331"/>
      <c r="NKP331"/>
      <c r="NKS331"/>
      <c r="NKT331"/>
      <c r="NKW331"/>
      <c r="NKX331"/>
      <c r="NLA331"/>
      <c r="NLB331"/>
      <c r="NLE331"/>
      <c r="NLF331"/>
      <c r="NLI331"/>
      <c r="NLJ331"/>
      <c r="NLM331"/>
      <c r="NLN331"/>
      <c r="NLQ331"/>
      <c r="NLR331"/>
      <c r="NLU331"/>
      <c r="NLV331"/>
      <c r="NLY331"/>
      <c r="NLZ331"/>
      <c r="NMC331"/>
      <c r="NMD331"/>
      <c r="NMG331"/>
      <c r="NMH331"/>
      <c r="NMK331"/>
      <c r="NML331"/>
      <c r="NMO331"/>
      <c r="NMP331"/>
      <c r="NMS331"/>
      <c r="NMT331"/>
      <c r="NMW331"/>
      <c r="NMX331"/>
      <c r="NNA331"/>
      <c r="NNB331"/>
      <c r="NNE331"/>
      <c r="NNF331"/>
      <c r="NNI331"/>
      <c r="NNJ331"/>
      <c r="NNM331"/>
      <c r="NNN331"/>
      <c r="NNQ331"/>
      <c r="NNR331"/>
      <c r="NNU331"/>
      <c r="NNV331"/>
      <c r="NNY331"/>
      <c r="NNZ331"/>
      <c r="NOC331"/>
      <c r="NOD331"/>
      <c r="NOG331"/>
      <c r="NOH331"/>
      <c r="NOK331"/>
      <c r="NOL331"/>
      <c r="NOO331"/>
      <c r="NOP331"/>
      <c r="NOS331"/>
      <c r="NOT331"/>
      <c r="NOW331"/>
      <c r="NOX331"/>
      <c r="NPA331"/>
      <c r="NPB331"/>
      <c r="NPE331"/>
      <c r="NPF331"/>
      <c r="NPI331"/>
      <c r="NPJ331"/>
      <c r="NPM331"/>
      <c r="NPN331"/>
      <c r="NPQ331"/>
      <c r="NPR331"/>
      <c r="NPU331"/>
      <c r="NPV331"/>
      <c r="NPY331"/>
      <c r="NPZ331"/>
      <c r="NQC331"/>
      <c r="NQD331"/>
      <c r="NQG331"/>
      <c r="NQH331"/>
      <c r="NQK331"/>
      <c r="NQL331"/>
      <c r="NQO331"/>
      <c r="NQP331"/>
      <c r="NQS331"/>
      <c r="NQT331"/>
      <c r="NQW331"/>
      <c r="NQX331"/>
      <c r="NRA331"/>
      <c r="NRB331"/>
      <c r="NRE331"/>
      <c r="NRF331"/>
      <c r="NRI331"/>
      <c r="NRJ331"/>
      <c r="NRM331"/>
      <c r="NRN331"/>
      <c r="NRQ331"/>
      <c r="NRR331"/>
      <c r="NRU331"/>
      <c r="NRV331"/>
      <c r="NRY331"/>
      <c r="NRZ331"/>
      <c r="NSC331"/>
      <c r="NSD331"/>
      <c r="NSG331"/>
      <c r="NSH331"/>
      <c r="NSK331"/>
      <c r="NSL331"/>
      <c r="NSO331"/>
      <c r="NSP331"/>
      <c r="NSS331"/>
      <c r="NST331"/>
      <c r="NSW331"/>
      <c r="NSX331"/>
      <c r="NTA331"/>
      <c r="NTB331"/>
      <c r="NTE331"/>
      <c r="NTF331"/>
      <c r="NTI331"/>
      <c r="NTJ331"/>
      <c r="NTM331"/>
      <c r="NTN331"/>
      <c r="NTQ331"/>
      <c r="NTR331"/>
      <c r="NTU331"/>
      <c r="NTV331"/>
      <c r="NTY331"/>
      <c r="NTZ331"/>
      <c r="NUC331"/>
      <c r="NUD331"/>
      <c r="NUG331"/>
      <c r="NUH331"/>
      <c r="NUK331"/>
      <c r="NUL331"/>
      <c r="NUO331"/>
      <c r="NUP331"/>
      <c r="NUS331"/>
      <c r="NUT331"/>
      <c r="NUW331"/>
      <c r="NUX331"/>
      <c r="NVA331"/>
      <c r="NVB331"/>
      <c r="NVE331"/>
      <c r="NVF331"/>
      <c r="NVI331"/>
      <c r="NVJ331"/>
      <c r="NVM331"/>
      <c r="NVN331"/>
      <c r="NVQ331"/>
      <c r="NVR331"/>
      <c r="NVU331"/>
      <c r="NVV331"/>
      <c r="NVY331"/>
      <c r="NVZ331"/>
      <c r="NWC331"/>
      <c r="NWD331"/>
      <c r="NWG331"/>
      <c r="NWH331"/>
      <c r="NWK331"/>
      <c r="NWL331"/>
      <c r="NWO331"/>
      <c r="NWP331"/>
      <c r="NWS331"/>
      <c r="NWT331"/>
      <c r="NWW331"/>
      <c r="NWX331"/>
      <c r="NXA331"/>
      <c r="NXB331"/>
      <c r="NXE331"/>
      <c r="NXF331"/>
      <c r="NXI331"/>
      <c r="NXJ331"/>
      <c r="NXM331"/>
      <c r="NXN331"/>
      <c r="NXQ331"/>
      <c r="NXR331"/>
      <c r="NXU331"/>
      <c r="NXV331"/>
      <c r="NXY331"/>
      <c r="NXZ331"/>
      <c r="NYC331"/>
      <c r="NYD331"/>
      <c r="NYG331"/>
      <c r="NYH331"/>
      <c r="NYK331"/>
      <c r="NYL331"/>
      <c r="NYO331"/>
      <c r="NYP331"/>
      <c r="NYS331"/>
      <c r="NYT331"/>
      <c r="NYW331"/>
      <c r="NYX331"/>
      <c r="NZA331"/>
      <c r="NZB331"/>
      <c r="NZE331"/>
      <c r="NZF331"/>
      <c r="NZI331"/>
      <c r="NZJ331"/>
      <c r="NZM331"/>
      <c r="NZN331"/>
      <c r="NZQ331"/>
      <c r="NZR331"/>
      <c r="NZU331"/>
      <c r="NZV331"/>
      <c r="NZY331"/>
      <c r="NZZ331"/>
      <c r="OAC331"/>
      <c r="OAD331"/>
      <c r="OAG331"/>
      <c r="OAH331"/>
      <c r="OAK331"/>
      <c r="OAL331"/>
      <c r="OAO331"/>
      <c r="OAP331"/>
      <c r="OAS331"/>
      <c r="OAT331"/>
      <c r="OAW331"/>
      <c r="OAX331"/>
      <c r="OBA331"/>
      <c r="OBB331"/>
      <c r="OBE331"/>
      <c r="OBF331"/>
      <c r="OBI331"/>
      <c r="OBJ331"/>
      <c r="OBM331"/>
      <c r="OBN331"/>
      <c r="OBQ331"/>
      <c r="OBR331"/>
      <c r="OBU331"/>
      <c r="OBV331"/>
      <c r="OBY331"/>
      <c r="OBZ331"/>
      <c r="OCC331"/>
      <c r="OCD331"/>
      <c r="OCG331"/>
      <c r="OCH331"/>
      <c r="OCK331"/>
      <c r="OCL331"/>
      <c r="OCO331"/>
      <c r="OCP331"/>
      <c r="OCS331"/>
      <c r="OCT331"/>
      <c r="OCW331"/>
      <c r="OCX331"/>
      <c r="ODA331"/>
      <c r="ODB331"/>
      <c r="ODE331"/>
      <c r="ODF331"/>
      <c r="ODI331"/>
      <c r="ODJ331"/>
      <c r="ODM331"/>
      <c r="ODN331"/>
      <c r="ODQ331"/>
      <c r="ODR331"/>
      <c r="ODU331"/>
      <c r="ODV331"/>
      <c r="ODY331"/>
      <c r="ODZ331"/>
      <c r="OEC331"/>
      <c r="OED331"/>
      <c r="OEG331"/>
      <c r="OEH331"/>
      <c r="OEK331"/>
      <c r="OEL331"/>
      <c r="OEO331"/>
      <c r="OEP331"/>
      <c r="OES331"/>
      <c r="OET331"/>
      <c r="OEW331"/>
      <c r="OEX331"/>
      <c r="OFA331"/>
      <c r="OFB331"/>
      <c r="OFE331"/>
      <c r="OFF331"/>
      <c r="OFI331"/>
      <c r="OFJ331"/>
      <c r="OFM331"/>
      <c r="OFN331"/>
      <c r="OFQ331"/>
      <c r="OFR331"/>
      <c r="OFU331"/>
      <c r="OFV331"/>
      <c r="OFY331"/>
      <c r="OFZ331"/>
      <c r="OGC331"/>
      <c r="OGD331"/>
      <c r="OGG331"/>
      <c r="OGH331"/>
      <c r="OGK331"/>
      <c r="OGL331"/>
      <c r="OGO331"/>
      <c r="OGP331"/>
      <c r="OGS331"/>
      <c r="OGT331"/>
      <c r="OGW331"/>
      <c r="OGX331"/>
      <c r="OHA331"/>
      <c r="OHB331"/>
      <c r="OHE331"/>
      <c r="OHF331"/>
      <c r="OHI331"/>
      <c r="OHJ331"/>
      <c r="OHM331"/>
      <c r="OHN331"/>
      <c r="OHQ331"/>
      <c r="OHR331"/>
      <c r="OHU331"/>
      <c r="OHV331"/>
      <c r="OHY331"/>
      <c r="OHZ331"/>
      <c r="OIC331"/>
      <c r="OID331"/>
      <c r="OIG331"/>
      <c r="OIH331"/>
      <c r="OIK331"/>
      <c r="OIL331"/>
      <c r="OIO331"/>
      <c r="OIP331"/>
      <c r="OIS331"/>
      <c r="OIT331"/>
      <c r="OIW331"/>
      <c r="OIX331"/>
      <c r="OJA331"/>
      <c r="OJB331"/>
      <c r="OJE331"/>
      <c r="OJF331"/>
      <c r="OJI331"/>
      <c r="OJJ331"/>
      <c r="OJM331"/>
      <c r="OJN331"/>
      <c r="OJQ331"/>
      <c r="OJR331"/>
      <c r="OJU331"/>
      <c r="OJV331"/>
      <c r="OJY331"/>
      <c r="OJZ331"/>
      <c r="OKC331"/>
      <c r="OKD331"/>
      <c r="OKG331"/>
      <c r="OKH331"/>
      <c r="OKK331"/>
      <c r="OKL331"/>
      <c r="OKO331"/>
      <c r="OKP331"/>
      <c r="OKS331"/>
      <c r="OKT331"/>
      <c r="OKW331"/>
      <c r="OKX331"/>
      <c r="OLA331"/>
      <c r="OLB331"/>
      <c r="OLE331"/>
      <c r="OLF331"/>
      <c r="OLI331"/>
      <c r="OLJ331"/>
      <c r="OLM331"/>
      <c r="OLN331"/>
      <c r="OLQ331"/>
      <c r="OLR331"/>
      <c r="OLU331"/>
      <c r="OLV331"/>
      <c r="OLY331"/>
      <c r="OLZ331"/>
      <c r="OMC331"/>
      <c r="OMD331"/>
      <c r="OMG331"/>
      <c r="OMH331"/>
      <c r="OMK331"/>
      <c r="OML331"/>
      <c r="OMO331"/>
      <c r="OMP331"/>
      <c r="OMS331"/>
      <c r="OMT331"/>
      <c r="OMW331"/>
      <c r="OMX331"/>
      <c r="ONA331"/>
      <c r="ONB331"/>
      <c r="ONE331"/>
      <c r="ONF331"/>
      <c r="ONI331"/>
      <c r="ONJ331"/>
      <c r="ONM331"/>
      <c r="ONN331"/>
      <c r="ONQ331"/>
      <c r="ONR331"/>
      <c r="ONU331"/>
      <c r="ONV331"/>
      <c r="ONY331"/>
      <c r="ONZ331"/>
      <c r="OOC331"/>
      <c r="OOD331"/>
      <c r="OOG331"/>
      <c r="OOH331"/>
      <c r="OOK331"/>
      <c r="OOL331"/>
      <c r="OOO331"/>
      <c r="OOP331"/>
      <c r="OOS331"/>
      <c r="OOT331"/>
      <c r="OOW331"/>
      <c r="OOX331"/>
      <c r="OPA331"/>
      <c r="OPB331"/>
      <c r="OPE331"/>
      <c r="OPF331"/>
      <c r="OPI331"/>
      <c r="OPJ331"/>
      <c r="OPM331"/>
      <c r="OPN331"/>
      <c r="OPQ331"/>
      <c r="OPR331"/>
      <c r="OPU331"/>
      <c r="OPV331"/>
      <c r="OPY331"/>
      <c r="OPZ331"/>
      <c r="OQC331"/>
      <c r="OQD331"/>
      <c r="OQG331"/>
      <c r="OQH331"/>
      <c r="OQK331"/>
      <c r="OQL331"/>
      <c r="OQO331"/>
      <c r="OQP331"/>
      <c r="OQS331"/>
      <c r="OQT331"/>
      <c r="OQW331"/>
      <c r="OQX331"/>
      <c r="ORA331"/>
      <c r="ORB331"/>
      <c r="ORE331"/>
      <c r="ORF331"/>
      <c r="ORI331"/>
      <c r="ORJ331"/>
      <c r="ORM331"/>
      <c r="ORN331"/>
      <c r="ORQ331"/>
      <c r="ORR331"/>
      <c r="ORU331"/>
      <c r="ORV331"/>
      <c r="ORY331"/>
      <c r="ORZ331"/>
      <c r="OSC331"/>
      <c r="OSD331"/>
      <c r="OSG331"/>
      <c r="OSH331"/>
      <c r="OSK331"/>
      <c r="OSL331"/>
      <c r="OSO331"/>
      <c r="OSP331"/>
      <c r="OSS331"/>
      <c r="OST331"/>
      <c r="OSW331"/>
      <c r="OSX331"/>
      <c r="OTA331"/>
      <c r="OTB331"/>
      <c r="OTE331"/>
      <c r="OTF331"/>
      <c r="OTI331"/>
      <c r="OTJ331"/>
      <c r="OTM331"/>
      <c r="OTN331"/>
      <c r="OTQ331"/>
      <c r="OTR331"/>
      <c r="OTU331"/>
      <c r="OTV331"/>
      <c r="OTY331"/>
      <c r="OTZ331"/>
      <c r="OUC331"/>
      <c r="OUD331"/>
      <c r="OUG331"/>
      <c r="OUH331"/>
      <c r="OUK331"/>
      <c r="OUL331"/>
      <c r="OUO331"/>
      <c r="OUP331"/>
      <c r="OUS331"/>
      <c r="OUT331"/>
      <c r="OUW331"/>
      <c r="OUX331"/>
      <c r="OVA331"/>
      <c r="OVB331"/>
      <c r="OVE331"/>
      <c r="OVF331"/>
      <c r="OVI331"/>
      <c r="OVJ331"/>
      <c r="OVM331"/>
      <c r="OVN331"/>
      <c r="OVQ331"/>
      <c r="OVR331"/>
      <c r="OVU331"/>
      <c r="OVV331"/>
      <c r="OVY331"/>
      <c r="OVZ331"/>
      <c r="OWC331"/>
      <c r="OWD331"/>
      <c r="OWG331"/>
      <c r="OWH331"/>
      <c r="OWK331"/>
      <c r="OWL331"/>
      <c r="OWO331"/>
      <c r="OWP331"/>
      <c r="OWS331"/>
      <c r="OWT331"/>
      <c r="OWW331"/>
      <c r="OWX331"/>
      <c r="OXA331"/>
      <c r="OXB331"/>
      <c r="OXE331"/>
      <c r="OXF331"/>
      <c r="OXI331"/>
      <c r="OXJ331"/>
      <c r="OXM331"/>
      <c r="OXN331"/>
      <c r="OXQ331"/>
      <c r="OXR331"/>
      <c r="OXU331"/>
      <c r="OXV331"/>
      <c r="OXY331"/>
      <c r="OXZ331"/>
      <c r="OYC331"/>
      <c r="OYD331"/>
      <c r="OYG331"/>
      <c r="OYH331"/>
      <c r="OYK331"/>
      <c r="OYL331"/>
      <c r="OYO331"/>
      <c r="OYP331"/>
      <c r="OYS331"/>
      <c r="OYT331"/>
      <c r="OYW331"/>
      <c r="OYX331"/>
      <c r="OZA331"/>
      <c r="OZB331"/>
      <c r="OZE331"/>
      <c r="OZF331"/>
      <c r="OZI331"/>
      <c r="OZJ331"/>
      <c r="OZM331"/>
      <c r="OZN331"/>
      <c r="OZQ331"/>
      <c r="OZR331"/>
      <c r="OZU331"/>
      <c r="OZV331"/>
      <c r="OZY331"/>
      <c r="OZZ331"/>
      <c r="PAC331"/>
      <c r="PAD331"/>
      <c r="PAG331"/>
      <c r="PAH331"/>
      <c r="PAK331"/>
      <c r="PAL331"/>
      <c r="PAO331"/>
      <c r="PAP331"/>
      <c r="PAS331"/>
      <c r="PAT331"/>
      <c r="PAW331"/>
      <c r="PAX331"/>
      <c r="PBA331"/>
      <c r="PBB331"/>
      <c r="PBE331"/>
      <c r="PBF331"/>
      <c r="PBI331"/>
      <c r="PBJ331"/>
      <c r="PBM331"/>
      <c r="PBN331"/>
      <c r="PBQ331"/>
      <c r="PBR331"/>
      <c r="PBU331"/>
      <c r="PBV331"/>
      <c r="PBY331"/>
      <c r="PBZ331"/>
      <c r="PCC331"/>
      <c r="PCD331"/>
      <c r="PCG331"/>
      <c r="PCH331"/>
      <c r="PCK331"/>
      <c r="PCL331"/>
      <c r="PCO331"/>
      <c r="PCP331"/>
      <c r="PCS331"/>
      <c r="PCT331"/>
      <c r="PCW331"/>
      <c r="PCX331"/>
      <c r="PDA331"/>
      <c r="PDB331"/>
      <c r="PDE331"/>
      <c r="PDF331"/>
      <c r="PDI331"/>
      <c r="PDJ331"/>
      <c r="PDM331"/>
      <c r="PDN331"/>
      <c r="PDQ331"/>
      <c r="PDR331"/>
      <c r="PDU331"/>
      <c r="PDV331"/>
      <c r="PDY331"/>
      <c r="PDZ331"/>
      <c r="PEC331"/>
      <c r="PED331"/>
      <c r="PEG331"/>
      <c r="PEH331"/>
      <c r="PEK331"/>
      <c r="PEL331"/>
      <c r="PEO331"/>
      <c r="PEP331"/>
      <c r="PES331"/>
      <c r="PET331"/>
      <c r="PEW331"/>
      <c r="PEX331"/>
      <c r="PFA331"/>
      <c r="PFB331"/>
      <c r="PFE331"/>
      <c r="PFF331"/>
      <c r="PFI331"/>
      <c r="PFJ331"/>
      <c r="PFM331"/>
      <c r="PFN331"/>
      <c r="PFQ331"/>
      <c r="PFR331"/>
      <c r="PFU331"/>
      <c r="PFV331"/>
      <c r="PFY331"/>
      <c r="PFZ331"/>
      <c r="PGC331"/>
      <c r="PGD331"/>
      <c r="PGG331"/>
      <c r="PGH331"/>
      <c r="PGK331"/>
      <c r="PGL331"/>
      <c r="PGO331"/>
      <c r="PGP331"/>
      <c r="PGS331"/>
      <c r="PGT331"/>
      <c r="PGW331"/>
      <c r="PGX331"/>
      <c r="PHA331"/>
      <c r="PHB331"/>
      <c r="PHE331"/>
      <c r="PHF331"/>
      <c r="PHI331"/>
      <c r="PHJ331"/>
      <c r="PHM331"/>
      <c r="PHN331"/>
      <c r="PHQ331"/>
      <c r="PHR331"/>
      <c r="PHU331"/>
      <c r="PHV331"/>
      <c r="PHY331"/>
      <c r="PHZ331"/>
      <c r="PIC331"/>
      <c r="PID331"/>
      <c r="PIG331"/>
      <c r="PIH331"/>
      <c r="PIK331"/>
      <c r="PIL331"/>
      <c r="PIO331"/>
      <c r="PIP331"/>
      <c r="PIS331"/>
      <c r="PIT331"/>
      <c r="PIW331"/>
      <c r="PIX331"/>
      <c r="PJA331"/>
      <c r="PJB331"/>
      <c r="PJE331"/>
      <c r="PJF331"/>
      <c r="PJI331"/>
      <c r="PJJ331"/>
      <c r="PJM331"/>
      <c r="PJN331"/>
      <c r="PJQ331"/>
      <c r="PJR331"/>
      <c r="PJU331"/>
      <c r="PJV331"/>
      <c r="PJY331"/>
      <c r="PJZ331"/>
      <c r="PKC331"/>
      <c r="PKD331"/>
      <c r="PKG331"/>
      <c r="PKH331"/>
      <c r="PKK331"/>
      <c r="PKL331"/>
      <c r="PKO331"/>
      <c r="PKP331"/>
      <c r="PKS331"/>
      <c r="PKT331"/>
      <c r="PKW331"/>
      <c r="PKX331"/>
      <c r="PLA331"/>
      <c r="PLB331"/>
      <c r="PLE331"/>
      <c r="PLF331"/>
      <c r="PLI331"/>
      <c r="PLJ331"/>
      <c r="PLM331"/>
      <c r="PLN331"/>
      <c r="PLQ331"/>
      <c r="PLR331"/>
      <c r="PLU331"/>
      <c r="PLV331"/>
      <c r="PLY331"/>
      <c r="PLZ331"/>
      <c r="PMC331"/>
      <c r="PMD331"/>
      <c r="PMG331"/>
      <c r="PMH331"/>
      <c r="PMK331"/>
      <c r="PML331"/>
      <c r="PMO331"/>
      <c r="PMP331"/>
      <c r="PMS331"/>
      <c r="PMT331"/>
      <c r="PMW331"/>
      <c r="PMX331"/>
      <c r="PNA331"/>
      <c r="PNB331"/>
      <c r="PNE331"/>
      <c r="PNF331"/>
      <c r="PNI331"/>
      <c r="PNJ331"/>
      <c r="PNM331"/>
      <c r="PNN331"/>
      <c r="PNQ331"/>
      <c r="PNR331"/>
      <c r="PNU331"/>
      <c r="PNV331"/>
      <c r="PNY331"/>
      <c r="PNZ331"/>
      <c r="POC331"/>
      <c r="POD331"/>
      <c r="POG331"/>
      <c r="POH331"/>
      <c r="POK331"/>
      <c r="POL331"/>
      <c r="POO331"/>
      <c r="POP331"/>
      <c r="POS331"/>
      <c r="POT331"/>
      <c r="POW331"/>
      <c r="POX331"/>
      <c r="PPA331"/>
      <c r="PPB331"/>
      <c r="PPE331"/>
      <c r="PPF331"/>
      <c r="PPI331"/>
      <c r="PPJ331"/>
      <c r="PPM331"/>
      <c r="PPN331"/>
      <c r="PPQ331"/>
      <c r="PPR331"/>
      <c r="PPU331"/>
      <c r="PPV331"/>
      <c r="PPY331"/>
      <c r="PPZ331"/>
      <c r="PQC331"/>
      <c r="PQD331"/>
      <c r="PQG331"/>
      <c r="PQH331"/>
      <c r="PQK331"/>
      <c r="PQL331"/>
      <c r="PQO331"/>
      <c r="PQP331"/>
      <c r="PQS331"/>
      <c r="PQT331"/>
      <c r="PQW331"/>
      <c r="PQX331"/>
      <c r="PRA331"/>
      <c r="PRB331"/>
      <c r="PRE331"/>
      <c r="PRF331"/>
      <c r="PRI331"/>
      <c r="PRJ331"/>
      <c r="PRM331"/>
      <c r="PRN331"/>
      <c r="PRQ331"/>
      <c r="PRR331"/>
      <c r="PRU331"/>
      <c r="PRV331"/>
      <c r="PRY331"/>
      <c r="PRZ331"/>
      <c r="PSC331"/>
      <c r="PSD331"/>
      <c r="PSG331"/>
      <c r="PSH331"/>
      <c r="PSK331"/>
      <c r="PSL331"/>
      <c r="PSO331"/>
      <c r="PSP331"/>
      <c r="PSS331"/>
      <c r="PST331"/>
      <c r="PSW331"/>
      <c r="PSX331"/>
      <c r="PTA331"/>
      <c r="PTB331"/>
      <c r="PTE331"/>
      <c r="PTF331"/>
      <c r="PTI331"/>
      <c r="PTJ331"/>
      <c r="PTM331"/>
      <c r="PTN331"/>
      <c r="PTQ331"/>
      <c r="PTR331"/>
      <c r="PTU331"/>
      <c r="PTV331"/>
      <c r="PTY331"/>
      <c r="PTZ331"/>
      <c r="PUC331"/>
      <c r="PUD331"/>
      <c r="PUG331"/>
      <c r="PUH331"/>
      <c r="PUK331"/>
      <c r="PUL331"/>
      <c r="PUO331"/>
      <c r="PUP331"/>
      <c r="PUS331"/>
      <c r="PUT331"/>
      <c r="PUW331"/>
      <c r="PUX331"/>
      <c r="PVA331"/>
      <c r="PVB331"/>
      <c r="PVE331"/>
      <c r="PVF331"/>
      <c r="PVI331"/>
      <c r="PVJ331"/>
      <c r="PVM331"/>
      <c r="PVN331"/>
      <c r="PVQ331"/>
      <c r="PVR331"/>
      <c r="PVU331"/>
      <c r="PVV331"/>
      <c r="PVY331"/>
      <c r="PVZ331"/>
      <c r="PWC331"/>
      <c r="PWD331"/>
      <c r="PWG331"/>
      <c r="PWH331"/>
      <c r="PWK331"/>
      <c r="PWL331"/>
      <c r="PWO331"/>
      <c r="PWP331"/>
      <c r="PWS331"/>
      <c r="PWT331"/>
      <c r="PWW331"/>
      <c r="PWX331"/>
      <c r="PXA331"/>
      <c r="PXB331"/>
      <c r="PXE331"/>
      <c r="PXF331"/>
      <c r="PXI331"/>
      <c r="PXJ331"/>
      <c r="PXM331"/>
      <c r="PXN331"/>
      <c r="PXQ331"/>
      <c r="PXR331"/>
      <c r="PXU331"/>
      <c r="PXV331"/>
      <c r="PXY331"/>
      <c r="PXZ331"/>
      <c r="PYC331"/>
      <c r="PYD331"/>
      <c r="PYG331"/>
      <c r="PYH331"/>
      <c r="PYK331"/>
      <c r="PYL331"/>
      <c r="PYO331"/>
      <c r="PYP331"/>
      <c r="PYS331"/>
      <c r="PYT331"/>
      <c r="PYW331"/>
      <c r="PYX331"/>
      <c r="PZA331"/>
      <c r="PZB331"/>
      <c r="PZE331"/>
      <c r="PZF331"/>
      <c r="PZI331"/>
      <c r="PZJ331"/>
      <c r="PZM331"/>
      <c r="PZN331"/>
      <c r="PZQ331"/>
      <c r="PZR331"/>
      <c r="PZU331"/>
      <c r="PZV331"/>
      <c r="PZY331"/>
      <c r="PZZ331"/>
      <c r="QAC331"/>
      <c r="QAD331"/>
      <c r="QAG331"/>
      <c r="QAH331"/>
      <c r="QAK331"/>
      <c r="QAL331"/>
      <c r="QAO331"/>
      <c r="QAP331"/>
      <c r="QAS331"/>
      <c r="QAT331"/>
      <c r="QAW331"/>
      <c r="QAX331"/>
      <c r="QBA331"/>
      <c r="QBB331"/>
      <c r="QBE331"/>
      <c r="QBF331"/>
      <c r="QBI331"/>
      <c r="QBJ331"/>
      <c r="QBM331"/>
      <c r="QBN331"/>
      <c r="QBQ331"/>
      <c r="QBR331"/>
      <c r="QBU331"/>
      <c r="QBV331"/>
      <c r="QBY331"/>
      <c r="QBZ331"/>
      <c r="QCC331"/>
      <c r="QCD331"/>
      <c r="QCG331"/>
      <c r="QCH331"/>
      <c r="QCK331"/>
      <c r="QCL331"/>
      <c r="QCO331"/>
      <c r="QCP331"/>
      <c r="QCS331"/>
      <c r="QCT331"/>
      <c r="QCW331"/>
      <c r="QCX331"/>
      <c r="QDA331"/>
      <c r="QDB331"/>
      <c r="QDE331"/>
      <c r="QDF331"/>
      <c r="QDI331"/>
      <c r="QDJ331"/>
      <c r="QDM331"/>
      <c r="QDN331"/>
      <c r="QDQ331"/>
      <c r="QDR331"/>
      <c r="QDU331"/>
      <c r="QDV331"/>
      <c r="QDY331"/>
      <c r="QDZ331"/>
      <c r="QEC331"/>
      <c r="QED331"/>
      <c r="QEG331"/>
      <c r="QEH331"/>
      <c r="QEK331"/>
      <c r="QEL331"/>
      <c r="QEO331"/>
      <c r="QEP331"/>
      <c r="QES331"/>
      <c r="QET331"/>
      <c r="QEW331"/>
      <c r="QEX331"/>
      <c r="QFA331"/>
      <c r="QFB331"/>
      <c r="QFE331"/>
      <c r="QFF331"/>
      <c r="QFI331"/>
      <c r="QFJ331"/>
      <c r="QFM331"/>
      <c r="QFN331"/>
      <c r="QFQ331"/>
      <c r="QFR331"/>
      <c r="QFU331"/>
      <c r="QFV331"/>
      <c r="QFY331"/>
      <c r="QFZ331"/>
      <c r="QGC331"/>
      <c r="QGD331"/>
      <c r="QGG331"/>
      <c r="QGH331"/>
      <c r="QGK331"/>
      <c r="QGL331"/>
      <c r="QGO331"/>
      <c r="QGP331"/>
      <c r="QGS331"/>
      <c r="QGT331"/>
      <c r="QGW331"/>
      <c r="QGX331"/>
      <c r="QHA331"/>
      <c r="QHB331"/>
      <c r="QHE331"/>
      <c r="QHF331"/>
      <c r="QHI331"/>
      <c r="QHJ331"/>
      <c r="QHM331"/>
      <c r="QHN331"/>
      <c r="QHQ331"/>
      <c r="QHR331"/>
      <c r="QHU331"/>
      <c r="QHV331"/>
      <c r="QHY331"/>
      <c r="QHZ331"/>
      <c r="QIC331"/>
      <c r="QID331"/>
      <c r="QIG331"/>
      <c r="QIH331"/>
      <c r="QIK331"/>
      <c r="QIL331"/>
      <c r="QIO331"/>
      <c r="QIP331"/>
      <c r="QIS331"/>
      <c r="QIT331"/>
      <c r="QIW331"/>
      <c r="QIX331"/>
      <c r="QJA331"/>
      <c r="QJB331"/>
      <c r="QJE331"/>
      <c r="QJF331"/>
      <c r="QJI331"/>
      <c r="QJJ331"/>
      <c r="QJM331"/>
      <c r="QJN331"/>
      <c r="QJQ331"/>
      <c r="QJR331"/>
      <c r="QJU331"/>
      <c r="QJV331"/>
      <c r="QJY331"/>
      <c r="QJZ331"/>
      <c r="QKC331"/>
      <c r="QKD331"/>
      <c r="QKG331"/>
      <c r="QKH331"/>
      <c r="QKK331"/>
      <c r="QKL331"/>
      <c r="QKO331"/>
      <c r="QKP331"/>
      <c r="QKS331"/>
      <c r="QKT331"/>
      <c r="QKW331"/>
      <c r="QKX331"/>
      <c r="QLA331"/>
      <c r="QLB331"/>
      <c r="QLE331"/>
      <c r="QLF331"/>
      <c r="QLI331"/>
      <c r="QLJ331"/>
      <c r="QLM331"/>
      <c r="QLN331"/>
      <c r="QLQ331"/>
      <c r="QLR331"/>
      <c r="QLU331"/>
      <c r="QLV331"/>
      <c r="QLY331"/>
      <c r="QLZ331"/>
      <c r="QMC331"/>
      <c r="QMD331"/>
      <c r="QMG331"/>
      <c r="QMH331"/>
      <c r="QMK331"/>
      <c r="QML331"/>
      <c r="QMO331"/>
      <c r="QMP331"/>
      <c r="QMS331"/>
      <c r="QMT331"/>
      <c r="QMW331"/>
      <c r="QMX331"/>
      <c r="QNA331"/>
      <c r="QNB331"/>
      <c r="QNE331"/>
      <c r="QNF331"/>
      <c r="QNI331"/>
      <c r="QNJ331"/>
      <c r="QNM331"/>
      <c r="QNN331"/>
      <c r="QNQ331"/>
      <c r="QNR331"/>
      <c r="QNU331"/>
      <c r="QNV331"/>
      <c r="QNY331"/>
      <c r="QNZ331"/>
      <c r="QOC331"/>
      <c r="QOD331"/>
      <c r="QOG331"/>
      <c r="QOH331"/>
      <c r="QOK331"/>
      <c r="QOL331"/>
      <c r="QOO331"/>
      <c r="QOP331"/>
      <c r="QOS331"/>
      <c r="QOT331"/>
      <c r="QOW331"/>
      <c r="QOX331"/>
      <c r="QPA331"/>
      <c r="QPB331"/>
      <c r="QPE331"/>
      <c r="QPF331"/>
      <c r="QPI331"/>
      <c r="QPJ331"/>
      <c r="QPM331"/>
      <c r="QPN331"/>
      <c r="QPQ331"/>
      <c r="QPR331"/>
      <c r="QPU331"/>
      <c r="QPV331"/>
      <c r="QPY331"/>
      <c r="QPZ331"/>
      <c r="QQC331"/>
      <c r="QQD331"/>
      <c r="QQG331"/>
      <c r="QQH331"/>
      <c r="QQK331"/>
      <c r="QQL331"/>
      <c r="QQO331"/>
      <c r="QQP331"/>
      <c r="QQS331"/>
      <c r="QQT331"/>
      <c r="QQW331"/>
      <c r="QQX331"/>
      <c r="QRA331"/>
      <c r="QRB331"/>
      <c r="QRE331"/>
      <c r="QRF331"/>
      <c r="QRI331"/>
      <c r="QRJ331"/>
      <c r="QRM331"/>
      <c r="QRN331"/>
      <c r="QRQ331"/>
      <c r="QRR331"/>
      <c r="QRU331"/>
      <c r="QRV331"/>
      <c r="QRY331"/>
      <c r="QRZ331"/>
      <c r="QSC331"/>
      <c r="QSD331"/>
      <c r="QSG331"/>
      <c r="QSH331"/>
      <c r="QSK331"/>
      <c r="QSL331"/>
      <c r="QSO331"/>
      <c r="QSP331"/>
      <c r="QSS331"/>
      <c r="QST331"/>
      <c r="QSW331"/>
      <c r="QSX331"/>
      <c r="QTA331"/>
      <c r="QTB331"/>
      <c r="QTE331"/>
      <c r="QTF331"/>
      <c r="QTI331"/>
      <c r="QTJ331"/>
      <c r="QTM331"/>
      <c r="QTN331"/>
      <c r="QTQ331"/>
      <c r="QTR331"/>
      <c r="QTU331"/>
      <c r="QTV331"/>
      <c r="QTY331"/>
      <c r="QTZ331"/>
      <c r="QUC331"/>
      <c r="QUD331"/>
      <c r="QUG331"/>
      <c r="QUH331"/>
      <c r="QUK331"/>
      <c r="QUL331"/>
      <c r="QUO331"/>
      <c r="QUP331"/>
      <c r="QUS331"/>
      <c r="QUT331"/>
      <c r="QUW331"/>
      <c r="QUX331"/>
      <c r="QVA331"/>
      <c r="QVB331"/>
      <c r="QVE331"/>
      <c r="QVF331"/>
      <c r="QVI331"/>
      <c r="QVJ331"/>
      <c r="QVM331"/>
      <c r="QVN331"/>
      <c r="QVQ331"/>
      <c r="QVR331"/>
      <c r="QVU331"/>
      <c r="QVV331"/>
      <c r="QVY331"/>
      <c r="QVZ331"/>
      <c r="QWC331"/>
      <c r="QWD331"/>
      <c r="QWG331"/>
      <c r="QWH331"/>
      <c r="QWK331"/>
      <c r="QWL331"/>
      <c r="QWO331"/>
      <c r="QWP331"/>
      <c r="QWS331"/>
      <c r="QWT331"/>
      <c r="QWW331"/>
      <c r="QWX331"/>
      <c r="QXA331"/>
      <c r="QXB331"/>
      <c r="QXE331"/>
      <c r="QXF331"/>
      <c r="QXI331"/>
      <c r="QXJ331"/>
      <c r="QXM331"/>
      <c r="QXN331"/>
      <c r="QXQ331"/>
      <c r="QXR331"/>
      <c r="QXU331"/>
      <c r="QXV331"/>
      <c r="QXY331"/>
      <c r="QXZ331"/>
      <c r="QYC331"/>
      <c r="QYD331"/>
      <c r="QYG331"/>
      <c r="QYH331"/>
      <c r="QYK331"/>
      <c r="QYL331"/>
      <c r="QYO331"/>
      <c r="QYP331"/>
      <c r="QYS331"/>
      <c r="QYT331"/>
      <c r="QYW331"/>
      <c r="QYX331"/>
      <c r="QZA331"/>
      <c r="QZB331"/>
      <c r="QZE331"/>
      <c r="QZF331"/>
      <c r="QZI331"/>
      <c r="QZJ331"/>
      <c r="QZM331"/>
      <c r="QZN331"/>
      <c r="QZQ331"/>
      <c r="QZR331"/>
      <c r="QZU331"/>
      <c r="QZV331"/>
      <c r="QZY331"/>
      <c r="QZZ331"/>
      <c r="RAC331"/>
      <c r="RAD331"/>
      <c r="RAG331"/>
      <c r="RAH331"/>
      <c r="RAK331"/>
      <c r="RAL331"/>
      <c r="RAO331"/>
      <c r="RAP331"/>
      <c r="RAS331"/>
      <c r="RAT331"/>
      <c r="RAW331"/>
      <c r="RAX331"/>
      <c r="RBA331"/>
      <c r="RBB331"/>
      <c r="RBE331"/>
      <c r="RBF331"/>
      <c r="RBI331"/>
      <c r="RBJ331"/>
      <c r="RBM331"/>
      <c r="RBN331"/>
      <c r="RBQ331"/>
      <c r="RBR331"/>
      <c r="RBU331"/>
      <c r="RBV331"/>
      <c r="RBY331"/>
      <c r="RBZ331"/>
      <c r="RCC331"/>
      <c r="RCD331"/>
      <c r="RCG331"/>
      <c r="RCH331"/>
      <c r="RCK331"/>
      <c r="RCL331"/>
      <c r="RCO331"/>
      <c r="RCP331"/>
      <c r="RCS331"/>
      <c r="RCT331"/>
      <c r="RCW331"/>
      <c r="RCX331"/>
      <c r="RDA331"/>
      <c r="RDB331"/>
      <c r="RDE331"/>
      <c r="RDF331"/>
      <c r="RDI331"/>
      <c r="RDJ331"/>
      <c r="RDM331"/>
      <c r="RDN331"/>
      <c r="RDQ331"/>
      <c r="RDR331"/>
      <c r="RDU331"/>
      <c r="RDV331"/>
      <c r="RDY331"/>
      <c r="RDZ331"/>
      <c r="REC331"/>
      <c r="RED331"/>
      <c r="REG331"/>
      <c r="REH331"/>
      <c r="REK331"/>
      <c r="REL331"/>
      <c r="REO331"/>
      <c r="REP331"/>
      <c r="RES331"/>
      <c r="RET331"/>
      <c r="REW331"/>
      <c r="REX331"/>
      <c r="RFA331"/>
      <c r="RFB331"/>
      <c r="RFE331"/>
      <c r="RFF331"/>
      <c r="RFI331"/>
      <c r="RFJ331"/>
      <c r="RFM331"/>
      <c r="RFN331"/>
      <c r="RFQ331"/>
      <c r="RFR331"/>
      <c r="RFU331"/>
      <c r="RFV331"/>
      <c r="RFY331"/>
      <c r="RFZ331"/>
      <c r="RGC331"/>
      <c r="RGD331"/>
      <c r="RGG331"/>
      <c r="RGH331"/>
      <c r="RGK331"/>
      <c r="RGL331"/>
      <c r="RGO331"/>
      <c r="RGP331"/>
      <c r="RGS331"/>
      <c r="RGT331"/>
      <c r="RGW331"/>
      <c r="RGX331"/>
      <c r="RHA331"/>
      <c r="RHB331"/>
      <c r="RHE331"/>
      <c r="RHF331"/>
      <c r="RHI331"/>
      <c r="RHJ331"/>
      <c r="RHM331"/>
      <c r="RHN331"/>
      <c r="RHQ331"/>
      <c r="RHR331"/>
      <c r="RHU331"/>
      <c r="RHV331"/>
      <c r="RHY331"/>
      <c r="RHZ331"/>
      <c r="RIC331"/>
      <c r="RID331"/>
      <c r="RIG331"/>
      <c r="RIH331"/>
      <c r="RIK331"/>
      <c r="RIL331"/>
      <c r="RIO331"/>
      <c r="RIP331"/>
      <c r="RIS331"/>
      <c r="RIT331"/>
      <c r="RIW331"/>
      <c r="RIX331"/>
      <c r="RJA331"/>
      <c r="RJB331"/>
      <c r="RJE331"/>
      <c r="RJF331"/>
      <c r="RJI331"/>
      <c r="RJJ331"/>
      <c r="RJM331"/>
      <c r="RJN331"/>
      <c r="RJQ331"/>
      <c r="RJR331"/>
      <c r="RJU331"/>
      <c r="RJV331"/>
      <c r="RJY331"/>
      <c r="RJZ331"/>
      <c r="RKC331"/>
      <c r="RKD331"/>
      <c r="RKG331"/>
      <c r="RKH331"/>
      <c r="RKK331"/>
      <c r="RKL331"/>
      <c r="RKO331"/>
      <c r="RKP331"/>
      <c r="RKS331"/>
      <c r="RKT331"/>
      <c r="RKW331"/>
      <c r="RKX331"/>
      <c r="RLA331"/>
      <c r="RLB331"/>
      <c r="RLE331"/>
      <c r="RLF331"/>
      <c r="RLI331"/>
      <c r="RLJ331"/>
      <c r="RLM331"/>
      <c r="RLN331"/>
      <c r="RLQ331"/>
      <c r="RLR331"/>
      <c r="RLU331"/>
      <c r="RLV331"/>
      <c r="RLY331"/>
      <c r="RLZ331"/>
      <c r="RMC331"/>
      <c r="RMD331"/>
      <c r="RMG331"/>
      <c r="RMH331"/>
      <c r="RMK331"/>
      <c r="RML331"/>
      <c r="RMO331"/>
      <c r="RMP331"/>
      <c r="RMS331"/>
      <c r="RMT331"/>
      <c r="RMW331"/>
      <c r="RMX331"/>
      <c r="RNA331"/>
      <c r="RNB331"/>
      <c r="RNE331"/>
      <c r="RNF331"/>
      <c r="RNI331"/>
      <c r="RNJ331"/>
      <c r="RNM331"/>
      <c r="RNN331"/>
      <c r="RNQ331"/>
      <c r="RNR331"/>
      <c r="RNU331"/>
      <c r="RNV331"/>
      <c r="RNY331"/>
      <c r="RNZ331"/>
      <c r="ROC331"/>
      <c r="ROD331"/>
      <c r="ROG331"/>
      <c r="ROH331"/>
      <c r="ROK331"/>
      <c r="ROL331"/>
      <c r="ROO331"/>
      <c r="ROP331"/>
      <c r="ROS331"/>
      <c r="ROT331"/>
      <c r="ROW331"/>
      <c r="ROX331"/>
      <c r="RPA331"/>
      <c r="RPB331"/>
      <c r="RPE331"/>
      <c r="RPF331"/>
      <c r="RPI331"/>
      <c r="RPJ331"/>
      <c r="RPM331"/>
      <c r="RPN331"/>
      <c r="RPQ331"/>
      <c r="RPR331"/>
      <c r="RPU331"/>
      <c r="RPV331"/>
      <c r="RPY331"/>
      <c r="RPZ331"/>
      <c r="RQC331"/>
      <c r="RQD331"/>
      <c r="RQG331"/>
      <c r="RQH331"/>
      <c r="RQK331"/>
      <c r="RQL331"/>
      <c r="RQO331"/>
      <c r="RQP331"/>
      <c r="RQS331"/>
      <c r="RQT331"/>
      <c r="RQW331"/>
      <c r="RQX331"/>
      <c r="RRA331"/>
      <c r="RRB331"/>
      <c r="RRE331"/>
      <c r="RRF331"/>
      <c r="RRI331"/>
      <c r="RRJ331"/>
      <c r="RRM331"/>
      <c r="RRN331"/>
      <c r="RRQ331"/>
      <c r="RRR331"/>
      <c r="RRU331"/>
      <c r="RRV331"/>
      <c r="RRY331"/>
      <c r="RRZ331"/>
      <c r="RSC331"/>
      <c r="RSD331"/>
      <c r="RSG331"/>
      <c r="RSH331"/>
      <c r="RSK331"/>
      <c r="RSL331"/>
      <c r="RSO331"/>
      <c r="RSP331"/>
      <c r="RSS331"/>
      <c r="RST331"/>
      <c r="RSW331"/>
      <c r="RSX331"/>
      <c r="RTA331"/>
      <c r="RTB331"/>
      <c r="RTE331"/>
      <c r="RTF331"/>
      <c r="RTI331"/>
      <c r="RTJ331"/>
      <c r="RTM331"/>
      <c r="RTN331"/>
      <c r="RTQ331"/>
      <c r="RTR331"/>
      <c r="RTU331"/>
      <c r="RTV331"/>
      <c r="RTY331"/>
      <c r="RTZ331"/>
      <c r="RUC331"/>
      <c r="RUD331"/>
      <c r="RUG331"/>
      <c r="RUH331"/>
      <c r="RUK331"/>
      <c r="RUL331"/>
      <c r="RUO331"/>
      <c r="RUP331"/>
      <c r="RUS331"/>
      <c r="RUT331"/>
      <c r="RUW331"/>
      <c r="RUX331"/>
      <c r="RVA331"/>
      <c r="RVB331"/>
      <c r="RVE331"/>
      <c r="RVF331"/>
      <c r="RVI331"/>
      <c r="RVJ331"/>
      <c r="RVM331"/>
      <c r="RVN331"/>
      <c r="RVQ331"/>
      <c r="RVR331"/>
      <c r="RVU331"/>
      <c r="RVV331"/>
      <c r="RVY331"/>
      <c r="RVZ331"/>
      <c r="RWC331"/>
      <c r="RWD331"/>
      <c r="RWG331"/>
      <c r="RWH331"/>
      <c r="RWK331"/>
      <c r="RWL331"/>
      <c r="RWO331"/>
      <c r="RWP331"/>
      <c r="RWS331"/>
      <c r="RWT331"/>
      <c r="RWW331"/>
      <c r="RWX331"/>
      <c r="RXA331"/>
      <c r="RXB331"/>
      <c r="RXE331"/>
      <c r="RXF331"/>
      <c r="RXI331"/>
      <c r="RXJ331"/>
      <c r="RXM331"/>
      <c r="RXN331"/>
      <c r="RXQ331"/>
      <c r="RXR331"/>
      <c r="RXU331"/>
      <c r="RXV331"/>
      <c r="RXY331"/>
      <c r="RXZ331"/>
      <c r="RYC331"/>
      <c r="RYD331"/>
      <c r="RYG331"/>
      <c r="RYH331"/>
      <c r="RYK331"/>
      <c r="RYL331"/>
      <c r="RYO331"/>
      <c r="RYP331"/>
      <c r="RYS331"/>
      <c r="RYT331"/>
      <c r="RYW331"/>
      <c r="RYX331"/>
      <c r="RZA331"/>
      <c r="RZB331"/>
      <c r="RZE331"/>
      <c r="RZF331"/>
      <c r="RZI331"/>
      <c r="RZJ331"/>
      <c r="RZM331"/>
      <c r="RZN331"/>
      <c r="RZQ331"/>
      <c r="RZR331"/>
      <c r="RZU331"/>
      <c r="RZV331"/>
      <c r="RZY331"/>
      <c r="RZZ331"/>
      <c r="SAC331"/>
      <c r="SAD331"/>
      <c r="SAG331"/>
      <c r="SAH331"/>
      <c r="SAK331"/>
      <c r="SAL331"/>
      <c r="SAO331"/>
      <c r="SAP331"/>
      <c r="SAS331"/>
      <c r="SAT331"/>
      <c r="SAW331"/>
      <c r="SAX331"/>
      <c r="SBA331"/>
      <c r="SBB331"/>
      <c r="SBE331"/>
      <c r="SBF331"/>
      <c r="SBI331"/>
      <c r="SBJ331"/>
      <c r="SBM331"/>
      <c r="SBN331"/>
      <c r="SBQ331"/>
      <c r="SBR331"/>
      <c r="SBU331"/>
      <c r="SBV331"/>
      <c r="SBY331"/>
      <c r="SBZ331"/>
      <c r="SCC331"/>
      <c r="SCD331"/>
      <c r="SCG331"/>
      <c r="SCH331"/>
      <c r="SCK331"/>
      <c r="SCL331"/>
      <c r="SCO331"/>
      <c r="SCP331"/>
      <c r="SCS331"/>
      <c r="SCT331"/>
      <c r="SCW331"/>
      <c r="SCX331"/>
      <c r="SDA331"/>
      <c r="SDB331"/>
      <c r="SDE331"/>
      <c r="SDF331"/>
      <c r="SDI331"/>
      <c r="SDJ331"/>
      <c r="SDM331"/>
      <c r="SDN331"/>
      <c r="SDQ331"/>
      <c r="SDR331"/>
      <c r="SDU331"/>
      <c r="SDV331"/>
      <c r="SDY331"/>
      <c r="SDZ331"/>
      <c r="SEC331"/>
      <c r="SED331"/>
      <c r="SEG331"/>
      <c r="SEH331"/>
      <c r="SEK331"/>
      <c r="SEL331"/>
      <c r="SEO331"/>
      <c r="SEP331"/>
      <c r="SES331"/>
      <c r="SET331"/>
      <c r="SEW331"/>
      <c r="SEX331"/>
      <c r="SFA331"/>
      <c r="SFB331"/>
      <c r="SFE331"/>
      <c r="SFF331"/>
      <c r="SFI331"/>
      <c r="SFJ331"/>
      <c r="SFM331"/>
      <c r="SFN331"/>
      <c r="SFQ331"/>
      <c r="SFR331"/>
      <c r="SFU331"/>
      <c r="SFV331"/>
      <c r="SFY331"/>
      <c r="SFZ331"/>
      <c r="SGC331"/>
      <c r="SGD331"/>
      <c r="SGG331"/>
      <c r="SGH331"/>
      <c r="SGK331"/>
      <c r="SGL331"/>
      <c r="SGO331"/>
      <c r="SGP331"/>
      <c r="SGS331"/>
      <c r="SGT331"/>
      <c r="SGW331"/>
      <c r="SGX331"/>
      <c r="SHA331"/>
      <c r="SHB331"/>
      <c r="SHE331"/>
      <c r="SHF331"/>
      <c r="SHI331"/>
      <c r="SHJ331"/>
      <c r="SHM331"/>
      <c r="SHN331"/>
      <c r="SHQ331"/>
      <c r="SHR331"/>
      <c r="SHU331"/>
      <c r="SHV331"/>
      <c r="SHY331"/>
      <c r="SHZ331"/>
      <c r="SIC331"/>
      <c r="SID331"/>
      <c r="SIG331"/>
      <c r="SIH331"/>
      <c r="SIK331"/>
      <c r="SIL331"/>
      <c r="SIO331"/>
      <c r="SIP331"/>
      <c r="SIS331"/>
      <c r="SIT331"/>
      <c r="SIW331"/>
      <c r="SIX331"/>
      <c r="SJA331"/>
      <c r="SJB331"/>
      <c r="SJE331"/>
      <c r="SJF331"/>
      <c r="SJI331"/>
      <c r="SJJ331"/>
      <c r="SJM331"/>
      <c r="SJN331"/>
      <c r="SJQ331"/>
      <c r="SJR331"/>
      <c r="SJU331"/>
      <c r="SJV331"/>
      <c r="SJY331"/>
      <c r="SJZ331"/>
      <c r="SKC331"/>
      <c r="SKD331"/>
      <c r="SKG331"/>
      <c r="SKH331"/>
      <c r="SKK331"/>
      <c r="SKL331"/>
      <c r="SKO331"/>
      <c r="SKP331"/>
      <c r="SKS331"/>
      <c r="SKT331"/>
      <c r="SKW331"/>
      <c r="SKX331"/>
      <c r="SLA331"/>
      <c r="SLB331"/>
      <c r="SLE331"/>
      <c r="SLF331"/>
      <c r="SLI331"/>
      <c r="SLJ331"/>
      <c r="SLM331"/>
      <c r="SLN331"/>
      <c r="SLQ331"/>
      <c r="SLR331"/>
      <c r="SLU331"/>
      <c r="SLV331"/>
      <c r="SLY331"/>
      <c r="SLZ331"/>
      <c r="SMC331"/>
      <c r="SMD331"/>
      <c r="SMG331"/>
      <c r="SMH331"/>
      <c r="SMK331"/>
      <c r="SML331"/>
      <c r="SMO331"/>
      <c r="SMP331"/>
      <c r="SMS331"/>
      <c r="SMT331"/>
      <c r="SMW331"/>
      <c r="SMX331"/>
      <c r="SNA331"/>
      <c r="SNB331"/>
      <c r="SNE331"/>
      <c r="SNF331"/>
      <c r="SNI331"/>
      <c r="SNJ331"/>
      <c r="SNM331"/>
      <c r="SNN331"/>
      <c r="SNQ331"/>
      <c r="SNR331"/>
      <c r="SNU331"/>
      <c r="SNV331"/>
      <c r="SNY331"/>
      <c r="SNZ331"/>
      <c r="SOC331"/>
      <c r="SOD331"/>
      <c r="SOG331"/>
      <c r="SOH331"/>
      <c r="SOK331"/>
      <c r="SOL331"/>
      <c r="SOO331"/>
      <c r="SOP331"/>
      <c r="SOS331"/>
      <c r="SOT331"/>
      <c r="SOW331"/>
      <c r="SOX331"/>
      <c r="SPA331"/>
      <c r="SPB331"/>
      <c r="SPE331"/>
      <c r="SPF331"/>
      <c r="SPI331"/>
      <c r="SPJ331"/>
      <c r="SPM331"/>
      <c r="SPN331"/>
      <c r="SPQ331"/>
      <c r="SPR331"/>
      <c r="SPU331"/>
      <c r="SPV331"/>
      <c r="SPY331"/>
      <c r="SPZ331"/>
      <c r="SQC331"/>
      <c r="SQD331"/>
      <c r="SQG331"/>
      <c r="SQH331"/>
      <c r="SQK331"/>
      <c r="SQL331"/>
      <c r="SQO331"/>
      <c r="SQP331"/>
      <c r="SQS331"/>
      <c r="SQT331"/>
      <c r="SQW331"/>
      <c r="SQX331"/>
      <c r="SRA331"/>
      <c r="SRB331"/>
      <c r="SRE331"/>
      <c r="SRF331"/>
      <c r="SRI331"/>
      <c r="SRJ331"/>
      <c r="SRM331"/>
      <c r="SRN331"/>
      <c r="SRQ331"/>
      <c r="SRR331"/>
      <c r="SRU331"/>
      <c r="SRV331"/>
      <c r="SRY331"/>
      <c r="SRZ331"/>
      <c r="SSC331"/>
      <c r="SSD331"/>
      <c r="SSG331"/>
      <c r="SSH331"/>
      <c r="SSK331"/>
      <c r="SSL331"/>
      <c r="SSO331"/>
      <c r="SSP331"/>
      <c r="SSS331"/>
      <c r="SST331"/>
      <c r="SSW331"/>
      <c r="SSX331"/>
      <c r="STA331"/>
      <c r="STB331"/>
      <c r="STE331"/>
      <c r="STF331"/>
      <c r="STI331"/>
      <c r="STJ331"/>
      <c r="STM331"/>
      <c r="STN331"/>
      <c r="STQ331"/>
      <c r="STR331"/>
      <c r="STU331"/>
      <c r="STV331"/>
      <c r="STY331"/>
      <c r="STZ331"/>
      <c r="SUC331"/>
      <c r="SUD331"/>
      <c r="SUG331"/>
      <c r="SUH331"/>
      <c r="SUK331"/>
      <c r="SUL331"/>
      <c r="SUO331"/>
      <c r="SUP331"/>
      <c r="SUS331"/>
      <c r="SUT331"/>
      <c r="SUW331"/>
      <c r="SUX331"/>
      <c r="SVA331"/>
      <c r="SVB331"/>
      <c r="SVE331"/>
      <c r="SVF331"/>
      <c r="SVI331"/>
      <c r="SVJ331"/>
      <c r="SVM331"/>
      <c r="SVN331"/>
      <c r="SVQ331"/>
      <c r="SVR331"/>
      <c r="SVU331"/>
      <c r="SVV331"/>
      <c r="SVY331"/>
      <c r="SVZ331"/>
      <c r="SWC331"/>
      <c r="SWD331"/>
      <c r="SWG331"/>
      <c r="SWH331"/>
      <c r="SWK331"/>
      <c r="SWL331"/>
      <c r="SWO331"/>
      <c r="SWP331"/>
      <c r="SWS331"/>
      <c r="SWT331"/>
      <c r="SWW331"/>
      <c r="SWX331"/>
      <c r="SXA331"/>
      <c r="SXB331"/>
      <c r="SXE331"/>
      <c r="SXF331"/>
      <c r="SXI331"/>
      <c r="SXJ331"/>
      <c r="SXM331"/>
      <c r="SXN331"/>
      <c r="SXQ331"/>
      <c r="SXR331"/>
      <c r="SXU331"/>
      <c r="SXV331"/>
      <c r="SXY331"/>
      <c r="SXZ331"/>
      <c r="SYC331"/>
      <c r="SYD331"/>
      <c r="SYG331"/>
      <c r="SYH331"/>
      <c r="SYK331"/>
      <c r="SYL331"/>
      <c r="SYO331"/>
      <c r="SYP331"/>
      <c r="SYS331"/>
      <c r="SYT331"/>
      <c r="SYW331"/>
      <c r="SYX331"/>
      <c r="SZA331"/>
      <c r="SZB331"/>
      <c r="SZE331"/>
      <c r="SZF331"/>
      <c r="SZI331"/>
      <c r="SZJ331"/>
      <c r="SZM331"/>
      <c r="SZN331"/>
      <c r="SZQ331"/>
      <c r="SZR331"/>
      <c r="SZU331"/>
      <c r="SZV331"/>
      <c r="SZY331"/>
      <c r="SZZ331"/>
      <c r="TAC331"/>
      <c r="TAD331"/>
      <c r="TAG331"/>
      <c r="TAH331"/>
      <c r="TAK331"/>
      <c r="TAL331"/>
      <c r="TAO331"/>
      <c r="TAP331"/>
      <c r="TAS331"/>
      <c r="TAT331"/>
      <c r="TAW331"/>
      <c r="TAX331"/>
      <c r="TBA331"/>
      <c r="TBB331"/>
      <c r="TBE331"/>
      <c r="TBF331"/>
      <c r="TBI331"/>
      <c r="TBJ331"/>
      <c r="TBM331"/>
      <c r="TBN331"/>
      <c r="TBQ331"/>
      <c r="TBR331"/>
      <c r="TBU331"/>
      <c r="TBV331"/>
      <c r="TBY331"/>
      <c r="TBZ331"/>
      <c r="TCC331"/>
      <c r="TCD331"/>
      <c r="TCG331"/>
      <c r="TCH331"/>
      <c r="TCK331"/>
      <c r="TCL331"/>
      <c r="TCO331"/>
      <c r="TCP331"/>
      <c r="TCS331"/>
      <c r="TCT331"/>
      <c r="TCW331"/>
      <c r="TCX331"/>
      <c r="TDA331"/>
      <c r="TDB331"/>
      <c r="TDE331"/>
      <c r="TDF331"/>
      <c r="TDI331"/>
      <c r="TDJ331"/>
      <c r="TDM331"/>
      <c r="TDN331"/>
      <c r="TDQ331"/>
      <c r="TDR331"/>
      <c r="TDU331"/>
      <c r="TDV331"/>
      <c r="TDY331"/>
      <c r="TDZ331"/>
      <c r="TEC331"/>
      <c r="TED331"/>
      <c r="TEG331"/>
      <c r="TEH331"/>
      <c r="TEK331"/>
      <c r="TEL331"/>
      <c r="TEO331"/>
      <c r="TEP331"/>
      <c r="TES331"/>
      <c r="TET331"/>
      <c r="TEW331"/>
      <c r="TEX331"/>
      <c r="TFA331"/>
      <c r="TFB331"/>
      <c r="TFE331"/>
      <c r="TFF331"/>
      <c r="TFI331"/>
      <c r="TFJ331"/>
      <c r="TFM331"/>
      <c r="TFN331"/>
      <c r="TFQ331"/>
      <c r="TFR331"/>
      <c r="TFU331"/>
      <c r="TFV331"/>
      <c r="TFY331"/>
      <c r="TFZ331"/>
      <c r="TGC331"/>
      <c r="TGD331"/>
      <c r="TGG331"/>
      <c r="TGH331"/>
      <c r="TGK331"/>
      <c r="TGL331"/>
      <c r="TGO331"/>
      <c r="TGP331"/>
      <c r="TGS331"/>
      <c r="TGT331"/>
      <c r="TGW331"/>
      <c r="TGX331"/>
      <c r="THA331"/>
      <c r="THB331"/>
      <c r="THE331"/>
      <c r="THF331"/>
      <c r="THI331"/>
      <c r="THJ331"/>
      <c r="THM331"/>
      <c r="THN331"/>
      <c r="THQ331"/>
      <c r="THR331"/>
      <c r="THU331"/>
      <c r="THV331"/>
      <c r="THY331"/>
      <c r="THZ331"/>
      <c r="TIC331"/>
      <c r="TID331"/>
      <c r="TIG331"/>
      <c r="TIH331"/>
      <c r="TIK331"/>
      <c r="TIL331"/>
      <c r="TIO331"/>
      <c r="TIP331"/>
      <c r="TIS331"/>
      <c r="TIT331"/>
      <c r="TIW331"/>
      <c r="TIX331"/>
      <c r="TJA331"/>
      <c r="TJB331"/>
      <c r="TJE331"/>
      <c r="TJF331"/>
      <c r="TJI331"/>
      <c r="TJJ331"/>
      <c r="TJM331"/>
      <c r="TJN331"/>
      <c r="TJQ331"/>
      <c r="TJR331"/>
      <c r="TJU331"/>
      <c r="TJV331"/>
      <c r="TJY331"/>
      <c r="TJZ331"/>
      <c r="TKC331"/>
      <c r="TKD331"/>
      <c r="TKG331"/>
      <c r="TKH331"/>
      <c r="TKK331"/>
      <c r="TKL331"/>
      <c r="TKO331"/>
      <c r="TKP331"/>
      <c r="TKS331"/>
      <c r="TKT331"/>
      <c r="TKW331"/>
      <c r="TKX331"/>
      <c r="TLA331"/>
      <c r="TLB331"/>
      <c r="TLE331"/>
      <c r="TLF331"/>
      <c r="TLI331"/>
      <c r="TLJ331"/>
      <c r="TLM331"/>
      <c r="TLN331"/>
      <c r="TLQ331"/>
      <c r="TLR331"/>
      <c r="TLU331"/>
      <c r="TLV331"/>
      <c r="TLY331"/>
      <c r="TLZ331"/>
      <c r="TMC331"/>
      <c r="TMD331"/>
      <c r="TMG331"/>
      <c r="TMH331"/>
      <c r="TMK331"/>
      <c r="TML331"/>
      <c r="TMO331"/>
      <c r="TMP331"/>
      <c r="TMS331"/>
      <c r="TMT331"/>
      <c r="TMW331"/>
      <c r="TMX331"/>
      <c r="TNA331"/>
      <c r="TNB331"/>
      <c r="TNE331"/>
      <c r="TNF331"/>
      <c r="TNI331"/>
      <c r="TNJ331"/>
      <c r="TNM331"/>
      <c r="TNN331"/>
      <c r="TNQ331"/>
      <c r="TNR331"/>
      <c r="TNU331"/>
      <c r="TNV331"/>
      <c r="TNY331"/>
      <c r="TNZ331"/>
      <c r="TOC331"/>
      <c r="TOD331"/>
      <c r="TOG331"/>
      <c r="TOH331"/>
      <c r="TOK331"/>
      <c r="TOL331"/>
      <c r="TOO331"/>
      <c r="TOP331"/>
      <c r="TOS331"/>
      <c r="TOT331"/>
      <c r="TOW331"/>
      <c r="TOX331"/>
      <c r="TPA331"/>
      <c r="TPB331"/>
      <c r="TPE331"/>
      <c r="TPF331"/>
      <c r="TPI331"/>
      <c r="TPJ331"/>
      <c r="TPM331"/>
      <c r="TPN331"/>
      <c r="TPQ331"/>
      <c r="TPR331"/>
      <c r="TPU331"/>
      <c r="TPV331"/>
      <c r="TPY331"/>
      <c r="TPZ331"/>
      <c r="TQC331"/>
      <c r="TQD331"/>
      <c r="TQG331"/>
      <c r="TQH331"/>
      <c r="TQK331"/>
      <c r="TQL331"/>
      <c r="TQO331"/>
      <c r="TQP331"/>
      <c r="TQS331"/>
      <c r="TQT331"/>
      <c r="TQW331"/>
      <c r="TQX331"/>
      <c r="TRA331"/>
      <c r="TRB331"/>
      <c r="TRE331"/>
      <c r="TRF331"/>
      <c r="TRI331"/>
      <c r="TRJ331"/>
      <c r="TRM331"/>
      <c r="TRN331"/>
      <c r="TRQ331"/>
      <c r="TRR331"/>
      <c r="TRU331"/>
      <c r="TRV331"/>
      <c r="TRY331"/>
      <c r="TRZ331"/>
      <c r="TSC331"/>
      <c r="TSD331"/>
      <c r="TSG331"/>
      <c r="TSH331"/>
      <c r="TSK331"/>
      <c r="TSL331"/>
      <c r="TSO331"/>
      <c r="TSP331"/>
      <c r="TSS331"/>
      <c r="TST331"/>
      <c r="TSW331"/>
      <c r="TSX331"/>
      <c r="TTA331"/>
      <c r="TTB331"/>
      <c r="TTE331"/>
      <c r="TTF331"/>
      <c r="TTI331"/>
      <c r="TTJ331"/>
      <c r="TTM331"/>
      <c r="TTN331"/>
      <c r="TTQ331"/>
      <c r="TTR331"/>
      <c r="TTU331"/>
      <c r="TTV331"/>
      <c r="TTY331"/>
      <c r="TTZ331"/>
      <c r="TUC331"/>
      <c r="TUD331"/>
      <c r="TUG331"/>
      <c r="TUH331"/>
      <c r="TUK331"/>
      <c r="TUL331"/>
      <c r="TUO331"/>
      <c r="TUP331"/>
      <c r="TUS331"/>
      <c r="TUT331"/>
      <c r="TUW331"/>
      <c r="TUX331"/>
      <c r="TVA331"/>
      <c r="TVB331"/>
      <c r="TVE331"/>
      <c r="TVF331"/>
      <c r="TVI331"/>
      <c r="TVJ331"/>
      <c r="TVM331"/>
      <c r="TVN331"/>
      <c r="TVQ331"/>
      <c r="TVR331"/>
      <c r="TVU331"/>
      <c r="TVV331"/>
      <c r="TVY331"/>
      <c r="TVZ331"/>
      <c r="TWC331"/>
      <c r="TWD331"/>
      <c r="TWG331"/>
      <c r="TWH331"/>
      <c r="TWK331"/>
      <c r="TWL331"/>
      <c r="TWO331"/>
      <c r="TWP331"/>
      <c r="TWS331"/>
      <c r="TWT331"/>
      <c r="TWW331"/>
      <c r="TWX331"/>
      <c r="TXA331"/>
      <c r="TXB331"/>
      <c r="TXE331"/>
      <c r="TXF331"/>
      <c r="TXI331"/>
      <c r="TXJ331"/>
      <c r="TXM331"/>
      <c r="TXN331"/>
      <c r="TXQ331"/>
      <c r="TXR331"/>
      <c r="TXU331"/>
      <c r="TXV331"/>
      <c r="TXY331"/>
      <c r="TXZ331"/>
      <c r="TYC331"/>
      <c r="TYD331"/>
      <c r="TYG331"/>
      <c r="TYH331"/>
      <c r="TYK331"/>
      <c r="TYL331"/>
      <c r="TYO331"/>
      <c r="TYP331"/>
      <c r="TYS331"/>
      <c r="TYT331"/>
      <c r="TYW331"/>
      <c r="TYX331"/>
      <c r="TZA331"/>
      <c r="TZB331"/>
      <c r="TZE331"/>
      <c r="TZF331"/>
      <c r="TZI331"/>
      <c r="TZJ331"/>
      <c r="TZM331"/>
      <c r="TZN331"/>
      <c r="TZQ331"/>
      <c r="TZR331"/>
      <c r="TZU331"/>
      <c r="TZV331"/>
      <c r="TZY331"/>
      <c r="TZZ331"/>
      <c r="UAC331"/>
      <c r="UAD331"/>
      <c r="UAG331"/>
      <c r="UAH331"/>
      <c r="UAK331"/>
      <c r="UAL331"/>
      <c r="UAO331"/>
      <c r="UAP331"/>
      <c r="UAS331"/>
      <c r="UAT331"/>
      <c r="UAW331"/>
      <c r="UAX331"/>
      <c r="UBA331"/>
      <c r="UBB331"/>
      <c r="UBE331"/>
      <c r="UBF331"/>
      <c r="UBI331"/>
      <c r="UBJ331"/>
      <c r="UBM331"/>
      <c r="UBN331"/>
      <c r="UBQ331"/>
      <c r="UBR331"/>
      <c r="UBU331"/>
      <c r="UBV331"/>
      <c r="UBY331"/>
      <c r="UBZ331"/>
      <c r="UCC331"/>
      <c r="UCD331"/>
      <c r="UCG331"/>
      <c r="UCH331"/>
      <c r="UCK331"/>
      <c r="UCL331"/>
      <c r="UCO331"/>
      <c r="UCP331"/>
      <c r="UCS331"/>
      <c r="UCT331"/>
      <c r="UCW331"/>
      <c r="UCX331"/>
      <c r="UDA331"/>
      <c r="UDB331"/>
      <c r="UDE331"/>
      <c r="UDF331"/>
      <c r="UDI331"/>
      <c r="UDJ331"/>
      <c r="UDM331"/>
      <c r="UDN331"/>
      <c r="UDQ331"/>
      <c r="UDR331"/>
      <c r="UDU331"/>
      <c r="UDV331"/>
      <c r="UDY331"/>
      <c r="UDZ331"/>
      <c r="UEC331"/>
      <c r="UED331"/>
      <c r="UEG331"/>
      <c r="UEH331"/>
      <c r="UEK331"/>
      <c r="UEL331"/>
      <c r="UEO331"/>
      <c r="UEP331"/>
      <c r="UES331"/>
      <c r="UET331"/>
      <c r="UEW331"/>
      <c r="UEX331"/>
      <c r="UFA331"/>
      <c r="UFB331"/>
      <c r="UFE331"/>
      <c r="UFF331"/>
      <c r="UFI331"/>
      <c r="UFJ331"/>
      <c r="UFM331"/>
      <c r="UFN331"/>
      <c r="UFQ331"/>
      <c r="UFR331"/>
      <c r="UFU331"/>
      <c r="UFV331"/>
      <c r="UFY331"/>
      <c r="UFZ331"/>
      <c r="UGC331"/>
      <c r="UGD331"/>
      <c r="UGG331"/>
      <c r="UGH331"/>
      <c r="UGK331"/>
      <c r="UGL331"/>
      <c r="UGO331"/>
      <c r="UGP331"/>
      <c r="UGS331"/>
      <c r="UGT331"/>
      <c r="UGW331"/>
      <c r="UGX331"/>
      <c r="UHA331"/>
      <c r="UHB331"/>
      <c r="UHE331"/>
      <c r="UHF331"/>
      <c r="UHI331"/>
      <c r="UHJ331"/>
      <c r="UHM331"/>
      <c r="UHN331"/>
      <c r="UHQ331"/>
      <c r="UHR331"/>
      <c r="UHU331"/>
      <c r="UHV331"/>
      <c r="UHY331"/>
      <c r="UHZ331"/>
      <c r="UIC331"/>
      <c r="UID331"/>
      <c r="UIG331"/>
      <c r="UIH331"/>
      <c r="UIK331"/>
      <c r="UIL331"/>
      <c r="UIO331"/>
      <c r="UIP331"/>
      <c r="UIS331"/>
      <c r="UIT331"/>
      <c r="UIW331"/>
      <c r="UIX331"/>
      <c r="UJA331"/>
      <c r="UJB331"/>
      <c r="UJE331"/>
      <c r="UJF331"/>
      <c r="UJI331"/>
      <c r="UJJ331"/>
      <c r="UJM331"/>
      <c r="UJN331"/>
      <c r="UJQ331"/>
      <c r="UJR331"/>
      <c r="UJU331"/>
      <c r="UJV331"/>
      <c r="UJY331"/>
      <c r="UJZ331"/>
      <c r="UKC331"/>
      <c r="UKD331"/>
      <c r="UKG331"/>
      <c r="UKH331"/>
      <c r="UKK331"/>
      <c r="UKL331"/>
      <c r="UKO331"/>
      <c r="UKP331"/>
      <c r="UKS331"/>
      <c r="UKT331"/>
      <c r="UKW331"/>
      <c r="UKX331"/>
      <c r="ULA331"/>
      <c r="ULB331"/>
      <c r="ULE331"/>
      <c r="ULF331"/>
      <c r="ULI331"/>
      <c r="ULJ331"/>
      <c r="ULM331"/>
      <c r="ULN331"/>
      <c r="ULQ331"/>
      <c r="ULR331"/>
      <c r="ULU331"/>
      <c r="ULV331"/>
      <c r="ULY331"/>
      <c r="ULZ331"/>
      <c r="UMC331"/>
      <c r="UMD331"/>
      <c r="UMG331"/>
      <c r="UMH331"/>
      <c r="UMK331"/>
      <c r="UML331"/>
      <c r="UMO331"/>
      <c r="UMP331"/>
      <c r="UMS331"/>
      <c r="UMT331"/>
      <c r="UMW331"/>
      <c r="UMX331"/>
      <c r="UNA331"/>
      <c r="UNB331"/>
      <c r="UNE331"/>
      <c r="UNF331"/>
      <c r="UNI331"/>
      <c r="UNJ331"/>
      <c r="UNM331"/>
      <c r="UNN331"/>
      <c r="UNQ331"/>
      <c r="UNR331"/>
      <c r="UNU331"/>
      <c r="UNV331"/>
      <c r="UNY331"/>
      <c r="UNZ331"/>
      <c r="UOC331"/>
      <c r="UOD331"/>
      <c r="UOG331"/>
      <c r="UOH331"/>
      <c r="UOK331"/>
      <c r="UOL331"/>
      <c r="UOO331"/>
      <c r="UOP331"/>
      <c r="UOS331"/>
      <c r="UOT331"/>
      <c r="UOW331"/>
      <c r="UOX331"/>
      <c r="UPA331"/>
      <c r="UPB331"/>
      <c r="UPE331"/>
      <c r="UPF331"/>
      <c r="UPI331"/>
      <c r="UPJ331"/>
      <c r="UPM331"/>
      <c r="UPN331"/>
      <c r="UPQ331"/>
      <c r="UPR331"/>
      <c r="UPU331"/>
      <c r="UPV331"/>
      <c r="UPY331"/>
      <c r="UPZ331"/>
      <c r="UQC331"/>
      <c r="UQD331"/>
      <c r="UQG331"/>
      <c r="UQH331"/>
      <c r="UQK331"/>
      <c r="UQL331"/>
      <c r="UQO331"/>
      <c r="UQP331"/>
      <c r="UQS331"/>
      <c r="UQT331"/>
      <c r="UQW331"/>
      <c r="UQX331"/>
      <c r="URA331"/>
      <c r="URB331"/>
      <c r="URE331"/>
      <c r="URF331"/>
      <c r="URI331"/>
      <c r="URJ331"/>
      <c r="URM331"/>
      <c r="URN331"/>
      <c r="URQ331"/>
      <c r="URR331"/>
      <c r="URU331"/>
      <c r="URV331"/>
      <c r="URY331"/>
      <c r="URZ331"/>
      <c r="USC331"/>
      <c r="USD331"/>
      <c r="USG331"/>
      <c r="USH331"/>
      <c r="USK331"/>
      <c r="USL331"/>
      <c r="USO331"/>
      <c r="USP331"/>
      <c r="USS331"/>
      <c r="UST331"/>
      <c r="USW331"/>
      <c r="USX331"/>
      <c r="UTA331"/>
      <c r="UTB331"/>
      <c r="UTE331"/>
      <c r="UTF331"/>
      <c r="UTI331"/>
      <c r="UTJ331"/>
      <c r="UTM331"/>
      <c r="UTN331"/>
      <c r="UTQ331"/>
      <c r="UTR331"/>
      <c r="UTU331"/>
      <c r="UTV331"/>
      <c r="UTY331"/>
      <c r="UTZ331"/>
      <c r="UUC331"/>
      <c r="UUD331"/>
      <c r="UUG331"/>
      <c r="UUH331"/>
      <c r="UUK331"/>
      <c r="UUL331"/>
      <c r="UUO331"/>
      <c r="UUP331"/>
      <c r="UUS331"/>
      <c r="UUT331"/>
      <c r="UUW331"/>
      <c r="UUX331"/>
      <c r="UVA331"/>
      <c r="UVB331"/>
      <c r="UVE331"/>
      <c r="UVF331"/>
      <c r="UVI331"/>
      <c r="UVJ331"/>
      <c r="UVM331"/>
      <c r="UVN331"/>
      <c r="UVQ331"/>
      <c r="UVR331"/>
      <c r="UVU331"/>
      <c r="UVV331"/>
      <c r="UVY331"/>
      <c r="UVZ331"/>
      <c r="UWC331"/>
      <c r="UWD331"/>
      <c r="UWG331"/>
      <c r="UWH331"/>
      <c r="UWK331"/>
      <c r="UWL331"/>
      <c r="UWO331"/>
      <c r="UWP331"/>
      <c r="UWS331"/>
      <c r="UWT331"/>
      <c r="UWW331"/>
      <c r="UWX331"/>
      <c r="UXA331"/>
      <c r="UXB331"/>
      <c r="UXE331"/>
      <c r="UXF331"/>
      <c r="UXI331"/>
      <c r="UXJ331"/>
      <c r="UXM331"/>
      <c r="UXN331"/>
      <c r="UXQ331"/>
      <c r="UXR331"/>
      <c r="UXU331"/>
      <c r="UXV331"/>
      <c r="UXY331"/>
      <c r="UXZ331"/>
      <c r="UYC331"/>
      <c r="UYD331"/>
      <c r="UYG331"/>
      <c r="UYH331"/>
      <c r="UYK331"/>
      <c r="UYL331"/>
      <c r="UYO331"/>
      <c r="UYP331"/>
      <c r="UYS331"/>
      <c r="UYT331"/>
      <c r="UYW331"/>
      <c r="UYX331"/>
      <c r="UZA331"/>
      <c r="UZB331"/>
      <c r="UZE331"/>
      <c r="UZF331"/>
      <c r="UZI331"/>
      <c r="UZJ331"/>
      <c r="UZM331"/>
      <c r="UZN331"/>
      <c r="UZQ331"/>
      <c r="UZR331"/>
      <c r="UZU331"/>
      <c r="UZV331"/>
      <c r="UZY331"/>
      <c r="UZZ331"/>
      <c r="VAC331"/>
      <c r="VAD331"/>
      <c r="VAG331"/>
      <c r="VAH331"/>
      <c r="VAK331"/>
      <c r="VAL331"/>
      <c r="VAO331"/>
      <c r="VAP331"/>
      <c r="VAS331"/>
      <c r="VAT331"/>
      <c r="VAW331"/>
      <c r="VAX331"/>
      <c r="VBA331"/>
      <c r="VBB331"/>
      <c r="VBE331"/>
      <c r="VBF331"/>
      <c r="VBI331"/>
      <c r="VBJ331"/>
      <c r="VBM331"/>
      <c r="VBN331"/>
      <c r="VBQ331"/>
      <c r="VBR331"/>
      <c r="VBU331"/>
      <c r="VBV331"/>
      <c r="VBY331"/>
      <c r="VBZ331"/>
      <c r="VCC331"/>
      <c r="VCD331"/>
      <c r="VCG331"/>
      <c r="VCH331"/>
      <c r="VCK331"/>
      <c r="VCL331"/>
      <c r="VCO331"/>
      <c r="VCP331"/>
      <c r="VCS331"/>
      <c r="VCT331"/>
      <c r="VCW331"/>
      <c r="VCX331"/>
      <c r="VDA331"/>
      <c r="VDB331"/>
      <c r="VDE331"/>
      <c r="VDF331"/>
      <c r="VDI331"/>
      <c r="VDJ331"/>
      <c r="VDM331"/>
      <c r="VDN331"/>
      <c r="VDQ331"/>
      <c r="VDR331"/>
      <c r="VDU331"/>
      <c r="VDV331"/>
      <c r="VDY331"/>
      <c r="VDZ331"/>
      <c r="VEC331"/>
      <c r="VED331"/>
      <c r="VEG331"/>
      <c r="VEH331"/>
      <c r="VEK331"/>
      <c r="VEL331"/>
      <c r="VEO331"/>
      <c r="VEP331"/>
      <c r="VES331"/>
      <c r="VET331"/>
      <c r="VEW331"/>
      <c r="VEX331"/>
      <c r="VFA331"/>
      <c r="VFB331"/>
      <c r="VFE331"/>
      <c r="VFF331"/>
      <c r="VFI331"/>
      <c r="VFJ331"/>
      <c r="VFM331"/>
      <c r="VFN331"/>
      <c r="VFQ331"/>
      <c r="VFR331"/>
      <c r="VFU331"/>
      <c r="VFV331"/>
      <c r="VFY331"/>
      <c r="VFZ331"/>
      <c r="VGC331"/>
      <c r="VGD331"/>
      <c r="VGG331"/>
      <c r="VGH331"/>
      <c r="VGK331"/>
      <c r="VGL331"/>
      <c r="VGO331"/>
      <c r="VGP331"/>
      <c r="VGS331"/>
      <c r="VGT331"/>
      <c r="VGW331"/>
      <c r="VGX331"/>
      <c r="VHA331"/>
      <c r="VHB331"/>
      <c r="VHE331"/>
      <c r="VHF331"/>
      <c r="VHI331"/>
      <c r="VHJ331"/>
      <c r="VHM331"/>
      <c r="VHN331"/>
      <c r="VHQ331"/>
      <c r="VHR331"/>
      <c r="VHU331"/>
      <c r="VHV331"/>
      <c r="VHY331"/>
      <c r="VHZ331"/>
      <c r="VIC331"/>
      <c r="VID331"/>
      <c r="VIG331"/>
      <c r="VIH331"/>
      <c r="VIK331"/>
      <c r="VIL331"/>
      <c r="VIO331"/>
      <c r="VIP331"/>
      <c r="VIS331"/>
      <c r="VIT331"/>
      <c r="VIW331"/>
      <c r="VIX331"/>
      <c r="VJA331"/>
      <c r="VJB331"/>
      <c r="VJE331"/>
      <c r="VJF331"/>
      <c r="VJI331"/>
      <c r="VJJ331"/>
      <c r="VJM331"/>
      <c r="VJN331"/>
      <c r="VJQ331"/>
      <c r="VJR331"/>
      <c r="VJU331"/>
      <c r="VJV331"/>
      <c r="VJY331"/>
      <c r="VJZ331"/>
      <c r="VKC331"/>
      <c r="VKD331"/>
      <c r="VKG331"/>
      <c r="VKH331"/>
      <c r="VKK331"/>
      <c r="VKL331"/>
      <c r="VKO331"/>
      <c r="VKP331"/>
      <c r="VKS331"/>
      <c r="VKT331"/>
      <c r="VKW331"/>
      <c r="VKX331"/>
      <c r="VLA331"/>
      <c r="VLB331"/>
      <c r="VLE331"/>
      <c r="VLF331"/>
      <c r="VLI331"/>
      <c r="VLJ331"/>
      <c r="VLM331"/>
      <c r="VLN331"/>
      <c r="VLQ331"/>
      <c r="VLR331"/>
      <c r="VLU331"/>
      <c r="VLV331"/>
      <c r="VLY331"/>
      <c r="VLZ331"/>
      <c r="VMC331"/>
      <c r="VMD331"/>
      <c r="VMG331"/>
      <c r="VMH331"/>
      <c r="VMK331"/>
      <c r="VML331"/>
      <c r="VMO331"/>
      <c r="VMP331"/>
      <c r="VMS331"/>
      <c r="VMT331"/>
      <c r="VMW331"/>
      <c r="VMX331"/>
      <c r="VNA331"/>
      <c r="VNB331"/>
      <c r="VNE331"/>
      <c r="VNF331"/>
      <c r="VNI331"/>
      <c r="VNJ331"/>
      <c r="VNM331"/>
      <c r="VNN331"/>
      <c r="VNQ331"/>
      <c r="VNR331"/>
      <c r="VNU331"/>
      <c r="VNV331"/>
      <c r="VNY331"/>
      <c r="VNZ331"/>
      <c r="VOC331"/>
      <c r="VOD331"/>
      <c r="VOG331"/>
      <c r="VOH331"/>
      <c r="VOK331"/>
      <c r="VOL331"/>
      <c r="VOO331"/>
      <c r="VOP331"/>
      <c r="VOS331"/>
      <c r="VOT331"/>
      <c r="VOW331"/>
      <c r="VOX331"/>
      <c r="VPA331"/>
      <c r="VPB331"/>
      <c r="VPE331"/>
      <c r="VPF331"/>
      <c r="VPI331"/>
      <c r="VPJ331"/>
      <c r="VPM331"/>
      <c r="VPN331"/>
      <c r="VPQ331"/>
      <c r="VPR331"/>
      <c r="VPU331"/>
      <c r="VPV331"/>
      <c r="VPY331"/>
      <c r="VPZ331"/>
      <c r="VQC331"/>
      <c r="VQD331"/>
      <c r="VQG331"/>
      <c r="VQH331"/>
      <c r="VQK331"/>
      <c r="VQL331"/>
      <c r="VQO331"/>
      <c r="VQP331"/>
      <c r="VQS331"/>
      <c r="VQT331"/>
      <c r="VQW331"/>
      <c r="VQX331"/>
      <c r="VRA331"/>
      <c r="VRB331"/>
      <c r="VRE331"/>
      <c r="VRF331"/>
      <c r="VRI331"/>
      <c r="VRJ331"/>
      <c r="VRM331"/>
      <c r="VRN331"/>
      <c r="VRQ331"/>
      <c r="VRR331"/>
      <c r="VRU331"/>
      <c r="VRV331"/>
      <c r="VRY331"/>
      <c r="VRZ331"/>
      <c r="VSC331"/>
      <c r="VSD331"/>
      <c r="VSG331"/>
      <c r="VSH331"/>
      <c r="VSK331"/>
      <c r="VSL331"/>
      <c r="VSO331"/>
      <c r="VSP331"/>
      <c r="VSS331"/>
      <c r="VST331"/>
      <c r="VSW331"/>
      <c r="VSX331"/>
      <c r="VTA331"/>
      <c r="VTB331"/>
      <c r="VTE331"/>
      <c r="VTF331"/>
      <c r="VTI331"/>
      <c r="VTJ331"/>
      <c r="VTM331"/>
      <c r="VTN331"/>
      <c r="VTQ331"/>
      <c r="VTR331"/>
      <c r="VTU331"/>
      <c r="VTV331"/>
      <c r="VTY331"/>
      <c r="VTZ331"/>
      <c r="VUC331"/>
      <c r="VUD331"/>
      <c r="VUG331"/>
      <c r="VUH331"/>
      <c r="VUK331"/>
      <c r="VUL331"/>
      <c r="VUO331"/>
      <c r="VUP331"/>
      <c r="VUS331"/>
      <c r="VUT331"/>
      <c r="VUW331"/>
      <c r="VUX331"/>
      <c r="VVA331"/>
      <c r="VVB331"/>
      <c r="VVE331"/>
      <c r="VVF331"/>
      <c r="VVI331"/>
      <c r="VVJ331"/>
      <c r="VVM331"/>
      <c r="VVN331"/>
      <c r="VVQ331"/>
      <c r="VVR331"/>
      <c r="VVU331"/>
      <c r="VVV331"/>
      <c r="VVY331"/>
      <c r="VVZ331"/>
      <c r="VWC331"/>
      <c r="VWD331"/>
      <c r="VWG331"/>
      <c r="VWH331"/>
      <c r="VWK331"/>
      <c r="VWL331"/>
      <c r="VWO331"/>
      <c r="VWP331"/>
      <c r="VWS331"/>
      <c r="VWT331"/>
      <c r="VWW331"/>
      <c r="VWX331"/>
      <c r="VXA331"/>
      <c r="VXB331"/>
      <c r="VXE331"/>
      <c r="VXF331"/>
      <c r="VXI331"/>
      <c r="VXJ331"/>
      <c r="VXM331"/>
      <c r="VXN331"/>
      <c r="VXQ331"/>
      <c r="VXR331"/>
      <c r="VXU331"/>
      <c r="VXV331"/>
      <c r="VXY331"/>
      <c r="VXZ331"/>
      <c r="VYC331"/>
      <c r="VYD331"/>
      <c r="VYG331"/>
      <c r="VYH331"/>
      <c r="VYK331"/>
      <c r="VYL331"/>
      <c r="VYO331"/>
      <c r="VYP331"/>
      <c r="VYS331"/>
      <c r="VYT331"/>
      <c r="VYW331"/>
      <c r="VYX331"/>
      <c r="VZA331"/>
      <c r="VZB331"/>
      <c r="VZE331"/>
      <c r="VZF331"/>
      <c r="VZI331"/>
      <c r="VZJ331"/>
      <c r="VZM331"/>
      <c r="VZN331"/>
      <c r="VZQ331"/>
      <c r="VZR331"/>
      <c r="VZU331"/>
      <c r="VZV331"/>
      <c r="VZY331"/>
      <c r="VZZ331"/>
      <c r="WAC331"/>
      <c r="WAD331"/>
      <c r="WAG331"/>
      <c r="WAH331"/>
      <c r="WAK331"/>
      <c r="WAL331"/>
      <c r="WAO331"/>
      <c r="WAP331"/>
      <c r="WAS331"/>
      <c r="WAT331"/>
      <c r="WAW331"/>
      <c r="WAX331"/>
      <c r="WBA331"/>
      <c r="WBB331"/>
      <c r="WBE331"/>
      <c r="WBF331"/>
      <c r="WBI331"/>
      <c r="WBJ331"/>
      <c r="WBM331"/>
      <c r="WBN331"/>
      <c r="WBQ331"/>
      <c r="WBR331"/>
      <c r="WBU331"/>
      <c r="WBV331"/>
      <c r="WBY331"/>
      <c r="WBZ331"/>
      <c r="WCC331"/>
      <c r="WCD331"/>
      <c r="WCG331"/>
      <c r="WCH331"/>
      <c r="WCK331"/>
      <c r="WCL331"/>
      <c r="WCO331"/>
      <c r="WCP331"/>
      <c r="WCS331"/>
      <c r="WCT331"/>
      <c r="WCW331"/>
      <c r="WCX331"/>
      <c r="WDA331"/>
      <c r="WDB331"/>
      <c r="WDE331"/>
      <c r="WDF331"/>
      <c r="WDI331"/>
      <c r="WDJ331"/>
      <c r="WDM331"/>
      <c r="WDN331"/>
      <c r="WDQ331"/>
      <c r="WDR331"/>
      <c r="WDU331"/>
      <c r="WDV331"/>
      <c r="WDY331"/>
      <c r="WDZ331"/>
      <c r="WEC331"/>
      <c r="WED331"/>
      <c r="WEG331"/>
      <c r="WEH331"/>
      <c r="WEK331"/>
      <c r="WEL331"/>
      <c r="WEO331"/>
      <c r="WEP331"/>
      <c r="WES331"/>
      <c r="WET331"/>
      <c r="WEW331"/>
      <c r="WEX331"/>
      <c r="WFA331"/>
      <c r="WFB331"/>
      <c r="WFE331"/>
      <c r="WFF331"/>
      <c r="WFI331"/>
      <c r="WFJ331"/>
      <c r="WFM331"/>
      <c r="WFN331"/>
      <c r="WFQ331"/>
      <c r="WFR331"/>
      <c r="WFU331"/>
      <c r="WFV331"/>
      <c r="WFY331"/>
      <c r="WFZ331"/>
      <c r="WGC331"/>
      <c r="WGD331"/>
      <c r="WGG331"/>
      <c r="WGH331"/>
      <c r="WGK331"/>
      <c r="WGL331"/>
      <c r="WGO331"/>
      <c r="WGP331"/>
      <c r="WGS331"/>
      <c r="WGT331"/>
      <c r="WGW331"/>
      <c r="WGX331"/>
      <c r="WHA331"/>
      <c r="WHB331"/>
      <c r="WHE331"/>
      <c r="WHF331"/>
      <c r="WHI331"/>
      <c r="WHJ331"/>
      <c r="WHM331"/>
      <c r="WHN331"/>
      <c r="WHQ331"/>
      <c r="WHR331"/>
      <c r="WHU331"/>
      <c r="WHV331"/>
      <c r="WHY331"/>
      <c r="WHZ331"/>
      <c r="WIC331"/>
      <c r="WID331"/>
      <c r="WIG331"/>
      <c r="WIH331"/>
      <c r="WIK331"/>
      <c r="WIL331"/>
      <c r="WIO331"/>
      <c r="WIP331"/>
      <c r="WIS331"/>
      <c r="WIT331"/>
      <c r="WIW331"/>
      <c r="WIX331"/>
      <c r="WJA331"/>
      <c r="WJB331"/>
      <c r="WJE331"/>
      <c r="WJF331"/>
      <c r="WJI331"/>
      <c r="WJJ331"/>
      <c r="WJM331"/>
      <c r="WJN331"/>
      <c r="WJQ331"/>
      <c r="WJR331"/>
      <c r="WJU331"/>
      <c r="WJV331"/>
      <c r="WJY331"/>
      <c r="WJZ331"/>
      <c r="WKC331"/>
      <c r="WKD331"/>
      <c r="WKG331"/>
      <c r="WKH331"/>
      <c r="WKK331"/>
      <c r="WKL331"/>
      <c r="WKO331"/>
      <c r="WKP331"/>
      <c r="WKS331"/>
      <c r="WKT331"/>
      <c r="WKW331"/>
      <c r="WKX331"/>
      <c r="WLA331"/>
      <c r="WLB331"/>
      <c r="WLE331"/>
      <c r="WLF331"/>
      <c r="WLI331"/>
      <c r="WLJ331"/>
      <c r="WLM331"/>
      <c r="WLN331"/>
      <c r="WLQ331"/>
      <c r="WLR331"/>
      <c r="WLU331"/>
      <c r="WLV331"/>
      <c r="WLY331"/>
      <c r="WLZ331"/>
      <c r="WMC331"/>
      <c r="WMD331"/>
      <c r="WMG331"/>
      <c r="WMH331"/>
      <c r="WMK331"/>
      <c r="WML331"/>
      <c r="WMO331"/>
      <c r="WMP331"/>
      <c r="WMS331"/>
      <c r="WMT331"/>
      <c r="WMW331"/>
      <c r="WMX331"/>
      <c r="WNA331"/>
      <c r="WNB331"/>
      <c r="WNE331"/>
      <c r="WNF331"/>
      <c r="WNI331"/>
      <c r="WNJ331"/>
      <c r="WNM331"/>
      <c r="WNN331"/>
      <c r="WNQ331"/>
      <c r="WNR331"/>
      <c r="WNU331"/>
      <c r="WNV331"/>
      <c r="WNY331"/>
      <c r="WNZ331"/>
      <c r="WOC331"/>
      <c r="WOD331"/>
      <c r="WOG331"/>
      <c r="WOH331"/>
      <c r="WOK331"/>
      <c r="WOL331"/>
      <c r="WOO331"/>
      <c r="WOP331"/>
      <c r="WOS331"/>
      <c r="WOT331"/>
      <c r="WOW331"/>
      <c r="WOX331"/>
      <c r="WPA331"/>
      <c r="WPB331"/>
      <c r="WPE331"/>
      <c r="WPF331"/>
      <c r="WPI331"/>
      <c r="WPJ331"/>
      <c r="WPM331"/>
      <c r="WPN331"/>
      <c r="WPQ331"/>
      <c r="WPR331"/>
      <c r="WPU331"/>
      <c r="WPV331"/>
      <c r="WPY331"/>
      <c r="WPZ331"/>
      <c r="WQC331"/>
      <c r="WQD331"/>
      <c r="WQG331"/>
      <c r="WQH331"/>
      <c r="WQK331"/>
      <c r="WQL331"/>
      <c r="WQO331"/>
      <c r="WQP331"/>
      <c r="WQS331"/>
      <c r="WQT331"/>
      <c r="WQW331"/>
      <c r="WQX331"/>
      <c r="WRA331"/>
      <c r="WRB331"/>
      <c r="WRE331"/>
      <c r="WRF331"/>
      <c r="WRI331"/>
      <c r="WRJ331"/>
      <c r="WRM331"/>
      <c r="WRN331"/>
      <c r="WRQ331"/>
      <c r="WRR331"/>
      <c r="WRU331"/>
      <c r="WRV331"/>
      <c r="WRY331"/>
      <c r="WRZ331"/>
      <c r="WSC331"/>
      <c r="WSD331"/>
      <c r="WSG331"/>
      <c r="WSH331"/>
      <c r="WSK331"/>
      <c r="WSL331"/>
      <c r="WSO331"/>
      <c r="WSP331"/>
      <c r="WSS331"/>
      <c r="WST331"/>
      <c r="WSW331"/>
      <c r="WSX331"/>
      <c r="WTA331"/>
      <c r="WTB331"/>
      <c r="WTE331"/>
      <c r="WTF331"/>
      <c r="WTI331"/>
      <c r="WTJ331"/>
      <c r="WTM331"/>
      <c r="WTN331"/>
      <c r="WTQ331"/>
      <c r="WTR331"/>
      <c r="WTU331"/>
      <c r="WTV331"/>
      <c r="WTY331"/>
      <c r="WTZ331"/>
      <c r="WUC331"/>
      <c r="WUD331"/>
      <c r="WUG331"/>
      <c r="WUH331"/>
      <c r="WUK331"/>
      <c r="WUL331"/>
      <c r="WUO331"/>
      <c r="WUP331"/>
      <c r="WUS331"/>
      <c r="WUT331"/>
      <c r="WUW331"/>
      <c r="WUX331"/>
      <c r="WVA331"/>
      <c r="WVB331"/>
      <c r="WVE331"/>
      <c r="WVF331"/>
      <c r="WVI331"/>
      <c r="WVJ331"/>
      <c r="WVM331"/>
      <c r="WVN331"/>
      <c r="WVQ331"/>
      <c r="WVR331"/>
      <c r="WVU331"/>
      <c r="WVV331"/>
      <c r="WVY331"/>
      <c r="WVZ331"/>
      <c r="WWC331"/>
      <c r="WWD331"/>
      <c r="WWG331"/>
      <c r="WWH331"/>
      <c r="WWK331"/>
      <c r="WWL331"/>
      <c r="WWO331"/>
      <c r="WWP331"/>
      <c r="WWS331"/>
      <c r="WWT331"/>
      <c r="WWW331"/>
      <c r="WWX331"/>
      <c r="WXA331"/>
      <c r="WXB331"/>
      <c r="WXE331"/>
      <c r="WXF331"/>
      <c r="WXI331"/>
      <c r="WXJ331"/>
      <c r="WXM331"/>
      <c r="WXN331"/>
      <c r="WXQ331"/>
      <c r="WXR331"/>
      <c r="WXU331"/>
      <c r="WXV331"/>
      <c r="WXY331"/>
      <c r="WXZ331"/>
      <c r="WYC331"/>
      <c r="WYD331"/>
      <c r="WYG331"/>
      <c r="WYH331"/>
      <c r="WYK331"/>
      <c r="WYL331"/>
      <c r="WYO331"/>
      <c r="WYP331"/>
      <c r="WYS331"/>
      <c r="WYT331"/>
      <c r="WYW331"/>
      <c r="WYX331"/>
      <c r="WZA331"/>
      <c r="WZB331"/>
      <c r="WZE331"/>
      <c r="WZF331"/>
      <c r="WZI331"/>
      <c r="WZJ331"/>
      <c r="WZM331"/>
      <c r="WZN331"/>
      <c r="WZQ331"/>
      <c r="WZR331"/>
      <c r="WZU331"/>
      <c r="WZV331"/>
      <c r="WZY331"/>
      <c r="WZZ331"/>
      <c r="XAC331"/>
      <c r="XAD331"/>
      <c r="XAG331"/>
      <c r="XAH331"/>
      <c r="XAK331"/>
      <c r="XAL331"/>
      <c r="XAO331"/>
      <c r="XAP331"/>
      <c r="XAS331"/>
      <c r="XAT331"/>
      <c r="XAW331"/>
      <c r="XAX331"/>
      <c r="XBA331"/>
      <c r="XBB331"/>
      <c r="XBE331"/>
      <c r="XBF331"/>
      <c r="XBI331"/>
      <c r="XBJ331"/>
      <c r="XBM331"/>
      <c r="XBN331"/>
      <c r="XBQ331"/>
      <c r="XBR331"/>
      <c r="XBU331"/>
      <c r="XBV331"/>
      <c r="XBY331"/>
      <c r="XBZ331"/>
      <c r="XCC331"/>
      <c r="XCD331"/>
      <c r="XCG331"/>
      <c r="XCH331"/>
      <c r="XCK331"/>
      <c r="XCL331"/>
      <c r="XCO331"/>
      <c r="XCP331"/>
      <c r="XCS331"/>
      <c r="XCT331"/>
      <c r="XCW331"/>
      <c r="XCX331"/>
      <c r="XDA331"/>
      <c r="XDB331"/>
      <c r="XDE331"/>
      <c r="XDF331"/>
      <c r="XDI331"/>
      <c r="XDJ331"/>
      <c r="XDM331"/>
      <c r="XDN331"/>
      <c r="XDQ331"/>
      <c r="XDR331"/>
      <c r="XDU331"/>
      <c r="XDV331"/>
      <c r="XDY331"/>
      <c r="XDZ331"/>
      <c r="XEC331"/>
      <c r="XED331"/>
      <c r="XEG331"/>
      <c r="XEH331"/>
      <c r="XEK331"/>
      <c r="XEL331"/>
      <c r="XEO331"/>
      <c r="XEP331"/>
      <c r="XES331"/>
      <c r="XET331"/>
      <c r="XEW331"/>
      <c r="XEX331"/>
      <c r="XFA331"/>
      <c r="XFB331"/>
    </row>
    <row r="332" spans="1:1022 1025:2046 2049:3070 3073:4094 4097:5118 5121:6142 6145:7166 7169:8190 8193:9214 9217:10238 10241:11262 11265:12286 12289:13310 13313:14334 14337:15358 15361:16382" s="13" customFormat="1" outlineLevel="1" x14ac:dyDescent="0.3">
      <c r="A332" t="s">
        <v>1214</v>
      </c>
      <c r="B332" t="s">
        <v>168</v>
      </c>
      <c r="C332" s="13" t="s">
        <v>9</v>
      </c>
      <c r="D332" s="13" t="s">
        <v>1215</v>
      </c>
      <c r="E332" t="s">
        <v>5964</v>
      </c>
      <c r="F332"/>
      <c r="I332"/>
      <c r="J332" t="s">
        <v>6842</v>
      </c>
      <c r="K332" t="s">
        <v>6839</v>
      </c>
      <c r="M332"/>
      <c r="N332"/>
      <c r="Q332"/>
      <c r="R332"/>
      <c r="U332"/>
      <c r="V332"/>
      <c r="Y332"/>
      <c r="Z332"/>
      <c r="AC332"/>
      <c r="AD332"/>
      <c r="AG332"/>
      <c r="AH332"/>
      <c r="AK332"/>
      <c r="AL332"/>
      <c r="AO332"/>
      <c r="AP332"/>
      <c r="AS332"/>
      <c r="AT332"/>
      <c r="AW332"/>
      <c r="AX332"/>
      <c r="BA332"/>
      <c r="BB332"/>
      <c r="BE332"/>
      <c r="BF332"/>
      <c r="BI332"/>
      <c r="BJ332"/>
      <c r="BM332"/>
      <c r="BN332"/>
      <c r="BQ332"/>
      <c r="BR332"/>
      <c r="BU332"/>
      <c r="BV332"/>
      <c r="BY332"/>
      <c r="BZ332"/>
      <c r="CC332"/>
      <c r="CD332"/>
      <c r="CG332"/>
      <c r="CH332"/>
      <c r="CK332"/>
      <c r="CL332"/>
      <c r="CO332"/>
      <c r="CP332"/>
      <c r="CS332"/>
      <c r="CT332"/>
      <c r="CW332"/>
      <c r="CX332"/>
      <c r="DA332"/>
      <c r="DB332"/>
      <c r="DE332"/>
      <c r="DF332"/>
      <c r="DI332"/>
      <c r="DJ332"/>
      <c r="DM332"/>
      <c r="DN332"/>
      <c r="DQ332"/>
      <c r="DR332"/>
      <c r="DU332"/>
      <c r="DV332"/>
      <c r="DY332"/>
      <c r="DZ332"/>
      <c r="EC332"/>
      <c r="ED332"/>
      <c r="EG332"/>
      <c r="EH332"/>
      <c r="EK332"/>
      <c r="EL332"/>
      <c r="EO332"/>
      <c r="EP332"/>
      <c r="ES332"/>
      <c r="ET332"/>
      <c r="EW332"/>
      <c r="EX332"/>
      <c r="FA332"/>
      <c r="FB332"/>
      <c r="FE332"/>
      <c r="FF332"/>
      <c r="FI332"/>
      <c r="FJ332"/>
      <c r="FM332"/>
      <c r="FN332"/>
      <c r="FQ332"/>
      <c r="FR332"/>
      <c r="FU332"/>
      <c r="FV332"/>
      <c r="FY332"/>
      <c r="FZ332"/>
      <c r="GC332"/>
      <c r="GD332"/>
      <c r="GG332"/>
      <c r="GH332"/>
      <c r="GK332"/>
      <c r="GL332"/>
      <c r="GO332"/>
      <c r="GP332"/>
      <c r="GS332"/>
      <c r="GT332"/>
      <c r="GW332"/>
      <c r="GX332"/>
      <c r="HA332"/>
      <c r="HB332"/>
      <c r="HE332"/>
      <c r="HF332"/>
      <c r="HI332"/>
      <c r="HJ332"/>
      <c r="HM332"/>
      <c r="HN332"/>
      <c r="HQ332"/>
      <c r="HR332"/>
      <c r="HU332"/>
      <c r="HV332"/>
      <c r="HY332"/>
      <c r="HZ332"/>
      <c r="IC332"/>
      <c r="ID332"/>
      <c r="IG332"/>
      <c r="IH332"/>
      <c r="IK332"/>
      <c r="IL332"/>
      <c r="IO332"/>
      <c r="IP332"/>
      <c r="IS332"/>
      <c r="IT332"/>
      <c r="IW332"/>
      <c r="IX332"/>
      <c r="JA332"/>
      <c r="JB332"/>
      <c r="JE332"/>
      <c r="JF332"/>
      <c r="JI332"/>
      <c r="JJ332"/>
      <c r="JM332"/>
      <c r="JN332"/>
      <c r="JQ332"/>
      <c r="JR332"/>
      <c r="JU332"/>
      <c r="JV332"/>
      <c r="JY332"/>
      <c r="JZ332"/>
      <c r="KC332"/>
      <c r="KD332"/>
      <c r="KG332"/>
      <c r="KH332"/>
      <c r="KK332"/>
      <c r="KL332"/>
      <c r="KO332"/>
      <c r="KP332"/>
      <c r="KS332"/>
      <c r="KT332"/>
      <c r="KW332"/>
      <c r="KX332"/>
      <c r="LA332"/>
      <c r="LB332"/>
      <c r="LE332"/>
      <c r="LF332"/>
      <c r="LI332"/>
      <c r="LJ332"/>
      <c r="LM332"/>
      <c r="LN332"/>
      <c r="LQ332"/>
      <c r="LR332"/>
      <c r="LU332"/>
      <c r="LV332"/>
      <c r="LY332"/>
      <c r="LZ332"/>
      <c r="MC332"/>
      <c r="MD332"/>
      <c r="MG332"/>
      <c r="MH332"/>
      <c r="MK332"/>
      <c r="ML332"/>
      <c r="MO332"/>
      <c r="MP332"/>
      <c r="MS332"/>
      <c r="MT332"/>
      <c r="MW332"/>
      <c r="MX332"/>
      <c r="NA332"/>
      <c r="NB332"/>
      <c r="NE332"/>
      <c r="NF332"/>
      <c r="NI332"/>
      <c r="NJ332"/>
      <c r="NM332"/>
      <c r="NN332"/>
      <c r="NQ332"/>
      <c r="NR332"/>
      <c r="NU332"/>
      <c r="NV332"/>
      <c r="NY332"/>
      <c r="NZ332"/>
      <c r="OC332"/>
      <c r="OD332"/>
      <c r="OG332"/>
      <c r="OH332"/>
      <c r="OK332"/>
      <c r="OL332"/>
      <c r="OO332"/>
      <c r="OP332"/>
      <c r="OS332"/>
      <c r="OT332"/>
      <c r="OW332"/>
      <c r="OX332"/>
      <c r="PA332"/>
      <c r="PB332"/>
      <c r="PE332"/>
      <c r="PF332"/>
      <c r="PI332"/>
      <c r="PJ332"/>
      <c r="PM332"/>
      <c r="PN332"/>
      <c r="PQ332"/>
      <c r="PR332"/>
      <c r="PU332"/>
      <c r="PV332"/>
      <c r="PY332"/>
      <c r="PZ332"/>
      <c r="QC332"/>
      <c r="QD332"/>
      <c r="QG332"/>
      <c r="QH332"/>
      <c r="QK332"/>
      <c r="QL332"/>
      <c r="QO332"/>
      <c r="QP332"/>
      <c r="QS332"/>
      <c r="QT332"/>
      <c r="QW332"/>
      <c r="QX332"/>
      <c r="RA332"/>
      <c r="RB332"/>
      <c r="RE332"/>
      <c r="RF332"/>
      <c r="RI332"/>
      <c r="RJ332"/>
      <c r="RM332"/>
      <c r="RN332"/>
      <c r="RQ332"/>
      <c r="RR332"/>
      <c r="RU332"/>
      <c r="RV332"/>
      <c r="RY332"/>
      <c r="RZ332"/>
      <c r="SC332"/>
      <c r="SD332"/>
      <c r="SG332"/>
      <c r="SH332"/>
      <c r="SK332"/>
      <c r="SL332"/>
      <c r="SO332"/>
      <c r="SP332"/>
      <c r="SS332"/>
      <c r="ST332"/>
      <c r="SW332"/>
      <c r="SX332"/>
      <c r="TA332"/>
      <c r="TB332"/>
      <c r="TE332"/>
      <c r="TF332"/>
      <c r="TI332"/>
      <c r="TJ332"/>
      <c r="TM332"/>
      <c r="TN332"/>
      <c r="TQ332"/>
      <c r="TR332"/>
      <c r="TU332"/>
      <c r="TV332"/>
      <c r="TY332"/>
      <c r="TZ332"/>
      <c r="UC332"/>
      <c r="UD332"/>
      <c r="UG332"/>
      <c r="UH332"/>
      <c r="UK332"/>
      <c r="UL332"/>
      <c r="UO332"/>
      <c r="UP332"/>
      <c r="US332"/>
      <c r="UT332"/>
      <c r="UW332"/>
      <c r="UX332"/>
      <c r="VA332"/>
      <c r="VB332"/>
      <c r="VE332"/>
      <c r="VF332"/>
      <c r="VI332"/>
      <c r="VJ332"/>
      <c r="VM332"/>
      <c r="VN332"/>
      <c r="VQ332"/>
      <c r="VR332"/>
      <c r="VU332"/>
      <c r="VV332"/>
      <c r="VY332"/>
      <c r="VZ332"/>
      <c r="WC332"/>
      <c r="WD332"/>
      <c r="WG332"/>
      <c r="WH332"/>
      <c r="WK332"/>
      <c r="WL332"/>
      <c r="WO332"/>
      <c r="WP332"/>
      <c r="WS332"/>
      <c r="WT332"/>
      <c r="WW332"/>
      <c r="WX332"/>
      <c r="XA332"/>
      <c r="XB332"/>
      <c r="XE332"/>
      <c r="XF332"/>
      <c r="XI332"/>
      <c r="XJ332"/>
      <c r="XM332"/>
      <c r="XN332"/>
      <c r="XQ332"/>
      <c r="XR332"/>
      <c r="XU332"/>
      <c r="XV332"/>
      <c r="XY332"/>
      <c r="XZ332"/>
      <c r="YC332"/>
      <c r="YD332"/>
      <c r="YG332"/>
      <c r="YH332"/>
      <c r="YK332"/>
      <c r="YL332"/>
      <c r="YO332"/>
      <c r="YP332"/>
      <c r="YS332"/>
      <c r="YT332"/>
      <c r="YW332"/>
      <c r="YX332"/>
      <c r="ZA332"/>
      <c r="ZB332"/>
      <c r="ZE332"/>
      <c r="ZF332"/>
      <c r="ZI332"/>
      <c r="ZJ332"/>
      <c r="ZM332"/>
      <c r="ZN332"/>
      <c r="ZQ332"/>
      <c r="ZR332"/>
      <c r="ZU332"/>
      <c r="ZV332"/>
      <c r="ZY332"/>
      <c r="ZZ332"/>
      <c r="AAC332"/>
      <c r="AAD332"/>
      <c r="AAG332"/>
      <c r="AAH332"/>
      <c r="AAK332"/>
      <c r="AAL332"/>
      <c r="AAO332"/>
      <c r="AAP332"/>
      <c r="AAS332"/>
      <c r="AAT332"/>
      <c r="AAW332"/>
      <c r="AAX332"/>
      <c r="ABA332"/>
      <c r="ABB332"/>
      <c r="ABE332"/>
      <c r="ABF332"/>
      <c r="ABI332"/>
      <c r="ABJ332"/>
      <c r="ABM332"/>
      <c r="ABN332"/>
      <c r="ABQ332"/>
      <c r="ABR332"/>
      <c r="ABU332"/>
      <c r="ABV332"/>
      <c r="ABY332"/>
      <c r="ABZ332"/>
      <c r="ACC332"/>
      <c r="ACD332"/>
      <c r="ACG332"/>
      <c r="ACH332"/>
      <c r="ACK332"/>
      <c r="ACL332"/>
      <c r="ACO332"/>
      <c r="ACP332"/>
      <c r="ACS332"/>
      <c r="ACT332"/>
      <c r="ACW332"/>
      <c r="ACX332"/>
      <c r="ADA332"/>
      <c r="ADB332"/>
      <c r="ADE332"/>
      <c r="ADF332"/>
      <c r="ADI332"/>
      <c r="ADJ332"/>
      <c r="ADM332"/>
      <c r="ADN332"/>
      <c r="ADQ332"/>
      <c r="ADR332"/>
      <c r="ADU332"/>
      <c r="ADV332"/>
      <c r="ADY332"/>
      <c r="ADZ332"/>
      <c r="AEC332"/>
      <c r="AED332"/>
      <c r="AEG332"/>
      <c r="AEH332"/>
      <c r="AEK332"/>
      <c r="AEL332"/>
      <c r="AEO332"/>
      <c r="AEP332"/>
      <c r="AES332"/>
      <c r="AET332"/>
      <c r="AEW332"/>
      <c r="AEX332"/>
      <c r="AFA332"/>
      <c r="AFB332"/>
      <c r="AFE332"/>
      <c r="AFF332"/>
      <c r="AFI332"/>
      <c r="AFJ332"/>
      <c r="AFM332"/>
      <c r="AFN332"/>
      <c r="AFQ332"/>
      <c r="AFR332"/>
      <c r="AFU332"/>
      <c r="AFV332"/>
      <c r="AFY332"/>
      <c r="AFZ332"/>
      <c r="AGC332"/>
      <c r="AGD332"/>
      <c r="AGG332"/>
      <c r="AGH332"/>
      <c r="AGK332"/>
      <c r="AGL332"/>
      <c r="AGO332"/>
      <c r="AGP332"/>
      <c r="AGS332"/>
      <c r="AGT332"/>
      <c r="AGW332"/>
      <c r="AGX332"/>
      <c r="AHA332"/>
      <c r="AHB332"/>
      <c r="AHE332"/>
      <c r="AHF332"/>
      <c r="AHI332"/>
      <c r="AHJ332"/>
      <c r="AHM332"/>
      <c r="AHN332"/>
      <c r="AHQ332"/>
      <c r="AHR332"/>
      <c r="AHU332"/>
      <c r="AHV332"/>
      <c r="AHY332"/>
      <c r="AHZ332"/>
      <c r="AIC332"/>
      <c r="AID332"/>
      <c r="AIG332"/>
      <c r="AIH332"/>
      <c r="AIK332"/>
      <c r="AIL332"/>
      <c r="AIO332"/>
      <c r="AIP332"/>
      <c r="AIS332"/>
      <c r="AIT332"/>
      <c r="AIW332"/>
      <c r="AIX332"/>
      <c r="AJA332"/>
      <c r="AJB332"/>
      <c r="AJE332"/>
      <c r="AJF332"/>
      <c r="AJI332"/>
      <c r="AJJ332"/>
      <c r="AJM332"/>
      <c r="AJN332"/>
      <c r="AJQ332"/>
      <c r="AJR332"/>
      <c r="AJU332"/>
      <c r="AJV332"/>
      <c r="AJY332"/>
      <c r="AJZ332"/>
      <c r="AKC332"/>
      <c r="AKD332"/>
      <c r="AKG332"/>
      <c r="AKH332"/>
      <c r="AKK332"/>
      <c r="AKL332"/>
      <c r="AKO332"/>
      <c r="AKP332"/>
      <c r="AKS332"/>
      <c r="AKT332"/>
      <c r="AKW332"/>
      <c r="AKX332"/>
      <c r="ALA332"/>
      <c r="ALB332"/>
      <c r="ALE332"/>
      <c r="ALF332"/>
      <c r="ALI332"/>
      <c r="ALJ332"/>
      <c r="ALM332"/>
      <c r="ALN332"/>
      <c r="ALQ332"/>
      <c r="ALR332"/>
      <c r="ALU332"/>
      <c r="ALV332"/>
      <c r="ALY332"/>
      <c r="ALZ332"/>
      <c r="AMC332"/>
      <c r="AMD332"/>
      <c r="AMG332"/>
      <c r="AMH332"/>
      <c r="AMK332"/>
      <c r="AML332"/>
      <c r="AMO332"/>
      <c r="AMP332"/>
      <c r="AMS332"/>
      <c r="AMT332"/>
      <c r="AMW332"/>
      <c r="AMX332"/>
      <c r="ANA332"/>
      <c r="ANB332"/>
      <c r="ANE332"/>
      <c r="ANF332"/>
      <c r="ANI332"/>
      <c r="ANJ332"/>
      <c r="ANM332"/>
      <c r="ANN332"/>
      <c r="ANQ332"/>
      <c r="ANR332"/>
      <c r="ANU332"/>
      <c r="ANV332"/>
      <c r="ANY332"/>
      <c r="ANZ332"/>
      <c r="AOC332"/>
      <c r="AOD332"/>
      <c r="AOG332"/>
      <c r="AOH332"/>
      <c r="AOK332"/>
      <c r="AOL332"/>
      <c r="AOO332"/>
      <c r="AOP332"/>
      <c r="AOS332"/>
      <c r="AOT332"/>
      <c r="AOW332"/>
      <c r="AOX332"/>
      <c r="APA332"/>
      <c r="APB332"/>
      <c r="APE332"/>
      <c r="APF332"/>
      <c r="API332"/>
      <c r="APJ332"/>
      <c r="APM332"/>
      <c r="APN332"/>
      <c r="APQ332"/>
      <c r="APR332"/>
      <c r="APU332"/>
      <c r="APV332"/>
      <c r="APY332"/>
      <c r="APZ332"/>
      <c r="AQC332"/>
      <c r="AQD332"/>
      <c r="AQG332"/>
      <c r="AQH332"/>
      <c r="AQK332"/>
      <c r="AQL332"/>
      <c r="AQO332"/>
      <c r="AQP332"/>
      <c r="AQS332"/>
      <c r="AQT332"/>
      <c r="AQW332"/>
      <c r="AQX332"/>
      <c r="ARA332"/>
      <c r="ARB332"/>
      <c r="ARE332"/>
      <c r="ARF332"/>
      <c r="ARI332"/>
      <c r="ARJ332"/>
      <c r="ARM332"/>
      <c r="ARN332"/>
      <c r="ARQ332"/>
      <c r="ARR332"/>
      <c r="ARU332"/>
      <c r="ARV332"/>
      <c r="ARY332"/>
      <c r="ARZ332"/>
      <c r="ASC332"/>
      <c r="ASD332"/>
      <c r="ASG332"/>
      <c r="ASH332"/>
      <c r="ASK332"/>
      <c r="ASL332"/>
      <c r="ASO332"/>
      <c r="ASP332"/>
      <c r="ASS332"/>
      <c r="AST332"/>
      <c r="ASW332"/>
      <c r="ASX332"/>
      <c r="ATA332"/>
      <c r="ATB332"/>
      <c r="ATE332"/>
      <c r="ATF332"/>
      <c r="ATI332"/>
      <c r="ATJ332"/>
      <c r="ATM332"/>
      <c r="ATN332"/>
      <c r="ATQ332"/>
      <c r="ATR332"/>
      <c r="ATU332"/>
      <c r="ATV332"/>
      <c r="ATY332"/>
      <c r="ATZ332"/>
      <c r="AUC332"/>
      <c r="AUD332"/>
      <c r="AUG332"/>
      <c r="AUH332"/>
      <c r="AUK332"/>
      <c r="AUL332"/>
      <c r="AUO332"/>
      <c r="AUP332"/>
      <c r="AUS332"/>
      <c r="AUT332"/>
      <c r="AUW332"/>
      <c r="AUX332"/>
      <c r="AVA332"/>
      <c r="AVB332"/>
      <c r="AVE332"/>
      <c r="AVF332"/>
      <c r="AVI332"/>
      <c r="AVJ332"/>
      <c r="AVM332"/>
      <c r="AVN332"/>
      <c r="AVQ332"/>
      <c r="AVR332"/>
      <c r="AVU332"/>
      <c r="AVV332"/>
      <c r="AVY332"/>
      <c r="AVZ332"/>
      <c r="AWC332"/>
      <c r="AWD332"/>
      <c r="AWG332"/>
      <c r="AWH332"/>
      <c r="AWK332"/>
      <c r="AWL332"/>
      <c r="AWO332"/>
      <c r="AWP332"/>
      <c r="AWS332"/>
      <c r="AWT332"/>
      <c r="AWW332"/>
      <c r="AWX332"/>
      <c r="AXA332"/>
      <c r="AXB332"/>
      <c r="AXE332"/>
      <c r="AXF332"/>
      <c r="AXI332"/>
      <c r="AXJ332"/>
      <c r="AXM332"/>
      <c r="AXN332"/>
      <c r="AXQ332"/>
      <c r="AXR332"/>
      <c r="AXU332"/>
      <c r="AXV332"/>
      <c r="AXY332"/>
      <c r="AXZ332"/>
      <c r="AYC332"/>
      <c r="AYD332"/>
      <c r="AYG332"/>
      <c r="AYH332"/>
      <c r="AYK332"/>
      <c r="AYL332"/>
      <c r="AYO332"/>
      <c r="AYP332"/>
      <c r="AYS332"/>
      <c r="AYT332"/>
      <c r="AYW332"/>
      <c r="AYX332"/>
      <c r="AZA332"/>
      <c r="AZB332"/>
      <c r="AZE332"/>
      <c r="AZF332"/>
      <c r="AZI332"/>
      <c r="AZJ332"/>
      <c r="AZM332"/>
      <c r="AZN332"/>
      <c r="AZQ332"/>
      <c r="AZR332"/>
      <c r="AZU332"/>
      <c r="AZV332"/>
      <c r="AZY332"/>
      <c r="AZZ332"/>
      <c r="BAC332"/>
      <c r="BAD332"/>
      <c r="BAG332"/>
      <c r="BAH332"/>
      <c r="BAK332"/>
      <c r="BAL332"/>
      <c r="BAO332"/>
      <c r="BAP332"/>
      <c r="BAS332"/>
      <c r="BAT332"/>
      <c r="BAW332"/>
      <c r="BAX332"/>
      <c r="BBA332"/>
      <c r="BBB332"/>
      <c r="BBE332"/>
      <c r="BBF332"/>
      <c r="BBI332"/>
      <c r="BBJ332"/>
      <c r="BBM332"/>
      <c r="BBN332"/>
      <c r="BBQ332"/>
      <c r="BBR332"/>
      <c r="BBU332"/>
      <c r="BBV332"/>
      <c r="BBY332"/>
      <c r="BBZ332"/>
      <c r="BCC332"/>
      <c r="BCD332"/>
      <c r="BCG332"/>
      <c r="BCH332"/>
      <c r="BCK332"/>
      <c r="BCL332"/>
      <c r="BCO332"/>
      <c r="BCP332"/>
      <c r="BCS332"/>
      <c r="BCT332"/>
      <c r="BCW332"/>
      <c r="BCX332"/>
      <c r="BDA332"/>
      <c r="BDB332"/>
      <c r="BDE332"/>
      <c r="BDF332"/>
      <c r="BDI332"/>
      <c r="BDJ332"/>
      <c r="BDM332"/>
      <c r="BDN332"/>
      <c r="BDQ332"/>
      <c r="BDR332"/>
      <c r="BDU332"/>
      <c r="BDV332"/>
      <c r="BDY332"/>
      <c r="BDZ332"/>
      <c r="BEC332"/>
      <c r="BED332"/>
      <c r="BEG332"/>
      <c r="BEH332"/>
      <c r="BEK332"/>
      <c r="BEL332"/>
      <c r="BEO332"/>
      <c r="BEP332"/>
      <c r="BES332"/>
      <c r="BET332"/>
      <c r="BEW332"/>
      <c r="BEX332"/>
      <c r="BFA332"/>
      <c r="BFB332"/>
      <c r="BFE332"/>
      <c r="BFF332"/>
      <c r="BFI332"/>
      <c r="BFJ332"/>
      <c r="BFM332"/>
      <c r="BFN332"/>
      <c r="BFQ332"/>
      <c r="BFR332"/>
      <c r="BFU332"/>
      <c r="BFV332"/>
      <c r="BFY332"/>
      <c r="BFZ332"/>
      <c r="BGC332"/>
      <c r="BGD332"/>
      <c r="BGG332"/>
      <c r="BGH332"/>
      <c r="BGK332"/>
      <c r="BGL332"/>
      <c r="BGO332"/>
      <c r="BGP332"/>
      <c r="BGS332"/>
      <c r="BGT332"/>
      <c r="BGW332"/>
      <c r="BGX332"/>
      <c r="BHA332"/>
      <c r="BHB332"/>
      <c r="BHE332"/>
      <c r="BHF332"/>
      <c r="BHI332"/>
      <c r="BHJ332"/>
      <c r="BHM332"/>
      <c r="BHN332"/>
      <c r="BHQ332"/>
      <c r="BHR332"/>
      <c r="BHU332"/>
      <c r="BHV332"/>
      <c r="BHY332"/>
      <c r="BHZ332"/>
      <c r="BIC332"/>
      <c r="BID332"/>
      <c r="BIG332"/>
      <c r="BIH332"/>
      <c r="BIK332"/>
      <c r="BIL332"/>
      <c r="BIO332"/>
      <c r="BIP332"/>
      <c r="BIS332"/>
      <c r="BIT332"/>
      <c r="BIW332"/>
      <c r="BIX332"/>
      <c r="BJA332"/>
      <c r="BJB332"/>
      <c r="BJE332"/>
      <c r="BJF332"/>
      <c r="BJI332"/>
      <c r="BJJ332"/>
      <c r="BJM332"/>
      <c r="BJN332"/>
      <c r="BJQ332"/>
      <c r="BJR332"/>
      <c r="BJU332"/>
      <c r="BJV332"/>
      <c r="BJY332"/>
      <c r="BJZ332"/>
      <c r="BKC332"/>
      <c r="BKD332"/>
      <c r="BKG332"/>
      <c r="BKH332"/>
      <c r="BKK332"/>
      <c r="BKL332"/>
      <c r="BKO332"/>
      <c r="BKP332"/>
      <c r="BKS332"/>
      <c r="BKT332"/>
      <c r="BKW332"/>
      <c r="BKX332"/>
      <c r="BLA332"/>
      <c r="BLB332"/>
      <c r="BLE332"/>
      <c r="BLF332"/>
      <c r="BLI332"/>
      <c r="BLJ332"/>
      <c r="BLM332"/>
      <c r="BLN332"/>
      <c r="BLQ332"/>
      <c r="BLR332"/>
      <c r="BLU332"/>
      <c r="BLV332"/>
      <c r="BLY332"/>
      <c r="BLZ332"/>
      <c r="BMC332"/>
      <c r="BMD332"/>
      <c r="BMG332"/>
      <c r="BMH332"/>
      <c r="BMK332"/>
      <c r="BML332"/>
      <c r="BMO332"/>
      <c r="BMP332"/>
      <c r="BMS332"/>
      <c r="BMT332"/>
      <c r="BMW332"/>
      <c r="BMX332"/>
      <c r="BNA332"/>
      <c r="BNB332"/>
      <c r="BNE332"/>
      <c r="BNF332"/>
      <c r="BNI332"/>
      <c r="BNJ332"/>
      <c r="BNM332"/>
      <c r="BNN332"/>
      <c r="BNQ332"/>
      <c r="BNR332"/>
      <c r="BNU332"/>
      <c r="BNV332"/>
      <c r="BNY332"/>
      <c r="BNZ332"/>
      <c r="BOC332"/>
      <c r="BOD332"/>
      <c r="BOG332"/>
      <c r="BOH332"/>
      <c r="BOK332"/>
      <c r="BOL332"/>
      <c r="BOO332"/>
      <c r="BOP332"/>
      <c r="BOS332"/>
      <c r="BOT332"/>
      <c r="BOW332"/>
      <c r="BOX332"/>
      <c r="BPA332"/>
      <c r="BPB332"/>
      <c r="BPE332"/>
      <c r="BPF332"/>
      <c r="BPI332"/>
      <c r="BPJ332"/>
      <c r="BPM332"/>
      <c r="BPN332"/>
      <c r="BPQ332"/>
      <c r="BPR332"/>
      <c r="BPU332"/>
      <c r="BPV332"/>
      <c r="BPY332"/>
      <c r="BPZ332"/>
      <c r="BQC332"/>
      <c r="BQD332"/>
      <c r="BQG332"/>
      <c r="BQH332"/>
      <c r="BQK332"/>
      <c r="BQL332"/>
      <c r="BQO332"/>
      <c r="BQP332"/>
      <c r="BQS332"/>
      <c r="BQT332"/>
      <c r="BQW332"/>
      <c r="BQX332"/>
      <c r="BRA332"/>
      <c r="BRB332"/>
      <c r="BRE332"/>
      <c r="BRF332"/>
      <c r="BRI332"/>
      <c r="BRJ332"/>
      <c r="BRM332"/>
      <c r="BRN332"/>
      <c r="BRQ332"/>
      <c r="BRR332"/>
      <c r="BRU332"/>
      <c r="BRV332"/>
      <c r="BRY332"/>
      <c r="BRZ332"/>
      <c r="BSC332"/>
      <c r="BSD332"/>
      <c r="BSG332"/>
      <c r="BSH332"/>
      <c r="BSK332"/>
      <c r="BSL332"/>
      <c r="BSO332"/>
      <c r="BSP332"/>
      <c r="BSS332"/>
      <c r="BST332"/>
      <c r="BSW332"/>
      <c r="BSX332"/>
      <c r="BTA332"/>
      <c r="BTB332"/>
      <c r="BTE332"/>
      <c r="BTF332"/>
      <c r="BTI332"/>
      <c r="BTJ332"/>
      <c r="BTM332"/>
      <c r="BTN332"/>
      <c r="BTQ332"/>
      <c r="BTR332"/>
      <c r="BTU332"/>
      <c r="BTV332"/>
      <c r="BTY332"/>
      <c r="BTZ332"/>
      <c r="BUC332"/>
      <c r="BUD332"/>
      <c r="BUG332"/>
      <c r="BUH332"/>
      <c r="BUK332"/>
      <c r="BUL332"/>
      <c r="BUO332"/>
      <c r="BUP332"/>
      <c r="BUS332"/>
      <c r="BUT332"/>
      <c r="BUW332"/>
      <c r="BUX332"/>
      <c r="BVA332"/>
      <c r="BVB332"/>
      <c r="BVE332"/>
      <c r="BVF332"/>
      <c r="BVI332"/>
      <c r="BVJ332"/>
      <c r="BVM332"/>
      <c r="BVN332"/>
      <c r="BVQ332"/>
      <c r="BVR332"/>
      <c r="BVU332"/>
      <c r="BVV332"/>
      <c r="BVY332"/>
      <c r="BVZ332"/>
      <c r="BWC332"/>
      <c r="BWD332"/>
      <c r="BWG332"/>
      <c r="BWH332"/>
      <c r="BWK332"/>
      <c r="BWL332"/>
      <c r="BWO332"/>
      <c r="BWP332"/>
      <c r="BWS332"/>
      <c r="BWT332"/>
      <c r="BWW332"/>
      <c r="BWX332"/>
      <c r="BXA332"/>
      <c r="BXB332"/>
      <c r="BXE332"/>
      <c r="BXF332"/>
      <c r="BXI332"/>
      <c r="BXJ332"/>
      <c r="BXM332"/>
      <c r="BXN332"/>
      <c r="BXQ332"/>
      <c r="BXR332"/>
      <c r="BXU332"/>
      <c r="BXV332"/>
      <c r="BXY332"/>
      <c r="BXZ332"/>
      <c r="BYC332"/>
      <c r="BYD332"/>
      <c r="BYG332"/>
      <c r="BYH332"/>
      <c r="BYK332"/>
      <c r="BYL332"/>
      <c r="BYO332"/>
      <c r="BYP332"/>
      <c r="BYS332"/>
      <c r="BYT332"/>
      <c r="BYW332"/>
      <c r="BYX332"/>
      <c r="BZA332"/>
      <c r="BZB332"/>
      <c r="BZE332"/>
      <c r="BZF332"/>
      <c r="BZI332"/>
      <c r="BZJ332"/>
      <c r="BZM332"/>
      <c r="BZN332"/>
      <c r="BZQ332"/>
      <c r="BZR332"/>
      <c r="BZU332"/>
      <c r="BZV332"/>
      <c r="BZY332"/>
      <c r="BZZ332"/>
      <c r="CAC332"/>
      <c r="CAD332"/>
      <c r="CAG332"/>
      <c r="CAH332"/>
      <c r="CAK332"/>
      <c r="CAL332"/>
      <c r="CAO332"/>
      <c r="CAP332"/>
      <c r="CAS332"/>
      <c r="CAT332"/>
      <c r="CAW332"/>
      <c r="CAX332"/>
      <c r="CBA332"/>
      <c r="CBB332"/>
      <c r="CBE332"/>
      <c r="CBF332"/>
      <c r="CBI332"/>
      <c r="CBJ332"/>
      <c r="CBM332"/>
      <c r="CBN332"/>
      <c r="CBQ332"/>
      <c r="CBR332"/>
      <c r="CBU332"/>
      <c r="CBV332"/>
      <c r="CBY332"/>
      <c r="CBZ332"/>
      <c r="CCC332"/>
      <c r="CCD332"/>
      <c r="CCG332"/>
      <c r="CCH332"/>
      <c r="CCK332"/>
      <c r="CCL332"/>
      <c r="CCO332"/>
      <c r="CCP332"/>
      <c r="CCS332"/>
      <c r="CCT332"/>
      <c r="CCW332"/>
      <c r="CCX332"/>
      <c r="CDA332"/>
      <c r="CDB332"/>
      <c r="CDE332"/>
      <c r="CDF332"/>
      <c r="CDI332"/>
      <c r="CDJ332"/>
      <c r="CDM332"/>
      <c r="CDN332"/>
      <c r="CDQ332"/>
      <c r="CDR332"/>
      <c r="CDU332"/>
      <c r="CDV332"/>
      <c r="CDY332"/>
      <c r="CDZ332"/>
      <c r="CEC332"/>
      <c r="CED332"/>
      <c r="CEG332"/>
      <c r="CEH332"/>
      <c r="CEK332"/>
      <c r="CEL332"/>
      <c r="CEO332"/>
      <c r="CEP332"/>
      <c r="CES332"/>
      <c r="CET332"/>
      <c r="CEW332"/>
      <c r="CEX332"/>
      <c r="CFA332"/>
      <c r="CFB332"/>
      <c r="CFE332"/>
      <c r="CFF332"/>
      <c r="CFI332"/>
      <c r="CFJ332"/>
      <c r="CFM332"/>
      <c r="CFN332"/>
      <c r="CFQ332"/>
      <c r="CFR332"/>
      <c r="CFU332"/>
      <c r="CFV332"/>
      <c r="CFY332"/>
      <c r="CFZ332"/>
      <c r="CGC332"/>
      <c r="CGD332"/>
      <c r="CGG332"/>
      <c r="CGH332"/>
      <c r="CGK332"/>
      <c r="CGL332"/>
      <c r="CGO332"/>
      <c r="CGP332"/>
      <c r="CGS332"/>
      <c r="CGT332"/>
      <c r="CGW332"/>
      <c r="CGX332"/>
      <c r="CHA332"/>
      <c r="CHB332"/>
      <c r="CHE332"/>
      <c r="CHF332"/>
      <c r="CHI332"/>
      <c r="CHJ332"/>
      <c r="CHM332"/>
      <c r="CHN332"/>
      <c r="CHQ332"/>
      <c r="CHR332"/>
      <c r="CHU332"/>
      <c r="CHV332"/>
      <c r="CHY332"/>
      <c r="CHZ332"/>
      <c r="CIC332"/>
      <c r="CID332"/>
      <c r="CIG332"/>
      <c r="CIH332"/>
      <c r="CIK332"/>
      <c r="CIL332"/>
      <c r="CIO332"/>
      <c r="CIP332"/>
      <c r="CIS332"/>
      <c r="CIT332"/>
      <c r="CIW332"/>
      <c r="CIX332"/>
      <c r="CJA332"/>
      <c r="CJB332"/>
      <c r="CJE332"/>
      <c r="CJF332"/>
      <c r="CJI332"/>
      <c r="CJJ332"/>
      <c r="CJM332"/>
      <c r="CJN332"/>
      <c r="CJQ332"/>
      <c r="CJR332"/>
      <c r="CJU332"/>
      <c r="CJV332"/>
      <c r="CJY332"/>
      <c r="CJZ332"/>
      <c r="CKC332"/>
      <c r="CKD332"/>
      <c r="CKG332"/>
      <c r="CKH332"/>
      <c r="CKK332"/>
      <c r="CKL332"/>
      <c r="CKO332"/>
      <c r="CKP332"/>
      <c r="CKS332"/>
      <c r="CKT332"/>
      <c r="CKW332"/>
      <c r="CKX332"/>
      <c r="CLA332"/>
      <c r="CLB332"/>
      <c r="CLE332"/>
      <c r="CLF332"/>
      <c r="CLI332"/>
      <c r="CLJ332"/>
      <c r="CLM332"/>
      <c r="CLN332"/>
      <c r="CLQ332"/>
      <c r="CLR332"/>
      <c r="CLU332"/>
      <c r="CLV332"/>
      <c r="CLY332"/>
      <c r="CLZ332"/>
      <c r="CMC332"/>
      <c r="CMD332"/>
      <c r="CMG332"/>
      <c r="CMH332"/>
      <c r="CMK332"/>
      <c r="CML332"/>
      <c r="CMO332"/>
      <c r="CMP332"/>
      <c r="CMS332"/>
      <c r="CMT332"/>
      <c r="CMW332"/>
      <c r="CMX332"/>
      <c r="CNA332"/>
      <c r="CNB332"/>
      <c r="CNE332"/>
      <c r="CNF332"/>
      <c r="CNI332"/>
      <c r="CNJ332"/>
      <c r="CNM332"/>
      <c r="CNN332"/>
      <c r="CNQ332"/>
      <c r="CNR332"/>
      <c r="CNU332"/>
      <c r="CNV332"/>
      <c r="CNY332"/>
      <c r="CNZ332"/>
      <c r="COC332"/>
      <c r="COD332"/>
      <c r="COG332"/>
      <c r="COH332"/>
      <c r="COK332"/>
      <c r="COL332"/>
      <c r="COO332"/>
      <c r="COP332"/>
      <c r="COS332"/>
      <c r="COT332"/>
      <c r="COW332"/>
      <c r="COX332"/>
      <c r="CPA332"/>
      <c r="CPB332"/>
      <c r="CPE332"/>
      <c r="CPF332"/>
      <c r="CPI332"/>
      <c r="CPJ332"/>
      <c r="CPM332"/>
      <c r="CPN332"/>
      <c r="CPQ332"/>
      <c r="CPR332"/>
      <c r="CPU332"/>
      <c r="CPV332"/>
      <c r="CPY332"/>
      <c r="CPZ332"/>
      <c r="CQC332"/>
      <c r="CQD332"/>
      <c r="CQG332"/>
      <c r="CQH332"/>
      <c r="CQK332"/>
      <c r="CQL332"/>
      <c r="CQO332"/>
      <c r="CQP332"/>
      <c r="CQS332"/>
      <c r="CQT332"/>
      <c r="CQW332"/>
      <c r="CQX332"/>
      <c r="CRA332"/>
      <c r="CRB332"/>
      <c r="CRE332"/>
      <c r="CRF332"/>
      <c r="CRI332"/>
      <c r="CRJ332"/>
      <c r="CRM332"/>
      <c r="CRN332"/>
      <c r="CRQ332"/>
      <c r="CRR332"/>
      <c r="CRU332"/>
      <c r="CRV332"/>
      <c r="CRY332"/>
      <c r="CRZ332"/>
      <c r="CSC332"/>
      <c r="CSD332"/>
      <c r="CSG332"/>
      <c r="CSH332"/>
      <c r="CSK332"/>
      <c r="CSL332"/>
      <c r="CSO332"/>
      <c r="CSP332"/>
      <c r="CSS332"/>
      <c r="CST332"/>
      <c r="CSW332"/>
      <c r="CSX332"/>
      <c r="CTA332"/>
      <c r="CTB332"/>
      <c r="CTE332"/>
      <c r="CTF332"/>
      <c r="CTI332"/>
      <c r="CTJ332"/>
      <c r="CTM332"/>
      <c r="CTN332"/>
      <c r="CTQ332"/>
      <c r="CTR332"/>
      <c r="CTU332"/>
      <c r="CTV332"/>
      <c r="CTY332"/>
      <c r="CTZ332"/>
      <c r="CUC332"/>
      <c r="CUD332"/>
      <c r="CUG332"/>
      <c r="CUH332"/>
      <c r="CUK332"/>
      <c r="CUL332"/>
      <c r="CUO332"/>
      <c r="CUP332"/>
      <c r="CUS332"/>
      <c r="CUT332"/>
      <c r="CUW332"/>
      <c r="CUX332"/>
      <c r="CVA332"/>
      <c r="CVB332"/>
      <c r="CVE332"/>
      <c r="CVF332"/>
      <c r="CVI332"/>
      <c r="CVJ332"/>
      <c r="CVM332"/>
      <c r="CVN332"/>
      <c r="CVQ332"/>
      <c r="CVR332"/>
      <c r="CVU332"/>
      <c r="CVV332"/>
      <c r="CVY332"/>
      <c r="CVZ332"/>
      <c r="CWC332"/>
      <c r="CWD332"/>
      <c r="CWG332"/>
      <c r="CWH332"/>
      <c r="CWK332"/>
      <c r="CWL332"/>
      <c r="CWO332"/>
      <c r="CWP332"/>
      <c r="CWS332"/>
      <c r="CWT332"/>
      <c r="CWW332"/>
      <c r="CWX332"/>
      <c r="CXA332"/>
      <c r="CXB332"/>
      <c r="CXE332"/>
      <c r="CXF332"/>
      <c r="CXI332"/>
      <c r="CXJ332"/>
      <c r="CXM332"/>
      <c r="CXN332"/>
      <c r="CXQ332"/>
      <c r="CXR332"/>
      <c r="CXU332"/>
      <c r="CXV332"/>
      <c r="CXY332"/>
      <c r="CXZ332"/>
      <c r="CYC332"/>
      <c r="CYD332"/>
      <c r="CYG332"/>
      <c r="CYH332"/>
      <c r="CYK332"/>
      <c r="CYL332"/>
      <c r="CYO332"/>
      <c r="CYP332"/>
      <c r="CYS332"/>
      <c r="CYT332"/>
      <c r="CYW332"/>
      <c r="CYX332"/>
      <c r="CZA332"/>
      <c r="CZB332"/>
      <c r="CZE332"/>
      <c r="CZF332"/>
      <c r="CZI332"/>
      <c r="CZJ332"/>
      <c r="CZM332"/>
      <c r="CZN332"/>
      <c r="CZQ332"/>
      <c r="CZR332"/>
      <c r="CZU332"/>
      <c r="CZV332"/>
      <c r="CZY332"/>
      <c r="CZZ332"/>
      <c r="DAC332"/>
      <c r="DAD332"/>
      <c r="DAG332"/>
      <c r="DAH332"/>
      <c r="DAK332"/>
      <c r="DAL332"/>
      <c r="DAO332"/>
      <c r="DAP332"/>
      <c r="DAS332"/>
      <c r="DAT332"/>
      <c r="DAW332"/>
      <c r="DAX332"/>
      <c r="DBA332"/>
      <c r="DBB332"/>
      <c r="DBE332"/>
      <c r="DBF332"/>
      <c r="DBI332"/>
      <c r="DBJ332"/>
      <c r="DBM332"/>
      <c r="DBN332"/>
      <c r="DBQ332"/>
      <c r="DBR332"/>
      <c r="DBU332"/>
      <c r="DBV332"/>
      <c r="DBY332"/>
      <c r="DBZ332"/>
      <c r="DCC332"/>
      <c r="DCD332"/>
      <c r="DCG332"/>
      <c r="DCH332"/>
      <c r="DCK332"/>
      <c r="DCL332"/>
      <c r="DCO332"/>
      <c r="DCP332"/>
      <c r="DCS332"/>
      <c r="DCT332"/>
      <c r="DCW332"/>
      <c r="DCX332"/>
      <c r="DDA332"/>
      <c r="DDB332"/>
      <c r="DDE332"/>
      <c r="DDF332"/>
      <c r="DDI332"/>
      <c r="DDJ332"/>
      <c r="DDM332"/>
      <c r="DDN332"/>
      <c r="DDQ332"/>
      <c r="DDR332"/>
      <c r="DDU332"/>
      <c r="DDV332"/>
      <c r="DDY332"/>
      <c r="DDZ332"/>
      <c r="DEC332"/>
      <c r="DED332"/>
      <c r="DEG332"/>
      <c r="DEH332"/>
      <c r="DEK332"/>
      <c r="DEL332"/>
      <c r="DEO332"/>
      <c r="DEP332"/>
      <c r="DES332"/>
      <c r="DET332"/>
      <c r="DEW332"/>
      <c r="DEX332"/>
      <c r="DFA332"/>
      <c r="DFB332"/>
      <c r="DFE332"/>
      <c r="DFF332"/>
      <c r="DFI332"/>
      <c r="DFJ332"/>
      <c r="DFM332"/>
      <c r="DFN332"/>
      <c r="DFQ332"/>
      <c r="DFR332"/>
      <c r="DFU332"/>
      <c r="DFV332"/>
      <c r="DFY332"/>
      <c r="DFZ332"/>
      <c r="DGC332"/>
      <c r="DGD332"/>
      <c r="DGG332"/>
      <c r="DGH332"/>
      <c r="DGK332"/>
      <c r="DGL332"/>
      <c r="DGO332"/>
      <c r="DGP332"/>
      <c r="DGS332"/>
      <c r="DGT332"/>
      <c r="DGW332"/>
      <c r="DGX332"/>
      <c r="DHA332"/>
      <c r="DHB332"/>
      <c r="DHE332"/>
      <c r="DHF332"/>
      <c r="DHI332"/>
      <c r="DHJ332"/>
      <c r="DHM332"/>
      <c r="DHN332"/>
      <c r="DHQ332"/>
      <c r="DHR332"/>
      <c r="DHU332"/>
      <c r="DHV332"/>
      <c r="DHY332"/>
      <c r="DHZ332"/>
      <c r="DIC332"/>
      <c r="DID332"/>
      <c r="DIG332"/>
      <c r="DIH332"/>
      <c r="DIK332"/>
      <c r="DIL332"/>
      <c r="DIO332"/>
      <c r="DIP332"/>
      <c r="DIS332"/>
      <c r="DIT332"/>
      <c r="DIW332"/>
      <c r="DIX332"/>
      <c r="DJA332"/>
      <c r="DJB332"/>
      <c r="DJE332"/>
      <c r="DJF332"/>
      <c r="DJI332"/>
      <c r="DJJ332"/>
      <c r="DJM332"/>
      <c r="DJN332"/>
      <c r="DJQ332"/>
      <c r="DJR332"/>
      <c r="DJU332"/>
      <c r="DJV332"/>
      <c r="DJY332"/>
      <c r="DJZ332"/>
      <c r="DKC332"/>
      <c r="DKD332"/>
      <c r="DKG332"/>
      <c r="DKH332"/>
      <c r="DKK332"/>
      <c r="DKL332"/>
      <c r="DKO332"/>
      <c r="DKP332"/>
      <c r="DKS332"/>
      <c r="DKT332"/>
      <c r="DKW332"/>
      <c r="DKX332"/>
      <c r="DLA332"/>
      <c r="DLB332"/>
      <c r="DLE332"/>
      <c r="DLF332"/>
      <c r="DLI332"/>
      <c r="DLJ332"/>
      <c r="DLM332"/>
      <c r="DLN332"/>
      <c r="DLQ332"/>
      <c r="DLR332"/>
      <c r="DLU332"/>
      <c r="DLV332"/>
      <c r="DLY332"/>
      <c r="DLZ332"/>
      <c r="DMC332"/>
      <c r="DMD332"/>
      <c r="DMG332"/>
      <c r="DMH332"/>
      <c r="DMK332"/>
      <c r="DML332"/>
      <c r="DMO332"/>
      <c r="DMP332"/>
      <c r="DMS332"/>
      <c r="DMT332"/>
      <c r="DMW332"/>
      <c r="DMX332"/>
      <c r="DNA332"/>
      <c r="DNB332"/>
      <c r="DNE332"/>
      <c r="DNF332"/>
      <c r="DNI332"/>
      <c r="DNJ332"/>
      <c r="DNM332"/>
      <c r="DNN332"/>
      <c r="DNQ332"/>
      <c r="DNR332"/>
      <c r="DNU332"/>
      <c r="DNV332"/>
      <c r="DNY332"/>
      <c r="DNZ332"/>
      <c r="DOC332"/>
      <c r="DOD332"/>
      <c r="DOG332"/>
      <c r="DOH332"/>
      <c r="DOK332"/>
      <c r="DOL332"/>
      <c r="DOO332"/>
      <c r="DOP332"/>
      <c r="DOS332"/>
      <c r="DOT332"/>
      <c r="DOW332"/>
      <c r="DOX332"/>
      <c r="DPA332"/>
      <c r="DPB332"/>
      <c r="DPE332"/>
      <c r="DPF332"/>
      <c r="DPI332"/>
      <c r="DPJ332"/>
      <c r="DPM332"/>
      <c r="DPN332"/>
      <c r="DPQ332"/>
      <c r="DPR332"/>
      <c r="DPU332"/>
      <c r="DPV332"/>
      <c r="DPY332"/>
      <c r="DPZ332"/>
      <c r="DQC332"/>
      <c r="DQD332"/>
      <c r="DQG332"/>
      <c r="DQH332"/>
      <c r="DQK332"/>
      <c r="DQL332"/>
      <c r="DQO332"/>
      <c r="DQP332"/>
      <c r="DQS332"/>
      <c r="DQT332"/>
      <c r="DQW332"/>
      <c r="DQX332"/>
      <c r="DRA332"/>
      <c r="DRB332"/>
      <c r="DRE332"/>
      <c r="DRF332"/>
      <c r="DRI332"/>
      <c r="DRJ332"/>
      <c r="DRM332"/>
      <c r="DRN332"/>
      <c r="DRQ332"/>
      <c r="DRR332"/>
      <c r="DRU332"/>
      <c r="DRV332"/>
      <c r="DRY332"/>
      <c r="DRZ332"/>
      <c r="DSC332"/>
      <c r="DSD332"/>
      <c r="DSG332"/>
      <c r="DSH332"/>
      <c r="DSK332"/>
      <c r="DSL332"/>
      <c r="DSO332"/>
      <c r="DSP332"/>
      <c r="DSS332"/>
      <c r="DST332"/>
      <c r="DSW332"/>
      <c r="DSX332"/>
      <c r="DTA332"/>
      <c r="DTB332"/>
      <c r="DTE332"/>
      <c r="DTF332"/>
      <c r="DTI332"/>
      <c r="DTJ332"/>
      <c r="DTM332"/>
      <c r="DTN332"/>
      <c r="DTQ332"/>
      <c r="DTR332"/>
      <c r="DTU332"/>
      <c r="DTV332"/>
      <c r="DTY332"/>
      <c r="DTZ332"/>
      <c r="DUC332"/>
      <c r="DUD332"/>
      <c r="DUG332"/>
      <c r="DUH332"/>
      <c r="DUK332"/>
      <c r="DUL332"/>
      <c r="DUO332"/>
      <c r="DUP332"/>
      <c r="DUS332"/>
      <c r="DUT332"/>
      <c r="DUW332"/>
      <c r="DUX332"/>
      <c r="DVA332"/>
      <c r="DVB332"/>
      <c r="DVE332"/>
      <c r="DVF332"/>
      <c r="DVI332"/>
      <c r="DVJ332"/>
      <c r="DVM332"/>
      <c r="DVN332"/>
      <c r="DVQ332"/>
      <c r="DVR332"/>
      <c r="DVU332"/>
      <c r="DVV332"/>
      <c r="DVY332"/>
      <c r="DVZ332"/>
      <c r="DWC332"/>
      <c r="DWD332"/>
      <c r="DWG332"/>
      <c r="DWH332"/>
      <c r="DWK332"/>
      <c r="DWL332"/>
      <c r="DWO332"/>
      <c r="DWP332"/>
      <c r="DWS332"/>
      <c r="DWT332"/>
      <c r="DWW332"/>
      <c r="DWX332"/>
      <c r="DXA332"/>
      <c r="DXB332"/>
      <c r="DXE332"/>
      <c r="DXF332"/>
      <c r="DXI332"/>
      <c r="DXJ332"/>
      <c r="DXM332"/>
      <c r="DXN332"/>
      <c r="DXQ332"/>
      <c r="DXR332"/>
      <c r="DXU332"/>
      <c r="DXV332"/>
      <c r="DXY332"/>
      <c r="DXZ332"/>
      <c r="DYC332"/>
      <c r="DYD332"/>
      <c r="DYG332"/>
      <c r="DYH332"/>
      <c r="DYK332"/>
      <c r="DYL332"/>
      <c r="DYO332"/>
      <c r="DYP332"/>
      <c r="DYS332"/>
      <c r="DYT332"/>
      <c r="DYW332"/>
      <c r="DYX332"/>
      <c r="DZA332"/>
      <c r="DZB332"/>
      <c r="DZE332"/>
      <c r="DZF332"/>
      <c r="DZI332"/>
      <c r="DZJ332"/>
      <c r="DZM332"/>
      <c r="DZN332"/>
      <c r="DZQ332"/>
      <c r="DZR332"/>
      <c r="DZU332"/>
      <c r="DZV332"/>
      <c r="DZY332"/>
      <c r="DZZ332"/>
      <c r="EAC332"/>
      <c r="EAD332"/>
      <c r="EAG332"/>
      <c r="EAH332"/>
      <c r="EAK332"/>
      <c r="EAL332"/>
      <c r="EAO332"/>
      <c r="EAP332"/>
      <c r="EAS332"/>
      <c r="EAT332"/>
      <c r="EAW332"/>
      <c r="EAX332"/>
      <c r="EBA332"/>
      <c r="EBB332"/>
      <c r="EBE332"/>
      <c r="EBF332"/>
      <c r="EBI332"/>
      <c r="EBJ332"/>
      <c r="EBM332"/>
      <c r="EBN332"/>
      <c r="EBQ332"/>
      <c r="EBR332"/>
      <c r="EBU332"/>
      <c r="EBV332"/>
      <c r="EBY332"/>
      <c r="EBZ332"/>
      <c r="ECC332"/>
      <c r="ECD332"/>
      <c r="ECG332"/>
      <c r="ECH332"/>
      <c r="ECK332"/>
      <c r="ECL332"/>
      <c r="ECO332"/>
      <c r="ECP332"/>
      <c r="ECS332"/>
      <c r="ECT332"/>
      <c r="ECW332"/>
      <c r="ECX332"/>
      <c r="EDA332"/>
      <c r="EDB332"/>
      <c r="EDE332"/>
      <c r="EDF332"/>
      <c r="EDI332"/>
      <c r="EDJ332"/>
      <c r="EDM332"/>
      <c r="EDN332"/>
      <c r="EDQ332"/>
      <c r="EDR332"/>
      <c r="EDU332"/>
      <c r="EDV332"/>
      <c r="EDY332"/>
      <c r="EDZ332"/>
      <c r="EEC332"/>
      <c r="EED332"/>
      <c r="EEG332"/>
      <c r="EEH332"/>
      <c r="EEK332"/>
      <c r="EEL332"/>
      <c r="EEO332"/>
      <c r="EEP332"/>
      <c r="EES332"/>
      <c r="EET332"/>
      <c r="EEW332"/>
      <c r="EEX332"/>
      <c r="EFA332"/>
      <c r="EFB332"/>
      <c r="EFE332"/>
      <c r="EFF332"/>
      <c r="EFI332"/>
      <c r="EFJ332"/>
      <c r="EFM332"/>
      <c r="EFN332"/>
      <c r="EFQ332"/>
      <c r="EFR332"/>
      <c r="EFU332"/>
      <c r="EFV332"/>
      <c r="EFY332"/>
      <c r="EFZ332"/>
      <c r="EGC332"/>
      <c r="EGD332"/>
      <c r="EGG332"/>
      <c r="EGH332"/>
      <c r="EGK332"/>
      <c r="EGL332"/>
      <c r="EGO332"/>
      <c r="EGP332"/>
      <c r="EGS332"/>
      <c r="EGT332"/>
      <c r="EGW332"/>
      <c r="EGX332"/>
      <c r="EHA332"/>
      <c r="EHB332"/>
      <c r="EHE332"/>
      <c r="EHF332"/>
      <c r="EHI332"/>
      <c r="EHJ332"/>
      <c r="EHM332"/>
      <c r="EHN332"/>
      <c r="EHQ332"/>
      <c r="EHR332"/>
      <c r="EHU332"/>
      <c r="EHV332"/>
      <c r="EHY332"/>
      <c r="EHZ332"/>
      <c r="EIC332"/>
      <c r="EID332"/>
      <c r="EIG332"/>
      <c r="EIH332"/>
      <c r="EIK332"/>
      <c r="EIL332"/>
      <c r="EIO332"/>
      <c r="EIP332"/>
      <c r="EIS332"/>
      <c r="EIT332"/>
      <c r="EIW332"/>
      <c r="EIX332"/>
      <c r="EJA332"/>
      <c r="EJB332"/>
      <c r="EJE332"/>
      <c r="EJF332"/>
      <c r="EJI332"/>
      <c r="EJJ332"/>
      <c r="EJM332"/>
      <c r="EJN332"/>
      <c r="EJQ332"/>
      <c r="EJR332"/>
      <c r="EJU332"/>
      <c r="EJV332"/>
      <c r="EJY332"/>
      <c r="EJZ332"/>
      <c r="EKC332"/>
      <c r="EKD332"/>
      <c r="EKG332"/>
      <c r="EKH332"/>
      <c r="EKK332"/>
      <c r="EKL332"/>
      <c r="EKO332"/>
      <c r="EKP332"/>
      <c r="EKS332"/>
      <c r="EKT332"/>
      <c r="EKW332"/>
      <c r="EKX332"/>
      <c r="ELA332"/>
      <c r="ELB332"/>
      <c r="ELE332"/>
      <c r="ELF332"/>
      <c r="ELI332"/>
      <c r="ELJ332"/>
      <c r="ELM332"/>
      <c r="ELN332"/>
      <c r="ELQ332"/>
      <c r="ELR332"/>
      <c r="ELU332"/>
      <c r="ELV332"/>
      <c r="ELY332"/>
      <c r="ELZ332"/>
      <c r="EMC332"/>
      <c r="EMD332"/>
      <c r="EMG332"/>
      <c r="EMH332"/>
      <c r="EMK332"/>
      <c r="EML332"/>
      <c r="EMO332"/>
      <c r="EMP332"/>
      <c r="EMS332"/>
      <c r="EMT332"/>
      <c r="EMW332"/>
      <c r="EMX332"/>
      <c r="ENA332"/>
      <c r="ENB332"/>
      <c r="ENE332"/>
      <c r="ENF332"/>
      <c r="ENI332"/>
      <c r="ENJ332"/>
      <c r="ENM332"/>
      <c r="ENN332"/>
      <c r="ENQ332"/>
      <c r="ENR332"/>
      <c r="ENU332"/>
      <c r="ENV332"/>
      <c r="ENY332"/>
      <c r="ENZ332"/>
      <c r="EOC332"/>
      <c r="EOD332"/>
      <c r="EOG332"/>
      <c r="EOH332"/>
      <c r="EOK332"/>
      <c r="EOL332"/>
      <c r="EOO332"/>
      <c r="EOP332"/>
      <c r="EOS332"/>
      <c r="EOT332"/>
      <c r="EOW332"/>
      <c r="EOX332"/>
      <c r="EPA332"/>
      <c r="EPB332"/>
      <c r="EPE332"/>
      <c r="EPF332"/>
      <c r="EPI332"/>
      <c r="EPJ332"/>
      <c r="EPM332"/>
      <c r="EPN332"/>
      <c r="EPQ332"/>
      <c r="EPR332"/>
      <c r="EPU332"/>
      <c r="EPV332"/>
      <c r="EPY332"/>
      <c r="EPZ332"/>
      <c r="EQC332"/>
      <c r="EQD332"/>
      <c r="EQG332"/>
      <c r="EQH332"/>
      <c r="EQK332"/>
      <c r="EQL332"/>
      <c r="EQO332"/>
      <c r="EQP332"/>
      <c r="EQS332"/>
      <c r="EQT332"/>
      <c r="EQW332"/>
      <c r="EQX332"/>
      <c r="ERA332"/>
      <c r="ERB332"/>
      <c r="ERE332"/>
      <c r="ERF332"/>
      <c r="ERI332"/>
      <c r="ERJ332"/>
      <c r="ERM332"/>
      <c r="ERN332"/>
      <c r="ERQ332"/>
      <c r="ERR332"/>
      <c r="ERU332"/>
      <c r="ERV332"/>
      <c r="ERY332"/>
      <c r="ERZ332"/>
      <c r="ESC332"/>
      <c r="ESD332"/>
      <c r="ESG332"/>
      <c r="ESH332"/>
      <c r="ESK332"/>
      <c r="ESL332"/>
      <c r="ESO332"/>
      <c r="ESP332"/>
      <c r="ESS332"/>
      <c r="EST332"/>
      <c r="ESW332"/>
      <c r="ESX332"/>
      <c r="ETA332"/>
      <c r="ETB332"/>
      <c r="ETE332"/>
      <c r="ETF332"/>
      <c r="ETI332"/>
      <c r="ETJ332"/>
      <c r="ETM332"/>
      <c r="ETN332"/>
      <c r="ETQ332"/>
      <c r="ETR332"/>
      <c r="ETU332"/>
      <c r="ETV332"/>
      <c r="ETY332"/>
      <c r="ETZ332"/>
      <c r="EUC332"/>
      <c r="EUD332"/>
      <c r="EUG332"/>
      <c r="EUH332"/>
      <c r="EUK332"/>
      <c r="EUL332"/>
      <c r="EUO332"/>
      <c r="EUP332"/>
      <c r="EUS332"/>
      <c r="EUT332"/>
      <c r="EUW332"/>
      <c r="EUX332"/>
      <c r="EVA332"/>
      <c r="EVB332"/>
      <c r="EVE332"/>
      <c r="EVF332"/>
      <c r="EVI332"/>
      <c r="EVJ332"/>
      <c r="EVM332"/>
      <c r="EVN332"/>
      <c r="EVQ332"/>
      <c r="EVR332"/>
      <c r="EVU332"/>
      <c r="EVV332"/>
      <c r="EVY332"/>
      <c r="EVZ332"/>
      <c r="EWC332"/>
      <c r="EWD332"/>
      <c r="EWG332"/>
      <c r="EWH332"/>
      <c r="EWK332"/>
      <c r="EWL332"/>
      <c r="EWO332"/>
      <c r="EWP332"/>
      <c r="EWS332"/>
      <c r="EWT332"/>
      <c r="EWW332"/>
      <c r="EWX332"/>
      <c r="EXA332"/>
      <c r="EXB332"/>
      <c r="EXE332"/>
      <c r="EXF332"/>
      <c r="EXI332"/>
      <c r="EXJ332"/>
      <c r="EXM332"/>
      <c r="EXN332"/>
      <c r="EXQ332"/>
      <c r="EXR332"/>
      <c r="EXU332"/>
      <c r="EXV332"/>
      <c r="EXY332"/>
      <c r="EXZ332"/>
      <c r="EYC332"/>
      <c r="EYD332"/>
      <c r="EYG332"/>
      <c r="EYH332"/>
      <c r="EYK332"/>
      <c r="EYL332"/>
      <c r="EYO332"/>
      <c r="EYP332"/>
      <c r="EYS332"/>
      <c r="EYT332"/>
      <c r="EYW332"/>
      <c r="EYX332"/>
      <c r="EZA332"/>
      <c r="EZB332"/>
      <c r="EZE332"/>
      <c r="EZF332"/>
      <c r="EZI332"/>
      <c r="EZJ332"/>
      <c r="EZM332"/>
      <c r="EZN332"/>
      <c r="EZQ332"/>
      <c r="EZR332"/>
      <c r="EZU332"/>
      <c r="EZV332"/>
      <c r="EZY332"/>
      <c r="EZZ332"/>
      <c r="FAC332"/>
      <c r="FAD332"/>
      <c r="FAG332"/>
      <c r="FAH332"/>
      <c r="FAK332"/>
      <c r="FAL332"/>
      <c r="FAO332"/>
      <c r="FAP332"/>
      <c r="FAS332"/>
      <c r="FAT332"/>
      <c r="FAW332"/>
      <c r="FAX332"/>
      <c r="FBA332"/>
      <c r="FBB332"/>
      <c r="FBE332"/>
      <c r="FBF332"/>
      <c r="FBI332"/>
      <c r="FBJ332"/>
      <c r="FBM332"/>
      <c r="FBN332"/>
      <c r="FBQ332"/>
      <c r="FBR332"/>
      <c r="FBU332"/>
      <c r="FBV332"/>
      <c r="FBY332"/>
      <c r="FBZ332"/>
      <c r="FCC332"/>
      <c r="FCD332"/>
      <c r="FCG332"/>
      <c r="FCH332"/>
      <c r="FCK332"/>
      <c r="FCL332"/>
      <c r="FCO332"/>
      <c r="FCP332"/>
      <c r="FCS332"/>
      <c r="FCT332"/>
      <c r="FCW332"/>
      <c r="FCX332"/>
      <c r="FDA332"/>
      <c r="FDB332"/>
      <c r="FDE332"/>
      <c r="FDF332"/>
      <c r="FDI332"/>
      <c r="FDJ332"/>
      <c r="FDM332"/>
      <c r="FDN332"/>
      <c r="FDQ332"/>
      <c r="FDR332"/>
      <c r="FDU332"/>
      <c r="FDV332"/>
      <c r="FDY332"/>
      <c r="FDZ332"/>
      <c r="FEC332"/>
      <c r="FED332"/>
      <c r="FEG332"/>
      <c r="FEH332"/>
      <c r="FEK332"/>
      <c r="FEL332"/>
      <c r="FEO332"/>
      <c r="FEP332"/>
      <c r="FES332"/>
      <c r="FET332"/>
      <c r="FEW332"/>
      <c r="FEX332"/>
      <c r="FFA332"/>
      <c r="FFB332"/>
      <c r="FFE332"/>
      <c r="FFF332"/>
      <c r="FFI332"/>
      <c r="FFJ332"/>
      <c r="FFM332"/>
      <c r="FFN332"/>
      <c r="FFQ332"/>
      <c r="FFR332"/>
      <c r="FFU332"/>
      <c r="FFV332"/>
      <c r="FFY332"/>
      <c r="FFZ332"/>
      <c r="FGC332"/>
      <c r="FGD332"/>
      <c r="FGG332"/>
      <c r="FGH332"/>
      <c r="FGK332"/>
      <c r="FGL332"/>
      <c r="FGO332"/>
      <c r="FGP332"/>
      <c r="FGS332"/>
      <c r="FGT332"/>
      <c r="FGW332"/>
      <c r="FGX332"/>
      <c r="FHA332"/>
      <c r="FHB332"/>
      <c r="FHE332"/>
      <c r="FHF332"/>
      <c r="FHI332"/>
      <c r="FHJ332"/>
      <c r="FHM332"/>
      <c r="FHN332"/>
      <c r="FHQ332"/>
      <c r="FHR332"/>
      <c r="FHU332"/>
      <c r="FHV332"/>
      <c r="FHY332"/>
      <c r="FHZ332"/>
      <c r="FIC332"/>
      <c r="FID332"/>
      <c r="FIG332"/>
      <c r="FIH332"/>
      <c r="FIK332"/>
      <c r="FIL332"/>
      <c r="FIO332"/>
      <c r="FIP332"/>
      <c r="FIS332"/>
      <c r="FIT332"/>
      <c r="FIW332"/>
      <c r="FIX332"/>
      <c r="FJA332"/>
      <c r="FJB332"/>
      <c r="FJE332"/>
      <c r="FJF332"/>
      <c r="FJI332"/>
      <c r="FJJ332"/>
      <c r="FJM332"/>
      <c r="FJN332"/>
      <c r="FJQ332"/>
      <c r="FJR332"/>
      <c r="FJU332"/>
      <c r="FJV332"/>
      <c r="FJY332"/>
      <c r="FJZ332"/>
      <c r="FKC332"/>
      <c r="FKD332"/>
      <c r="FKG332"/>
      <c r="FKH332"/>
      <c r="FKK332"/>
      <c r="FKL332"/>
      <c r="FKO332"/>
      <c r="FKP332"/>
      <c r="FKS332"/>
      <c r="FKT332"/>
      <c r="FKW332"/>
      <c r="FKX332"/>
      <c r="FLA332"/>
      <c r="FLB332"/>
      <c r="FLE332"/>
      <c r="FLF332"/>
      <c r="FLI332"/>
      <c r="FLJ332"/>
      <c r="FLM332"/>
      <c r="FLN332"/>
      <c r="FLQ332"/>
      <c r="FLR332"/>
      <c r="FLU332"/>
      <c r="FLV332"/>
      <c r="FLY332"/>
      <c r="FLZ332"/>
      <c r="FMC332"/>
      <c r="FMD332"/>
      <c r="FMG332"/>
      <c r="FMH332"/>
      <c r="FMK332"/>
      <c r="FML332"/>
      <c r="FMO332"/>
      <c r="FMP332"/>
      <c r="FMS332"/>
      <c r="FMT332"/>
      <c r="FMW332"/>
      <c r="FMX332"/>
      <c r="FNA332"/>
      <c r="FNB332"/>
      <c r="FNE332"/>
      <c r="FNF332"/>
      <c r="FNI332"/>
      <c r="FNJ332"/>
      <c r="FNM332"/>
      <c r="FNN332"/>
      <c r="FNQ332"/>
      <c r="FNR332"/>
      <c r="FNU332"/>
      <c r="FNV332"/>
      <c r="FNY332"/>
      <c r="FNZ332"/>
      <c r="FOC332"/>
      <c r="FOD332"/>
      <c r="FOG332"/>
      <c r="FOH332"/>
      <c r="FOK332"/>
      <c r="FOL332"/>
      <c r="FOO332"/>
      <c r="FOP332"/>
      <c r="FOS332"/>
      <c r="FOT332"/>
      <c r="FOW332"/>
      <c r="FOX332"/>
      <c r="FPA332"/>
      <c r="FPB332"/>
      <c r="FPE332"/>
      <c r="FPF332"/>
      <c r="FPI332"/>
      <c r="FPJ332"/>
      <c r="FPM332"/>
      <c r="FPN332"/>
      <c r="FPQ332"/>
      <c r="FPR332"/>
      <c r="FPU332"/>
      <c r="FPV332"/>
      <c r="FPY332"/>
      <c r="FPZ332"/>
      <c r="FQC332"/>
      <c r="FQD332"/>
      <c r="FQG332"/>
      <c r="FQH332"/>
      <c r="FQK332"/>
      <c r="FQL332"/>
      <c r="FQO332"/>
      <c r="FQP332"/>
      <c r="FQS332"/>
      <c r="FQT332"/>
      <c r="FQW332"/>
      <c r="FQX332"/>
      <c r="FRA332"/>
      <c r="FRB332"/>
      <c r="FRE332"/>
      <c r="FRF332"/>
      <c r="FRI332"/>
      <c r="FRJ332"/>
      <c r="FRM332"/>
      <c r="FRN332"/>
      <c r="FRQ332"/>
      <c r="FRR332"/>
      <c r="FRU332"/>
      <c r="FRV332"/>
      <c r="FRY332"/>
      <c r="FRZ332"/>
      <c r="FSC332"/>
      <c r="FSD332"/>
      <c r="FSG332"/>
      <c r="FSH332"/>
      <c r="FSK332"/>
      <c r="FSL332"/>
      <c r="FSO332"/>
      <c r="FSP332"/>
      <c r="FSS332"/>
      <c r="FST332"/>
      <c r="FSW332"/>
      <c r="FSX332"/>
      <c r="FTA332"/>
      <c r="FTB332"/>
      <c r="FTE332"/>
      <c r="FTF332"/>
      <c r="FTI332"/>
      <c r="FTJ332"/>
      <c r="FTM332"/>
      <c r="FTN332"/>
      <c r="FTQ332"/>
      <c r="FTR332"/>
      <c r="FTU332"/>
      <c r="FTV332"/>
      <c r="FTY332"/>
      <c r="FTZ332"/>
      <c r="FUC332"/>
      <c r="FUD332"/>
      <c r="FUG332"/>
      <c r="FUH332"/>
      <c r="FUK332"/>
      <c r="FUL332"/>
      <c r="FUO332"/>
      <c r="FUP332"/>
      <c r="FUS332"/>
      <c r="FUT332"/>
      <c r="FUW332"/>
      <c r="FUX332"/>
      <c r="FVA332"/>
      <c r="FVB332"/>
      <c r="FVE332"/>
      <c r="FVF332"/>
      <c r="FVI332"/>
      <c r="FVJ332"/>
      <c r="FVM332"/>
      <c r="FVN332"/>
      <c r="FVQ332"/>
      <c r="FVR332"/>
      <c r="FVU332"/>
      <c r="FVV332"/>
      <c r="FVY332"/>
      <c r="FVZ332"/>
      <c r="FWC332"/>
      <c r="FWD332"/>
      <c r="FWG332"/>
      <c r="FWH332"/>
      <c r="FWK332"/>
      <c r="FWL332"/>
      <c r="FWO332"/>
      <c r="FWP332"/>
      <c r="FWS332"/>
      <c r="FWT332"/>
      <c r="FWW332"/>
      <c r="FWX332"/>
      <c r="FXA332"/>
      <c r="FXB332"/>
      <c r="FXE332"/>
      <c r="FXF332"/>
      <c r="FXI332"/>
      <c r="FXJ332"/>
      <c r="FXM332"/>
      <c r="FXN332"/>
      <c r="FXQ332"/>
      <c r="FXR332"/>
      <c r="FXU332"/>
      <c r="FXV332"/>
      <c r="FXY332"/>
      <c r="FXZ332"/>
      <c r="FYC332"/>
      <c r="FYD332"/>
      <c r="FYG332"/>
      <c r="FYH332"/>
      <c r="FYK332"/>
      <c r="FYL332"/>
      <c r="FYO332"/>
      <c r="FYP332"/>
      <c r="FYS332"/>
      <c r="FYT332"/>
      <c r="FYW332"/>
      <c r="FYX332"/>
      <c r="FZA332"/>
      <c r="FZB332"/>
      <c r="FZE332"/>
      <c r="FZF332"/>
      <c r="FZI332"/>
      <c r="FZJ332"/>
      <c r="FZM332"/>
      <c r="FZN332"/>
      <c r="FZQ332"/>
      <c r="FZR332"/>
      <c r="FZU332"/>
      <c r="FZV332"/>
      <c r="FZY332"/>
      <c r="FZZ332"/>
      <c r="GAC332"/>
      <c r="GAD332"/>
      <c r="GAG332"/>
      <c r="GAH332"/>
      <c r="GAK332"/>
      <c r="GAL332"/>
      <c r="GAO332"/>
      <c r="GAP332"/>
      <c r="GAS332"/>
      <c r="GAT332"/>
      <c r="GAW332"/>
      <c r="GAX332"/>
      <c r="GBA332"/>
      <c r="GBB332"/>
      <c r="GBE332"/>
      <c r="GBF332"/>
      <c r="GBI332"/>
      <c r="GBJ332"/>
      <c r="GBM332"/>
      <c r="GBN332"/>
      <c r="GBQ332"/>
      <c r="GBR332"/>
      <c r="GBU332"/>
      <c r="GBV332"/>
      <c r="GBY332"/>
      <c r="GBZ332"/>
      <c r="GCC332"/>
      <c r="GCD332"/>
      <c r="GCG332"/>
      <c r="GCH332"/>
      <c r="GCK332"/>
      <c r="GCL332"/>
      <c r="GCO332"/>
      <c r="GCP332"/>
      <c r="GCS332"/>
      <c r="GCT332"/>
      <c r="GCW332"/>
      <c r="GCX332"/>
      <c r="GDA332"/>
      <c r="GDB332"/>
      <c r="GDE332"/>
      <c r="GDF332"/>
      <c r="GDI332"/>
      <c r="GDJ332"/>
      <c r="GDM332"/>
      <c r="GDN332"/>
      <c r="GDQ332"/>
      <c r="GDR332"/>
      <c r="GDU332"/>
      <c r="GDV332"/>
      <c r="GDY332"/>
      <c r="GDZ332"/>
      <c r="GEC332"/>
      <c r="GED332"/>
      <c r="GEG332"/>
      <c r="GEH332"/>
      <c r="GEK332"/>
      <c r="GEL332"/>
      <c r="GEO332"/>
      <c r="GEP332"/>
      <c r="GES332"/>
      <c r="GET332"/>
      <c r="GEW332"/>
      <c r="GEX332"/>
      <c r="GFA332"/>
      <c r="GFB332"/>
      <c r="GFE332"/>
      <c r="GFF332"/>
      <c r="GFI332"/>
      <c r="GFJ332"/>
      <c r="GFM332"/>
      <c r="GFN332"/>
      <c r="GFQ332"/>
      <c r="GFR332"/>
      <c r="GFU332"/>
      <c r="GFV332"/>
      <c r="GFY332"/>
      <c r="GFZ332"/>
      <c r="GGC332"/>
      <c r="GGD332"/>
      <c r="GGG332"/>
      <c r="GGH332"/>
      <c r="GGK332"/>
      <c r="GGL332"/>
      <c r="GGO332"/>
      <c r="GGP332"/>
      <c r="GGS332"/>
      <c r="GGT332"/>
      <c r="GGW332"/>
      <c r="GGX332"/>
      <c r="GHA332"/>
      <c r="GHB332"/>
      <c r="GHE332"/>
      <c r="GHF332"/>
      <c r="GHI332"/>
      <c r="GHJ332"/>
      <c r="GHM332"/>
      <c r="GHN332"/>
      <c r="GHQ332"/>
      <c r="GHR332"/>
      <c r="GHU332"/>
      <c r="GHV332"/>
      <c r="GHY332"/>
      <c r="GHZ332"/>
      <c r="GIC332"/>
      <c r="GID332"/>
      <c r="GIG332"/>
      <c r="GIH332"/>
      <c r="GIK332"/>
      <c r="GIL332"/>
      <c r="GIO332"/>
      <c r="GIP332"/>
      <c r="GIS332"/>
      <c r="GIT332"/>
      <c r="GIW332"/>
      <c r="GIX332"/>
      <c r="GJA332"/>
      <c r="GJB332"/>
      <c r="GJE332"/>
      <c r="GJF332"/>
      <c r="GJI332"/>
      <c r="GJJ332"/>
      <c r="GJM332"/>
      <c r="GJN332"/>
      <c r="GJQ332"/>
      <c r="GJR332"/>
      <c r="GJU332"/>
      <c r="GJV332"/>
      <c r="GJY332"/>
      <c r="GJZ332"/>
      <c r="GKC332"/>
      <c r="GKD332"/>
      <c r="GKG332"/>
      <c r="GKH332"/>
      <c r="GKK332"/>
      <c r="GKL332"/>
      <c r="GKO332"/>
      <c r="GKP332"/>
      <c r="GKS332"/>
      <c r="GKT332"/>
      <c r="GKW332"/>
      <c r="GKX332"/>
      <c r="GLA332"/>
      <c r="GLB332"/>
      <c r="GLE332"/>
      <c r="GLF332"/>
      <c r="GLI332"/>
      <c r="GLJ332"/>
      <c r="GLM332"/>
      <c r="GLN332"/>
      <c r="GLQ332"/>
      <c r="GLR332"/>
      <c r="GLU332"/>
      <c r="GLV332"/>
      <c r="GLY332"/>
      <c r="GLZ332"/>
      <c r="GMC332"/>
      <c r="GMD332"/>
      <c r="GMG332"/>
      <c r="GMH332"/>
      <c r="GMK332"/>
      <c r="GML332"/>
      <c r="GMO332"/>
      <c r="GMP332"/>
      <c r="GMS332"/>
      <c r="GMT332"/>
      <c r="GMW332"/>
      <c r="GMX332"/>
      <c r="GNA332"/>
      <c r="GNB332"/>
      <c r="GNE332"/>
      <c r="GNF332"/>
      <c r="GNI332"/>
      <c r="GNJ332"/>
      <c r="GNM332"/>
      <c r="GNN332"/>
      <c r="GNQ332"/>
      <c r="GNR332"/>
      <c r="GNU332"/>
      <c r="GNV332"/>
      <c r="GNY332"/>
      <c r="GNZ332"/>
      <c r="GOC332"/>
      <c r="GOD332"/>
      <c r="GOG332"/>
      <c r="GOH332"/>
      <c r="GOK332"/>
      <c r="GOL332"/>
      <c r="GOO332"/>
      <c r="GOP332"/>
      <c r="GOS332"/>
      <c r="GOT332"/>
      <c r="GOW332"/>
      <c r="GOX332"/>
      <c r="GPA332"/>
      <c r="GPB332"/>
      <c r="GPE332"/>
      <c r="GPF332"/>
      <c r="GPI332"/>
      <c r="GPJ332"/>
      <c r="GPM332"/>
      <c r="GPN332"/>
      <c r="GPQ332"/>
      <c r="GPR332"/>
      <c r="GPU332"/>
      <c r="GPV332"/>
      <c r="GPY332"/>
      <c r="GPZ332"/>
      <c r="GQC332"/>
      <c r="GQD332"/>
      <c r="GQG332"/>
      <c r="GQH332"/>
      <c r="GQK332"/>
      <c r="GQL332"/>
      <c r="GQO332"/>
      <c r="GQP332"/>
      <c r="GQS332"/>
      <c r="GQT332"/>
      <c r="GQW332"/>
      <c r="GQX332"/>
      <c r="GRA332"/>
      <c r="GRB332"/>
      <c r="GRE332"/>
      <c r="GRF332"/>
      <c r="GRI332"/>
      <c r="GRJ332"/>
      <c r="GRM332"/>
      <c r="GRN332"/>
      <c r="GRQ332"/>
      <c r="GRR332"/>
      <c r="GRU332"/>
      <c r="GRV332"/>
      <c r="GRY332"/>
      <c r="GRZ332"/>
      <c r="GSC332"/>
      <c r="GSD332"/>
      <c r="GSG332"/>
      <c r="GSH332"/>
      <c r="GSK332"/>
      <c r="GSL332"/>
      <c r="GSO332"/>
      <c r="GSP332"/>
      <c r="GSS332"/>
      <c r="GST332"/>
      <c r="GSW332"/>
      <c r="GSX332"/>
      <c r="GTA332"/>
      <c r="GTB332"/>
      <c r="GTE332"/>
      <c r="GTF332"/>
      <c r="GTI332"/>
      <c r="GTJ332"/>
      <c r="GTM332"/>
      <c r="GTN332"/>
      <c r="GTQ332"/>
      <c r="GTR332"/>
      <c r="GTU332"/>
      <c r="GTV332"/>
      <c r="GTY332"/>
      <c r="GTZ332"/>
      <c r="GUC332"/>
      <c r="GUD332"/>
      <c r="GUG332"/>
      <c r="GUH332"/>
      <c r="GUK332"/>
      <c r="GUL332"/>
      <c r="GUO332"/>
      <c r="GUP332"/>
      <c r="GUS332"/>
      <c r="GUT332"/>
      <c r="GUW332"/>
      <c r="GUX332"/>
      <c r="GVA332"/>
      <c r="GVB332"/>
      <c r="GVE332"/>
      <c r="GVF332"/>
      <c r="GVI332"/>
      <c r="GVJ332"/>
      <c r="GVM332"/>
      <c r="GVN332"/>
      <c r="GVQ332"/>
      <c r="GVR332"/>
      <c r="GVU332"/>
      <c r="GVV332"/>
      <c r="GVY332"/>
      <c r="GVZ332"/>
      <c r="GWC332"/>
      <c r="GWD332"/>
      <c r="GWG332"/>
      <c r="GWH332"/>
      <c r="GWK332"/>
      <c r="GWL332"/>
      <c r="GWO332"/>
      <c r="GWP332"/>
      <c r="GWS332"/>
      <c r="GWT332"/>
      <c r="GWW332"/>
      <c r="GWX332"/>
      <c r="GXA332"/>
      <c r="GXB332"/>
      <c r="GXE332"/>
      <c r="GXF332"/>
      <c r="GXI332"/>
      <c r="GXJ332"/>
      <c r="GXM332"/>
      <c r="GXN332"/>
      <c r="GXQ332"/>
      <c r="GXR332"/>
      <c r="GXU332"/>
      <c r="GXV332"/>
      <c r="GXY332"/>
      <c r="GXZ332"/>
      <c r="GYC332"/>
      <c r="GYD332"/>
      <c r="GYG332"/>
      <c r="GYH332"/>
      <c r="GYK332"/>
      <c r="GYL332"/>
      <c r="GYO332"/>
      <c r="GYP332"/>
      <c r="GYS332"/>
      <c r="GYT332"/>
      <c r="GYW332"/>
      <c r="GYX332"/>
      <c r="GZA332"/>
      <c r="GZB332"/>
      <c r="GZE332"/>
      <c r="GZF332"/>
      <c r="GZI332"/>
      <c r="GZJ332"/>
      <c r="GZM332"/>
      <c r="GZN332"/>
      <c r="GZQ332"/>
      <c r="GZR332"/>
      <c r="GZU332"/>
      <c r="GZV332"/>
      <c r="GZY332"/>
      <c r="GZZ332"/>
      <c r="HAC332"/>
      <c r="HAD332"/>
      <c r="HAG332"/>
      <c r="HAH332"/>
      <c r="HAK332"/>
      <c r="HAL332"/>
      <c r="HAO332"/>
      <c r="HAP332"/>
      <c r="HAS332"/>
      <c r="HAT332"/>
      <c r="HAW332"/>
      <c r="HAX332"/>
      <c r="HBA332"/>
      <c r="HBB332"/>
      <c r="HBE332"/>
      <c r="HBF332"/>
      <c r="HBI332"/>
      <c r="HBJ332"/>
      <c r="HBM332"/>
      <c r="HBN332"/>
      <c r="HBQ332"/>
      <c r="HBR332"/>
      <c r="HBU332"/>
      <c r="HBV332"/>
      <c r="HBY332"/>
      <c r="HBZ332"/>
      <c r="HCC332"/>
      <c r="HCD332"/>
      <c r="HCG332"/>
      <c r="HCH332"/>
      <c r="HCK332"/>
      <c r="HCL332"/>
      <c r="HCO332"/>
      <c r="HCP332"/>
      <c r="HCS332"/>
      <c r="HCT332"/>
      <c r="HCW332"/>
      <c r="HCX332"/>
      <c r="HDA332"/>
      <c r="HDB332"/>
      <c r="HDE332"/>
      <c r="HDF332"/>
      <c r="HDI332"/>
      <c r="HDJ332"/>
      <c r="HDM332"/>
      <c r="HDN332"/>
      <c r="HDQ332"/>
      <c r="HDR332"/>
      <c r="HDU332"/>
      <c r="HDV332"/>
      <c r="HDY332"/>
      <c r="HDZ332"/>
      <c r="HEC332"/>
      <c r="HED332"/>
      <c r="HEG332"/>
      <c r="HEH332"/>
      <c r="HEK332"/>
      <c r="HEL332"/>
      <c r="HEO332"/>
      <c r="HEP332"/>
      <c r="HES332"/>
      <c r="HET332"/>
      <c r="HEW332"/>
      <c r="HEX332"/>
      <c r="HFA332"/>
      <c r="HFB332"/>
      <c r="HFE332"/>
      <c r="HFF332"/>
      <c r="HFI332"/>
      <c r="HFJ332"/>
      <c r="HFM332"/>
      <c r="HFN332"/>
      <c r="HFQ332"/>
      <c r="HFR332"/>
      <c r="HFU332"/>
      <c r="HFV332"/>
      <c r="HFY332"/>
      <c r="HFZ332"/>
      <c r="HGC332"/>
      <c r="HGD332"/>
      <c r="HGG332"/>
      <c r="HGH332"/>
      <c r="HGK332"/>
      <c r="HGL332"/>
      <c r="HGO332"/>
      <c r="HGP332"/>
      <c r="HGS332"/>
      <c r="HGT332"/>
      <c r="HGW332"/>
      <c r="HGX332"/>
      <c r="HHA332"/>
      <c r="HHB332"/>
      <c r="HHE332"/>
      <c r="HHF332"/>
      <c r="HHI332"/>
      <c r="HHJ332"/>
      <c r="HHM332"/>
      <c r="HHN332"/>
      <c r="HHQ332"/>
      <c r="HHR332"/>
      <c r="HHU332"/>
      <c r="HHV332"/>
      <c r="HHY332"/>
      <c r="HHZ332"/>
      <c r="HIC332"/>
      <c r="HID332"/>
      <c r="HIG332"/>
      <c r="HIH332"/>
      <c r="HIK332"/>
      <c r="HIL332"/>
      <c r="HIO332"/>
      <c r="HIP332"/>
      <c r="HIS332"/>
      <c r="HIT332"/>
      <c r="HIW332"/>
      <c r="HIX332"/>
      <c r="HJA332"/>
      <c r="HJB332"/>
      <c r="HJE332"/>
      <c r="HJF332"/>
      <c r="HJI332"/>
      <c r="HJJ332"/>
      <c r="HJM332"/>
      <c r="HJN332"/>
      <c r="HJQ332"/>
      <c r="HJR332"/>
      <c r="HJU332"/>
      <c r="HJV332"/>
      <c r="HJY332"/>
      <c r="HJZ332"/>
      <c r="HKC332"/>
      <c r="HKD332"/>
      <c r="HKG332"/>
      <c r="HKH332"/>
      <c r="HKK332"/>
      <c r="HKL332"/>
      <c r="HKO332"/>
      <c r="HKP332"/>
      <c r="HKS332"/>
      <c r="HKT332"/>
      <c r="HKW332"/>
      <c r="HKX332"/>
      <c r="HLA332"/>
      <c r="HLB332"/>
      <c r="HLE332"/>
      <c r="HLF332"/>
      <c r="HLI332"/>
      <c r="HLJ332"/>
      <c r="HLM332"/>
      <c r="HLN332"/>
      <c r="HLQ332"/>
      <c r="HLR332"/>
      <c r="HLU332"/>
      <c r="HLV332"/>
      <c r="HLY332"/>
      <c r="HLZ332"/>
      <c r="HMC332"/>
      <c r="HMD332"/>
      <c r="HMG332"/>
      <c r="HMH332"/>
      <c r="HMK332"/>
      <c r="HML332"/>
      <c r="HMO332"/>
      <c r="HMP332"/>
      <c r="HMS332"/>
      <c r="HMT332"/>
      <c r="HMW332"/>
      <c r="HMX332"/>
      <c r="HNA332"/>
      <c r="HNB332"/>
      <c r="HNE332"/>
      <c r="HNF332"/>
      <c r="HNI332"/>
      <c r="HNJ332"/>
      <c r="HNM332"/>
      <c r="HNN332"/>
      <c r="HNQ332"/>
      <c r="HNR332"/>
      <c r="HNU332"/>
      <c r="HNV332"/>
      <c r="HNY332"/>
      <c r="HNZ332"/>
      <c r="HOC332"/>
      <c r="HOD332"/>
      <c r="HOG332"/>
      <c r="HOH332"/>
      <c r="HOK332"/>
      <c r="HOL332"/>
      <c r="HOO332"/>
      <c r="HOP332"/>
      <c r="HOS332"/>
      <c r="HOT332"/>
      <c r="HOW332"/>
      <c r="HOX332"/>
      <c r="HPA332"/>
      <c r="HPB332"/>
      <c r="HPE332"/>
      <c r="HPF332"/>
      <c r="HPI332"/>
      <c r="HPJ332"/>
      <c r="HPM332"/>
      <c r="HPN332"/>
      <c r="HPQ332"/>
      <c r="HPR332"/>
      <c r="HPU332"/>
      <c r="HPV332"/>
      <c r="HPY332"/>
      <c r="HPZ332"/>
      <c r="HQC332"/>
      <c r="HQD332"/>
      <c r="HQG332"/>
      <c r="HQH332"/>
      <c r="HQK332"/>
      <c r="HQL332"/>
      <c r="HQO332"/>
      <c r="HQP332"/>
      <c r="HQS332"/>
      <c r="HQT332"/>
      <c r="HQW332"/>
      <c r="HQX332"/>
      <c r="HRA332"/>
      <c r="HRB332"/>
      <c r="HRE332"/>
      <c r="HRF332"/>
      <c r="HRI332"/>
      <c r="HRJ332"/>
      <c r="HRM332"/>
      <c r="HRN332"/>
      <c r="HRQ332"/>
      <c r="HRR332"/>
      <c r="HRU332"/>
      <c r="HRV332"/>
      <c r="HRY332"/>
      <c r="HRZ332"/>
      <c r="HSC332"/>
      <c r="HSD332"/>
      <c r="HSG332"/>
      <c r="HSH332"/>
      <c r="HSK332"/>
      <c r="HSL332"/>
      <c r="HSO332"/>
      <c r="HSP332"/>
      <c r="HSS332"/>
      <c r="HST332"/>
      <c r="HSW332"/>
      <c r="HSX332"/>
      <c r="HTA332"/>
      <c r="HTB332"/>
      <c r="HTE332"/>
      <c r="HTF332"/>
      <c r="HTI332"/>
      <c r="HTJ332"/>
      <c r="HTM332"/>
      <c r="HTN332"/>
      <c r="HTQ332"/>
      <c r="HTR332"/>
      <c r="HTU332"/>
      <c r="HTV332"/>
      <c r="HTY332"/>
      <c r="HTZ332"/>
      <c r="HUC332"/>
      <c r="HUD332"/>
      <c r="HUG332"/>
      <c r="HUH332"/>
      <c r="HUK332"/>
      <c r="HUL332"/>
      <c r="HUO332"/>
      <c r="HUP332"/>
      <c r="HUS332"/>
      <c r="HUT332"/>
      <c r="HUW332"/>
      <c r="HUX332"/>
      <c r="HVA332"/>
      <c r="HVB332"/>
      <c r="HVE332"/>
      <c r="HVF332"/>
      <c r="HVI332"/>
      <c r="HVJ332"/>
      <c r="HVM332"/>
      <c r="HVN332"/>
      <c r="HVQ332"/>
      <c r="HVR332"/>
      <c r="HVU332"/>
      <c r="HVV332"/>
      <c r="HVY332"/>
      <c r="HVZ332"/>
      <c r="HWC332"/>
      <c r="HWD332"/>
      <c r="HWG332"/>
      <c r="HWH332"/>
      <c r="HWK332"/>
      <c r="HWL332"/>
      <c r="HWO332"/>
      <c r="HWP332"/>
      <c r="HWS332"/>
      <c r="HWT332"/>
      <c r="HWW332"/>
      <c r="HWX332"/>
      <c r="HXA332"/>
      <c r="HXB332"/>
      <c r="HXE332"/>
      <c r="HXF332"/>
      <c r="HXI332"/>
      <c r="HXJ332"/>
      <c r="HXM332"/>
      <c r="HXN332"/>
      <c r="HXQ332"/>
      <c r="HXR332"/>
      <c r="HXU332"/>
      <c r="HXV332"/>
      <c r="HXY332"/>
      <c r="HXZ332"/>
      <c r="HYC332"/>
      <c r="HYD332"/>
      <c r="HYG332"/>
      <c r="HYH332"/>
      <c r="HYK332"/>
      <c r="HYL332"/>
      <c r="HYO332"/>
      <c r="HYP332"/>
      <c r="HYS332"/>
      <c r="HYT332"/>
      <c r="HYW332"/>
      <c r="HYX332"/>
      <c r="HZA332"/>
      <c r="HZB332"/>
      <c r="HZE332"/>
      <c r="HZF332"/>
      <c r="HZI332"/>
      <c r="HZJ332"/>
      <c r="HZM332"/>
      <c r="HZN332"/>
      <c r="HZQ332"/>
      <c r="HZR332"/>
      <c r="HZU332"/>
      <c r="HZV332"/>
      <c r="HZY332"/>
      <c r="HZZ332"/>
      <c r="IAC332"/>
      <c r="IAD332"/>
      <c r="IAG332"/>
      <c r="IAH332"/>
      <c r="IAK332"/>
      <c r="IAL332"/>
      <c r="IAO332"/>
      <c r="IAP332"/>
      <c r="IAS332"/>
      <c r="IAT332"/>
      <c r="IAW332"/>
      <c r="IAX332"/>
      <c r="IBA332"/>
      <c r="IBB332"/>
      <c r="IBE332"/>
      <c r="IBF332"/>
      <c r="IBI332"/>
      <c r="IBJ332"/>
      <c r="IBM332"/>
      <c r="IBN332"/>
      <c r="IBQ332"/>
      <c r="IBR332"/>
      <c r="IBU332"/>
      <c r="IBV332"/>
      <c r="IBY332"/>
      <c r="IBZ332"/>
      <c r="ICC332"/>
      <c r="ICD332"/>
      <c r="ICG332"/>
      <c r="ICH332"/>
      <c r="ICK332"/>
      <c r="ICL332"/>
      <c r="ICO332"/>
      <c r="ICP332"/>
      <c r="ICS332"/>
      <c r="ICT332"/>
      <c r="ICW332"/>
      <c r="ICX332"/>
      <c r="IDA332"/>
      <c r="IDB332"/>
      <c r="IDE332"/>
      <c r="IDF332"/>
      <c r="IDI332"/>
      <c r="IDJ332"/>
      <c r="IDM332"/>
      <c r="IDN332"/>
      <c r="IDQ332"/>
      <c r="IDR332"/>
      <c r="IDU332"/>
      <c r="IDV332"/>
      <c r="IDY332"/>
      <c r="IDZ332"/>
      <c r="IEC332"/>
      <c r="IED332"/>
      <c r="IEG332"/>
      <c r="IEH332"/>
      <c r="IEK332"/>
      <c r="IEL332"/>
      <c r="IEO332"/>
      <c r="IEP332"/>
      <c r="IES332"/>
      <c r="IET332"/>
      <c r="IEW332"/>
      <c r="IEX332"/>
      <c r="IFA332"/>
      <c r="IFB332"/>
      <c r="IFE332"/>
      <c r="IFF332"/>
      <c r="IFI332"/>
      <c r="IFJ332"/>
      <c r="IFM332"/>
      <c r="IFN332"/>
      <c r="IFQ332"/>
      <c r="IFR332"/>
      <c r="IFU332"/>
      <c r="IFV332"/>
      <c r="IFY332"/>
      <c r="IFZ332"/>
      <c r="IGC332"/>
      <c r="IGD332"/>
      <c r="IGG332"/>
      <c r="IGH332"/>
      <c r="IGK332"/>
      <c r="IGL332"/>
      <c r="IGO332"/>
      <c r="IGP332"/>
      <c r="IGS332"/>
      <c r="IGT332"/>
      <c r="IGW332"/>
      <c r="IGX332"/>
      <c r="IHA332"/>
      <c r="IHB332"/>
      <c r="IHE332"/>
      <c r="IHF332"/>
      <c r="IHI332"/>
      <c r="IHJ332"/>
      <c r="IHM332"/>
      <c r="IHN332"/>
      <c r="IHQ332"/>
      <c r="IHR332"/>
      <c r="IHU332"/>
      <c r="IHV332"/>
      <c r="IHY332"/>
      <c r="IHZ332"/>
      <c r="IIC332"/>
      <c r="IID332"/>
      <c r="IIG332"/>
      <c r="IIH332"/>
      <c r="IIK332"/>
      <c r="IIL332"/>
      <c r="IIO332"/>
      <c r="IIP332"/>
      <c r="IIS332"/>
      <c r="IIT332"/>
      <c r="IIW332"/>
      <c r="IIX332"/>
      <c r="IJA332"/>
      <c r="IJB332"/>
      <c r="IJE332"/>
      <c r="IJF332"/>
      <c r="IJI332"/>
      <c r="IJJ332"/>
      <c r="IJM332"/>
      <c r="IJN332"/>
      <c r="IJQ332"/>
      <c r="IJR332"/>
      <c r="IJU332"/>
      <c r="IJV332"/>
      <c r="IJY332"/>
      <c r="IJZ332"/>
      <c r="IKC332"/>
      <c r="IKD332"/>
      <c r="IKG332"/>
      <c r="IKH332"/>
      <c r="IKK332"/>
      <c r="IKL332"/>
      <c r="IKO332"/>
      <c r="IKP332"/>
      <c r="IKS332"/>
      <c r="IKT332"/>
      <c r="IKW332"/>
      <c r="IKX332"/>
      <c r="ILA332"/>
      <c r="ILB332"/>
      <c r="ILE332"/>
      <c r="ILF332"/>
      <c r="ILI332"/>
      <c r="ILJ332"/>
      <c r="ILM332"/>
      <c r="ILN332"/>
      <c r="ILQ332"/>
      <c r="ILR332"/>
      <c r="ILU332"/>
      <c r="ILV332"/>
      <c r="ILY332"/>
      <c r="ILZ332"/>
      <c r="IMC332"/>
      <c r="IMD332"/>
      <c r="IMG332"/>
      <c r="IMH332"/>
      <c r="IMK332"/>
      <c r="IML332"/>
      <c r="IMO332"/>
      <c r="IMP332"/>
      <c r="IMS332"/>
      <c r="IMT332"/>
      <c r="IMW332"/>
      <c r="IMX332"/>
      <c r="INA332"/>
      <c r="INB332"/>
      <c r="INE332"/>
      <c r="INF332"/>
      <c r="INI332"/>
      <c r="INJ332"/>
      <c r="INM332"/>
      <c r="INN332"/>
      <c r="INQ332"/>
      <c r="INR332"/>
      <c r="INU332"/>
      <c r="INV332"/>
      <c r="INY332"/>
      <c r="INZ332"/>
      <c r="IOC332"/>
      <c r="IOD332"/>
      <c r="IOG332"/>
      <c r="IOH332"/>
      <c r="IOK332"/>
      <c r="IOL332"/>
      <c r="IOO332"/>
      <c r="IOP332"/>
      <c r="IOS332"/>
      <c r="IOT332"/>
      <c r="IOW332"/>
      <c r="IOX332"/>
      <c r="IPA332"/>
      <c r="IPB332"/>
      <c r="IPE332"/>
      <c r="IPF332"/>
      <c r="IPI332"/>
      <c r="IPJ332"/>
      <c r="IPM332"/>
      <c r="IPN332"/>
      <c r="IPQ332"/>
      <c r="IPR332"/>
      <c r="IPU332"/>
      <c r="IPV332"/>
      <c r="IPY332"/>
      <c r="IPZ332"/>
      <c r="IQC332"/>
      <c r="IQD332"/>
      <c r="IQG332"/>
      <c r="IQH332"/>
      <c r="IQK332"/>
      <c r="IQL332"/>
      <c r="IQO332"/>
      <c r="IQP332"/>
      <c r="IQS332"/>
      <c r="IQT332"/>
      <c r="IQW332"/>
      <c r="IQX332"/>
      <c r="IRA332"/>
      <c r="IRB332"/>
      <c r="IRE332"/>
      <c r="IRF332"/>
      <c r="IRI332"/>
      <c r="IRJ332"/>
      <c r="IRM332"/>
      <c r="IRN332"/>
      <c r="IRQ332"/>
      <c r="IRR332"/>
      <c r="IRU332"/>
      <c r="IRV332"/>
      <c r="IRY332"/>
      <c r="IRZ332"/>
      <c r="ISC332"/>
      <c r="ISD332"/>
      <c r="ISG332"/>
      <c r="ISH332"/>
      <c r="ISK332"/>
      <c r="ISL332"/>
      <c r="ISO332"/>
      <c r="ISP332"/>
      <c r="ISS332"/>
      <c r="IST332"/>
      <c r="ISW332"/>
      <c r="ISX332"/>
      <c r="ITA332"/>
      <c r="ITB332"/>
      <c r="ITE332"/>
      <c r="ITF332"/>
      <c r="ITI332"/>
      <c r="ITJ332"/>
      <c r="ITM332"/>
      <c r="ITN332"/>
      <c r="ITQ332"/>
      <c r="ITR332"/>
      <c r="ITU332"/>
      <c r="ITV332"/>
      <c r="ITY332"/>
      <c r="ITZ332"/>
      <c r="IUC332"/>
      <c r="IUD332"/>
      <c r="IUG332"/>
      <c r="IUH332"/>
      <c r="IUK332"/>
      <c r="IUL332"/>
      <c r="IUO332"/>
      <c r="IUP332"/>
      <c r="IUS332"/>
      <c r="IUT332"/>
      <c r="IUW332"/>
      <c r="IUX332"/>
      <c r="IVA332"/>
      <c r="IVB332"/>
      <c r="IVE332"/>
      <c r="IVF332"/>
      <c r="IVI332"/>
      <c r="IVJ332"/>
      <c r="IVM332"/>
      <c r="IVN332"/>
      <c r="IVQ332"/>
      <c r="IVR332"/>
      <c r="IVU332"/>
      <c r="IVV332"/>
      <c r="IVY332"/>
      <c r="IVZ332"/>
      <c r="IWC332"/>
      <c r="IWD332"/>
      <c r="IWG332"/>
      <c r="IWH332"/>
      <c r="IWK332"/>
      <c r="IWL332"/>
      <c r="IWO332"/>
      <c r="IWP332"/>
      <c r="IWS332"/>
      <c r="IWT332"/>
      <c r="IWW332"/>
      <c r="IWX332"/>
      <c r="IXA332"/>
      <c r="IXB332"/>
      <c r="IXE332"/>
      <c r="IXF332"/>
      <c r="IXI332"/>
      <c r="IXJ332"/>
      <c r="IXM332"/>
      <c r="IXN332"/>
      <c r="IXQ332"/>
      <c r="IXR332"/>
      <c r="IXU332"/>
      <c r="IXV332"/>
      <c r="IXY332"/>
      <c r="IXZ332"/>
      <c r="IYC332"/>
      <c r="IYD332"/>
      <c r="IYG332"/>
      <c r="IYH332"/>
      <c r="IYK332"/>
      <c r="IYL332"/>
      <c r="IYO332"/>
      <c r="IYP332"/>
      <c r="IYS332"/>
      <c r="IYT332"/>
      <c r="IYW332"/>
      <c r="IYX332"/>
      <c r="IZA332"/>
      <c r="IZB332"/>
      <c r="IZE332"/>
      <c r="IZF332"/>
      <c r="IZI332"/>
      <c r="IZJ332"/>
      <c r="IZM332"/>
      <c r="IZN332"/>
      <c r="IZQ332"/>
      <c r="IZR332"/>
      <c r="IZU332"/>
      <c r="IZV332"/>
      <c r="IZY332"/>
      <c r="IZZ332"/>
      <c r="JAC332"/>
      <c r="JAD332"/>
      <c r="JAG332"/>
      <c r="JAH332"/>
      <c r="JAK332"/>
      <c r="JAL332"/>
      <c r="JAO332"/>
      <c r="JAP332"/>
      <c r="JAS332"/>
      <c r="JAT332"/>
      <c r="JAW332"/>
      <c r="JAX332"/>
      <c r="JBA332"/>
      <c r="JBB332"/>
      <c r="JBE332"/>
      <c r="JBF332"/>
      <c r="JBI332"/>
      <c r="JBJ332"/>
      <c r="JBM332"/>
      <c r="JBN332"/>
      <c r="JBQ332"/>
      <c r="JBR332"/>
      <c r="JBU332"/>
      <c r="JBV332"/>
      <c r="JBY332"/>
      <c r="JBZ332"/>
      <c r="JCC332"/>
      <c r="JCD332"/>
      <c r="JCG332"/>
      <c r="JCH332"/>
      <c r="JCK332"/>
      <c r="JCL332"/>
      <c r="JCO332"/>
      <c r="JCP332"/>
      <c r="JCS332"/>
      <c r="JCT332"/>
      <c r="JCW332"/>
      <c r="JCX332"/>
      <c r="JDA332"/>
      <c r="JDB332"/>
      <c r="JDE332"/>
      <c r="JDF332"/>
      <c r="JDI332"/>
      <c r="JDJ332"/>
      <c r="JDM332"/>
      <c r="JDN332"/>
      <c r="JDQ332"/>
      <c r="JDR332"/>
      <c r="JDU332"/>
      <c r="JDV332"/>
      <c r="JDY332"/>
      <c r="JDZ332"/>
      <c r="JEC332"/>
      <c r="JED332"/>
      <c r="JEG332"/>
      <c r="JEH332"/>
      <c r="JEK332"/>
      <c r="JEL332"/>
      <c r="JEO332"/>
      <c r="JEP332"/>
      <c r="JES332"/>
      <c r="JET332"/>
      <c r="JEW332"/>
      <c r="JEX332"/>
      <c r="JFA332"/>
      <c r="JFB332"/>
      <c r="JFE332"/>
      <c r="JFF332"/>
      <c r="JFI332"/>
      <c r="JFJ332"/>
      <c r="JFM332"/>
      <c r="JFN332"/>
      <c r="JFQ332"/>
      <c r="JFR332"/>
      <c r="JFU332"/>
      <c r="JFV332"/>
      <c r="JFY332"/>
      <c r="JFZ332"/>
      <c r="JGC332"/>
      <c r="JGD332"/>
      <c r="JGG332"/>
      <c r="JGH332"/>
      <c r="JGK332"/>
      <c r="JGL332"/>
      <c r="JGO332"/>
      <c r="JGP332"/>
      <c r="JGS332"/>
      <c r="JGT332"/>
      <c r="JGW332"/>
      <c r="JGX332"/>
      <c r="JHA332"/>
      <c r="JHB332"/>
      <c r="JHE332"/>
      <c r="JHF332"/>
      <c r="JHI332"/>
      <c r="JHJ332"/>
      <c r="JHM332"/>
      <c r="JHN332"/>
      <c r="JHQ332"/>
      <c r="JHR332"/>
      <c r="JHU332"/>
      <c r="JHV332"/>
      <c r="JHY332"/>
      <c r="JHZ332"/>
      <c r="JIC332"/>
      <c r="JID332"/>
      <c r="JIG332"/>
      <c r="JIH332"/>
      <c r="JIK332"/>
      <c r="JIL332"/>
      <c r="JIO332"/>
      <c r="JIP332"/>
      <c r="JIS332"/>
      <c r="JIT332"/>
      <c r="JIW332"/>
      <c r="JIX332"/>
      <c r="JJA332"/>
      <c r="JJB332"/>
      <c r="JJE332"/>
      <c r="JJF332"/>
      <c r="JJI332"/>
      <c r="JJJ332"/>
      <c r="JJM332"/>
      <c r="JJN332"/>
      <c r="JJQ332"/>
      <c r="JJR332"/>
      <c r="JJU332"/>
      <c r="JJV332"/>
      <c r="JJY332"/>
      <c r="JJZ332"/>
      <c r="JKC332"/>
      <c r="JKD332"/>
      <c r="JKG332"/>
      <c r="JKH332"/>
      <c r="JKK332"/>
      <c r="JKL332"/>
      <c r="JKO332"/>
      <c r="JKP332"/>
      <c r="JKS332"/>
      <c r="JKT332"/>
      <c r="JKW332"/>
      <c r="JKX332"/>
      <c r="JLA332"/>
      <c r="JLB332"/>
      <c r="JLE332"/>
      <c r="JLF332"/>
      <c r="JLI332"/>
      <c r="JLJ332"/>
      <c r="JLM332"/>
      <c r="JLN332"/>
      <c r="JLQ332"/>
      <c r="JLR332"/>
      <c r="JLU332"/>
      <c r="JLV332"/>
      <c r="JLY332"/>
      <c r="JLZ332"/>
      <c r="JMC332"/>
      <c r="JMD332"/>
      <c r="JMG332"/>
      <c r="JMH332"/>
      <c r="JMK332"/>
      <c r="JML332"/>
      <c r="JMO332"/>
      <c r="JMP332"/>
      <c r="JMS332"/>
      <c r="JMT332"/>
      <c r="JMW332"/>
      <c r="JMX332"/>
      <c r="JNA332"/>
      <c r="JNB332"/>
      <c r="JNE332"/>
      <c r="JNF332"/>
      <c r="JNI332"/>
      <c r="JNJ332"/>
      <c r="JNM332"/>
      <c r="JNN332"/>
      <c r="JNQ332"/>
      <c r="JNR332"/>
      <c r="JNU332"/>
      <c r="JNV332"/>
      <c r="JNY332"/>
      <c r="JNZ332"/>
      <c r="JOC332"/>
      <c r="JOD332"/>
      <c r="JOG332"/>
      <c r="JOH332"/>
      <c r="JOK332"/>
      <c r="JOL332"/>
      <c r="JOO332"/>
      <c r="JOP332"/>
      <c r="JOS332"/>
      <c r="JOT332"/>
      <c r="JOW332"/>
      <c r="JOX332"/>
      <c r="JPA332"/>
      <c r="JPB332"/>
      <c r="JPE332"/>
      <c r="JPF332"/>
      <c r="JPI332"/>
      <c r="JPJ332"/>
      <c r="JPM332"/>
      <c r="JPN332"/>
      <c r="JPQ332"/>
      <c r="JPR332"/>
      <c r="JPU332"/>
      <c r="JPV332"/>
      <c r="JPY332"/>
      <c r="JPZ332"/>
      <c r="JQC332"/>
      <c r="JQD332"/>
      <c r="JQG332"/>
      <c r="JQH332"/>
      <c r="JQK332"/>
      <c r="JQL332"/>
      <c r="JQO332"/>
      <c r="JQP332"/>
      <c r="JQS332"/>
      <c r="JQT332"/>
      <c r="JQW332"/>
      <c r="JQX332"/>
      <c r="JRA332"/>
      <c r="JRB332"/>
      <c r="JRE332"/>
      <c r="JRF332"/>
      <c r="JRI332"/>
      <c r="JRJ332"/>
      <c r="JRM332"/>
      <c r="JRN332"/>
      <c r="JRQ332"/>
      <c r="JRR332"/>
      <c r="JRU332"/>
      <c r="JRV332"/>
      <c r="JRY332"/>
      <c r="JRZ332"/>
      <c r="JSC332"/>
      <c r="JSD332"/>
      <c r="JSG332"/>
      <c r="JSH332"/>
      <c r="JSK332"/>
      <c r="JSL332"/>
      <c r="JSO332"/>
      <c r="JSP332"/>
      <c r="JSS332"/>
      <c r="JST332"/>
      <c r="JSW332"/>
      <c r="JSX332"/>
      <c r="JTA332"/>
      <c r="JTB332"/>
      <c r="JTE332"/>
      <c r="JTF332"/>
      <c r="JTI332"/>
      <c r="JTJ332"/>
      <c r="JTM332"/>
      <c r="JTN332"/>
      <c r="JTQ332"/>
      <c r="JTR332"/>
      <c r="JTU332"/>
      <c r="JTV332"/>
      <c r="JTY332"/>
      <c r="JTZ332"/>
      <c r="JUC332"/>
      <c r="JUD332"/>
      <c r="JUG332"/>
      <c r="JUH332"/>
      <c r="JUK332"/>
      <c r="JUL332"/>
      <c r="JUO332"/>
      <c r="JUP332"/>
      <c r="JUS332"/>
      <c r="JUT332"/>
      <c r="JUW332"/>
      <c r="JUX332"/>
      <c r="JVA332"/>
      <c r="JVB332"/>
      <c r="JVE332"/>
      <c r="JVF332"/>
      <c r="JVI332"/>
      <c r="JVJ332"/>
      <c r="JVM332"/>
      <c r="JVN332"/>
      <c r="JVQ332"/>
      <c r="JVR332"/>
      <c r="JVU332"/>
      <c r="JVV332"/>
      <c r="JVY332"/>
      <c r="JVZ332"/>
      <c r="JWC332"/>
      <c r="JWD332"/>
      <c r="JWG332"/>
      <c r="JWH332"/>
      <c r="JWK332"/>
      <c r="JWL332"/>
      <c r="JWO332"/>
      <c r="JWP332"/>
      <c r="JWS332"/>
      <c r="JWT332"/>
      <c r="JWW332"/>
      <c r="JWX332"/>
      <c r="JXA332"/>
      <c r="JXB332"/>
      <c r="JXE332"/>
      <c r="JXF332"/>
      <c r="JXI332"/>
      <c r="JXJ332"/>
      <c r="JXM332"/>
      <c r="JXN332"/>
      <c r="JXQ332"/>
      <c r="JXR332"/>
      <c r="JXU332"/>
      <c r="JXV332"/>
      <c r="JXY332"/>
      <c r="JXZ332"/>
      <c r="JYC332"/>
      <c r="JYD332"/>
      <c r="JYG332"/>
      <c r="JYH332"/>
      <c r="JYK332"/>
      <c r="JYL332"/>
      <c r="JYO332"/>
      <c r="JYP332"/>
      <c r="JYS332"/>
      <c r="JYT332"/>
      <c r="JYW332"/>
      <c r="JYX332"/>
      <c r="JZA332"/>
      <c r="JZB332"/>
      <c r="JZE332"/>
      <c r="JZF332"/>
      <c r="JZI332"/>
      <c r="JZJ332"/>
      <c r="JZM332"/>
      <c r="JZN332"/>
      <c r="JZQ332"/>
      <c r="JZR332"/>
      <c r="JZU332"/>
      <c r="JZV332"/>
      <c r="JZY332"/>
      <c r="JZZ332"/>
      <c r="KAC332"/>
      <c r="KAD332"/>
      <c r="KAG332"/>
      <c r="KAH332"/>
      <c r="KAK332"/>
      <c r="KAL332"/>
      <c r="KAO332"/>
      <c r="KAP332"/>
      <c r="KAS332"/>
      <c r="KAT332"/>
      <c r="KAW332"/>
      <c r="KAX332"/>
      <c r="KBA332"/>
      <c r="KBB332"/>
      <c r="KBE332"/>
      <c r="KBF332"/>
      <c r="KBI332"/>
      <c r="KBJ332"/>
      <c r="KBM332"/>
      <c r="KBN332"/>
      <c r="KBQ332"/>
      <c r="KBR332"/>
      <c r="KBU332"/>
      <c r="KBV332"/>
      <c r="KBY332"/>
      <c r="KBZ332"/>
      <c r="KCC332"/>
      <c r="KCD332"/>
      <c r="KCG332"/>
      <c r="KCH332"/>
      <c r="KCK332"/>
      <c r="KCL332"/>
      <c r="KCO332"/>
      <c r="KCP332"/>
      <c r="KCS332"/>
      <c r="KCT332"/>
      <c r="KCW332"/>
      <c r="KCX332"/>
      <c r="KDA332"/>
      <c r="KDB332"/>
      <c r="KDE332"/>
      <c r="KDF332"/>
      <c r="KDI332"/>
      <c r="KDJ332"/>
      <c r="KDM332"/>
      <c r="KDN332"/>
      <c r="KDQ332"/>
      <c r="KDR332"/>
      <c r="KDU332"/>
      <c r="KDV332"/>
      <c r="KDY332"/>
      <c r="KDZ332"/>
      <c r="KEC332"/>
      <c r="KED332"/>
      <c r="KEG332"/>
      <c r="KEH332"/>
      <c r="KEK332"/>
      <c r="KEL332"/>
      <c r="KEO332"/>
      <c r="KEP332"/>
      <c r="KES332"/>
      <c r="KET332"/>
      <c r="KEW332"/>
      <c r="KEX332"/>
      <c r="KFA332"/>
      <c r="KFB332"/>
      <c r="KFE332"/>
      <c r="KFF332"/>
      <c r="KFI332"/>
      <c r="KFJ332"/>
      <c r="KFM332"/>
      <c r="KFN332"/>
      <c r="KFQ332"/>
      <c r="KFR332"/>
      <c r="KFU332"/>
      <c r="KFV332"/>
      <c r="KFY332"/>
      <c r="KFZ332"/>
      <c r="KGC332"/>
      <c r="KGD332"/>
      <c r="KGG332"/>
      <c r="KGH332"/>
      <c r="KGK332"/>
      <c r="KGL332"/>
      <c r="KGO332"/>
      <c r="KGP332"/>
      <c r="KGS332"/>
      <c r="KGT332"/>
      <c r="KGW332"/>
      <c r="KGX332"/>
      <c r="KHA332"/>
      <c r="KHB332"/>
      <c r="KHE332"/>
      <c r="KHF332"/>
      <c r="KHI332"/>
      <c r="KHJ332"/>
      <c r="KHM332"/>
      <c r="KHN332"/>
      <c r="KHQ332"/>
      <c r="KHR332"/>
      <c r="KHU332"/>
      <c r="KHV332"/>
      <c r="KHY332"/>
      <c r="KHZ332"/>
      <c r="KIC332"/>
      <c r="KID332"/>
      <c r="KIG332"/>
      <c r="KIH332"/>
      <c r="KIK332"/>
      <c r="KIL332"/>
      <c r="KIO332"/>
      <c r="KIP332"/>
      <c r="KIS332"/>
      <c r="KIT332"/>
      <c r="KIW332"/>
      <c r="KIX332"/>
      <c r="KJA332"/>
      <c r="KJB332"/>
      <c r="KJE332"/>
      <c r="KJF332"/>
      <c r="KJI332"/>
      <c r="KJJ332"/>
      <c r="KJM332"/>
      <c r="KJN332"/>
      <c r="KJQ332"/>
      <c r="KJR332"/>
      <c r="KJU332"/>
      <c r="KJV332"/>
      <c r="KJY332"/>
      <c r="KJZ332"/>
      <c r="KKC332"/>
      <c r="KKD332"/>
      <c r="KKG332"/>
      <c r="KKH332"/>
      <c r="KKK332"/>
      <c r="KKL332"/>
      <c r="KKO332"/>
      <c r="KKP332"/>
      <c r="KKS332"/>
      <c r="KKT332"/>
      <c r="KKW332"/>
      <c r="KKX332"/>
      <c r="KLA332"/>
      <c r="KLB332"/>
      <c r="KLE332"/>
      <c r="KLF332"/>
      <c r="KLI332"/>
      <c r="KLJ332"/>
      <c r="KLM332"/>
      <c r="KLN332"/>
      <c r="KLQ332"/>
      <c r="KLR332"/>
      <c r="KLU332"/>
      <c r="KLV332"/>
      <c r="KLY332"/>
      <c r="KLZ332"/>
      <c r="KMC332"/>
      <c r="KMD332"/>
      <c r="KMG332"/>
      <c r="KMH332"/>
      <c r="KMK332"/>
      <c r="KML332"/>
      <c r="KMO332"/>
      <c r="KMP332"/>
      <c r="KMS332"/>
      <c r="KMT332"/>
      <c r="KMW332"/>
      <c r="KMX332"/>
      <c r="KNA332"/>
      <c r="KNB332"/>
      <c r="KNE332"/>
      <c r="KNF332"/>
      <c r="KNI332"/>
      <c r="KNJ332"/>
      <c r="KNM332"/>
      <c r="KNN332"/>
      <c r="KNQ332"/>
      <c r="KNR332"/>
      <c r="KNU332"/>
      <c r="KNV332"/>
      <c r="KNY332"/>
      <c r="KNZ332"/>
      <c r="KOC332"/>
      <c r="KOD332"/>
      <c r="KOG332"/>
      <c r="KOH332"/>
      <c r="KOK332"/>
      <c r="KOL332"/>
      <c r="KOO332"/>
      <c r="KOP332"/>
      <c r="KOS332"/>
      <c r="KOT332"/>
      <c r="KOW332"/>
      <c r="KOX332"/>
      <c r="KPA332"/>
      <c r="KPB332"/>
      <c r="KPE332"/>
      <c r="KPF332"/>
      <c r="KPI332"/>
      <c r="KPJ332"/>
      <c r="KPM332"/>
      <c r="KPN332"/>
      <c r="KPQ332"/>
      <c r="KPR332"/>
      <c r="KPU332"/>
      <c r="KPV332"/>
      <c r="KPY332"/>
      <c r="KPZ332"/>
      <c r="KQC332"/>
      <c r="KQD332"/>
      <c r="KQG332"/>
      <c r="KQH332"/>
      <c r="KQK332"/>
      <c r="KQL332"/>
      <c r="KQO332"/>
      <c r="KQP332"/>
      <c r="KQS332"/>
      <c r="KQT332"/>
      <c r="KQW332"/>
      <c r="KQX332"/>
      <c r="KRA332"/>
      <c r="KRB332"/>
      <c r="KRE332"/>
      <c r="KRF332"/>
      <c r="KRI332"/>
      <c r="KRJ332"/>
      <c r="KRM332"/>
      <c r="KRN332"/>
      <c r="KRQ332"/>
      <c r="KRR332"/>
      <c r="KRU332"/>
      <c r="KRV332"/>
      <c r="KRY332"/>
      <c r="KRZ332"/>
      <c r="KSC332"/>
      <c r="KSD332"/>
      <c r="KSG332"/>
      <c r="KSH332"/>
      <c r="KSK332"/>
      <c r="KSL332"/>
      <c r="KSO332"/>
      <c r="KSP332"/>
      <c r="KSS332"/>
      <c r="KST332"/>
      <c r="KSW332"/>
      <c r="KSX332"/>
      <c r="KTA332"/>
      <c r="KTB332"/>
      <c r="KTE332"/>
      <c r="KTF332"/>
      <c r="KTI332"/>
      <c r="KTJ332"/>
      <c r="KTM332"/>
      <c r="KTN332"/>
      <c r="KTQ332"/>
      <c r="KTR332"/>
      <c r="KTU332"/>
      <c r="KTV332"/>
      <c r="KTY332"/>
      <c r="KTZ332"/>
      <c r="KUC332"/>
      <c r="KUD332"/>
      <c r="KUG332"/>
      <c r="KUH332"/>
      <c r="KUK332"/>
      <c r="KUL332"/>
      <c r="KUO332"/>
      <c r="KUP332"/>
      <c r="KUS332"/>
      <c r="KUT332"/>
      <c r="KUW332"/>
      <c r="KUX332"/>
      <c r="KVA332"/>
      <c r="KVB332"/>
      <c r="KVE332"/>
      <c r="KVF332"/>
      <c r="KVI332"/>
      <c r="KVJ332"/>
      <c r="KVM332"/>
      <c r="KVN332"/>
      <c r="KVQ332"/>
      <c r="KVR332"/>
      <c r="KVU332"/>
      <c r="KVV332"/>
      <c r="KVY332"/>
      <c r="KVZ332"/>
      <c r="KWC332"/>
      <c r="KWD332"/>
      <c r="KWG332"/>
      <c r="KWH332"/>
      <c r="KWK332"/>
      <c r="KWL332"/>
      <c r="KWO332"/>
      <c r="KWP332"/>
      <c r="KWS332"/>
      <c r="KWT332"/>
      <c r="KWW332"/>
      <c r="KWX332"/>
      <c r="KXA332"/>
      <c r="KXB332"/>
      <c r="KXE332"/>
      <c r="KXF332"/>
      <c r="KXI332"/>
      <c r="KXJ332"/>
      <c r="KXM332"/>
      <c r="KXN332"/>
      <c r="KXQ332"/>
      <c r="KXR332"/>
      <c r="KXU332"/>
      <c r="KXV332"/>
      <c r="KXY332"/>
      <c r="KXZ332"/>
      <c r="KYC332"/>
      <c r="KYD332"/>
      <c r="KYG332"/>
      <c r="KYH332"/>
      <c r="KYK332"/>
      <c r="KYL332"/>
      <c r="KYO332"/>
      <c r="KYP332"/>
      <c r="KYS332"/>
      <c r="KYT332"/>
      <c r="KYW332"/>
      <c r="KYX332"/>
      <c r="KZA332"/>
      <c r="KZB332"/>
      <c r="KZE332"/>
      <c r="KZF332"/>
      <c r="KZI332"/>
      <c r="KZJ332"/>
      <c r="KZM332"/>
      <c r="KZN332"/>
      <c r="KZQ332"/>
      <c r="KZR332"/>
      <c r="KZU332"/>
      <c r="KZV332"/>
      <c r="KZY332"/>
      <c r="KZZ332"/>
      <c r="LAC332"/>
      <c r="LAD332"/>
      <c r="LAG332"/>
      <c r="LAH332"/>
      <c r="LAK332"/>
      <c r="LAL332"/>
      <c r="LAO332"/>
      <c r="LAP332"/>
      <c r="LAS332"/>
      <c r="LAT332"/>
      <c r="LAW332"/>
      <c r="LAX332"/>
      <c r="LBA332"/>
      <c r="LBB332"/>
      <c r="LBE332"/>
      <c r="LBF332"/>
      <c r="LBI332"/>
      <c r="LBJ332"/>
      <c r="LBM332"/>
      <c r="LBN332"/>
      <c r="LBQ332"/>
      <c r="LBR332"/>
      <c r="LBU332"/>
      <c r="LBV332"/>
      <c r="LBY332"/>
      <c r="LBZ332"/>
      <c r="LCC332"/>
      <c r="LCD332"/>
      <c r="LCG332"/>
      <c r="LCH332"/>
      <c r="LCK332"/>
      <c r="LCL332"/>
      <c r="LCO332"/>
      <c r="LCP332"/>
      <c r="LCS332"/>
      <c r="LCT332"/>
      <c r="LCW332"/>
      <c r="LCX332"/>
      <c r="LDA332"/>
      <c r="LDB332"/>
      <c r="LDE332"/>
      <c r="LDF332"/>
      <c r="LDI332"/>
      <c r="LDJ332"/>
      <c r="LDM332"/>
      <c r="LDN332"/>
      <c r="LDQ332"/>
      <c r="LDR332"/>
      <c r="LDU332"/>
      <c r="LDV332"/>
      <c r="LDY332"/>
      <c r="LDZ332"/>
      <c r="LEC332"/>
      <c r="LED332"/>
      <c r="LEG332"/>
      <c r="LEH332"/>
      <c r="LEK332"/>
      <c r="LEL332"/>
      <c r="LEO332"/>
      <c r="LEP332"/>
      <c r="LES332"/>
      <c r="LET332"/>
      <c r="LEW332"/>
      <c r="LEX332"/>
      <c r="LFA332"/>
      <c r="LFB332"/>
      <c r="LFE332"/>
      <c r="LFF332"/>
      <c r="LFI332"/>
      <c r="LFJ332"/>
      <c r="LFM332"/>
      <c r="LFN332"/>
      <c r="LFQ332"/>
      <c r="LFR332"/>
      <c r="LFU332"/>
      <c r="LFV332"/>
      <c r="LFY332"/>
      <c r="LFZ332"/>
      <c r="LGC332"/>
      <c r="LGD332"/>
      <c r="LGG332"/>
      <c r="LGH332"/>
      <c r="LGK332"/>
      <c r="LGL332"/>
      <c r="LGO332"/>
      <c r="LGP332"/>
      <c r="LGS332"/>
      <c r="LGT332"/>
      <c r="LGW332"/>
      <c r="LGX332"/>
      <c r="LHA332"/>
      <c r="LHB332"/>
      <c r="LHE332"/>
      <c r="LHF332"/>
      <c r="LHI332"/>
      <c r="LHJ332"/>
      <c r="LHM332"/>
      <c r="LHN332"/>
      <c r="LHQ332"/>
      <c r="LHR332"/>
      <c r="LHU332"/>
      <c r="LHV332"/>
      <c r="LHY332"/>
      <c r="LHZ332"/>
      <c r="LIC332"/>
      <c r="LID332"/>
      <c r="LIG332"/>
      <c r="LIH332"/>
      <c r="LIK332"/>
      <c r="LIL332"/>
      <c r="LIO332"/>
      <c r="LIP332"/>
      <c r="LIS332"/>
      <c r="LIT332"/>
      <c r="LIW332"/>
      <c r="LIX332"/>
      <c r="LJA332"/>
      <c r="LJB332"/>
      <c r="LJE332"/>
      <c r="LJF332"/>
      <c r="LJI332"/>
      <c r="LJJ332"/>
      <c r="LJM332"/>
      <c r="LJN332"/>
      <c r="LJQ332"/>
      <c r="LJR332"/>
      <c r="LJU332"/>
      <c r="LJV332"/>
      <c r="LJY332"/>
      <c r="LJZ332"/>
      <c r="LKC332"/>
      <c r="LKD332"/>
      <c r="LKG332"/>
      <c r="LKH332"/>
      <c r="LKK332"/>
      <c r="LKL332"/>
      <c r="LKO332"/>
      <c r="LKP332"/>
      <c r="LKS332"/>
      <c r="LKT332"/>
      <c r="LKW332"/>
      <c r="LKX332"/>
      <c r="LLA332"/>
      <c r="LLB332"/>
      <c r="LLE332"/>
      <c r="LLF332"/>
      <c r="LLI332"/>
      <c r="LLJ332"/>
      <c r="LLM332"/>
      <c r="LLN332"/>
      <c r="LLQ332"/>
      <c r="LLR332"/>
      <c r="LLU332"/>
      <c r="LLV332"/>
      <c r="LLY332"/>
      <c r="LLZ332"/>
      <c r="LMC332"/>
      <c r="LMD332"/>
      <c r="LMG332"/>
      <c r="LMH332"/>
      <c r="LMK332"/>
      <c r="LML332"/>
      <c r="LMO332"/>
      <c r="LMP332"/>
      <c r="LMS332"/>
      <c r="LMT332"/>
      <c r="LMW332"/>
      <c r="LMX332"/>
      <c r="LNA332"/>
      <c r="LNB332"/>
      <c r="LNE332"/>
      <c r="LNF332"/>
      <c r="LNI332"/>
      <c r="LNJ332"/>
      <c r="LNM332"/>
      <c r="LNN332"/>
      <c r="LNQ332"/>
      <c r="LNR332"/>
      <c r="LNU332"/>
      <c r="LNV332"/>
      <c r="LNY332"/>
      <c r="LNZ332"/>
      <c r="LOC332"/>
      <c r="LOD332"/>
      <c r="LOG332"/>
      <c r="LOH332"/>
      <c r="LOK332"/>
      <c r="LOL332"/>
      <c r="LOO332"/>
      <c r="LOP332"/>
      <c r="LOS332"/>
      <c r="LOT332"/>
      <c r="LOW332"/>
      <c r="LOX332"/>
      <c r="LPA332"/>
      <c r="LPB332"/>
      <c r="LPE332"/>
      <c r="LPF332"/>
      <c r="LPI332"/>
      <c r="LPJ332"/>
      <c r="LPM332"/>
      <c r="LPN332"/>
      <c r="LPQ332"/>
      <c r="LPR332"/>
      <c r="LPU332"/>
      <c r="LPV332"/>
      <c r="LPY332"/>
      <c r="LPZ332"/>
      <c r="LQC332"/>
      <c r="LQD332"/>
      <c r="LQG332"/>
      <c r="LQH332"/>
      <c r="LQK332"/>
      <c r="LQL332"/>
      <c r="LQO332"/>
      <c r="LQP332"/>
      <c r="LQS332"/>
      <c r="LQT332"/>
      <c r="LQW332"/>
      <c r="LQX332"/>
      <c r="LRA332"/>
      <c r="LRB332"/>
      <c r="LRE332"/>
      <c r="LRF332"/>
      <c r="LRI332"/>
      <c r="LRJ332"/>
      <c r="LRM332"/>
      <c r="LRN332"/>
      <c r="LRQ332"/>
      <c r="LRR332"/>
      <c r="LRU332"/>
      <c r="LRV332"/>
      <c r="LRY332"/>
      <c r="LRZ332"/>
      <c r="LSC332"/>
      <c r="LSD332"/>
      <c r="LSG332"/>
      <c r="LSH332"/>
      <c r="LSK332"/>
      <c r="LSL332"/>
      <c r="LSO332"/>
      <c r="LSP332"/>
      <c r="LSS332"/>
      <c r="LST332"/>
      <c r="LSW332"/>
      <c r="LSX332"/>
      <c r="LTA332"/>
      <c r="LTB332"/>
      <c r="LTE332"/>
      <c r="LTF332"/>
      <c r="LTI332"/>
      <c r="LTJ332"/>
      <c r="LTM332"/>
      <c r="LTN332"/>
      <c r="LTQ332"/>
      <c r="LTR332"/>
      <c r="LTU332"/>
      <c r="LTV332"/>
      <c r="LTY332"/>
      <c r="LTZ332"/>
      <c r="LUC332"/>
      <c r="LUD332"/>
      <c r="LUG332"/>
      <c r="LUH332"/>
      <c r="LUK332"/>
      <c r="LUL332"/>
      <c r="LUO332"/>
      <c r="LUP332"/>
      <c r="LUS332"/>
      <c r="LUT332"/>
      <c r="LUW332"/>
      <c r="LUX332"/>
      <c r="LVA332"/>
      <c r="LVB332"/>
      <c r="LVE332"/>
      <c r="LVF332"/>
      <c r="LVI332"/>
      <c r="LVJ332"/>
      <c r="LVM332"/>
      <c r="LVN332"/>
      <c r="LVQ332"/>
      <c r="LVR332"/>
      <c r="LVU332"/>
      <c r="LVV332"/>
      <c r="LVY332"/>
      <c r="LVZ332"/>
      <c r="LWC332"/>
      <c r="LWD332"/>
      <c r="LWG332"/>
      <c r="LWH332"/>
      <c r="LWK332"/>
      <c r="LWL332"/>
      <c r="LWO332"/>
      <c r="LWP332"/>
      <c r="LWS332"/>
      <c r="LWT332"/>
      <c r="LWW332"/>
      <c r="LWX332"/>
      <c r="LXA332"/>
      <c r="LXB332"/>
      <c r="LXE332"/>
      <c r="LXF332"/>
      <c r="LXI332"/>
      <c r="LXJ332"/>
      <c r="LXM332"/>
      <c r="LXN332"/>
      <c r="LXQ332"/>
      <c r="LXR332"/>
      <c r="LXU332"/>
      <c r="LXV332"/>
      <c r="LXY332"/>
      <c r="LXZ332"/>
      <c r="LYC332"/>
      <c r="LYD332"/>
      <c r="LYG332"/>
      <c r="LYH332"/>
      <c r="LYK332"/>
      <c r="LYL332"/>
      <c r="LYO332"/>
      <c r="LYP332"/>
      <c r="LYS332"/>
      <c r="LYT332"/>
      <c r="LYW332"/>
      <c r="LYX332"/>
      <c r="LZA332"/>
      <c r="LZB332"/>
      <c r="LZE332"/>
      <c r="LZF332"/>
      <c r="LZI332"/>
      <c r="LZJ332"/>
      <c r="LZM332"/>
      <c r="LZN332"/>
      <c r="LZQ332"/>
      <c r="LZR332"/>
      <c r="LZU332"/>
      <c r="LZV332"/>
      <c r="LZY332"/>
      <c r="LZZ332"/>
      <c r="MAC332"/>
      <c r="MAD332"/>
      <c r="MAG332"/>
      <c r="MAH332"/>
      <c r="MAK332"/>
      <c r="MAL332"/>
      <c r="MAO332"/>
      <c r="MAP332"/>
      <c r="MAS332"/>
      <c r="MAT332"/>
      <c r="MAW332"/>
      <c r="MAX332"/>
      <c r="MBA332"/>
      <c r="MBB332"/>
      <c r="MBE332"/>
      <c r="MBF332"/>
      <c r="MBI332"/>
      <c r="MBJ332"/>
      <c r="MBM332"/>
      <c r="MBN332"/>
      <c r="MBQ332"/>
      <c r="MBR332"/>
      <c r="MBU332"/>
      <c r="MBV332"/>
      <c r="MBY332"/>
      <c r="MBZ332"/>
      <c r="MCC332"/>
      <c r="MCD332"/>
      <c r="MCG332"/>
      <c r="MCH332"/>
      <c r="MCK332"/>
      <c r="MCL332"/>
      <c r="MCO332"/>
      <c r="MCP332"/>
      <c r="MCS332"/>
      <c r="MCT332"/>
      <c r="MCW332"/>
      <c r="MCX332"/>
      <c r="MDA332"/>
      <c r="MDB332"/>
      <c r="MDE332"/>
      <c r="MDF332"/>
      <c r="MDI332"/>
      <c r="MDJ332"/>
      <c r="MDM332"/>
      <c r="MDN332"/>
      <c r="MDQ332"/>
      <c r="MDR332"/>
      <c r="MDU332"/>
      <c r="MDV332"/>
      <c r="MDY332"/>
      <c r="MDZ332"/>
      <c r="MEC332"/>
      <c r="MED332"/>
      <c r="MEG332"/>
      <c r="MEH332"/>
      <c r="MEK332"/>
      <c r="MEL332"/>
      <c r="MEO332"/>
      <c r="MEP332"/>
      <c r="MES332"/>
      <c r="MET332"/>
      <c r="MEW332"/>
      <c r="MEX332"/>
      <c r="MFA332"/>
      <c r="MFB332"/>
      <c r="MFE332"/>
      <c r="MFF332"/>
      <c r="MFI332"/>
      <c r="MFJ332"/>
      <c r="MFM332"/>
      <c r="MFN332"/>
      <c r="MFQ332"/>
      <c r="MFR332"/>
      <c r="MFU332"/>
      <c r="MFV332"/>
      <c r="MFY332"/>
      <c r="MFZ332"/>
      <c r="MGC332"/>
      <c r="MGD332"/>
      <c r="MGG332"/>
      <c r="MGH332"/>
      <c r="MGK332"/>
      <c r="MGL332"/>
      <c r="MGO332"/>
      <c r="MGP332"/>
      <c r="MGS332"/>
      <c r="MGT332"/>
      <c r="MGW332"/>
      <c r="MGX332"/>
      <c r="MHA332"/>
      <c r="MHB332"/>
      <c r="MHE332"/>
      <c r="MHF332"/>
      <c r="MHI332"/>
      <c r="MHJ332"/>
      <c r="MHM332"/>
      <c r="MHN332"/>
      <c r="MHQ332"/>
      <c r="MHR332"/>
      <c r="MHU332"/>
      <c r="MHV332"/>
      <c r="MHY332"/>
      <c r="MHZ332"/>
      <c r="MIC332"/>
      <c r="MID332"/>
      <c r="MIG332"/>
      <c r="MIH332"/>
      <c r="MIK332"/>
      <c r="MIL332"/>
      <c r="MIO332"/>
      <c r="MIP332"/>
      <c r="MIS332"/>
      <c r="MIT332"/>
      <c r="MIW332"/>
      <c r="MIX332"/>
      <c r="MJA332"/>
      <c r="MJB332"/>
      <c r="MJE332"/>
      <c r="MJF332"/>
      <c r="MJI332"/>
      <c r="MJJ332"/>
      <c r="MJM332"/>
      <c r="MJN332"/>
      <c r="MJQ332"/>
      <c r="MJR332"/>
      <c r="MJU332"/>
      <c r="MJV332"/>
      <c r="MJY332"/>
      <c r="MJZ332"/>
      <c r="MKC332"/>
      <c r="MKD332"/>
      <c r="MKG332"/>
      <c r="MKH332"/>
      <c r="MKK332"/>
      <c r="MKL332"/>
      <c r="MKO332"/>
      <c r="MKP332"/>
      <c r="MKS332"/>
      <c r="MKT332"/>
      <c r="MKW332"/>
      <c r="MKX332"/>
      <c r="MLA332"/>
      <c r="MLB332"/>
      <c r="MLE332"/>
      <c r="MLF332"/>
      <c r="MLI332"/>
      <c r="MLJ332"/>
      <c r="MLM332"/>
      <c r="MLN332"/>
      <c r="MLQ332"/>
      <c r="MLR332"/>
      <c r="MLU332"/>
      <c r="MLV332"/>
      <c r="MLY332"/>
      <c r="MLZ332"/>
      <c r="MMC332"/>
      <c r="MMD332"/>
      <c r="MMG332"/>
      <c r="MMH332"/>
      <c r="MMK332"/>
      <c r="MML332"/>
      <c r="MMO332"/>
      <c r="MMP332"/>
      <c r="MMS332"/>
      <c r="MMT332"/>
      <c r="MMW332"/>
      <c r="MMX332"/>
      <c r="MNA332"/>
      <c r="MNB332"/>
      <c r="MNE332"/>
      <c r="MNF332"/>
      <c r="MNI332"/>
      <c r="MNJ332"/>
      <c r="MNM332"/>
      <c r="MNN332"/>
      <c r="MNQ332"/>
      <c r="MNR332"/>
      <c r="MNU332"/>
      <c r="MNV332"/>
      <c r="MNY332"/>
      <c r="MNZ332"/>
      <c r="MOC332"/>
      <c r="MOD332"/>
      <c r="MOG332"/>
      <c r="MOH332"/>
      <c r="MOK332"/>
      <c r="MOL332"/>
      <c r="MOO332"/>
      <c r="MOP332"/>
      <c r="MOS332"/>
      <c r="MOT332"/>
      <c r="MOW332"/>
      <c r="MOX332"/>
      <c r="MPA332"/>
      <c r="MPB332"/>
      <c r="MPE332"/>
      <c r="MPF332"/>
      <c r="MPI332"/>
      <c r="MPJ332"/>
      <c r="MPM332"/>
      <c r="MPN332"/>
      <c r="MPQ332"/>
      <c r="MPR332"/>
      <c r="MPU332"/>
      <c r="MPV332"/>
      <c r="MPY332"/>
      <c r="MPZ332"/>
      <c r="MQC332"/>
      <c r="MQD332"/>
      <c r="MQG332"/>
      <c r="MQH332"/>
      <c r="MQK332"/>
      <c r="MQL332"/>
      <c r="MQO332"/>
      <c r="MQP332"/>
      <c r="MQS332"/>
      <c r="MQT332"/>
      <c r="MQW332"/>
      <c r="MQX332"/>
      <c r="MRA332"/>
      <c r="MRB332"/>
      <c r="MRE332"/>
      <c r="MRF332"/>
      <c r="MRI332"/>
      <c r="MRJ332"/>
      <c r="MRM332"/>
      <c r="MRN332"/>
      <c r="MRQ332"/>
      <c r="MRR332"/>
      <c r="MRU332"/>
      <c r="MRV332"/>
      <c r="MRY332"/>
      <c r="MRZ332"/>
      <c r="MSC332"/>
      <c r="MSD332"/>
      <c r="MSG332"/>
      <c r="MSH332"/>
      <c r="MSK332"/>
      <c r="MSL332"/>
      <c r="MSO332"/>
      <c r="MSP332"/>
      <c r="MSS332"/>
      <c r="MST332"/>
      <c r="MSW332"/>
      <c r="MSX332"/>
      <c r="MTA332"/>
      <c r="MTB332"/>
      <c r="MTE332"/>
      <c r="MTF332"/>
      <c r="MTI332"/>
      <c r="MTJ332"/>
      <c r="MTM332"/>
      <c r="MTN332"/>
      <c r="MTQ332"/>
      <c r="MTR332"/>
      <c r="MTU332"/>
      <c r="MTV332"/>
      <c r="MTY332"/>
      <c r="MTZ332"/>
      <c r="MUC332"/>
      <c r="MUD332"/>
      <c r="MUG332"/>
      <c r="MUH332"/>
      <c r="MUK332"/>
      <c r="MUL332"/>
      <c r="MUO332"/>
      <c r="MUP332"/>
      <c r="MUS332"/>
      <c r="MUT332"/>
      <c r="MUW332"/>
      <c r="MUX332"/>
      <c r="MVA332"/>
      <c r="MVB332"/>
      <c r="MVE332"/>
      <c r="MVF332"/>
      <c r="MVI332"/>
      <c r="MVJ332"/>
      <c r="MVM332"/>
      <c r="MVN332"/>
      <c r="MVQ332"/>
      <c r="MVR332"/>
      <c r="MVU332"/>
      <c r="MVV332"/>
      <c r="MVY332"/>
      <c r="MVZ332"/>
      <c r="MWC332"/>
      <c r="MWD332"/>
      <c r="MWG332"/>
      <c r="MWH332"/>
      <c r="MWK332"/>
      <c r="MWL332"/>
      <c r="MWO332"/>
      <c r="MWP332"/>
      <c r="MWS332"/>
      <c r="MWT332"/>
      <c r="MWW332"/>
      <c r="MWX332"/>
      <c r="MXA332"/>
      <c r="MXB332"/>
      <c r="MXE332"/>
      <c r="MXF332"/>
      <c r="MXI332"/>
      <c r="MXJ332"/>
      <c r="MXM332"/>
      <c r="MXN332"/>
      <c r="MXQ332"/>
      <c r="MXR332"/>
      <c r="MXU332"/>
      <c r="MXV332"/>
      <c r="MXY332"/>
      <c r="MXZ332"/>
      <c r="MYC332"/>
      <c r="MYD332"/>
      <c r="MYG332"/>
      <c r="MYH332"/>
      <c r="MYK332"/>
      <c r="MYL332"/>
      <c r="MYO332"/>
      <c r="MYP332"/>
      <c r="MYS332"/>
      <c r="MYT332"/>
      <c r="MYW332"/>
      <c r="MYX332"/>
      <c r="MZA332"/>
      <c r="MZB332"/>
      <c r="MZE332"/>
      <c r="MZF332"/>
      <c r="MZI332"/>
      <c r="MZJ332"/>
      <c r="MZM332"/>
      <c r="MZN332"/>
      <c r="MZQ332"/>
      <c r="MZR332"/>
      <c r="MZU332"/>
      <c r="MZV332"/>
      <c r="MZY332"/>
      <c r="MZZ332"/>
      <c r="NAC332"/>
      <c r="NAD332"/>
      <c r="NAG332"/>
      <c r="NAH332"/>
      <c r="NAK332"/>
      <c r="NAL332"/>
      <c r="NAO332"/>
      <c r="NAP332"/>
      <c r="NAS332"/>
      <c r="NAT332"/>
      <c r="NAW332"/>
      <c r="NAX332"/>
      <c r="NBA332"/>
      <c r="NBB332"/>
      <c r="NBE332"/>
      <c r="NBF332"/>
      <c r="NBI332"/>
      <c r="NBJ332"/>
      <c r="NBM332"/>
      <c r="NBN332"/>
      <c r="NBQ332"/>
      <c r="NBR332"/>
      <c r="NBU332"/>
      <c r="NBV332"/>
      <c r="NBY332"/>
      <c r="NBZ332"/>
      <c r="NCC332"/>
      <c r="NCD332"/>
      <c r="NCG332"/>
      <c r="NCH332"/>
      <c r="NCK332"/>
      <c r="NCL332"/>
      <c r="NCO332"/>
      <c r="NCP332"/>
      <c r="NCS332"/>
      <c r="NCT332"/>
      <c r="NCW332"/>
      <c r="NCX332"/>
      <c r="NDA332"/>
      <c r="NDB332"/>
      <c r="NDE332"/>
      <c r="NDF332"/>
      <c r="NDI332"/>
      <c r="NDJ332"/>
      <c r="NDM332"/>
      <c r="NDN332"/>
      <c r="NDQ332"/>
      <c r="NDR332"/>
      <c r="NDU332"/>
      <c r="NDV332"/>
      <c r="NDY332"/>
      <c r="NDZ332"/>
      <c r="NEC332"/>
      <c r="NED332"/>
      <c r="NEG332"/>
      <c r="NEH332"/>
      <c r="NEK332"/>
      <c r="NEL332"/>
      <c r="NEO332"/>
      <c r="NEP332"/>
      <c r="NES332"/>
      <c r="NET332"/>
      <c r="NEW332"/>
      <c r="NEX332"/>
      <c r="NFA332"/>
      <c r="NFB332"/>
      <c r="NFE332"/>
      <c r="NFF332"/>
      <c r="NFI332"/>
      <c r="NFJ332"/>
      <c r="NFM332"/>
      <c r="NFN332"/>
      <c r="NFQ332"/>
      <c r="NFR332"/>
      <c r="NFU332"/>
      <c r="NFV332"/>
      <c r="NFY332"/>
      <c r="NFZ332"/>
      <c r="NGC332"/>
      <c r="NGD332"/>
      <c r="NGG332"/>
      <c r="NGH332"/>
      <c r="NGK332"/>
      <c r="NGL332"/>
      <c r="NGO332"/>
      <c r="NGP332"/>
      <c r="NGS332"/>
      <c r="NGT332"/>
      <c r="NGW332"/>
      <c r="NGX332"/>
      <c r="NHA332"/>
      <c r="NHB332"/>
      <c r="NHE332"/>
      <c r="NHF332"/>
      <c r="NHI332"/>
      <c r="NHJ332"/>
      <c r="NHM332"/>
      <c r="NHN332"/>
      <c r="NHQ332"/>
      <c r="NHR332"/>
      <c r="NHU332"/>
      <c r="NHV332"/>
      <c r="NHY332"/>
      <c r="NHZ332"/>
      <c r="NIC332"/>
      <c r="NID332"/>
      <c r="NIG332"/>
      <c r="NIH332"/>
      <c r="NIK332"/>
      <c r="NIL332"/>
      <c r="NIO332"/>
      <c r="NIP332"/>
      <c r="NIS332"/>
      <c r="NIT332"/>
      <c r="NIW332"/>
      <c r="NIX332"/>
      <c r="NJA332"/>
      <c r="NJB332"/>
      <c r="NJE332"/>
      <c r="NJF332"/>
      <c r="NJI332"/>
      <c r="NJJ332"/>
      <c r="NJM332"/>
      <c r="NJN332"/>
      <c r="NJQ332"/>
      <c r="NJR332"/>
      <c r="NJU332"/>
      <c r="NJV332"/>
      <c r="NJY332"/>
      <c r="NJZ332"/>
      <c r="NKC332"/>
      <c r="NKD332"/>
      <c r="NKG332"/>
      <c r="NKH332"/>
      <c r="NKK332"/>
      <c r="NKL332"/>
      <c r="NKO332"/>
      <c r="NKP332"/>
      <c r="NKS332"/>
      <c r="NKT332"/>
      <c r="NKW332"/>
      <c r="NKX332"/>
      <c r="NLA332"/>
      <c r="NLB332"/>
      <c r="NLE332"/>
      <c r="NLF332"/>
      <c r="NLI332"/>
      <c r="NLJ332"/>
      <c r="NLM332"/>
      <c r="NLN332"/>
      <c r="NLQ332"/>
      <c r="NLR332"/>
      <c r="NLU332"/>
      <c r="NLV332"/>
      <c r="NLY332"/>
      <c r="NLZ332"/>
      <c r="NMC332"/>
      <c r="NMD332"/>
      <c r="NMG332"/>
      <c r="NMH332"/>
      <c r="NMK332"/>
      <c r="NML332"/>
      <c r="NMO332"/>
      <c r="NMP332"/>
      <c r="NMS332"/>
      <c r="NMT332"/>
      <c r="NMW332"/>
      <c r="NMX332"/>
      <c r="NNA332"/>
      <c r="NNB332"/>
      <c r="NNE332"/>
      <c r="NNF332"/>
      <c r="NNI332"/>
      <c r="NNJ332"/>
      <c r="NNM332"/>
      <c r="NNN332"/>
      <c r="NNQ332"/>
      <c r="NNR332"/>
      <c r="NNU332"/>
      <c r="NNV332"/>
      <c r="NNY332"/>
      <c r="NNZ332"/>
      <c r="NOC332"/>
      <c r="NOD332"/>
      <c r="NOG332"/>
      <c r="NOH332"/>
      <c r="NOK332"/>
      <c r="NOL332"/>
      <c r="NOO332"/>
      <c r="NOP332"/>
      <c r="NOS332"/>
      <c r="NOT332"/>
      <c r="NOW332"/>
      <c r="NOX332"/>
      <c r="NPA332"/>
      <c r="NPB332"/>
      <c r="NPE332"/>
      <c r="NPF332"/>
      <c r="NPI332"/>
      <c r="NPJ332"/>
      <c r="NPM332"/>
      <c r="NPN332"/>
      <c r="NPQ332"/>
      <c r="NPR332"/>
      <c r="NPU332"/>
      <c r="NPV332"/>
      <c r="NPY332"/>
      <c r="NPZ332"/>
      <c r="NQC332"/>
      <c r="NQD332"/>
      <c r="NQG332"/>
      <c r="NQH332"/>
      <c r="NQK332"/>
      <c r="NQL332"/>
      <c r="NQO332"/>
      <c r="NQP332"/>
      <c r="NQS332"/>
      <c r="NQT332"/>
      <c r="NQW332"/>
      <c r="NQX332"/>
      <c r="NRA332"/>
      <c r="NRB332"/>
      <c r="NRE332"/>
      <c r="NRF332"/>
      <c r="NRI332"/>
      <c r="NRJ332"/>
      <c r="NRM332"/>
      <c r="NRN332"/>
      <c r="NRQ332"/>
      <c r="NRR332"/>
      <c r="NRU332"/>
      <c r="NRV332"/>
      <c r="NRY332"/>
      <c r="NRZ332"/>
      <c r="NSC332"/>
      <c r="NSD332"/>
      <c r="NSG332"/>
      <c r="NSH332"/>
      <c r="NSK332"/>
      <c r="NSL332"/>
      <c r="NSO332"/>
      <c r="NSP332"/>
      <c r="NSS332"/>
      <c r="NST332"/>
      <c r="NSW332"/>
      <c r="NSX332"/>
      <c r="NTA332"/>
      <c r="NTB332"/>
      <c r="NTE332"/>
      <c r="NTF332"/>
      <c r="NTI332"/>
      <c r="NTJ332"/>
      <c r="NTM332"/>
      <c r="NTN332"/>
      <c r="NTQ332"/>
      <c r="NTR332"/>
      <c r="NTU332"/>
      <c r="NTV332"/>
      <c r="NTY332"/>
      <c r="NTZ332"/>
      <c r="NUC332"/>
      <c r="NUD332"/>
      <c r="NUG332"/>
      <c r="NUH332"/>
      <c r="NUK332"/>
      <c r="NUL332"/>
      <c r="NUO332"/>
      <c r="NUP332"/>
      <c r="NUS332"/>
      <c r="NUT332"/>
      <c r="NUW332"/>
      <c r="NUX332"/>
      <c r="NVA332"/>
      <c r="NVB332"/>
      <c r="NVE332"/>
      <c r="NVF332"/>
      <c r="NVI332"/>
      <c r="NVJ332"/>
      <c r="NVM332"/>
      <c r="NVN332"/>
      <c r="NVQ332"/>
      <c r="NVR332"/>
      <c r="NVU332"/>
      <c r="NVV332"/>
      <c r="NVY332"/>
      <c r="NVZ332"/>
      <c r="NWC332"/>
      <c r="NWD332"/>
      <c r="NWG332"/>
      <c r="NWH332"/>
      <c r="NWK332"/>
      <c r="NWL332"/>
      <c r="NWO332"/>
      <c r="NWP332"/>
      <c r="NWS332"/>
      <c r="NWT332"/>
      <c r="NWW332"/>
      <c r="NWX332"/>
      <c r="NXA332"/>
      <c r="NXB332"/>
      <c r="NXE332"/>
      <c r="NXF332"/>
      <c r="NXI332"/>
      <c r="NXJ332"/>
      <c r="NXM332"/>
      <c r="NXN332"/>
      <c r="NXQ332"/>
      <c r="NXR332"/>
      <c r="NXU332"/>
      <c r="NXV332"/>
      <c r="NXY332"/>
      <c r="NXZ332"/>
      <c r="NYC332"/>
      <c r="NYD332"/>
      <c r="NYG332"/>
      <c r="NYH332"/>
      <c r="NYK332"/>
      <c r="NYL332"/>
      <c r="NYO332"/>
      <c r="NYP332"/>
      <c r="NYS332"/>
      <c r="NYT332"/>
      <c r="NYW332"/>
      <c r="NYX332"/>
      <c r="NZA332"/>
      <c r="NZB332"/>
      <c r="NZE332"/>
      <c r="NZF332"/>
      <c r="NZI332"/>
      <c r="NZJ332"/>
      <c r="NZM332"/>
      <c r="NZN332"/>
      <c r="NZQ332"/>
      <c r="NZR332"/>
      <c r="NZU332"/>
      <c r="NZV332"/>
      <c r="NZY332"/>
      <c r="NZZ332"/>
      <c r="OAC332"/>
      <c r="OAD332"/>
      <c r="OAG332"/>
      <c r="OAH332"/>
      <c r="OAK332"/>
      <c r="OAL332"/>
      <c r="OAO332"/>
      <c r="OAP332"/>
      <c r="OAS332"/>
      <c r="OAT332"/>
      <c r="OAW332"/>
      <c r="OAX332"/>
      <c r="OBA332"/>
      <c r="OBB332"/>
      <c r="OBE332"/>
      <c r="OBF332"/>
      <c r="OBI332"/>
      <c r="OBJ332"/>
      <c r="OBM332"/>
      <c r="OBN332"/>
      <c r="OBQ332"/>
      <c r="OBR332"/>
      <c r="OBU332"/>
      <c r="OBV332"/>
      <c r="OBY332"/>
      <c r="OBZ332"/>
      <c r="OCC332"/>
      <c r="OCD332"/>
      <c r="OCG332"/>
      <c r="OCH332"/>
      <c r="OCK332"/>
      <c r="OCL332"/>
      <c r="OCO332"/>
      <c r="OCP332"/>
      <c r="OCS332"/>
      <c r="OCT332"/>
      <c r="OCW332"/>
      <c r="OCX332"/>
      <c r="ODA332"/>
      <c r="ODB332"/>
      <c r="ODE332"/>
      <c r="ODF332"/>
      <c r="ODI332"/>
      <c r="ODJ332"/>
      <c r="ODM332"/>
      <c r="ODN332"/>
      <c r="ODQ332"/>
      <c r="ODR332"/>
      <c r="ODU332"/>
      <c r="ODV332"/>
      <c r="ODY332"/>
      <c r="ODZ332"/>
      <c r="OEC332"/>
      <c r="OED332"/>
      <c r="OEG332"/>
      <c r="OEH332"/>
      <c r="OEK332"/>
      <c r="OEL332"/>
      <c r="OEO332"/>
      <c r="OEP332"/>
      <c r="OES332"/>
      <c r="OET332"/>
      <c r="OEW332"/>
      <c r="OEX332"/>
      <c r="OFA332"/>
      <c r="OFB332"/>
      <c r="OFE332"/>
      <c r="OFF332"/>
      <c r="OFI332"/>
      <c r="OFJ332"/>
      <c r="OFM332"/>
      <c r="OFN332"/>
      <c r="OFQ332"/>
      <c r="OFR332"/>
      <c r="OFU332"/>
      <c r="OFV332"/>
      <c r="OFY332"/>
      <c r="OFZ332"/>
      <c r="OGC332"/>
      <c r="OGD332"/>
      <c r="OGG332"/>
      <c r="OGH332"/>
      <c r="OGK332"/>
      <c r="OGL332"/>
      <c r="OGO332"/>
      <c r="OGP332"/>
      <c r="OGS332"/>
      <c r="OGT332"/>
      <c r="OGW332"/>
      <c r="OGX332"/>
      <c r="OHA332"/>
      <c r="OHB332"/>
      <c r="OHE332"/>
      <c r="OHF332"/>
      <c r="OHI332"/>
      <c r="OHJ332"/>
      <c r="OHM332"/>
      <c r="OHN332"/>
      <c r="OHQ332"/>
      <c r="OHR332"/>
      <c r="OHU332"/>
      <c r="OHV332"/>
      <c r="OHY332"/>
      <c r="OHZ332"/>
      <c r="OIC332"/>
      <c r="OID332"/>
      <c r="OIG332"/>
      <c r="OIH332"/>
      <c r="OIK332"/>
      <c r="OIL332"/>
      <c r="OIO332"/>
      <c r="OIP332"/>
      <c r="OIS332"/>
      <c r="OIT332"/>
      <c r="OIW332"/>
      <c r="OIX332"/>
      <c r="OJA332"/>
      <c r="OJB332"/>
      <c r="OJE332"/>
      <c r="OJF332"/>
      <c r="OJI332"/>
      <c r="OJJ332"/>
      <c r="OJM332"/>
      <c r="OJN332"/>
      <c r="OJQ332"/>
      <c r="OJR332"/>
      <c r="OJU332"/>
      <c r="OJV332"/>
      <c r="OJY332"/>
      <c r="OJZ332"/>
      <c r="OKC332"/>
      <c r="OKD332"/>
      <c r="OKG332"/>
      <c r="OKH332"/>
      <c r="OKK332"/>
      <c r="OKL332"/>
      <c r="OKO332"/>
      <c r="OKP332"/>
      <c r="OKS332"/>
      <c r="OKT332"/>
      <c r="OKW332"/>
      <c r="OKX332"/>
      <c r="OLA332"/>
      <c r="OLB332"/>
      <c r="OLE332"/>
      <c r="OLF332"/>
      <c r="OLI332"/>
      <c r="OLJ332"/>
      <c r="OLM332"/>
      <c r="OLN332"/>
      <c r="OLQ332"/>
      <c r="OLR332"/>
      <c r="OLU332"/>
      <c r="OLV332"/>
      <c r="OLY332"/>
      <c r="OLZ332"/>
      <c r="OMC332"/>
      <c r="OMD332"/>
      <c r="OMG332"/>
      <c r="OMH332"/>
      <c r="OMK332"/>
      <c r="OML332"/>
      <c r="OMO332"/>
      <c r="OMP332"/>
      <c r="OMS332"/>
      <c r="OMT332"/>
      <c r="OMW332"/>
      <c r="OMX332"/>
      <c r="ONA332"/>
      <c r="ONB332"/>
      <c r="ONE332"/>
      <c r="ONF332"/>
      <c r="ONI332"/>
      <c r="ONJ332"/>
      <c r="ONM332"/>
      <c r="ONN332"/>
      <c r="ONQ332"/>
      <c r="ONR332"/>
      <c r="ONU332"/>
      <c r="ONV332"/>
      <c r="ONY332"/>
      <c r="ONZ332"/>
      <c r="OOC332"/>
      <c r="OOD332"/>
      <c r="OOG332"/>
      <c r="OOH332"/>
      <c r="OOK332"/>
      <c r="OOL332"/>
      <c r="OOO332"/>
      <c r="OOP332"/>
      <c r="OOS332"/>
      <c r="OOT332"/>
      <c r="OOW332"/>
      <c r="OOX332"/>
      <c r="OPA332"/>
      <c r="OPB332"/>
      <c r="OPE332"/>
      <c r="OPF332"/>
      <c r="OPI332"/>
      <c r="OPJ332"/>
      <c r="OPM332"/>
      <c r="OPN332"/>
      <c r="OPQ332"/>
      <c r="OPR332"/>
      <c r="OPU332"/>
      <c r="OPV332"/>
      <c r="OPY332"/>
      <c r="OPZ332"/>
      <c r="OQC332"/>
      <c r="OQD332"/>
      <c r="OQG332"/>
      <c r="OQH332"/>
      <c r="OQK332"/>
      <c r="OQL332"/>
      <c r="OQO332"/>
      <c r="OQP332"/>
      <c r="OQS332"/>
      <c r="OQT332"/>
      <c r="OQW332"/>
      <c r="OQX332"/>
      <c r="ORA332"/>
      <c r="ORB332"/>
      <c r="ORE332"/>
      <c r="ORF332"/>
      <c r="ORI332"/>
      <c r="ORJ332"/>
      <c r="ORM332"/>
      <c r="ORN332"/>
      <c r="ORQ332"/>
      <c r="ORR332"/>
      <c r="ORU332"/>
      <c r="ORV332"/>
      <c r="ORY332"/>
      <c r="ORZ332"/>
      <c r="OSC332"/>
      <c r="OSD332"/>
      <c r="OSG332"/>
      <c r="OSH332"/>
      <c r="OSK332"/>
      <c r="OSL332"/>
      <c r="OSO332"/>
      <c r="OSP332"/>
      <c r="OSS332"/>
      <c r="OST332"/>
      <c r="OSW332"/>
      <c r="OSX332"/>
      <c r="OTA332"/>
      <c r="OTB332"/>
      <c r="OTE332"/>
      <c r="OTF332"/>
      <c r="OTI332"/>
      <c r="OTJ332"/>
      <c r="OTM332"/>
      <c r="OTN332"/>
      <c r="OTQ332"/>
      <c r="OTR332"/>
      <c r="OTU332"/>
      <c r="OTV332"/>
      <c r="OTY332"/>
      <c r="OTZ332"/>
      <c r="OUC332"/>
      <c r="OUD332"/>
      <c r="OUG332"/>
      <c r="OUH332"/>
      <c r="OUK332"/>
      <c r="OUL332"/>
      <c r="OUO332"/>
      <c r="OUP332"/>
      <c r="OUS332"/>
      <c r="OUT332"/>
      <c r="OUW332"/>
      <c r="OUX332"/>
      <c r="OVA332"/>
      <c r="OVB332"/>
      <c r="OVE332"/>
      <c r="OVF332"/>
      <c r="OVI332"/>
      <c r="OVJ332"/>
      <c r="OVM332"/>
      <c r="OVN332"/>
      <c r="OVQ332"/>
      <c r="OVR332"/>
      <c r="OVU332"/>
      <c r="OVV332"/>
      <c r="OVY332"/>
      <c r="OVZ332"/>
      <c r="OWC332"/>
      <c r="OWD332"/>
      <c r="OWG332"/>
      <c r="OWH332"/>
      <c r="OWK332"/>
      <c r="OWL332"/>
      <c r="OWO332"/>
      <c r="OWP332"/>
      <c r="OWS332"/>
      <c r="OWT332"/>
      <c r="OWW332"/>
      <c r="OWX332"/>
      <c r="OXA332"/>
      <c r="OXB332"/>
      <c r="OXE332"/>
      <c r="OXF332"/>
      <c r="OXI332"/>
      <c r="OXJ332"/>
      <c r="OXM332"/>
      <c r="OXN332"/>
      <c r="OXQ332"/>
      <c r="OXR332"/>
      <c r="OXU332"/>
      <c r="OXV332"/>
      <c r="OXY332"/>
      <c r="OXZ332"/>
      <c r="OYC332"/>
      <c r="OYD332"/>
      <c r="OYG332"/>
      <c r="OYH332"/>
      <c r="OYK332"/>
      <c r="OYL332"/>
      <c r="OYO332"/>
      <c r="OYP332"/>
      <c r="OYS332"/>
      <c r="OYT332"/>
      <c r="OYW332"/>
      <c r="OYX332"/>
      <c r="OZA332"/>
      <c r="OZB332"/>
      <c r="OZE332"/>
      <c r="OZF332"/>
      <c r="OZI332"/>
      <c r="OZJ332"/>
      <c r="OZM332"/>
      <c r="OZN332"/>
      <c r="OZQ332"/>
      <c r="OZR332"/>
      <c r="OZU332"/>
      <c r="OZV332"/>
      <c r="OZY332"/>
      <c r="OZZ332"/>
      <c r="PAC332"/>
      <c r="PAD332"/>
      <c r="PAG332"/>
      <c r="PAH332"/>
      <c r="PAK332"/>
      <c r="PAL332"/>
      <c r="PAO332"/>
      <c r="PAP332"/>
      <c r="PAS332"/>
      <c r="PAT332"/>
      <c r="PAW332"/>
      <c r="PAX332"/>
      <c r="PBA332"/>
      <c r="PBB332"/>
      <c r="PBE332"/>
      <c r="PBF332"/>
      <c r="PBI332"/>
      <c r="PBJ332"/>
      <c r="PBM332"/>
      <c r="PBN332"/>
      <c r="PBQ332"/>
      <c r="PBR332"/>
      <c r="PBU332"/>
      <c r="PBV332"/>
      <c r="PBY332"/>
      <c r="PBZ332"/>
      <c r="PCC332"/>
      <c r="PCD332"/>
      <c r="PCG332"/>
      <c r="PCH332"/>
      <c r="PCK332"/>
      <c r="PCL332"/>
      <c r="PCO332"/>
      <c r="PCP332"/>
      <c r="PCS332"/>
      <c r="PCT332"/>
      <c r="PCW332"/>
      <c r="PCX332"/>
      <c r="PDA332"/>
      <c r="PDB332"/>
      <c r="PDE332"/>
      <c r="PDF332"/>
      <c r="PDI332"/>
      <c r="PDJ332"/>
      <c r="PDM332"/>
      <c r="PDN332"/>
      <c r="PDQ332"/>
      <c r="PDR332"/>
      <c r="PDU332"/>
      <c r="PDV332"/>
      <c r="PDY332"/>
      <c r="PDZ332"/>
      <c r="PEC332"/>
      <c r="PED332"/>
      <c r="PEG332"/>
      <c r="PEH332"/>
      <c r="PEK332"/>
      <c r="PEL332"/>
      <c r="PEO332"/>
      <c r="PEP332"/>
      <c r="PES332"/>
      <c r="PET332"/>
      <c r="PEW332"/>
      <c r="PEX332"/>
      <c r="PFA332"/>
      <c r="PFB332"/>
      <c r="PFE332"/>
      <c r="PFF332"/>
      <c r="PFI332"/>
      <c r="PFJ332"/>
      <c r="PFM332"/>
      <c r="PFN332"/>
      <c r="PFQ332"/>
      <c r="PFR332"/>
      <c r="PFU332"/>
      <c r="PFV332"/>
      <c r="PFY332"/>
      <c r="PFZ332"/>
      <c r="PGC332"/>
      <c r="PGD332"/>
      <c r="PGG332"/>
      <c r="PGH332"/>
      <c r="PGK332"/>
      <c r="PGL332"/>
      <c r="PGO332"/>
      <c r="PGP332"/>
      <c r="PGS332"/>
      <c r="PGT332"/>
      <c r="PGW332"/>
      <c r="PGX332"/>
      <c r="PHA332"/>
      <c r="PHB332"/>
      <c r="PHE332"/>
      <c r="PHF332"/>
      <c r="PHI332"/>
      <c r="PHJ332"/>
      <c r="PHM332"/>
      <c r="PHN332"/>
      <c r="PHQ332"/>
      <c r="PHR332"/>
      <c r="PHU332"/>
      <c r="PHV332"/>
      <c r="PHY332"/>
      <c r="PHZ332"/>
      <c r="PIC332"/>
      <c r="PID332"/>
      <c r="PIG332"/>
      <c r="PIH332"/>
      <c r="PIK332"/>
      <c r="PIL332"/>
      <c r="PIO332"/>
      <c r="PIP332"/>
      <c r="PIS332"/>
      <c r="PIT332"/>
      <c r="PIW332"/>
      <c r="PIX332"/>
      <c r="PJA332"/>
      <c r="PJB332"/>
      <c r="PJE332"/>
      <c r="PJF332"/>
      <c r="PJI332"/>
      <c r="PJJ332"/>
      <c r="PJM332"/>
      <c r="PJN332"/>
      <c r="PJQ332"/>
      <c r="PJR332"/>
      <c r="PJU332"/>
      <c r="PJV332"/>
      <c r="PJY332"/>
      <c r="PJZ332"/>
      <c r="PKC332"/>
      <c r="PKD332"/>
      <c r="PKG332"/>
      <c r="PKH332"/>
      <c r="PKK332"/>
      <c r="PKL332"/>
      <c r="PKO332"/>
      <c r="PKP332"/>
      <c r="PKS332"/>
      <c r="PKT332"/>
      <c r="PKW332"/>
      <c r="PKX332"/>
      <c r="PLA332"/>
      <c r="PLB332"/>
      <c r="PLE332"/>
      <c r="PLF332"/>
      <c r="PLI332"/>
      <c r="PLJ332"/>
      <c r="PLM332"/>
      <c r="PLN332"/>
      <c r="PLQ332"/>
      <c r="PLR332"/>
      <c r="PLU332"/>
      <c r="PLV332"/>
      <c r="PLY332"/>
      <c r="PLZ332"/>
      <c r="PMC332"/>
      <c r="PMD332"/>
      <c r="PMG332"/>
      <c r="PMH332"/>
      <c r="PMK332"/>
      <c r="PML332"/>
      <c r="PMO332"/>
      <c r="PMP332"/>
      <c r="PMS332"/>
      <c r="PMT332"/>
      <c r="PMW332"/>
      <c r="PMX332"/>
      <c r="PNA332"/>
      <c r="PNB332"/>
      <c r="PNE332"/>
      <c r="PNF332"/>
      <c r="PNI332"/>
      <c r="PNJ332"/>
      <c r="PNM332"/>
      <c r="PNN332"/>
      <c r="PNQ332"/>
      <c r="PNR332"/>
      <c r="PNU332"/>
      <c r="PNV332"/>
      <c r="PNY332"/>
      <c r="PNZ332"/>
      <c r="POC332"/>
      <c r="POD332"/>
      <c r="POG332"/>
      <c r="POH332"/>
      <c r="POK332"/>
      <c r="POL332"/>
      <c r="POO332"/>
      <c r="POP332"/>
      <c r="POS332"/>
      <c r="POT332"/>
      <c r="POW332"/>
      <c r="POX332"/>
      <c r="PPA332"/>
      <c r="PPB332"/>
      <c r="PPE332"/>
      <c r="PPF332"/>
      <c r="PPI332"/>
      <c r="PPJ332"/>
      <c r="PPM332"/>
      <c r="PPN332"/>
      <c r="PPQ332"/>
      <c r="PPR332"/>
      <c r="PPU332"/>
      <c r="PPV332"/>
      <c r="PPY332"/>
      <c r="PPZ332"/>
      <c r="PQC332"/>
      <c r="PQD332"/>
      <c r="PQG332"/>
      <c r="PQH332"/>
      <c r="PQK332"/>
      <c r="PQL332"/>
      <c r="PQO332"/>
      <c r="PQP332"/>
      <c r="PQS332"/>
      <c r="PQT332"/>
      <c r="PQW332"/>
      <c r="PQX332"/>
      <c r="PRA332"/>
      <c r="PRB332"/>
      <c r="PRE332"/>
      <c r="PRF332"/>
      <c r="PRI332"/>
      <c r="PRJ332"/>
      <c r="PRM332"/>
      <c r="PRN332"/>
      <c r="PRQ332"/>
      <c r="PRR332"/>
      <c r="PRU332"/>
      <c r="PRV332"/>
      <c r="PRY332"/>
      <c r="PRZ332"/>
      <c r="PSC332"/>
      <c r="PSD332"/>
      <c r="PSG332"/>
      <c r="PSH332"/>
      <c r="PSK332"/>
      <c r="PSL332"/>
      <c r="PSO332"/>
      <c r="PSP332"/>
      <c r="PSS332"/>
      <c r="PST332"/>
      <c r="PSW332"/>
      <c r="PSX332"/>
      <c r="PTA332"/>
      <c r="PTB332"/>
      <c r="PTE332"/>
      <c r="PTF332"/>
      <c r="PTI332"/>
      <c r="PTJ332"/>
      <c r="PTM332"/>
      <c r="PTN332"/>
      <c r="PTQ332"/>
      <c r="PTR332"/>
      <c r="PTU332"/>
      <c r="PTV332"/>
      <c r="PTY332"/>
      <c r="PTZ332"/>
      <c r="PUC332"/>
      <c r="PUD332"/>
      <c r="PUG332"/>
      <c r="PUH332"/>
      <c r="PUK332"/>
      <c r="PUL332"/>
      <c r="PUO332"/>
      <c r="PUP332"/>
      <c r="PUS332"/>
      <c r="PUT332"/>
      <c r="PUW332"/>
      <c r="PUX332"/>
      <c r="PVA332"/>
      <c r="PVB332"/>
      <c r="PVE332"/>
      <c r="PVF332"/>
      <c r="PVI332"/>
      <c r="PVJ332"/>
      <c r="PVM332"/>
      <c r="PVN332"/>
      <c r="PVQ332"/>
      <c r="PVR332"/>
      <c r="PVU332"/>
      <c r="PVV332"/>
      <c r="PVY332"/>
      <c r="PVZ332"/>
      <c r="PWC332"/>
      <c r="PWD332"/>
      <c r="PWG332"/>
      <c r="PWH332"/>
      <c r="PWK332"/>
      <c r="PWL332"/>
      <c r="PWO332"/>
      <c r="PWP332"/>
      <c r="PWS332"/>
      <c r="PWT332"/>
      <c r="PWW332"/>
      <c r="PWX332"/>
      <c r="PXA332"/>
      <c r="PXB332"/>
      <c r="PXE332"/>
      <c r="PXF332"/>
      <c r="PXI332"/>
      <c r="PXJ332"/>
      <c r="PXM332"/>
      <c r="PXN332"/>
      <c r="PXQ332"/>
      <c r="PXR332"/>
      <c r="PXU332"/>
      <c r="PXV332"/>
      <c r="PXY332"/>
      <c r="PXZ332"/>
      <c r="PYC332"/>
      <c r="PYD332"/>
      <c r="PYG332"/>
      <c r="PYH332"/>
      <c r="PYK332"/>
      <c r="PYL332"/>
      <c r="PYO332"/>
      <c r="PYP332"/>
      <c r="PYS332"/>
      <c r="PYT332"/>
      <c r="PYW332"/>
      <c r="PYX332"/>
      <c r="PZA332"/>
      <c r="PZB332"/>
      <c r="PZE332"/>
      <c r="PZF332"/>
      <c r="PZI332"/>
      <c r="PZJ332"/>
      <c r="PZM332"/>
      <c r="PZN332"/>
      <c r="PZQ332"/>
      <c r="PZR332"/>
      <c r="PZU332"/>
      <c r="PZV332"/>
      <c r="PZY332"/>
      <c r="PZZ332"/>
      <c r="QAC332"/>
      <c r="QAD332"/>
      <c r="QAG332"/>
      <c r="QAH332"/>
      <c r="QAK332"/>
      <c r="QAL332"/>
      <c r="QAO332"/>
      <c r="QAP332"/>
      <c r="QAS332"/>
      <c r="QAT332"/>
      <c r="QAW332"/>
      <c r="QAX332"/>
      <c r="QBA332"/>
      <c r="QBB332"/>
      <c r="QBE332"/>
      <c r="QBF332"/>
      <c r="QBI332"/>
      <c r="QBJ332"/>
      <c r="QBM332"/>
      <c r="QBN332"/>
      <c r="QBQ332"/>
      <c r="QBR332"/>
      <c r="QBU332"/>
      <c r="QBV332"/>
      <c r="QBY332"/>
      <c r="QBZ332"/>
      <c r="QCC332"/>
      <c r="QCD332"/>
      <c r="QCG332"/>
      <c r="QCH332"/>
      <c r="QCK332"/>
      <c r="QCL332"/>
      <c r="QCO332"/>
      <c r="QCP332"/>
      <c r="QCS332"/>
      <c r="QCT332"/>
      <c r="QCW332"/>
      <c r="QCX332"/>
      <c r="QDA332"/>
      <c r="QDB332"/>
      <c r="QDE332"/>
      <c r="QDF332"/>
      <c r="QDI332"/>
      <c r="QDJ332"/>
      <c r="QDM332"/>
      <c r="QDN332"/>
      <c r="QDQ332"/>
      <c r="QDR332"/>
      <c r="QDU332"/>
      <c r="QDV332"/>
      <c r="QDY332"/>
      <c r="QDZ332"/>
      <c r="QEC332"/>
      <c r="QED332"/>
      <c r="QEG332"/>
      <c r="QEH332"/>
      <c r="QEK332"/>
      <c r="QEL332"/>
      <c r="QEO332"/>
      <c r="QEP332"/>
      <c r="QES332"/>
      <c r="QET332"/>
      <c r="QEW332"/>
      <c r="QEX332"/>
      <c r="QFA332"/>
      <c r="QFB332"/>
      <c r="QFE332"/>
      <c r="QFF332"/>
      <c r="QFI332"/>
      <c r="QFJ332"/>
      <c r="QFM332"/>
      <c r="QFN332"/>
      <c r="QFQ332"/>
      <c r="QFR332"/>
      <c r="QFU332"/>
      <c r="QFV332"/>
      <c r="QFY332"/>
      <c r="QFZ332"/>
      <c r="QGC332"/>
      <c r="QGD332"/>
      <c r="QGG332"/>
      <c r="QGH332"/>
      <c r="QGK332"/>
      <c r="QGL332"/>
      <c r="QGO332"/>
      <c r="QGP332"/>
      <c r="QGS332"/>
      <c r="QGT332"/>
      <c r="QGW332"/>
      <c r="QGX332"/>
      <c r="QHA332"/>
      <c r="QHB332"/>
      <c r="QHE332"/>
      <c r="QHF332"/>
      <c r="QHI332"/>
      <c r="QHJ332"/>
      <c r="QHM332"/>
      <c r="QHN332"/>
      <c r="QHQ332"/>
      <c r="QHR332"/>
      <c r="QHU332"/>
      <c r="QHV332"/>
      <c r="QHY332"/>
      <c r="QHZ332"/>
      <c r="QIC332"/>
      <c r="QID332"/>
      <c r="QIG332"/>
      <c r="QIH332"/>
      <c r="QIK332"/>
      <c r="QIL332"/>
      <c r="QIO332"/>
      <c r="QIP332"/>
      <c r="QIS332"/>
      <c r="QIT332"/>
      <c r="QIW332"/>
      <c r="QIX332"/>
      <c r="QJA332"/>
      <c r="QJB332"/>
      <c r="QJE332"/>
      <c r="QJF332"/>
      <c r="QJI332"/>
      <c r="QJJ332"/>
      <c r="QJM332"/>
      <c r="QJN332"/>
      <c r="QJQ332"/>
      <c r="QJR332"/>
      <c r="QJU332"/>
      <c r="QJV332"/>
      <c r="QJY332"/>
      <c r="QJZ332"/>
      <c r="QKC332"/>
      <c r="QKD332"/>
      <c r="QKG332"/>
      <c r="QKH332"/>
      <c r="QKK332"/>
      <c r="QKL332"/>
      <c r="QKO332"/>
      <c r="QKP332"/>
      <c r="QKS332"/>
      <c r="QKT332"/>
      <c r="QKW332"/>
      <c r="QKX332"/>
      <c r="QLA332"/>
      <c r="QLB332"/>
      <c r="QLE332"/>
      <c r="QLF332"/>
      <c r="QLI332"/>
      <c r="QLJ332"/>
      <c r="QLM332"/>
      <c r="QLN332"/>
      <c r="QLQ332"/>
      <c r="QLR332"/>
      <c r="QLU332"/>
      <c r="QLV332"/>
      <c r="QLY332"/>
      <c r="QLZ332"/>
      <c r="QMC332"/>
      <c r="QMD332"/>
      <c r="QMG332"/>
      <c r="QMH332"/>
      <c r="QMK332"/>
      <c r="QML332"/>
      <c r="QMO332"/>
      <c r="QMP332"/>
      <c r="QMS332"/>
      <c r="QMT332"/>
      <c r="QMW332"/>
      <c r="QMX332"/>
      <c r="QNA332"/>
      <c r="QNB332"/>
      <c r="QNE332"/>
      <c r="QNF332"/>
      <c r="QNI332"/>
      <c r="QNJ332"/>
      <c r="QNM332"/>
      <c r="QNN332"/>
      <c r="QNQ332"/>
      <c r="QNR332"/>
      <c r="QNU332"/>
      <c r="QNV332"/>
      <c r="QNY332"/>
      <c r="QNZ332"/>
      <c r="QOC332"/>
      <c r="QOD332"/>
      <c r="QOG332"/>
      <c r="QOH332"/>
      <c r="QOK332"/>
      <c r="QOL332"/>
      <c r="QOO332"/>
      <c r="QOP332"/>
      <c r="QOS332"/>
      <c r="QOT332"/>
      <c r="QOW332"/>
      <c r="QOX332"/>
      <c r="QPA332"/>
      <c r="QPB332"/>
      <c r="QPE332"/>
      <c r="QPF332"/>
      <c r="QPI332"/>
      <c r="QPJ332"/>
      <c r="QPM332"/>
      <c r="QPN332"/>
      <c r="QPQ332"/>
      <c r="QPR332"/>
      <c r="QPU332"/>
      <c r="QPV332"/>
      <c r="QPY332"/>
      <c r="QPZ332"/>
      <c r="QQC332"/>
      <c r="QQD332"/>
      <c r="QQG332"/>
      <c r="QQH332"/>
      <c r="QQK332"/>
      <c r="QQL332"/>
      <c r="QQO332"/>
      <c r="QQP332"/>
      <c r="QQS332"/>
      <c r="QQT332"/>
      <c r="QQW332"/>
      <c r="QQX332"/>
      <c r="QRA332"/>
      <c r="QRB332"/>
      <c r="QRE332"/>
      <c r="QRF332"/>
      <c r="QRI332"/>
      <c r="QRJ332"/>
      <c r="QRM332"/>
      <c r="QRN332"/>
      <c r="QRQ332"/>
      <c r="QRR332"/>
      <c r="QRU332"/>
      <c r="QRV332"/>
      <c r="QRY332"/>
      <c r="QRZ332"/>
      <c r="QSC332"/>
      <c r="QSD332"/>
      <c r="QSG332"/>
      <c r="QSH332"/>
      <c r="QSK332"/>
      <c r="QSL332"/>
      <c r="QSO332"/>
      <c r="QSP332"/>
      <c r="QSS332"/>
      <c r="QST332"/>
      <c r="QSW332"/>
      <c r="QSX332"/>
      <c r="QTA332"/>
      <c r="QTB332"/>
      <c r="QTE332"/>
      <c r="QTF332"/>
      <c r="QTI332"/>
      <c r="QTJ332"/>
      <c r="QTM332"/>
      <c r="QTN332"/>
      <c r="QTQ332"/>
      <c r="QTR332"/>
      <c r="QTU332"/>
      <c r="QTV332"/>
      <c r="QTY332"/>
      <c r="QTZ332"/>
      <c r="QUC332"/>
      <c r="QUD332"/>
      <c r="QUG332"/>
      <c r="QUH332"/>
      <c r="QUK332"/>
      <c r="QUL332"/>
      <c r="QUO332"/>
      <c r="QUP332"/>
      <c r="QUS332"/>
      <c r="QUT332"/>
      <c r="QUW332"/>
      <c r="QUX332"/>
      <c r="QVA332"/>
      <c r="QVB332"/>
      <c r="QVE332"/>
      <c r="QVF332"/>
      <c r="QVI332"/>
      <c r="QVJ332"/>
      <c r="QVM332"/>
      <c r="QVN332"/>
      <c r="QVQ332"/>
      <c r="QVR332"/>
      <c r="QVU332"/>
      <c r="QVV332"/>
      <c r="QVY332"/>
      <c r="QVZ332"/>
      <c r="QWC332"/>
      <c r="QWD332"/>
      <c r="QWG332"/>
      <c r="QWH332"/>
      <c r="QWK332"/>
      <c r="QWL332"/>
      <c r="QWO332"/>
      <c r="QWP332"/>
      <c r="QWS332"/>
      <c r="QWT332"/>
      <c r="QWW332"/>
      <c r="QWX332"/>
      <c r="QXA332"/>
      <c r="QXB332"/>
      <c r="QXE332"/>
      <c r="QXF332"/>
      <c r="QXI332"/>
      <c r="QXJ332"/>
      <c r="QXM332"/>
      <c r="QXN332"/>
      <c r="QXQ332"/>
      <c r="QXR332"/>
      <c r="QXU332"/>
      <c r="QXV332"/>
      <c r="QXY332"/>
      <c r="QXZ332"/>
      <c r="QYC332"/>
      <c r="QYD332"/>
      <c r="QYG332"/>
      <c r="QYH332"/>
      <c r="QYK332"/>
      <c r="QYL332"/>
      <c r="QYO332"/>
      <c r="QYP332"/>
      <c r="QYS332"/>
      <c r="QYT332"/>
      <c r="QYW332"/>
      <c r="QYX332"/>
      <c r="QZA332"/>
      <c r="QZB332"/>
      <c r="QZE332"/>
      <c r="QZF332"/>
      <c r="QZI332"/>
      <c r="QZJ332"/>
      <c r="QZM332"/>
      <c r="QZN332"/>
      <c r="QZQ332"/>
      <c r="QZR332"/>
      <c r="QZU332"/>
      <c r="QZV332"/>
      <c r="QZY332"/>
      <c r="QZZ332"/>
      <c r="RAC332"/>
      <c r="RAD332"/>
      <c r="RAG332"/>
      <c r="RAH332"/>
      <c r="RAK332"/>
      <c r="RAL332"/>
      <c r="RAO332"/>
      <c r="RAP332"/>
      <c r="RAS332"/>
      <c r="RAT332"/>
      <c r="RAW332"/>
      <c r="RAX332"/>
      <c r="RBA332"/>
      <c r="RBB332"/>
      <c r="RBE332"/>
      <c r="RBF332"/>
      <c r="RBI332"/>
      <c r="RBJ332"/>
      <c r="RBM332"/>
      <c r="RBN332"/>
      <c r="RBQ332"/>
      <c r="RBR332"/>
      <c r="RBU332"/>
      <c r="RBV332"/>
      <c r="RBY332"/>
      <c r="RBZ332"/>
      <c r="RCC332"/>
      <c r="RCD332"/>
      <c r="RCG332"/>
      <c r="RCH332"/>
      <c r="RCK332"/>
      <c r="RCL332"/>
      <c r="RCO332"/>
      <c r="RCP332"/>
      <c r="RCS332"/>
      <c r="RCT332"/>
      <c r="RCW332"/>
      <c r="RCX332"/>
      <c r="RDA332"/>
      <c r="RDB332"/>
      <c r="RDE332"/>
      <c r="RDF332"/>
      <c r="RDI332"/>
      <c r="RDJ332"/>
      <c r="RDM332"/>
      <c r="RDN332"/>
      <c r="RDQ332"/>
      <c r="RDR332"/>
      <c r="RDU332"/>
      <c r="RDV332"/>
      <c r="RDY332"/>
      <c r="RDZ332"/>
      <c r="REC332"/>
      <c r="RED332"/>
      <c r="REG332"/>
      <c r="REH332"/>
      <c r="REK332"/>
      <c r="REL332"/>
      <c r="REO332"/>
      <c r="REP332"/>
      <c r="RES332"/>
      <c r="RET332"/>
      <c r="REW332"/>
      <c r="REX332"/>
      <c r="RFA332"/>
      <c r="RFB332"/>
      <c r="RFE332"/>
      <c r="RFF332"/>
      <c r="RFI332"/>
      <c r="RFJ332"/>
      <c r="RFM332"/>
      <c r="RFN332"/>
      <c r="RFQ332"/>
      <c r="RFR332"/>
      <c r="RFU332"/>
      <c r="RFV332"/>
      <c r="RFY332"/>
      <c r="RFZ332"/>
      <c r="RGC332"/>
      <c r="RGD332"/>
      <c r="RGG332"/>
      <c r="RGH332"/>
      <c r="RGK332"/>
      <c r="RGL332"/>
      <c r="RGO332"/>
      <c r="RGP332"/>
      <c r="RGS332"/>
      <c r="RGT332"/>
      <c r="RGW332"/>
      <c r="RGX332"/>
      <c r="RHA332"/>
      <c r="RHB332"/>
      <c r="RHE332"/>
      <c r="RHF332"/>
      <c r="RHI332"/>
      <c r="RHJ332"/>
      <c r="RHM332"/>
      <c r="RHN332"/>
      <c r="RHQ332"/>
      <c r="RHR332"/>
      <c r="RHU332"/>
      <c r="RHV332"/>
      <c r="RHY332"/>
      <c r="RHZ332"/>
      <c r="RIC332"/>
      <c r="RID332"/>
      <c r="RIG332"/>
      <c r="RIH332"/>
      <c r="RIK332"/>
      <c r="RIL332"/>
      <c r="RIO332"/>
      <c r="RIP332"/>
      <c r="RIS332"/>
      <c r="RIT332"/>
      <c r="RIW332"/>
      <c r="RIX332"/>
      <c r="RJA332"/>
      <c r="RJB332"/>
      <c r="RJE332"/>
      <c r="RJF332"/>
      <c r="RJI332"/>
      <c r="RJJ332"/>
      <c r="RJM332"/>
      <c r="RJN332"/>
      <c r="RJQ332"/>
      <c r="RJR332"/>
      <c r="RJU332"/>
      <c r="RJV332"/>
      <c r="RJY332"/>
      <c r="RJZ332"/>
      <c r="RKC332"/>
      <c r="RKD332"/>
      <c r="RKG332"/>
      <c r="RKH332"/>
      <c r="RKK332"/>
      <c r="RKL332"/>
      <c r="RKO332"/>
      <c r="RKP332"/>
      <c r="RKS332"/>
      <c r="RKT332"/>
      <c r="RKW332"/>
      <c r="RKX332"/>
      <c r="RLA332"/>
      <c r="RLB332"/>
      <c r="RLE332"/>
      <c r="RLF332"/>
      <c r="RLI332"/>
      <c r="RLJ332"/>
      <c r="RLM332"/>
      <c r="RLN332"/>
      <c r="RLQ332"/>
      <c r="RLR332"/>
      <c r="RLU332"/>
      <c r="RLV332"/>
      <c r="RLY332"/>
      <c r="RLZ332"/>
      <c r="RMC332"/>
      <c r="RMD332"/>
      <c r="RMG332"/>
      <c r="RMH332"/>
      <c r="RMK332"/>
      <c r="RML332"/>
      <c r="RMO332"/>
      <c r="RMP332"/>
      <c r="RMS332"/>
      <c r="RMT332"/>
      <c r="RMW332"/>
      <c r="RMX332"/>
      <c r="RNA332"/>
      <c r="RNB332"/>
      <c r="RNE332"/>
      <c r="RNF332"/>
      <c r="RNI332"/>
      <c r="RNJ332"/>
      <c r="RNM332"/>
      <c r="RNN332"/>
      <c r="RNQ332"/>
      <c r="RNR332"/>
      <c r="RNU332"/>
      <c r="RNV332"/>
      <c r="RNY332"/>
      <c r="RNZ332"/>
      <c r="ROC332"/>
      <c r="ROD332"/>
      <c r="ROG332"/>
      <c r="ROH332"/>
      <c r="ROK332"/>
      <c r="ROL332"/>
      <c r="ROO332"/>
      <c r="ROP332"/>
      <c r="ROS332"/>
      <c r="ROT332"/>
      <c r="ROW332"/>
      <c r="ROX332"/>
      <c r="RPA332"/>
      <c r="RPB332"/>
      <c r="RPE332"/>
      <c r="RPF332"/>
      <c r="RPI332"/>
      <c r="RPJ332"/>
      <c r="RPM332"/>
      <c r="RPN332"/>
      <c r="RPQ332"/>
      <c r="RPR332"/>
      <c r="RPU332"/>
      <c r="RPV332"/>
      <c r="RPY332"/>
      <c r="RPZ332"/>
      <c r="RQC332"/>
      <c r="RQD332"/>
      <c r="RQG332"/>
      <c r="RQH332"/>
      <c r="RQK332"/>
      <c r="RQL332"/>
      <c r="RQO332"/>
      <c r="RQP332"/>
      <c r="RQS332"/>
      <c r="RQT332"/>
      <c r="RQW332"/>
      <c r="RQX332"/>
      <c r="RRA332"/>
      <c r="RRB332"/>
      <c r="RRE332"/>
      <c r="RRF332"/>
      <c r="RRI332"/>
      <c r="RRJ332"/>
      <c r="RRM332"/>
      <c r="RRN332"/>
      <c r="RRQ332"/>
      <c r="RRR332"/>
      <c r="RRU332"/>
      <c r="RRV332"/>
      <c r="RRY332"/>
      <c r="RRZ332"/>
      <c r="RSC332"/>
      <c r="RSD332"/>
      <c r="RSG332"/>
      <c r="RSH332"/>
      <c r="RSK332"/>
      <c r="RSL332"/>
      <c r="RSO332"/>
      <c r="RSP332"/>
      <c r="RSS332"/>
      <c r="RST332"/>
      <c r="RSW332"/>
      <c r="RSX332"/>
      <c r="RTA332"/>
      <c r="RTB332"/>
      <c r="RTE332"/>
      <c r="RTF332"/>
      <c r="RTI332"/>
      <c r="RTJ332"/>
      <c r="RTM332"/>
      <c r="RTN332"/>
      <c r="RTQ332"/>
      <c r="RTR332"/>
      <c r="RTU332"/>
      <c r="RTV332"/>
      <c r="RTY332"/>
      <c r="RTZ332"/>
      <c r="RUC332"/>
      <c r="RUD332"/>
      <c r="RUG332"/>
      <c r="RUH332"/>
      <c r="RUK332"/>
      <c r="RUL332"/>
      <c r="RUO332"/>
      <c r="RUP332"/>
      <c r="RUS332"/>
      <c r="RUT332"/>
      <c r="RUW332"/>
      <c r="RUX332"/>
      <c r="RVA332"/>
      <c r="RVB332"/>
      <c r="RVE332"/>
      <c r="RVF332"/>
      <c r="RVI332"/>
      <c r="RVJ332"/>
      <c r="RVM332"/>
      <c r="RVN332"/>
      <c r="RVQ332"/>
      <c r="RVR332"/>
      <c r="RVU332"/>
      <c r="RVV332"/>
      <c r="RVY332"/>
      <c r="RVZ332"/>
      <c r="RWC332"/>
      <c r="RWD332"/>
      <c r="RWG332"/>
      <c r="RWH332"/>
      <c r="RWK332"/>
      <c r="RWL332"/>
      <c r="RWO332"/>
      <c r="RWP332"/>
      <c r="RWS332"/>
      <c r="RWT332"/>
      <c r="RWW332"/>
      <c r="RWX332"/>
      <c r="RXA332"/>
      <c r="RXB332"/>
      <c r="RXE332"/>
      <c r="RXF332"/>
      <c r="RXI332"/>
      <c r="RXJ332"/>
      <c r="RXM332"/>
      <c r="RXN332"/>
      <c r="RXQ332"/>
      <c r="RXR332"/>
      <c r="RXU332"/>
      <c r="RXV332"/>
      <c r="RXY332"/>
      <c r="RXZ332"/>
      <c r="RYC332"/>
      <c r="RYD332"/>
      <c r="RYG332"/>
      <c r="RYH332"/>
      <c r="RYK332"/>
      <c r="RYL332"/>
      <c r="RYO332"/>
      <c r="RYP332"/>
      <c r="RYS332"/>
      <c r="RYT332"/>
      <c r="RYW332"/>
      <c r="RYX332"/>
      <c r="RZA332"/>
      <c r="RZB332"/>
      <c r="RZE332"/>
      <c r="RZF332"/>
      <c r="RZI332"/>
      <c r="RZJ332"/>
      <c r="RZM332"/>
      <c r="RZN332"/>
      <c r="RZQ332"/>
      <c r="RZR332"/>
      <c r="RZU332"/>
      <c r="RZV332"/>
      <c r="RZY332"/>
      <c r="RZZ332"/>
      <c r="SAC332"/>
      <c r="SAD332"/>
      <c r="SAG332"/>
      <c r="SAH332"/>
      <c r="SAK332"/>
      <c r="SAL332"/>
      <c r="SAO332"/>
      <c r="SAP332"/>
      <c r="SAS332"/>
      <c r="SAT332"/>
      <c r="SAW332"/>
      <c r="SAX332"/>
      <c r="SBA332"/>
      <c r="SBB332"/>
      <c r="SBE332"/>
      <c r="SBF332"/>
      <c r="SBI332"/>
      <c r="SBJ332"/>
      <c r="SBM332"/>
      <c r="SBN332"/>
      <c r="SBQ332"/>
      <c r="SBR332"/>
      <c r="SBU332"/>
      <c r="SBV332"/>
      <c r="SBY332"/>
      <c r="SBZ332"/>
      <c r="SCC332"/>
      <c r="SCD332"/>
      <c r="SCG332"/>
      <c r="SCH332"/>
      <c r="SCK332"/>
      <c r="SCL332"/>
      <c r="SCO332"/>
      <c r="SCP332"/>
      <c r="SCS332"/>
      <c r="SCT332"/>
      <c r="SCW332"/>
      <c r="SCX332"/>
      <c r="SDA332"/>
      <c r="SDB332"/>
      <c r="SDE332"/>
      <c r="SDF332"/>
      <c r="SDI332"/>
      <c r="SDJ332"/>
      <c r="SDM332"/>
      <c r="SDN332"/>
      <c r="SDQ332"/>
      <c r="SDR332"/>
      <c r="SDU332"/>
      <c r="SDV332"/>
      <c r="SDY332"/>
      <c r="SDZ332"/>
      <c r="SEC332"/>
      <c r="SED332"/>
      <c r="SEG332"/>
      <c r="SEH332"/>
      <c r="SEK332"/>
      <c r="SEL332"/>
      <c r="SEO332"/>
      <c r="SEP332"/>
      <c r="SES332"/>
      <c r="SET332"/>
      <c r="SEW332"/>
      <c r="SEX332"/>
      <c r="SFA332"/>
      <c r="SFB332"/>
      <c r="SFE332"/>
      <c r="SFF332"/>
      <c r="SFI332"/>
      <c r="SFJ332"/>
      <c r="SFM332"/>
      <c r="SFN332"/>
      <c r="SFQ332"/>
      <c r="SFR332"/>
      <c r="SFU332"/>
      <c r="SFV332"/>
      <c r="SFY332"/>
      <c r="SFZ332"/>
      <c r="SGC332"/>
      <c r="SGD332"/>
      <c r="SGG332"/>
      <c r="SGH332"/>
      <c r="SGK332"/>
      <c r="SGL332"/>
      <c r="SGO332"/>
      <c r="SGP332"/>
      <c r="SGS332"/>
      <c r="SGT332"/>
      <c r="SGW332"/>
      <c r="SGX332"/>
      <c r="SHA332"/>
      <c r="SHB332"/>
      <c r="SHE332"/>
      <c r="SHF332"/>
      <c r="SHI332"/>
      <c r="SHJ332"/>
      <c r="SHM332"/>
      <c r="SHN332"/>
      <c r="SHQ332"/>
      <c r="SHR332"/>
      <c r="SHU332"/>
      <c r="SHV332"/>
      <c r="SHY332"/>
      <c r="SHZ332"/>
      <c r="SIC332"/>
      <c r="SID332"/>
      <c r="SIG332"/>
      <c r="SIH332"/>
      <c r="SIK332"/>
      <c r="SIL332"/>
      <c r="SIO332"/>
      <c r="SIP332"/>
      <c r="SIS332"/>
      <c r="SIT332"/>
      <c r="SIW332"/>
      <c r="SIX332"/>
      <c r="SJA332"/>
      <c r="SJB332"/>
      <c r="SJE332"/>
      <c r="SJF332"/>
      <c r="SJI332"/>
      <c r="SJJ332"/>
      <c r="SJM332"/>
      <c r="SJN332"/>
      <c r="SJQ332"/>
      <c r="SJR332"/>
      <c r="SJU332"/>
      <c r="SJV332"/>
      <c r="SJY332"/>
      <c r="SJZ332"/>
      <c r="SKC332"/>
      <c r="SKD332"/>
      <c r="SKG332"/>
      <c r="SKH332"/>
      <c r="SKK332"/>
      <c r="SKL332"/>
      <c r="SKO332"/>
      <c r="SKP332"/>
      <c r="SKS332"/>
      <c r="SKT332"/>
      <c r="SKW332"/>
      <c r="SKX332"/>
      <c r="SLA332"/>
      <c r="SLB332"/>
      <c r="SLE332"/>
      <c r="SLF332"/>
      <c r="SLI332"/>
      <c r="SLJ332"/>
      <c r="SLM332"/>
      <c r="SLN332"/>
      <c r="SLQ332"/>
      <c r="SLR332"/>
      <c r="SLU332"/>
      <c r="SLV332"/>
      <c r="SLY332"/>
      <c r="SLZ332"/>
      <c r="SMC332"/>
      <c r="SMD332"/>
      <c r="SMG332"/>
      <c r="SMH332"/>
      <c r="SMK332"/>
      <c r="SML332"/>
      <c r="SMO332"/>
      <c r="SMP332"/>
      <c r="SMS332"/>
      <c r="SMT332"/>
      <c r="SMW332"/>
      <c r="SMX332"/>
      <c r="SNA332"/>
      <c r="SNB332"/>
      <c r="SNE332"/>
      <c r="SNF332"/>
      <c r="SNI332"/>
      <c r="SNJ332"/>
      <c r="SNM332"/>
      <c r="SNN332"/>
      <c r="SNQ332"/>
      <c r="SNR332"/>
      <c r="SNU332"/>
      <c r="SNV332"/>
      <c r="SNY332"/>
      <c r="SNZ332"/>
      <c r="SOC332"/>
      <c r="SOD332"/>
      <c r="SOG332"/>
      <c r="SOH332"/>
      <c r="SOK332"/>
      <c r="SOL332"/>
      <c r="SOO332"/>
      <c r="SOP332"/>
      <c r="SOS332"/>
      <c r="SOT332"/>
      <c r="SOW332"/>
      <c r="SOX332"/>
      <c r="SPA332"/>
      <c r="SPB332"/>
      <c r="SPE332"/>
      <c r="SPF332"/>
      <c r="SPI332"/>
      <c r="SPJ332"/>
      <c r="SPM332"/>
      <c r="SPN332"/>
      <c r="SPQ332"/>
      <c r="SPR332"/>
      <c r="SPU332"/>
      <c r="SPV332"/>
      <c r="SPY332"/>
      <c r="SPZ332"/>
      <c r="SQC332"/>
      <c r="SQD332"/>
      <c r="SQG332"/>
      <c r="SQH332"/>
      <c r="SQK332"/>
      <c r="SQL332"/>
      <c r="SQO332"/>
      <c r="SQP332"/>
      <c r="SQS332"/>
      <c r="SQT332"/>
      <c r="SQW332"/>
      <c r="SQX332"/>
      <c r="SRA332"/>
      <c r="SRB332"/>
      <c r="SRE332"/>
      <c r="SRF332"/>
      <c r="SRI332"/>
      <c r="SRJ332"/>
      <c r="SRM332"/>
      <c r="SRN332"/>
      <c r="SRQ332"/>
      <c r="SRR332"/>
      <c r="SRU332"/>
      <c r="SRV332"/>
      <c r="SRY332"/>
      <c r="SRZ332"/>
      <c r="SSC332"/>
      <c r="SSD332"/>
      <c r="SSG332"/>
      <c r="SSH332"/>
      <c r="SSK332"/>
      <c r="SSL332"/>
      <c r="SSO332"/>
      <c r="SSP332"/>
      <c r="SSS332"/>
      <c r="SST332"/>
      <c r="SSW332"/>
      <c r="SSX332"/>
      <c r="STA332"/>
      <c r="STB332"/>
      <c r="STE332"/>
      <c r="STF332"/>
      <c r="STI332"/>
      <c r="STJ332"/>
      <c r="STM332"/>
      <c r="STN332"/>
      <c r="STQ332"/>
      <c r="STR332"/>
      <c r="STU332"/>
      <c r="STV332"/>
      <c r="STY332"/>
      <c r="STZ332"/>
      <c r="SUC332"/>
      <c r="SUD332"/>
      <c r="SUG332"/>
      <c r="SUH332"/>
      <c r="SUK332"/>
      <c r="SUL332"/>
      <c r="SUO332"/>
      <c r="SUP332"/>
      <c r="SUS332"/>
      <c r="SUT332"/>
      <c r="SUW332"/>
      <c r="SUX332"/>
      <c r="SVA332"/>
      <c r="SVB332"/>
      <c r="SVE332"/>
      <c r="SVF332"/>
      <c r="SVI332"/>
      <c r="SVJ332"/>
      <c r="SVM332"/>
      <c r="SVN332"/>
      <c r="SVQ332"/>
      <c r="SVR332"/>
      <c r="SVU332"/>
      <c r="SVV332"/>
      <c r="SVY332"/>
      <c r="SVZ332"/>
      <c r="SWC332"/>
      <c r="SWD332"/>
      <c r="SWG332"/>
      <c r="SWH332"/>
      <c r="SWK332"/>
      <c r="SWL332"/>
      <c r="SWO332"/>
      <c r="SWP332"/>
      <c r="SWS332"/>
      <c r="SWT332"/>
      <c r="SWW332"/>
      <c r="SWX332"/>
      <c r="SXA332"/>
      <c r="SXB332"/>
      <c r="SXE332"/>
      <c r="SXF332"/>
      <c r="SXI332"/>
      <c r="SXJ332"/>
      <c r="SXM332"/>
      <c r="SXN332"/>
      <c r="SXQ332"/>
      <c r="SXR332"/>
      <c r="SXU332"/>
      <c r="SXV332"/>
      <c r="SXY332"/>
      <c r="SXZ332"/>
      <c r="SYC332"/>
      <c r="SYD332"/>
      <c r="SYG332"/>
      <c r="SYH332"/>
      <c r="SYK332"/>
      <c r="SYL332"/>
      <c r="SYO332"/>
      <c r="SYP332"/>
      <c r="SYS332"/>
      <c r="SYT332"/>
      <c r="SYW332"/>
      <c r="SYX332"/>
      <c r="SZA332"/>
      <c r="SZB332"/>
      <c r="SZE332"/>
      <c r="SZF332"/>
      <c r="SZI332"/>
      <c r="SZJ332"/>
      <c r="SZM332"/>
      <c r="SZN332"/>
      <c r="SZQ332"/>
      <c r="SZR332"/>
      <c r="SZU332"/>
      <c r="SZV332"/>
      <c r="SZY332"/>
      <c r="SZZ332"/>
      <c r="TAC332"/>
      <c r="TAD332"/>
      <c r="TAG332"/>
      <c r="TAH332"/>
      <c r="TAK332"/>
      <c r="TAL332"/>
      <c r="TAO332"/>
      <c r="TAP332"/>
      <c r="TAS332"/>
      <c r="TAT332"/>
      <c r="TAW332"/>
      <c r="TAX332"/>
      <c r="TBA332"/>
      <c r="TBB332"/>
      <c r="TBE332"/>
      <c r="TBF332"/>
      <c r="TBI332"/>
      <c r="TBJ332"/>
      <c r="TBM332"/>
      <c r="TBN332"/>
      <c r="TBQ332"/>
      <c r="TBR332"/>
      <c r="TBU332"/>
      <c r="TBV332"/>
      <c r="TBY332"/>
      <c r="TBZ332"/>
      <c r="TCC332"/>
      <c r="TCD332"/>
      <c r="TCG332"/>
      <c r="TCH332"/>
      <c r="TCK332"/>
      <c r="TCL332"/>
      <c r="TCO332"/>
      <c r="TCP332"/>
      <c r="TCS332"/>
      <c r="TCT332"/>
      <c r="TCW332"/>
      <c r="TCX332"/>
      <c r="TDA332"/>
      <c r="TDB332"/>
      <c r="TDE332"/>
      <c r="TDF332"/>
      <c r="TDI332"/>
      <c r="TDJ332"/>
      <c r="TDM332"/>
      <c r="TDN332"/>
      <c r="TDQ332"/>
      <c r="TDR332"/>
      <c r="TDU332"/>
      <c r="TDV332"/>
      <c r="TDY332"/>
      <c r="TDZ332"/>
      <c r="TEC332"/>
      <c r="TED332"/>
      <c r="TEG332"/>
      <c r="TEH332"/>
      <c r="TEK332"/>
      <c r="TEL332"/>
      <c r="TEO332"/>
      <c r="TEP332"/>
      <c r="TES332"/>
      <c r="TET332"/>
      <c r="TEW332"/>
      <c r="TEX332"/>
      <c r="TFA332"/>
      <c r="TFB332"/>
      <c r="TFE332"/>
      <c r="TFF332"/>
      <c r="TFI332"/>
      <c r="TFJ332"/>
      <c r="TFM332"/>
      <c r="TFN332"/>
      <c r="TFQ332"/>
      <c r="TFR332"/>
      <c r="TFU332"/>
      <c r="TFV332"/>
      <c r="TFY332"/>
      <c r="TFZ332"/>
      <c r="TGC332"/>
      <c r="TGD332"/>
      <c r="TGG332"/>
      <c r="TGH332"/>
      <c r="TGK332"/>
      <c r="TGL332"/>
      <c r="TGO332"/>
      <c r="TGP332"/>
      <c r="TGS332"/>
      <c r="TGT332"/>
      <c r="TGW332"/>
      <c r="TGX332"/>
      <c r="THA332"/>
      <c r="THB332"/>
      <c r="THE332"/>
      <c r="THF332"/>
      <c r="THI332"/>
      <c r="THJ332"/>
      <c r="THM332"/>
      <c r="THN332"/>
      <c r="THQ332"/>
      <c r="THR332"/>
      <c r="THU332"/>
      <c r="THV332"/>
      <c r="THY332"/>
      <c r="THZ332"/>
      <c r="TIC332"/>
      <c r="TID332"/>
      <c r="TIG332"/>
      <c r="TIH332"/>
      <c r="TIK332"/>
      <c r="TIL332"/>
      <c r="TIO332"/>
      <c r="TIP332"/>
      <c r="TIS332"/>
      <c r="TIT332"/>
      <c r="TIW332"/>
      <c r="TIX332"/>
      <c r="TJA332"/>
      <c r="TJB332"/>
      <c r="TJE332"/>
      <c r="TJF332"/>
      <c r="TJI332"/>
      <c r="TJJ332"/>
      <c r="TJM332"/>
      <c r="TJN332"/>
      <c r="TJQ332"/>
      <c r="TJR332"/>
      <c r="TJU332"/>
      <c r="TJV332"/>
      <c r="TJY332"/>
      <c r="TJZ332"/>
      <c r="TKC332"/>
      <c r="TKD332"/>
      <c r="TKG332"/>
      <c r="TKH332"/>
      <c r="TKK332"/>
      <c r="TKL332"/>
      <c r="TKO332"/>
      <c r="TKP332"/>
      <c r="TKS332"/>
      <c r="TKT332"/>
      <c r="TKW332"/>
      <c r="TKX332"/>
      <c r="TLA332"/>
      <c r="TLB332"/>
      <c r="TLE332"/>
      <c r="TLF332"/>
      <c r="TLI332"/>
      <c r="TLJ332"/>
      <c r="TLM332"/>
      <c r="TLN332"/>
      <c r="TLQ332"/>
      <c r="TLR332"/>
      <c r="TLU332"/>
      <c r="TLV332"/>
      <c r="TLY332"/>
      <c r="TLZ332"/>
      <c r="TMC332"/>
      <c r="TMD332"/>
      <c r="TMG332"/>
      <c r="TMH332"/>
      <c r="TMK332"/>
      <c r="TML332"/>
      <c r="TMO332"/>
      <c r="TMP332"/>
      <c r="TMS332"/>
      <c r="TMT332"/>
      <c r="TMW332"/>
      <c r="TMX332"/>
      <c r="TNA332"/>
      <c r="TNB332"/>
      <c r="TNE332"/>
      <c r="TNF332"/>
      <c r="TNI332"/>
      <c r="TNJ332"/>
      <c r="TNM332"/>
      <c r="TNN332"/>
      <c r="TNQ332"/>
      <c r="TNR332"/>
      <c r="TNU332"/>
      <c r="TNV332"/>
      <c r="TNY332"/>
      <c r="TNZ332"/>
      <c r="TOC332"/>
      <c r="TOD332"/>
      <c r="TOG332"/>
      <c r="TOH332"/>
      <c r="TOK332"/>
      <c r="TOL332"/>
      <c r="TOO332"/>
      <c r="TOP332"/>
      <c r="TOS332"/>
      <c r="TOT332"/>
      <c r="TOW332"/>
      <c r="TOX332"/>
      <c r="TPA332"/>
      <c r="TPB332"/>
      <c r="TPE332"/>
      <c r="TPF332"/>
      <c r="TPI332"/>
      <c r="TPJ332"/>
      <c r="TPM332"/>
      <c r="TPN332"/>
      <c r="TPQ332"/>
      <c r="TPR332"/>
      <c r="TPU332"/>
      <c r="TPV332"/>
      <c r="TPY332"/>
      <c r="TPZ332"/>
      <c r="TQC332"/>
      <c r="TQD332"/>
      <c r="TQG332"/>
      <c r="TQH332"/>
      <c r="TQK332"/>
      <c r="TQL332"/>
      <c r="TQO332"/>
      <c r="TQP332"/>
      <c r="TQS332"/>
      <c r="TQT332"/>
      <c r="TQW332"/>
      <c r="TQX332"/>
      <c r="TRA332"/>
      <c r="TRB332"/>
      <c r="TRE332"/>
      <c r="TRF332"/>
      <c r="TRI332"/>
      <c r="TRJ332"/>
      <c r="TRM332"/>
      <c r="TRN332"/>
      <c r="TRQ332"/>
      <c r="TRR332"/>
      <c r="TRU332"/>
      <c r="TRV332"/>
      <c r="TRY332"/>
      <c r="TRZ332"/>
      <c r="TSC332"/>
      <c r="TSD332"/>
      <c r="TSG332"/>
      <c r="TSH332"/>
      <c r="TSK332"/>
      <c r="TSL332"/>
      <c r="TSO332"/>
      <c r="TSP332"/>
      <c r="TSS332"/>
      <c r="TST332"/>
      <c r="TSW332"/>
      <c r="TSX332"/>
      <c r="TTA332"/>
      <c r="TTB332"/>
      <c r="TTE332"/>
      <c r="TTF332"/>
      <c r="TTI332"/>
      <c r="TTJ332"/>
      <c r="TTM332"/>
      <c r="TTN332"/>
      <c r="TTQ332"/>
      <c r="TTR332"/>
      <c r="TTU332"/>
      <c r="TTV332"/>
      <c r="TTY332"/>
      <c r="TTZ332"/>
      <c r="TUC332"/>
      <c r="TUD332"/>
      <c r="TUG332"/>
      <c r="TUH332"/>
      <c r="TUK332"/>
      <c r="TUL332"/>
      <c r="TUO332"/>
      <c r="TUP332"/>
      <c r="TUS332"/>
      <c r="TUT332"/>
      <c r="TUW332"/>
      <c r="TUX332"/>
      <c r="TVA332"/>
      <c r="TVB332"/>
      <c r="TVE332"/>
      <c r="TVF332"/>
      <c r="TVI332"/>
      <c r="TVJ332"/>
      <c r="TVM332"/>
      <c r="TVN332"/>
      <c r="TVQ332"/>
      <c r="TVR332"/>
      <c r="TVU332"/>
      <c r="TVV332"/>
      <c r="TVY332"/>
      <c r="TVZ332"/>
      <c r="TWC332"/>
      <c r="TWD332"/>
      <c r="TWG332"/>
      <c r="TWH332"/>
      <c r="TWK332"/>
      <c r="TWL332"/>
      <c r="TWO332"/>
      <c r="TWP332"/>
      <c r="TWS332"/>
      <c r="TWT332"/>
      <c r="TWW332"/>
      <c r="TWX332"/>
      <c r="TXA332"/>
      <c r="TXB332"/>
      <c r="TXE332"/>
      <c r="TXF332"/>
      <c r="TXI332"/>
      <c r="TXJ332"/>
      <c r="TXM332"/>
      <c r="TXN332"/>
      <c r="TXQ332"/>
      <c r="TXR332"/>
      <c r="TXU332"/>
      <c r="TXV332"/>
      <c r="TXY332"/>
      <c r="TXZ332"/>
      <c r="TYC332"/>
      <c r="TYD332"/>
      <c r="TYG332"/>
      <c r="TYH332"/>
      <c r="TYK332"/>
      <c r="TYL332"/>
      <c r="TYO332"/>
      <c r="TYP332"/>
      <c r="TYS332"/>
      <c r="TYT332"/>
      <c r="TYW332"/>
      <c r="TYX332"/>
      <c r="TZA332"/>
      <c r="TZB332"/>
      <c r="TZE332"/>
      <c r="TZF332"/>
      <c r="TZI332"/>
      <c r="TZJ332"/>
      <c r="TZM332"/>
      <c r="TZN332"/>
      <c r="TZQ332"/>
      <c r="TZR332"/>
      <c r="TZU332"/>
      <c r="TZV332"/>
      <c r="TZY332"/>
      <c r="TZZ332"/>
      <c r="UAC332"/>
      <c r="UAD332"/>
      <c r="UAG332"/>
      <c r="UAH332"/>
      <c r="UAK332"/>
      <c r="UAL332"/>
      <c r="UAO332"/>
      <c r="UAP332"/>
      <c r="UAS332"/>
      <c r="UAT332"/>
      <c r="UAW332"/>
      <c r="UAX332"/>
      <c r="UBA332"/>
      <c r="UBB332"/>
      <c r="UBE332"/>
      <c r="UBF332"/>
      <c r="UBI332"/>
      <c r="UBJ332"/>
      <c r="UBM332"/>
      <c r="UBN332"/>
      <c r="UBQ332"/>
      <c r="UBR332"/>
      <c r="UBU332"/>
      <c r="UBV332"/>
      <c r="UBY332"/>
      <c r="UBZ332"/>
      <c r="UCC332"/>
      <c r="UCD332"/>
      <c r="UCG332"/>
      <c r="UCH332"/>
      <c r="UCK332"/>
      <c r="UCL332"/>
      <c r="UCO332"/>
      <c r="UCP332"/>
      <c r="UCS332"/>
      <c r="UCT332"/>
      <c r="UCW332"/>
      <c r="UCX332"/>
      <c r="UDA332"/>
      <c r="UDB332"/>
      <c r="UDE332"/>
      <c r="UDF332"/>
      <c r="UDI332"/>
      <c r="UDJ332"/>
      <c r="UDM332"/>
      <c r="UDN332"/>
      <c r="UDQ332"/>
      <c r="UDR332"/>
      <c r="UDU332"/>
      <c r="UDV332"/>
      <c r="UDY332"/>
      <c r="UDZ332"/>
      <c r="UEC332"/>
      <c r="UED332"/>
      <c r="UEG332"/>
      <c r="UEH332"/>
      <c r="UEK332"/>
      <c r="UEL332"/>
      <c r="UEO332"/>
      <c r="UEP332"/>
      <c r="UES332"/>
      <c r="UET332"/>
      <c r="UEW332"/>
      <c r="UEX332"/>
      <c r="UFA332"/>
      <c r="UFB332"/>
      <c r="UFE332"/>
      <c r="UFF332"/>
      <c r="UFI332"/>
      <c r="UFJ332"/>
      <c r="UFM332"/>
      <c r="UFN332"/>
      <c r="UFQ332"/>
      <c r="UFR332"/>
      <c r="UFU332"/>
      <c r="UFV332"/>
      <c r="UFY332"/>
      <c r="UFZ332"/>
      <c r="UGC332"/>
      <c r="UGD332"/>
      <c r="UGG332"/>
      <c r="UGH332"/>
      <c r="UGK332"/>
      <c r="UGL332"/>
      <c r="UGO332"/>
      <c r="UGP332"/>
      <c r="UGS332"/>
      <c r="UGT332"/>
      <c r="UGW332"/>
      <c r="UGX332"/>
      <c r="UHA332"/>
      <c r="UHB332"/>
      <c r="UHE332"/>
      <c r="UHF332"/>
      <c r="UHI332"/>
      <c r="UHJ332"/>
      <c r="UHM332"/>
      <c r="UHN332"/>
      <c r="UHQ332"/>
      <c r="UHR332"/>
      <c r="UHU332"/>
      <c r="UHV332"/>
      <c r="UHY332"/>
      <c r="UHZ332"/>
      <c r="UIC332"/>
      <c r="UID332"/>
      <c r="UIG332"/>
      <c r="UIH332"/>
      <c r="UIK332"/>
      <c r="UIL332"/>
      <c r="UIO332"/>
      <c r="UIP332"/>
      <c r="UIS332"/>
      <c r="UIT332"/>
      <c r="UIW332"/>
      <c r="UIX332"/>
      <c r="UJA332"/>
      <c r="UJB332"/>
      <c r="UJE332"/>
      <c r="UJF332"/>
      <c r="UJI332"/>
      <c r="UJJ332"/>
      <c r="UJM332"/>
      <c r="UJN332"/>
      <c r="UJQ332"/>
      <c r="UJR332"/>
      <c r="UJU332"/>
      <c r="UJV332"/>
      <c r="UJY332"/>
      <c r="UJZ332"/>
      <c r="UKC332"/>
      <c r="UKD332"/>
      <c r="UKG332"/>
      <c r="UKH332"/>
      <c r="UKK332"/>
      <c r="UKL332"/>
      <c r="UKO332"/>
      <c r="UKP332"/>
      <c r="UKS332"/>
      <c r="UKT332"/>
      <c r="UKW332"/>
      <c r="UKX332"/>
      <c r="ULA332"/>
      <c r="ULB332"/>
      <c r="ULE332"/>
      <c r="ULF332"/>
      <c r="ULI332"/>
      <c r="ULJ332"/>
      <c r="ULM332"/>
      <c r="ULN332"/>
      <c r="ULQ332"/>
      <c r="ULR332"/>
      <c r="ULU332"/>
      <c r="ULV332"/>
      <c r="ULY332"/>
      <c r="ULZ332"/>
      <c r="UMC332"/>
      <c r="UMD332"/>
      <c r="UMG332"/>
      <c r="UMH332"/>
      <c r="UMK332"/>
      <c r="UML332"/>
      <c r="UMO332"/>
      <c r="UMP332"/>
      <c r="UMS332"/>
      <c r="UMT332"/>
      <c r="UMW332"/>
      <c r="UMX332"/>
      <c r="UNA332"/>
      <c r="UNB332"/>
      <c r="UNE332"/>
      <c r="UNF332"/>
      <c r="UNI332"/>
      <c r="UNJ332"/>
      <c r="UNM332"/>
      <c r="UNN332"/>
      <c r="UNQ332"/>
      <c r="UNR332"/>
      <c r="UNU332"/>
      <c r="UNV332"/>
      <c r="UNY332"/>
      <c r="UNZ332"/>
      <c r="UOC332"/>
      <c r="UOD332"/>
      <c r="UOG332"/>
      <c r="UOH332"/>
      <c r="UOK332"/>
      <c r="UOL332"/>
      <c r="UOO332"/>
      <c r="UOP332"/>
      <c r="UOS332"/>
      <c r="UOT332"/>
      <c r="UOW332"/>
      <c r="UOX332"/>
      <c r="UPA332"/>
      <c r="UPB332"/>
      <c r="UPE332"/>
      <c r="UPF332"/>
      <c r="UPI332"/>
      <c r="UPJ332"/>
      <c r="UPM332"/>
      <c r="UPN332"/>
      <c r="UPQ332"/>
      <c r="UPR332"/>
      <c r="UPU332"/>
      <c r="UPV332"/>
      <c r="UPY332"/>
      <c r="UPZ332"/>
      <c r="UQC332"/>
      <c r="UQD332"/>
      <c r="UQG332"/>
      <c r="UQH332"/>
      <c r="UQK332"/>
      <c r="UQL332"/>
      <c r="UQO332"/>
      <c r="UQP332"/>
      <c r="UQS332"/>
      <c r="UQT332"/>
      <c r="UQW332"/>
      <c r="UQX332"/>
      <c r="URA332"/>
      <c r="URB332"/>
      <c r="URE332"/>
      <c r="URF332"/>
      <c r="URI332"/>
      <c r="URJ332"/>
      <c r="URM332"/>
      <c r="URN332"/>
      <c r="URQ332"/>
      <c r="URR332"/>
      <c r="URU332"/>
      <c r="URV332"/>
      <c r="URY332"/>
      <c r="URZ332"/>
      <c r="USC332"/>
      <c r="USD332"/>
      <c r="USG332"/>
      <c r="USH332"/>
      <c r="USK332"/>
      <c r="USL332"/>
      <c r="USO332"/>
      <c r="USP332"/>
      <c r="USS332"/>
      <c r="UST332"/>
      <c r="USW332"/>
      <c r="USX332"/>
      <c r="UTA332"/>
      <c r="UTB332"/>
      <c r="UTE332"/>
      <c r="UTF332"/>
      <c r="UTI332"/>
      <c r="UTJ332"/>
      <c r="UTM332"/>
      <c r="UTN332"/>
      <c r="UTQ332"/>
      <c r="UTR332"/>
      <c r="UTU332"/>
      <c r="UTV332"/>
      <c r="UTY332"/>
      <c r="UTZ332"/>
      <c r="UUC332"/>
      <c r="UUD332"/>
      <c r="UUG332"/>
      <c r="UUH332"/>
      <c r="UUK332"/>
      <c r="UUL332"/>
      <c r="UUO332"/>
      <c r="UUP332"/>
      <c r="UUS332"/>
      <c r="UUT332"/>
      <c r="UUW332"/>
      <c r="UUX332"/>
      <c r="UVA332"/>
      <c r="UVB332"/>
      <c r="UVE332"/>
      <c r="UVF332"/>
      <c r="UVI332"/>
      <c r="UVJ332"/>
      <c r="UVM332"/>
      <c r="UVN332"/>
      <c r="UVQ332"/>
      <c r="UVR332"/>
      <c r="UVU332"/>
      <c r="UVV332"/>
      <c r="UVY332"/>
      <c r="UVZ332"/>
      <c r="UWC332"/>
      <c r="UWD332"/>
      <c r="UWG332"/>
      <c r="UWH332"/>
      <c r="UWK332"/>
      <c r="UWL332"/>
      <c r="UWO332"/>
      <c r="UWP332"/>
      <c r="UWS332"/>
      <c r="UWT332"/>
      <c r="UWW332"/>
      <c r="UWX332"/>
      <c r="UXA332"/>
      <c r="UXB332"/>
      <c r="UXE332"/>
      <c r="UXF332"/>
      <c r="UXI332"/>
      <c r="UXJ332"/>
      <c r="UXM332"/>
      <c r="UXN332"/>
      <c r="UXQ332"/>
      <c r="UXR332"/>
      <c r="UXU332"/>
      <c r="UXV332"/>
      <c r="UXY332"/>
      <c r="UXZ332"/>
      <c r="UYC332"/>
      <c r="UYD332"/>
      <c r="UYG332"/>
      <c r="UYH332"/>
      <c r="UYK332"/>
      <c r="UYL332"/>
      <c r="UYO332"/>
      <c r="UYP332"/>
      <c r="UYS332"/>
      <c r="UYT332"/>
      <c r="UYW332"/>
      <c r="UYX332"/>
      <c r="UZA332"/>
      <c r="UZB332"/>
      <c r="UZE332"/>
      <c r="UZF332"/>
      <c r="UZI332"/>
      <c r="UZJ332"/>
      <c r="UZM332"/>
      <c r="UZN332"/>
      <c r="UZQ332"/>
      <c r="UZR332"/>
      <c r="UZU332"/>
      <c r="UZV332"/>
      <c r="UZY332"/>
      <c r="UZZ332"/>
      <c r="VAC332"/>
      <c r="VAD332"/>
      <c r="VAG332"/>
      <c r="VAH332"/>
      <c r="VAK332"/>
      <c r="VAL332"/>
      <c r="VAO332"/>
      <c r="VAP332"/>
      <c r="VAS332"/>
      <c r="VAT332"/>
      <c r="VAW332"/>
      <c r="VAX332"/>
      <c r="VBA332"/>
      <c r="VBB332"/>
      <c r="VBE332"/>
      <c r="VBF332"/>
      <c r="VBI332"/>
      <c r="VBJ332"/>
      <c r="VBM332"/>
      <c r="VBN332"/>
      <c r="VBQ332"/>
      <c r="VBR332"/>
      <c r="VBU332"/>
      <c r="VBV332"/>
      <c r="VBY332"/>
      <c r="VBZ332"/>
      <c r="VCC332"/>
      <c r="VCD332"/>
      <c r="VCG332"/>
      <c r="VCH332"/>
      <c r="VCK332"/>
      <c r="VCL332"/>
      <c r="VCO332"/>
      <c r="VCP332"/>
      <c r="VCS332"/>
      <c r="VCT332"/>
      <c r="VCW332"/>
      <c r="VCX332"/>
      <c r="VDA332"/>
      <c r="VDB332"/>
      <c r="VDE332"/>
      <c r="VDF332"/>
      <c r="VDI332"/>
      <c r="VDJ332"/>
      <c r="VDM332"/>
      <c r="VDN332"/>
      <c r="VDQ332"/>
      <c r="VDR332"/>
      <c r="VDU332"/>
      <c r="VDV332"/>
      <c r="VDY332"/>
      <c r="VDZ332"/>
      <c r="VEC332"/>
      <c r="VED332"/>
      <c r="VEG332"/>
      <c r="VEH332"/>
      <c r="VEK332"/>
      <c r="VEL332"/>
      <c r="VEO332"/>
      <c r="VEP332"/>
      <c r="VES332"/>
      <c r="VET332"/>
      <c r="VEW332"/>
      <c r="VEX332"/>
      <c r="VFA332"/>
      <c r="VFB332"/>
      <c r="VFE332"/>
      <c r="VFF332"/>
      <c r="VFI332"/>
      <c r="VFJ332"/>
      <c r="VFM332"/>
      <c r="VFN332"/>
      <c r="VFQ332"/>
      <c r="VFR332"/>
      <c r="VFU332"/>
      <c r="VFV332"/>
      <c r="VFY332"/>
      <c r="VFZ332"/>
      <c r="VGC332"/>
      <c r="VGD332"/>
      <c r="VGG332"/>
      <c r="VGH332"/>
      <c r="VGK332"/>
      <c r="VGL332"/>
      <c r="VGO332"/>
      <c r="VGP332"/>
      <c r="VGS332"/>
      <c r="VGT332"/>
      <c r="VGW332"/>
      <c r="VGX332"/>
      <c r="VHA332"/>
      <c r="VHB332"/>
      <c r="VHE332"/>
      <c r="VHF332"/>
      <c r="VHI332"/>
      <c r="VHJ332"/>
      <c r="VHM332"/>
      <c r="VHN332"/>
      <c r="VHQ332"/>
      <c r="VHR332"/>
      <c r="VHU332"/>
      <c r="VHV332"/>
      <c r="VHY332"/>
      <c r="VHZ332"/>
      <c r="VIC332"/>
      <c r="VID332"/>
      <c r="VIG332"/>
      <c r="VIH332"/>
      <c r="VIK332"/>
      <c r="VIL332"/>
      <c r="VIO332"/>
      <c r="VIP332"/>
      <c r="VIS332"/>
      <c r="VIT332"/>
      <c r="VIW332"/>
      <c r="VIX332"/>
      <c r="VJA332"/>
      <c r="VJB332"/>
      <c r="VJE332"/>
      <c r="VJF332"/>
      <c r="VJI332"/>
      <c r="VJJ332"/>
      <c r="VJM332"/>
      <c r="VJN332"/>
      <c r="VJQ332"/>
      <c r="VJR332"/>
      <c r="VJU332"/>
      <c r="VJV332"/>
      <c r="VJY332"/>
      <c r="VJZ332"/>
      <c r="VKC332"/>
      <c r="VKD332"/>
      <c r="VKG332"/>
      <c r="VKH332"/>
      <c r="VKK332"/>
      <c r="VKL332"/>
      <c r="VKO332"/>
      <c r="VKP332"/>
      <c r="VKS332"/>
      <c r="VKT332"/>
      <c r="VKW332"/>
      <c r="VKX332"/>
      <c r="VLA332"/>
      <c r="VLB332"/>
      <c r="VLE332"/>
      <c r="VLF332"/>
      <c r="VLI332"/>
      <c r="VLJ332"/>
      <c r="VLM332"/>
      <c r="VLN332"/>
      <c r="VLQ332"/>
      <c r="VLR332"/>
      <c r="VLU332"/>
      <c r="VLV332"/>
      <c r="VLY332"/>
      <c r="VLZ332"/>
      <c r="VMC332"/>
      <c r="VMD332"/>
      <c r="VMG332"/>
      <c r="VMH332"/>
      <c r="VMK332"/>
      <c r="VML332"/>
      <c r="VMO332"/>
      <c r="VMP332"/>
      <c r="VMS332"/>
      <c r="VMT332"/>
      <c r="VMW332"/>
      <c r="VMX332"/>
      <c r="VNA332"/>
      <c r="VNB332"/>
      <c r="VNE332"/>
      <c r="VNF332"/>
      <c r="VNI332"/>
      <c r="VNJ332"/>
      <c r="VNM332"/>
      <c r="VNN332"/>
      <c r="VNQ332"/>
      <c r="VNR332"/>
      <c r="VNU332"/>
      <c r="VNV332"/>
      <c r="VNY332"/>
      <c r="VNZ332"/>
      <c r="VOC332"/>
      <c r="VOD332"/>
      <c r="VOG332"/>
      <c r="VOH332"/>
      <c r="VOK332"/>
      <c r="VOL332"/>
      <c r="VOO332"/>
      <c r="VOP332"/>
      <c r="VOS332"/>
      <c r="VOT332"/>
      <c r="VOW332"/>
      <c r="VOX332"/>
      <c r="VPA332"/>
      <c r="VPB332"/>
      <c r="VPE332"/>
      <c r="VPF332"/>
      <c r="VPI332"/>
      <c r="VPJ332"/>
      <c r="VPM332"/>
      <c r="VPN332"/>
      <c r="VPQ332"/>
      <c r="VPR332"/>
      <c r="VPU332"/>
      <c r="VPV332"/>
      <c r="VPY332"/>
      <c r="VPZ332"/>
      <c r="VQC332"/>
      <c r="VQD332"/>
      <c r="VQG332"/>
      <c r="VQH332"/>
      <c r="VQK332"/>
      <c r="VQL332"/>
      <c r="VQO332"/>
      <c r="VQP332"/>
      <c r="VQS332"/>
      <c r="VQT332"/>
      <c r="VQW332"/>
      <c r="VQX332"/>
      <c r="VRA332"/>
      <c r="VRB332"/>
      <c r="VRE332"/>
      <c r="VRF332"/>
      <c r="VRI332"/>
      <c r="VRJ332"/>
      <c r="VRM332"/>
      <c r="VRN332"/>
      <c r="VRQ332"/>
      <c r="VRR332"/>
      <c r="VRU332"/>
      <c r="VRV332"/>
      <c r="VRY332"/>
      <c r="VRZ332"/>
      <c r="VSC332"/>
      <c r="VSD332"/>
      <c r="VSG332"/>
      <c r="VSH332"/>
      <c r="VSK332"/>
      <c r="VSL332"/>
      <c r="VSO332"/>
      <c r="VSP332"/>
      <c r="VSS332"/>
      <c r="VST332"/>
      <c r="VSW332"/>
      <c r="VSX332"/>
      <c r="VTA332"/>
      <c r="VTB332"/>
      <c r="VTE332"/>
      <c r="VTF332"/>
      <c r="VTI332"/>
      <c r="VTJ332"/>
      <c r="VTM332"/>
      <c r="VTN332"/>
      <c r="VTQ332"/>
      <c r="VTR332"/>
      <c r="VTU332"/>
      <c r="VTV332"/>
      <c r="VTY332"/>
      <c r="VTZ332"/>
      <c r="VUC332"/>
      <c r="VUD332"/>
      <c r="VUG332"/>
      <c r="VUH332"/>
      <c r="VUK332"/>
      <c r="VUL332"/>
      <c r="VUO332"/>
      <c r="VUP332"/>
      <c r="VUS332"/>
      <c r="VUT332"/>
      <c r="VUW332"/>
      <c r="VUX332"/>
      <c r="VVA332"/>
      <c r="VVB332"/>
      <c r="VVE332"/>
      <c r="VVF332"/>
      <c r="VVI332"/>
      <c r="VVJ332"/>
      <c r="VVM332"/>
      <c r="VVN332"/>
      <c r="VVQ332"/>
      <c r="VVR332"/>
      <c r="VVU332"/>
      <c r="VVV332"/>
      <c r="VVY332"/>
      <c r="VVZ332"/>
      <c r="VWC332"/>
      <c r="VWD332"/>
      <c r="VWG332"/>
      <c r="VWH332"/>
      <c r="VWK332"/>
      <c r="VWL332"/>
      <c r="VWO332"/>
      <c r="VWP332"/>
      <c r="VWS332"/>
      <c r="VWT332"/>
      <c r="VWW332"/>
      <c r="VWX332"/>
      <c r="VXA332"/>
      <c r="VXB332"/>
      <c r="VXE332"/>
      <c r="VXF332"/>
      <c r="VXI332"/>
      <c r="VXJ332"/>
      <c r="VXM332"/>
      <c r="VXN332"/>
      <c r="VXQ332"/>
      <c r="VXR332"/>
      <c r="VXU332"/>
      <c r="VXV332"/>
      <c r="VXY332"/>
      <c r="VXZ332"/>
      <c r="VYC332"/>
      <c r="VYD332"/>
      <c r="VYG332"/>
      <c r="VYH332"/>
      <c r="VYK332"/>
      <c r="VYL332"/>
      <c r="VYO332"/>
      <c r="VYP332"/>
      <c r="VYS332"/>
      <c r="VYT332"/>
      <c r="VYW332"/>
      <c r="VYX332"/>
      <c r="VZA332"/>
      <c r="VZB332"/>
      <c r="VZE332"/>
      <c r="VZF332"/>
      <c r="VZI332"/>
      <c r="VZJ332"/>
      <c r="VZM332"/>
      <c r="VZN332"/>
      <c r="VZQ332"/>
      <c r="VZR332"/>
      <c r="VZU332"/>
      <c r="VZV332"/>
      <c r="VZY332"/>
      <c r="VZZ332"/>
      <c r="WAC332"/>
      <c r="WAD332"/>
      <c r="WAG332"/>
      <c r="WAH332"/>
      <c r="WAK332"/>
      <c r="WAL332"/>
      <c r="WAO332"/>
      <c r="WAP332"/>
      <c r="WAS332"/>
      <c r="WAT332"/>
      <c r="WAW332"/>
      <c r="WAX332"/>
      <c r="WBA332"/>
      <c r="WBB332"/>
      <c r="WBE332"/>
      <c r="WBF332"/>
      <c r="WBI332"/>
      <c r="WBJ332"/>
      <c r="WBM332"/>
      <c r="WBN332"/>
      <c r="WBQ332"/>
      <c r="WBR332"/>
      <c r="WBU332"/>
      <c r="WBV332"/>
      <c r="WBY332"/>
      <c r="WBZ332"/>
      <c r="WCC332"/>
      <c r="WCD332"/>
      <c r="WCG332"/>
      <c r="WCH332"/>
      <c r="WCK332"/>
      <c r="WCL332"/>
      <c r="WCO332"/>
      <c r="WCP332"/>
      <c r="WCS332"/>
      <c r="WCT332"/>
      <c r="WCW332"/>
      <c r="WCX332"/>
      <c r="WDA332"/>
      <c r="WDB332"/>
      <c r="WDE332"/>
      <c r="WDF332"/>
      <c r="WDI332"/>
      <c r="WDJ332"/>
      <c r="WDM332"/>
      <c r="WDN332"/>
      <c r="WDQ332"/>
      <c r="WDR332"/>
      <c r="WDU332"/>
      <c r="WDV332"/>
      <c r="WDY332"/>
      <c r="WDZ332"/>
      <c r="WEC332"/>
      <c r="WED332"/>
      <c r="WEG332"/>
      <c r="WEH332"/>
      <c r="WEK332"/>
      <c r="WEL332"/>
      <c r="WEO332"/>
      <c r="WEP332"/>
      <c r="WES332"/>
      <c r="WET332"/>
      <c r="WEW332"/>
      <c r="WEX332"/>
      <c r="WFA332"/>
      <c r="WFB332"/>
      <c r="WFE332"/>
      <c r="WFF332"/>
      <c r="WFI332"/>
      <c r="WFJ332"/>
      <c r="WFM332"/>
      <c r="WFN332"/>
      <c r="WFQ332"/>
      <c r="WFR332"/>
      <c r="WFU332"/>
      <c r="WFV332"/>
      <c r="WFY332"/>
      <c r="WFZ332"/>
      <c r="WGC332"/>
      <c r="WGD332"/>
      <c r="WGG332"/>
      <c r="WGH332"/>
      <c r="WGK332"/>
      <c r="WGL332"/>
      <c r="WGO332"/>
      <c r="WGP332"/>
      <c r="WGS332"/>
      <c r="WGT332"/>
      <c r="WGW332"/>
      <c r="WGX332"/>
      <c r="WHA332"/>
      <c r="WHB332"/>
      <c r="WHE332"/>
      <c r="WHF332"/>
      <c r="WHI332"/>
      <c r="WHJ332"/>
      <c r="WHM332"/>
      <c r="WHN332"/>
      <c r="WHQ332"/>
      <c r="WHR332"/>
      <c r="WHU332"/>
      <c r="WHV332"/>
      <c r="WHY332"/>
      <c r="WHZ332"/>
      <c r="WIC332"/>
      <c r="WID332"/>
      <c r="WIG332"/>
      <c r="WIH332"/>
      <c r="WIK332"/>
      <c r="WIL332"/>
      <c r="WIO332"/>
      <c r="WIP332"/>
      <c r="WIS332"/>
      <c r="WIT332"/>
      <c r="WIW332"/>
      <c r="WIX332"/>
      <c r="WJA332"/>
      <c r="WJB332"/>
      <c r="WJE332"/>
      <c r="WJF332"/>
      <c r="WJI332"/>
      <c r="WJJ332"/>
      <c r="WJM332"/>
      <c r="WJN332"/>
      <c r="WJQ332"/>
      <c r="WJR332"/>
      <c r="WJU332"/>
      <c r="WJV332"/>
      <c r="WJY332"/>
      <c r="WJZ332"/>
      <c r="WKC332"/>
      <c r="WKD332"/>
      <c r="WKG332"/>
      <c r="WKH332"/>
      <c r="WKK332"/>
      <c r="WKL332"/>
      <c r="WKO332"/>
      <c r="WKP332"/>
      <c r="WKS332"/>
      <c r="WKT332"/>
      <c r="WKW332"/>
      <c r="WKX332"/>
      <c r="WLA332"/>
      <c r="WLB332"/>
      <c r="WLE332"/>
      <c r="WLF332"/>
      <c r="WLI332"/>
      <c r="WLJ332"/>
      <c r="WLM332"/>
      <c r="WLN332"/>
      <c r="WLQ332"/>
      <c r="WLR332"/>
      <c r="WLU332"/>
      <c r="WLV332"/>
      <c r="WLY332"/>
      <c r="WLZ332"/>
      <c r="WMC332"/>
      <c r="WMD332"/>
      <c r="WMG332"/>
      <c r="WMH332"/>
      <c r="WMK332"/>
      <c r="WML332"/>
      <c r="WMO332"/>
      <c r="WMP332"/>
      <c r="WMS332"/>
      <c r="WMT332"/>
      <c r="WMW332"/>
      <c r="WMX332"/>
      <c r="WNA332"/>
      <c r="WNB332"/>
      <c r="WNE332"/>
      <c r="WNF332"/>
      <c r="WNI332"/>
      <c r="WNJ332"/>
      <c r="WNM332"/>
      <c r="WNN332"/>
      <c r="WNQ332"/>
      <c r="WNR332"/>
      <c r="WNU332"/>
      <c r="WNV332"/>
      <c r="WNY332"/>
      <c r="WNZ332"/>
      <c r="WOC332"/>
      <c r="WOD332"/>
      <c r="WOG332"/>
      <c r="WOH332"/>
      <c r="WOK332"/>
      <c r="WOL332"/>
      <c r="WOO332"/>
      <c r="WOP332"/>
      <c r="WOS332"/>
      <c r="WOT332"/>
      <c r="WOW332"/>
      <c r="WOX332"/>
      <c r="WPA332"/>
      <c r="WPB332"/>
      <c r="WPE332"/>
      <c r="WPF332"/>
      <c r="WPI332"/>
      <c r="WPJ332"/>
      <c r="WPM332"/>
      <c r="WPN332"/>
      <c r="WPQ332"/>
      <c r="WPR332"/>
      <c r="WPU332"/>
      <c r="WPV332"/>
      <c r="WPY332"/>
      <c r="WPZ332"/>
      <c r="WQC332"/>
      <c r="WQD332"/>
      <c r="WQG332"/>
      <c r="WQH332"/>
      <c r="WQK332"/>
      <c r="WQL332"/>
      <c r="WQO332"/>
      <c r="WQP332"/>
      <c r="WQS332"/>
      <c r="WQT332"/>
      <c r="WQW332"/>
      <c r="WQX332"/>
      <c r="WRA332"/>
      <c r="WRB332"/>
      <c r="WRE332"/>
      <c r="WRF332"/>
      <c r="WRI332"/>
      <c r="WRJ332"/>
      <c r="WRM332"/>
      <c r="WRN332"/>
      <c r="WRQ332"/>
      <c r="WRR332"/>
      <c r="WRU332"/>
      <c r="WRV332"/>
      <c r="WRY332"/>
      <c r="WRZ332"/>
      <c r="WSC332"/>
      <c r="WSD332"/>
      <c r="WSG332"/>
      <c r="WSH332"/>
      <c r="WSK332"/>
      <c r="WSL332"/>
      <c r="WSO332"/>
      <c r="WSP332"/>
      <c r="WSS332"/>
      <c r="WST332"/>
      <c r="WSW332"/>
      <c r="WSX332"/>
      <c r="WTA332"/>
      <c r="WTB332"/>
      <c r="WTE332"/>
      <c r="WTF332"/>
      <c r="WTI332"/>
      <c r="WTJ332"/>
      <c r="WTM332"/>
      <c r="WTN332"/>
      <c r="WTQ332"/>
      <c r="WTR332"/>
      <c r="WTU332"/>
      <c r="WTV332"/>
      <c r="WTY332"/>
      <c r="WTZ332"/>
      <c r="WUC332"/>
      <c r="WUD332"/>
      <c r="WUG332"/>
      <c r="WUH332"/>
      <c r="WUK332"/>
      <c r="WUL332"/>
      <c r="WUO332"/>
      <c r="WUP332"/>
      <c r="WUS332"/>
      <c r="WUT332"/>
      <c r="WUW332"/>
      <c r="WUX332"/>
      <c r="WVA332"/>
      <c r="WVB332"/>
      <c r="WVE332"/>
      <c r="WVF332"/>
      <c r="WVI332"/>
      <c r="WVJ332"/>
      <c r="WVM332"/>
      <c r="WVN332"/>
      <c r="WVQ332"/>
      <c r="WVR332"/>
      <c r="WVU332"/>
      <c r="WVV332"/>
      <c r="WVY332"/>
      <c r="WVZ332"/>
      <c r="WWC332"/>
      <c r="WWD332"/>
      <c r="WWG332"/>
      <c r="WWH332"/>
      <c r="WWK332"/>
      <c r="WWL332"/>
      <c r="WWO332"/>
      <c r="WWP332"/>
      <c r="WWS332"/>
      <c r="WWT332"/>
      <c r="WWW332"/>
      <c r="WWX332"/>
      <c r="WXA332"/>
      <c r="WXB332"/>
      <c r="WXE332"/>
      <c r="WXF332"/>
      <c r="WXI332"/>
      <c r="WXJ332"/>
      <c r="WXM332"/>
      <c r="WXN332"/>
      <c r="WXQ332"/>
      <c r="WXR332"/>
      <c r="WXU332"/>
      <c r="WXV332"/>
      <c r="WXY332"/>
      <c r="WXZ332"/>
      <c r="WYC332"/>
      <c r="WYD332"/>
      <c r="WYG332"/>
      <c r="WYH332"/>
      <c r="WYK332"/>
      <c r="WYL332"/>
      <c r="WYO332"/>
      <c r="WYP332"/>
      <c r="WYS332"/>
      <c r="WYT332"/>
      <c r="WYW332"/>
      <c r="WYX332"/>
      <c r="WZA332"/>
      <c r="WZB332"/>
      <c r="WZE332"/>
      <c r="WZF332"/>
      <c r="WZI332"/>
      <c r="WZJ332"/>
      <c r="WZM332"/>
      <c r="WZN332"/>
      <c r="WZQ332"/>
      <c r="WZR332"/>
      <c r="WZU332"/>
      <c r="WZV332"/>
      <c r="WZY332"/>
      <c r="WZZ332"/>
      <c r="XAC332"/>
      <c r="XAD332"/>
      <c r="XAG332"/>
      <c r="XAH332"/>
      <c r="XAK332"/>
      <c r="XAL332"/>
      <c r="XAO332"/>
      <c r="XAP332"/>
      <c r="XAS332"/>
      <c r="XAT332"/>
      <c r="XAW332"/>
      <c r="XAX332"/>
      <c r="XBA332"/>
      <c r="XBB332"/>
      <c r="XBE332"/>
      <c r="XBF332"/>
      <c r="XBI332"/>
      <c r="XBJ332"/>
      <c r="XBM332"/>
      <c r="XBN332"/>
      <c r="XBQ332"/>
      <c r="XBR332"/>
      <c r="XBU332"/>
      <c r="XBV332"/>
      <c r="XBY332"/>
      <c r="XBZ332"/>
      <c r="XCC332"/>
      <c r="XCD332"/>
      <c r="XCG332"/>
      <c r="XCH332"/>
      <c r="XCK332"/>
      <c r="XCL332"/>
      <c r="XCO332"/>
      <c r="XCP332"/>
      <c r="XCS332"/>
      <c r="XCT332"/>
      <c r="XCW332"/>
      <c r="XCX332"/>
      <c r="XDA332"/>
      <c r="XDB332"/>
      <c r="XDE332"/>
      <c r="XDF332"/>
      <c r="XDI332"/>
      <c r="XDJ332"/>
      <c r="XDM332"/>
      <c r="XDN332"/>
      <c r="XDQ332"/>
      <c r="XDR332"/>
      <c r="XDU332"/>
      <c r="XDV332"/>
      <c r="XDY332"/>
      <c r="XDZ332"/>
      <c r="XEC332"/>
      <c r="XED332"/>
      <c r="XEG332"/>
      <c r="XEH332"/>
      <c r="XEK332"/>
      <c r="XEL332"/>
      <c r="XEO332"/>
      <c r="XEP332"/>
      <c r="XES332"/>
      <c r="XET332"/>
      <c r="XEW332"/>
      <c r="XEX332"/>
      <c r="XFA332"/>
      <c r="XFB332"/>
    </row>
    <row r="333" spans="1:1022 1025:2046 2049:3070 3073:4094 4097:5118 5121:6142 6145:7166 7169:8190 8193:9214 9217:10238 10241:11262 11265:12286 12289:13310 13313:14334 14337:15358 15361:16382" s="13" customFormat="1" outlineLevel="1" x14ac:dyDescent="0.3">
      <c r="A333" t="s">
        <v>1216</v>
      </c>
      <c r="B333" t="s">
        <v>168</v>
      </c>
      <c r="C333" s="13" t="s">
        <v>9</v>
      </c>
      <c r="D333" s="13" t="s">
        <v>1217</v>
      </c>
      <c r="E333" t="s">
        <v>6013</v>
      </c>
      <c r="F333"/>
      <c r="I333"/>
      <c r="J333" t="s">
        <v>6843</v>
      </c>
      <c r="K333" t="s">
        <v>6839</v>
      </c>
      <c r="M333"/>
      <c r="N333"/>
      <c r="Q333"/>
      <c r="R333"/>
      <c r="U333"/>
      <c r="V333"/>
      <c r="Y333"/>
      <c r="Z333"/>
      <c r="AC333"/>
      <c r="AD333"/>
      <c r="AG333"/>
      <c r="AH333"/>
      <c r="AK333"/>
      <c r="AL333"/>
      <c r="AO333"/>
      <c r="AP333"/>
      <c r="AS333"/>
      <c r="AT333"/>
      <c r="AW333"/>
      <c r="AX333"/>
      <c r="BA333"/>
      <c r="BB333"/>
      <c r="BE333"/>
      <c r="BF333"/>
      <c r="BI333"/>
      <c r="BJ333"/>
      <c r="BM333"/>
      <c r="BN333"/>
      <c r="BQ333"/>
      <c r="BR333"/>
      <c r="BU333"/>
      <c r="BV333"/>
      <c r="BY333"/>
      <c r="BZ333"/>
      <c r="CC333"/>
      <c r="CD333"/>
      <c r="CG333"/>
      <c r="CH333"/>
      <c r="CK333"/>
      <c r="CL333"/>
      <c r="CO333"/>
      <c r="CP333"/>
      <c r="CS333"/>
      <c r="CT333"/>
      <c r="CW333"/>
      <c r="CX333"/>
      <c r="DA333"/>
      <c r="DB333"/>
      <c r="DE333"/>
      <c r="DF333"/>
      <c r="DI333"/>
      <c r="DJ333"/>
      <c r="DM333"/>
      <c r="DN333"/>
      <c r="DQ333"/>
      <c r="DR333"/>
      <c r="DU333"/>
      <c r="DV333"/>
      <c r="DY333"/>
      <c r="DZ333"/>
      <c r="EC333"/>
      <c r="ED333"/>
      <c r="EG333"/>
      <c r="EH333"/>
      <c r="EK333"/>
      <c r="EL333"/>
      <c r="EO333"/>
      <c r="EP333"/>
      <c r="ES333"/>
      <c r="ET333"/>
      <c r="EW333"/>
      <c r="EX333"/>
      <c r="FA333"/>
      <c r="FB333"/>
      <c r="FE333"/>
      <c r="FF333"/>
      <c r="FI333"/>
      <c r="FJ333"/>
      <c r="FM333"/>
      <c r="FN333"/>
      <c r="FQ333"/>
      <c r="FR333"/>
      <c r="FU333"/>
      <c r="FV333"/>
      <c r="FY333"/>
      <c r="FZ333"/>
      <c r="GC333"/>
      <c r="GD333"/>
      <c r="GG333"/>
      <c r="GH333"/>
      <c r="GK333"/>
      <c r="GL333"/>
      <c r="GO333"/>
      <c r="GP333"/>
      <c r="GS333"/>
      <c r="GT333"/>
      <c r="GW333"/>
      <c r="GX333"/>
      <c r="HA333"/>
      <c r="HB333"/>
      <c r="HE333"/>
      <c r="HF333"/>
      <c r="HI333"/>
      <c r="HJ333"/>
      <c r="HM333"/>
      <c r="HN333"/>
      <c r="HQ333"/>
      <c r="HR333"/>
      <c r="HU333"/>
      <c r="HV333"/>
      <c r="HY333"/>
      <c r="HZ333"/>
      <c r="IC333"/>
      <c r="ID333"/>
      <c r="IG333"/>
      <c r="IH333"/>
      <c r="IK333"/>
      <c r="IL333"/>
      <c r="IO333"/>
      <c r="IP333"/>
      <c r="IS333"/>
      <c r="IT333"/>
      <c r="IW333"/>
      <c r="IX333"/>
      <c r="JA333"/>
      <c r="JB333"/>
      <c r="JE333"/>
      <c r="JF333"/>
      <c r="JI333"/>
      <c r="JJ333"/>
      <c r="JM333"/>
      <c r="JN333"/>
      <c r="JQ333"/>
      <c r="JR333"/>
      <c r="JU333"/>
      <c r="JV333"/>
      <c r="JY333"/>
      <c r="JZ333"/>
      <c r="KC333"/>
      <c r="KD333"/>
      <c r="KG333"/>
      <c r="KH333"/>
      <c r="KK333"/>
      <c r="KL333"/>
      <c r="KO333"/>
      <c r="KP333"/>
      <c r="KS333"/>
      <c r="KT333"/>
      <c r="KW333"/>
      <c r="KX333"/>
      <c r="LA333"/>
      <c r="LB333"/>
      <c r="LE333"/>
      <c r="LF333"/>
      <c r="LI333"/>
      <c r="LJ333"/>
      <c r="LM333"/>
      <c r="LN333"/>
      <c r="LQ333"/>
      <c r="LR333"/>
      <c r="LU333"/>
      <c r="LV333"/>
      <c r="LY333"/>
      <c r="LZ333"/>
      <c r="MC333"/>
      <c r="MD333"/>
      <c r="MG333"/>
      <c r="MH333"/>
      <c r="MK333"/>
      <c r="ML333"/>
      <c r="MO333"/>
      <c r="MP333"/>
      <c r="MS333"/>
      <c r="MT333"/>
      <c r="MW333"/>
      <c r="MX333"/>
      <c r="NA333"/>
      <c r="NB333"/>
      <c r="NE333"/>
      <c r="NF333"/>
      <c r="NI333"/>
      <c r="NJ333"/>
      <c r="NM333"/>
      <c r="NN333"/>
      <c r="NQ333"/>
      <c r="NR333"/>
      <c r="NU333"/>
      <c r="NV333"/>
      <c r="NY333"/>
      <c r="NZ333"/>
      <c r="OC333"/>
      <c r="OD333"/>
      <c r="OG333"/>
      <c r="OH333"/>
      <c r="OK333"/>
      <c r="OL333"/>
      <c r="OO333"/>
      <c r="OP333"/>
      <c r="OS333"/>
      <c r="OT333"/>
      <c r="OW333"/>
      <c r="OX333"/>
      <c r="PA333"/>
      <c r="PB333"/>
      <c r="PE333"/>
      <c r="PF333"/>
      <c r="PI333"/>
      <c r="PJ333"/>
      <c r="PM333"/>
      <c r="PN333"/>
      <c r="PQ333"/>
      <c r="PR333"/>
      <c r="PU333"/>
      <c r="PV333"/>
      <c r="PY333"/>
      <c r="PZ333"/>
      <c r="QC333"/>
      <c r="QD333"/>
      <c r="QG333"/>
      <c r="QH333"/>
      <c r="QK333"/>
      <c r="QL333"/>
      <c r="QO333"/>
      <c r="QP333"/>
      <c r="QS333"/>
      <c r="QT333"/>
      <c r="QW333"/>
      <c r="QX333"/>
      <c r="RA333"/>
      <c r="RB333"/>
      <c r="RE333"/>
      <c r="RF333"/>
      <c r="RI333"/>
      <c r="RJ333"/>
      <c r="RM333"/>
      <c r="RN333"/>
      <c r="RQ333"/>
      <c r="RR333"/>
      <c r="RU333"/>
      <c r="RV333"/>
      <c r="RY333"/>
      <c r="RZ333"/>
      <c r="SC333"/>
      <c r="SD333"/>
      <c r="SG333"/>
      <c r="SH333"/>
      <c r="SK333"/>
      <c r="SL333"/>
      <c r="SO333"/>
      <c r="SP333"/>
      <c r="SS333"/>
      <c r="ST333"/>
      <c r="SW333"/>
      <c r="SX333"/>
      <c r="TA333"/>
      <c r="TB333"/>
      <c r="TE333"/>
      <c r="TF333"/>
      <c r="TI333"/>
      <c r="TJ333"/>
      <c r="TM333"/>
      <c r="TN333"/>
      <c r="TQ333"/>
      <c r="TR333"/>
      <c r="TU333"/>
      <c r="TV333"/>
      <c r="TY333"/>
      <c r="TZ333"/>
      <c r="UC333"/>
      <c r="UD333"/>
      <c r="UG333"/>
      <c r="UH333"/>
      <c r="UK333"/>
      <c r="UL333"/>
      <c r="UO333"/>
      <c r="UP333"/>
      <c r="US333"/>
      <c r="UT333"/>
      <c r="UW333"/>
      <c r="UX333"/>
      <c r="VA333"/>
      <c r="VB333"/>
      <c r="VE333"/>
      <c r="VF333"/>
      <c r="VI333"/>
      <c r="VJ333"/>
      <c r="VM333"/>
      <c r="VN333"/>
      <c r="VQ333"/>
      <c r="VR333"/>
      <c r="VU333"/>
      <c r="VV333"/>
      <c r="VY333"/>
      <c r="VZ333"/>
      <c r="WC333"/>
      <c r="WD333"/>
      <c r="WG333"/>
      <c r="WH333"/>
      <c r="WK333"/>
      <c r="WL333"/>
      <c r="WO333"/>
      <c r="WP333"/>
      <c r="WS333"/>
      <c r="WT333"/>
      <c r="WW333"/>
      <c r="WX333"/>
      <c r="XA333"/>
      <c r="XB333"/>
      <c r="XE333"/>
      <c r="XF333"/>
      <c r="XI333"/>
      <c r="XJ333"/>
      <c r="XM333"/>
      <c r="XN333"/>
      <c r="XQ333"/>
      <c r="XR333"/>
      <c r="XU333"/>
      <c r="XV333"/>
      <c r="XY333"/>
      <c r="XZ333"/>
      <c r="YC333"/>
      <c r="YD333"/>
      <c r="YG333"/>
      <c r="YH333"/>
      <c r="YK333"/>
      <c r="YL333"/>
      <c r="YO333"/>
      <c r="YP333"/>
      <c r="YS333"/>
      <c r="YT333"/>
      <c r="YW333"/>
      <c r="YX333"/>
      <c r="ZA333"/>
      <c r="ZB333"/>
      <c r="ZE333"/>
      <c r="ZF333"/>
      <c r="ZI333"/>
      <c r="ZJ333"/>
      <c r="ZM333"/>
      <c r="ZN333"/>
      <c r="ZQ333"/>
      <c r="ZR333"/>
      <c r="ZU333"/>
      <c r="ZV333"/>
      <c r="ZY333"/>
      <c r="ZZ333"/>
      <c r="AAC333"/>
      <c r="AAD333"/>
      <c r="AAG333"/>
      <c r="AAH333"/>
      <c r="AAK333"/>
      <c r="AAL333"/>
      <c r="AAO333"/>
      <c r="AAP333"/>
      <c r="AAS333"/>
      <c r="AAT333"/>
      <c r="AAW333"/>
      <c r="AAX333"/>
      <c r="ABA333"/>
      <c r="ABB333"/>
      <c r="ABE333"/>
      <c r="ABF333"/>
      <c r="ABI333"/>
      <c r="ABJ333"/>
      <c r="ABM333"/>
      <c r="ABN333"/>
      <c r="ABQ333"/>
      <c r="ABR333"/>
      <c r="ABU333"/>
      <c r="ABV333"/>
      <c r="ABY333"/>
      <c r="ABZ333"/>
      <c r="ACC333"/>
      <c r="ACD333"/>
      <c r="ACG333"/>
      <c r="ACH333"/>
      <c r="ACK333"/>
      <c r="ACL333"/>
      <c r="ACO333"/>
      <c r="ACP333"/>
      <c r="ACS333"/>
      <c r="ACT333"/>
      <c r="ACW333"/>
      <c r="ACX333"/>
      <c r="ADA333"/>
      <c r="ADB333"/>
      <c r="ADE333"/>
      <c r="ADF333"/>
      <c r="ADI333"/>
      <c r="ADJ333"/>
      <c r="ADM333"/>
      <c r="ADN333"/>
      <c r="ADQ333"/>
      <c r="ADR333"/>
      <c r="ADU333"/>
      <c r="ADV333"/>
      <c r="ADY333"/>
      <c r="ADZ333"/>
      <c r="AEC333"/>
      <c r="AED333"/>
      <c r="AEG333"/>
      <c r="AEH333"/>
      <c r="AEK333"/>
      <c r="AEL333"/>
      <c r="AEO333"/>
      <c r="AEP333"/>
      <c r="AES333"/>
      <c r="AET333"/>
      <c r="AEW333"/>
      <c r="AEX333"/>
      <c r="AFA333"/>
      <c r="AFB333"/>
      <c r="AFE333"/>
      <c r="AFF333"/>
      <c r="AFI333"/>
      <c r="AFJ333"/>
      <c r="AFM333"/>
      <c r="AFN333"/>
      <c r="AFQ333"/>
      <c r="AFR333"/>
      <c r="AFU333"/>
      <c r="AFV333"/>
      <c r="AFY333"/>
      <c r="AFZ333"/>
      <c r="AGC333"/>
      <c r="AGD333"/>
      <c r="AGG333"/>
      <c r="AGH333"/>
      <c r="AGK333"/>
      <c r="AGL333"/>
      <c r="AGO333"/>
      <c r="AGP333"/>
      <c r="AGS333"/>
      <c r="AGT333"/>
      <c r="AGW333"/>
      <c r="AGX333"/>
      <c r="AHA333"/>
      <c r="AHB333"/>
      <c r="AHE333"/>
      <c r="AHF333"/>
      <c r="AHI333"/>
      <c r="AHJ333"/>
      <c r="AHM333"/>
      <c r="AHN333"/>
      <c r="AHQ333"/>
      <c r="AHR333"/>
      <c r="AHU333"/>
      <c r="AHV333"/>
      <c r="AHY333"/>
      <c r="AHZ333"/>
      <c r="AIC333"/>
      <c r="AID333"/>
      <c r="AIG333"/>
      <c r="AIH333"/>
      <c r="AIK333"/>
      <c r="AIL333"/>
      <c r="AIO333"/>
      <c r="AIP333"/>
      <c r="AIS333"/>
      <c r="AIT333"/>
      <c r="AIW333"/>
      <c r="AIX333"/>
      <c r="AJA333"/>
      <c r="AJB333"/>
      <c r="AJE333"/>
      <c r="AJF333"/>
      <c r="AJI333"/>
      <c r="AJJ333"/>
      <c r="AJM333"/>
      <c r="AJN333"/>
      <c r="AJQ333"/>
      <c r="AJR333"/>
      <c r="AJU333"/>
      <c r="AJV333"/>
      <c r="AJY333"/>
      <c r="AJZ333"/>
      <c r="AKC333"/>
      <c r="AKD333"/>
      <c r="AKG333"/>
      <c r="AKH333"/>
      <c r="AKK333"/>
      <c r="AKL333"/>
      <c r="AKO333"/>
      <c r="AKP333"/>
      <c r="AKS333"/>
      <c r="AKT333"/>
      <c r="AKW333"/>
      <c r="AKX333"/>
      <c r="ALA333"/>
      <c r="ALB333"/>
      <c r="ALE333"/>
      <c r="ALF333"/>
      <c r="ALI333"/>
      <c r="ALJ333"/>
      <c r="ALM333"/>
      <c r="ALN333"/>
      <c r="ALQ333"/>
      <c r="ALR333"/>
      <c r="ALU333"/>
      <c r="ALV333"/>
      <c r="ALY333"/>
      <c r="ALZ333"/>
      <c r="AMC333"/>
      <c r="AMD333"/>
      <c r="AMG333"/>
      <c r="AMH333"/>
      <c r="AMK333"/>
      <c r="AML333"/>
      <c r="AMO333"/>
      <c r="AMP333"/>
      <c r="AMS333"/>
      <c r="AMT333"/>
      <c r="AMW333"/>
      <c r="AMX333"/>
      <c r="ANA333"/>
      <c r="ANB333"/>
      <c r="ANE333"/>
      <c r="ANF333"/>
      <c r="ANI333"/>
      <c r="ANJ333"/>
      <c r="ANM333"/>
      <c r="ANN333"/>
      <c r="ANQ333"/>
      <c r="ANR333"/>
      <c r="ANU333"/>
      <c r="ANV333"/>
      <c r="ANY333"/>
      <c r="ANZ333"/>
      <c r="AOC333"/>
      <c r="AOD333"/>
      <c r="AOG333"/>
      <c r="AOH333"/>
      <c r="AOK333"/>
      <c r="AOL333"/>
      <c r="AOO333"/>
      <c r="AOP333"/>
      <c r="AOS333"/>
      <c r="AOT333"/>
      <c r="AOW333"/>
      <c r="AOX333"/>
      <c r="APA333"/>
      <c r="APB333"/>
      <c r="APE333"/>
      <c r="APF333"/>
      <c r="API333"/>
      <c r="APJ333"/>
      <c r="APM333"/>
      <c r="APN333"/>
      <c r="APQ333"/>
      <c r="APR333"/>
      <c r="APU333"/>
      <c r="APV333"/>
      <c r="APY333"/>
      <c r="APZ333"/>
      <c r="AQC333"/>
      <c r="AQD333"/>
      <c r="AQG333"/>
      <c r="AQH333"/>
      <c r="AQK333"/>
      <c r="AQL333"/>
      <c r="AQO333"/>
      <c r="AQP333"/>
      <c r="AQS333"/>
      <c r="AQT333"/>
      <c r="AQW333"/>
      <c r="AQX333"/>
      <c r="ARA333"/>
      <c r="ARB333"/>
      <c r="ARE333"/>
      <c r="ARF333"/>
      <c r="ARI333"/>
      <c r="ARJ333"/>
      <c r="ARM333"/>
      <c r="ARN333"/>
      <c r="ARQ333"/>
      <c r="ARR333"/>
      <c r="ARU333"/>
      <c r="ARV333"/>
      <c r="ARY333"/>
      <c r="ARZ333"/>
      <c r="ASC333"/>
      <c r="ASD333"/>
      <c r="ASG333"/>
      <c r="ASH333"/>
      <c r="ASK333"/>
      <c r="ASL333"/>
      <c r="ASO333"/>
      <c r="ASP333"/>
      <c r="ASS333"/>
      <c r="AST333"/>
      <c r="ASW333"/>
      <c r="ASX333"/>
      <c r="ATA333"/>
      <c r="ATB333"/>
      <c r="ATE333"/>
      <c r="ATF333"/>
      <c r="ATI333"/>
      <c r="ATJ333"/>
      <c r="ATM333"/>
      <c r="ATN333"/>
      <c r="ATQ333"/>
      <c r="ATR333"/>
      <c r="ATU333"/>
      <c r="ATV333"/>
      <c r="ATY333"/>
      <c r="ATZ333"/>
      <c r="AUC333"/>
      <c r="AUD333"/>
      <c r="AUG333"/>
      <c r="AUH333"/>
      <c r="AUK333"/>
      <c r="AUL333"/>
      <c r="AUO333"/>
      <c r="AUP333"/>
      <c r="AUS333"/>
      <c r="AUT333"/>
      <c r="AUW333"/>
      <c r="AUX333"/>
      <c r="AVA333"/>
      <c r="AVB333"/>
      <c r="AVE333"/>
      <c r="AVF333"/>
      <c r="AVI333"/>
      <c r="AVJ333"/>
      <c r="AVM333"/>
      <c r="AVN333"/>
      <c r="AVQ333"/>
      <c r="AVR333"/>
      <c r="AVU333"/>
      <c r="AVV333"/>
      <c r="AVY333"/>
      <c r="AVZ333"/>
      <c r="AWC333"/>
      <c r="AWD333"/>
      <c r="AWG333"/>
      <c r="AWH333"/>
      <c r="AWK333"/>
      <c r="AWL333"/>
      <c r="AWO333"/>
      <c r="AWP333"/>
      <c r="AWS333"/>
      <c r="AWT333"/>
      <c r="AWW333"/>
      <c r="AWX333"/>
      <c r="AXA333"/>
      <c r="AXB333"/>
      <c r="AXE333"/>
      <c r="AXF333"/>
      <c r="AXI333"/>
      <c r="AXJ333"/>
      <c r="AXM333"/>
      <c r="AXN333"/>
      <c r="AXQ333"/>
      <c r="AXR333"/>
      <c r="AXU333"/>
      <c r="AXV333"/>
      <c r="AXY333"/>
      <c r="AXZ333"/>
      <c r="AYC333"/>
      <c r="AYD333"/>
      <c r="AYG333"/>
      <c r="AYH333"/>
      <c r="AYK333"/>
      <c r="AYL333"/>
      <c r="AYO333"/>
      <c r="AYP333"/>
      <c r="AYS333"/>
      <c r="AYT333"/>
      <c r="AYW333"/>
      <c r="AYX333"/>
      <c r="AZA333"/>
      <c r="AZB333"/>
      <c r="AZE333"/>
      <c r="AZF333"/>
      <c r="AZI333"/>
      <c r="AZJ333"/>
      <c r="AZM333"/>
      <c r="AZN333"/>
      <c r="AZQ333"/>
      <c r="AZR333"/>
      <c r="AZU333"/>
      <c r="AZV333"/>
      <c r="AZY333"/>
      <c r="AZZ333"/>
      <c r="BAC333"/>
      <c r="BAD333"/>
      <c r="BAG333"/>
      <c r="BAH333"/>
      <c r="BAK333"/>
      <c r="BAL333"/>
      <c r="BAO333"/>
      <c r="BAP333"/>
      <c r="BAS333"/>
      <c r="BAT333"/>
      <c r="BAW333"/>
      <c r="BAX333"/>
      <c r="BBA333"/>
      <c r="BBB333"/>
      <c r="BBE333"/>
      <c r="BBF333"/>
      <c r="BBI333"/>
      <c r="BBJ333"/>
      <c r="BBM333"/>
      <c r="BBN333"/>
      <c r="BBQ333"/>
      <c r="BBR333"/>
      <c r="BBU333"/>
      <c r="BBV333"/>
      <c r="BBY333"/>
      <c r="BBZ333"/>
      <c r="BCC333"/>
      <c r="BCD333"/>
      <c r="BCG333"/>
      <c r="BCH333"/>
      <c r="BCK333"/>
      <c r="BCL333"/>
      <c r="BCO333"/>
      <c r="BCP333"/>
      <c r="BCS333"/>
      <c r="BCT333"/>
      <c r="BCW333"/>
      <c r="BCX333"/>
      <c r="BDA333"/>
      <c r="BDB333"/>
      <c r="BDE333"/>
      <c r="BDF333"/>
      <c r="BDI333"/>
      <c r="BDJ333"/>
      <c r="BDM333"/>
      <c r="BDN333"/>
      <c r="BDQ333"/>
      <c r="BDR333"/>
      <c r="BDU333"/>
      <c r="BDV333"/>
      <c r="BDY333"/>
      <c r="BDZ333"/>
      <c r="BEC333"/>
      <c r="BED333"/>
      <c r="BEG333"/>
      <c r="BEH333"/>
      <c r="BEK333"/>
      <c r="BEL333"/>
      <c r="BEO333"/>
      <c r="BEP333"/>
      <c r="BES333"/>
      <c r="BET333"/>
      <c r="BEW333"/>
      <c r="BEX333"/>
      <c r="BFA333"/>
      <c r="BFB333"/>
      <c r="BFE333"/>
      <c r="BFF333"/>
      <c r="BFI333"/>
      <c r="BFJ333"/>
      <c r="BFM333"/>
      <c r="BFN333"/>
      <c r="BFQ333"/>
      <c r="BFR333"/>
      <c r="BFU333"/>
      <c r="BFV333"/>
      <c r="BFY333"/>
      <c r="BFZ333"/>
      <c r="BGC333"/>
      <c r="BGD333"/>
      <c r="BGG333"/>
      <c r="BGH333"/>
      <c r="BGK333"/>
      <c r="BGL333"/>
      <c r="BGO333"/>
      <c r="BGP333"/>
      <c r="BGS333"/>
      <c r="BGT333"/>
      <c r="BGW333"/>
      <c r="BGX333"/>
      <c r="BHA333"/>
      <c r="BHB333"/>
      <c r="BHE333"/>
      <c r="BHF333"/>
      <c r="BHI333"/>
      <c r="BHJ333"/>
      <c r="BHM333"/>
      <c r="BHN333"/>
      <c r="BHQ333"/>
      <c r="BHR333"/>
      <c r="BHU333"/>
      <c r="BHV333"/>
      <c r="BHY333"/>
      <c r="BHZ333"/>
      <c r="BIC333"/>
      <c r="BID333"/>
      <c r="BIG333"/>
      <c r="BIH333"/>
      <c r="BIK333"/>
      <c r="BIL333"/>
      <c r="BIO333"/>
      <c r="BIP333"/>
      <c r="BIS333"/>
      <c r="BIT333"/>
      <c r="BIW333"/>
      <c r="BIX333"/>
      <c r="BJA333"/>
      <c r="BJB333"/>
      <c r="BJE333"/>
      <c r="BJF333"/>
      <c r="BJI333"/>
      <c r="BJJ333"/>
      <c r="BJM333"/>
      <c r="BJN333"/>
      <c r="BJQ333"/>
      <c r="BJR333"/>
      <c r="BJU333"/>
      <c r="BJV333"/>
      <c r="BJY333"/>
      <c r="BJZ333"/>
      <c r="BKC333"/>
      <c r="BKD333"/>
      <c r="BKG333"/>
      <c r="BKH333"/>
      <c r="BKK333"/>
      <c r="BKL333"/>
      <c r="BKO333"/>
      <c r="BKP333"/>
      <c r="BKS333"/>
      <c r="BKT333"/>
      <c r="BKW333"/>
      <c r="BKX333"/>
      <c r="BLA333"/>
      <c r="BLB333"/>
      <c r="BLE333"/>
      <c r="BLF333"/>
      <c r="BLI333"/>
      <c r="BLJ333"/>
      <c r="BLM333"/>
      <c r="BLN333"/>
      <c r="BLQ333"/>
      <c r="BLR333"/>
      <c r="BLU333"/>
      <c r="BLV333"/>
      <c r="BLY333"/>
      <c r="BLZ333"/>
      <c r="BMC333"/>
      <c r="BMD333"/>
      <c r="BMG333"/>
      <c r="BMH333"/>
      <c r="BMK333"/>
      <c r="BML333"/>
      <c r="BMO333"/>
      <c r="BMP333"/>
      <c r="BMS333"/>
      <c r="BMT333"/>
      <c r="BMW333"/>
      <c r="BMX333"/>
      <c r="BNA333"/>
      <c r="BNB333"/>
      <c r="BNE333"/>
      <c r="BNF333"/>
      <c r="BNI333"/>
      <c r="BNJ333"/>
      <c r="BNM333"/>
      <c r="BNN333"/>
      <c r="BNQ333"/>
      <c r="BNR333"/>
      <c r="BNU333"/>
      <c r="BNV333"/>
      <c r="BNY333"/>
      <c r="BNZ333"/>
      <c r="BOC333"/>
      <c r="BOD333"/>
      <c r="BOG333"/>
      <c r="BOH333"/>
      <c r="BOK333"/>
      <c r="BOL333"/>
      <c r="BOO333"/>
      <c r="BOP333"/>
      <c r="BOS333"/>
      <c r="BOT333"/>
      <c r="BOW333"/>
      <c r="BOX333"/>
      <c r="BPA333"/>
      <c r="BPB333"/>
      <c r="BPE333"/>
      <c r="BPF333"/>
      <c r="BPI333"/>
      <c r="BPJ333"/>
      <c r="BPM333"/>
      <c r="BPN333"/>
      <c r="BPQ333"/>
      <c r="BPR333"/>
      <c r="BPU333"/>
      <c r="BPV333"/>
      <c r="BPY333"/>
      <c r="BPZ333"/>
      <c r="BQC333"/>
      <c r="BQD333"/>
      <c r="BQG333"/>
      <c r="BQH333"/>
      <c r="BQK333"/>
      <c r="BQL333"/>
      <c r="BQO333"/>
      <c r="BQP333"/>
      <c r="BQS333"/>
      <c r="BQT333"/>
      <c r="BQW333"/>
      <c r="BQX333"/>
      <c r="BRA333"/>
      <c r="BRB333"/>
      <c r="BRE333"/>
      <c r="BRF333"/>
      <c r="BRI333"/>
      <c r="BRJ333"/>
      <c r="BRM333"/>
      <c r="BRN333"/>
      <c r="BRQ333"/>
      <c r="BRR333"/>
      <c r="BRU333"/>
      <c r="BRV333"/>
      <c r="BRY333"/>
      <c r="BRZ333"/>
      <c r="BSC333"/>
      <c r="BSD333"/>
      <c r="BSG333"/>
      <c r="BSH333"/>
      <c r="BSK333"/>
      <c r="BSL333"/>
      <c r="BSO333"/>
      <c r="BSP333"/>
      <c r="BSS333"/>
      <c r="BST333"/>
      <c r="BSW333"/>
      <c r="BSX333"/>
      <c r="BTA333"/>
      <c r="BTB333"/>
      <c r="BTE333"/>
      <c r="BTF333"/>
      <c r="BTI333"/>
      <c r="BTJ333"/>
      <c r="BTM333"/>
      <c r="BTN333"/>
      <c r="BTQ333"/>
      <c r="BTR333"/>
      <c r="BTU333"/>
      <c r="BTV333"/>
      <c r="BTY333"/>
      <c r="BTZ333"/>
      <c r="BUC333"/>
      <c r="BUD333"/>
      <c r="BUG333"/>
      <c r="BUH333"/>
      <c r="BUK333"/>
      <c r="BUL333"/>
      <c r="BUO333"/>
      <c r="BUP333"/>
      <c r="BUS333"/>
      <c r="BUT333"/>
      <c r="BUW333"/>
      <c r="BUX333"/>
      <c r="BVA333"/>
      <c r="BVB333"/>
      <c r="BVE333"/>
      <c r="BVF333"/>
      <c r="BVI333"/>
      <c r="BVJ333"/>
      <c r="BVM333"/>
      <c r="BVN333"/>
      <c r="BVQ333"/>
      <c r="BVR333"/>
      <c r="BVU333"/>
      <c r="BVV333"/>
      <c r="BVY333"/>
      <c r="BVZ333"/>
      <c r="BWC333"/>
      <c r="BWD333"/>
      <c r="BWG333"/>
      <c r="BWH333"/>
      <c r="BWK333"/>
      <c r="BWL333"/>
      <c r="BWO333"/>
      <c r="BWP333"/>
      <c r="BWS333"/>
      <c r="BWT333"/>
      <c r="BWW333"/>
      <c r="BWX333"/>
      <c r="BXA333"/>
      <c r="BXB333"/>
      <c r="BXE333"/>
      <c r="BXF333"/>
      <c r="BXI333"/>
      <c r="BXJ333"/>
      <c r="BXM333"/>
      <c r="BXN333"/>
      <c r="BXQ333"/>
      <c r="BXR333"/>
      <c r="BXU333"/>
      <c r="BXV333"/>
      <c r="BXY333"/>
      <c r="BXZ333"/>
      <c r="BYC333"/>
      <c r="BYD333"/>
      <c r="BYG333"/>
      <c r="BYH333"/>
      <c r="BYK333"/>
      <c r="BYL333"/>
      <c r="BYO333"/>
      <c r="BYP333"/>
      <c r="BYS333"/>
      <c r="BYT333"/>
      <c r="BYW333"/>
      <c r="BYX333"/>
      <c r="BZA333"/>
      <c r="BZB333"/>
      <c r="BZE333"/>
      <c r="BZF333"/>
      <c r="BZI333"/>
      <c r="BZJ333"/>
      <c r="BZM333"/>
      <c r="BZN333"/>
      <c r="BZQ333"/>
      <c r="BZR333"/>
      <c r="BZU333"/>
      <c r="BZV333"/>
      <c r="BZY333"/>
      <c r="BZZ333"/>
      <c r="CAC333"/>
      <c r="CAD333"/>
      <c r="CAG333"/>
      <c r="CAH333"/>
      <c r="CAK333"/>
      <c r="CAL333"/>
      <c r="CAO333"/>
      <c r="CAP333"/>
      <c r="CAS333"/>
      <c r="CAT333"/>
      <c r="CAW333"/>
      <c r="CAX333"/>
      <c r="CBA333"/>
      <c r="CBB333"/>
      <c r="CBE333"/>
      <c r="CBF333"/>
      <c r="CBI333"/>
      <c r="CBJ333"/>
      <c r="CBM333"/>
      <c r="CBN333"/>
      <c r="CBQ333"/>
      <c r="CBR333"/>
      <c r="CBU333"/>
      <c r="CBV333"/>
      <c r="CBY333"/>
      <c r="CBZ333"/>
      <c r="CCC333"/>
      <c r="CCD333"/>
      <c r="CCG333"/>
      <c r="CCH333"/>
      <c r="CCK333"/>
      <c r="CCL333"/>
      <c r="CCO333"/>
      <c r="CCP333"/>
      <c r="CCS333"/>
      <c r="CCT333"/>
      <c r="CCW333"/>
      <c r="CCX333"/>
      <c r="CDA333"/>
      <c r="CDB333"/>
      <c r="CDE333"/>
      <c r="CDF333"/>
      <c r="CDI333"/>
      <c r="CDJ333"/>
      <c r="CDM333"/>
      <c r="CDN333"/>
      <c r="CDQ333"/>
      <c r="CDR333"/>
      <c r="CDU333"/>
      <c r="CDV333"/>
      <c r="CDY333"/>
      <c r="CDZ333"/>
      <c r="CEC333"/>
      <c r="CED333"/>
      <c r="CEG333"/>
      <c r="CEH333"/>
      <c r="CEK333"/>
      <c r="CEL333"/>
      <c r="CEO333"/>
      <c r="CEP333"/>
      <c r="CES333"/>
      <c r="CET333"/>
      <c r="CEW333"/>
      <c r="CEX333"/>
      <c r="CFA333"/>
      <c r="CFB333"/>
      <c r="CFE333"/>
      <c r="CFF333"/>
      <c r="CFI333"/>
      <c r="CFJ333"/>
      <c r="CFM333"/>
      <c r="CFN333"/>
      <c r="CFQ333"/>
      <c r="CFR333"/>
      <c r="CFU333"/>
      <c r="CFV333"/>
      <c r="CFY333"/>
      <c r="CFZ333"/>
      <c r="CGC333"/>
      <c r="CGD333"/>
      <c r="CGG333"/>
      <c r="CGH333"/>
      <c r="CGK333"/>
      <c r="CGL333"/>
      <c r="CGO333"/>
      <c r="CGP333"/>
      <c r="CGS333"/>
      <c r="CGT333"/>
      <c r="CGW333"/>
      <c r="CGX333"/>
      <c r="CHA333"/>
      <c r="CHB333"/>
      <c r="CHE333"/>
      <c r="CHF333"/>
      <c r="CHI333"/>
      <c r="CHJ333"/>
      <c r="CHM333"/>
      <c r="CHN333"/>
      <c r="CHQ333"/>
      <c r="CHR333"/>
      <c r="CHU333"/>
      <c r="CHV333"/>
      <c r="CHY333"/>
      <c r="CHZ333"/>
      <c r="CIC333"/>
      <c r="CID333"/>
      <c r="CIG333"/>
      <c r="CIH333"/>
      <c r="CIK333"/>
      <c r="CIL333"/>
      <c r="CIO333"/>
      <c r="CIP333"/>
      <c r="CIS333"/>
      <c r="CIT333"/>
      <c r="CIW333"/>
      <c r="CIX333"/>
      <c r="CJA333"/>
      <c r="CJB333"/>
      <c r="CJE333"/>
      <c r="CJF333"/>
      <c r="CJI333"/>
      <c r="CJJ333"/>
      <c r="CJM333"/>
      <c r="CJN333"/>
      <c r="CJQ333"/>
      <c r="CJR333"/>
      <c r="CJU333"/>
      <c r="CJV333"/>
      <c r="CJY333"/>
      <c r="CJZ333"/>
      <c r="CKC333"/>
      <c r="CKD333"/>
      <c r="CKG333"/>
      <c r="CKH333"/>
      <c r="CKK333"/>
      <c r="CKL333"/>
      <c r="CKO333"/>
      <c r="CKP333"/>
      <c r="CKS333"/>
      <c r="CKT333"/>
      <c r="CKW333"/>
      <c r="CKX333"/>
      <c r="CLA333"/>
      <c r="CLB333"/>
      <c r="CLE333"/>
      <c r="CLF333"/>
      <c r="CLI333"/>
      <c r="CLJ333"/>
      <c r="CLM333"/>
      <c r="CLN333"/>
      <c r="CLQ333"/>
      <c r="CLR333"/>
      <c r="CLU333"/>
      <c r="CLV333"/>
      <c r="CLY333"/>
      <c r="CLZ333"/>
      <c r="CMC333"/>
      <c r="CMD333"/>
      <c r="CMG333"/>
      <c r="CMH333"/>
      <c r="CMK333"/>
      <c r="CML333"/>
      <c r="CMO333"/>
      <c r="CMP333"/>
      <c r="CMS333"/>
      <c r="CMT333"/>
      <c r="CMW333"/>
      <c r="CMX333"/>
      <c r="CNA333"/>
      <c r="CNB333"/>
      <c r="CNE333"/>
      <c r="CNF333"/>
      <c r="CNI333"/>
      <c r="CNJ333"/>
      <c r="CNM333"/>
      <c r="CNN333"/>
      <c r="CNQ333"/>
      <c r="CNR333"/>
      <c r="CNU333"/>
      <c r="CNV333"/>
      <c r="CNY333"/>
      <c r="CNZ333"/>
      <c r="COC333"/>
      <c r="COD333"/>
      <c r="COG333"/>
      <c r="COH333"/>
      <c r="COK333"/>
      <c r="COL333"/>
      <c r="COO333"/>
      <c r="COP333"/>
      <c r="COS333"/>
      <c r="COT333"/>
      <c r="COW333"/>
      <c r="COX333"/>
      <c r="CPA333"/>
      <c r="CPB333"/>
      <c r="CPE333"/>
      <c r="CPF333"/>
      <c r="CPI333"/>
      <c r="CPJ333"/>
      <c r="CPM333"/>
      <c r="CPN333"/>
      <c r="CPQ333"/>
      <c r="CPR333"/>
      <c r="CPU333"/>
      <c r="CPV333"/>
      <c r="CPY333"/>
      <c r="CPZ333"/>
      <c r="CQC333"/>
      <c r="CQD333"/>
      <c r="CQG333"/>
      <c r="CQH333"/>
      <c r="CQK333"/>
      <c r="CQL333"/>
      <c r="CQO333"/>
      <c r="CQP333"/>
      <c r="CQS333"/>
      <c r="CQT333"/>
      <c r="CQW333"/>
      <c r="CQX333"/>
      <c r="CRA333"/>
      <c r="CRB333"/>
      <c r="CRE333"/>
      <c r="CRF333"/>
      <c r="CRI333"/>
      <c r="CRJ333"/>
      <c r="CRM333"/>
      <c r="CRN333"/>
      <c r="CRQ333"/>
      <c r="CRR333"/>
      <c r="CRU333"/>
      <c r="CRV333"/>
      <c r="CRY333"/>
      <c r="CRZ333"/>
      <c r="CSC333"/>
      <c r="CSD333"/>
      <c r="CSG333"/>
      <c r="CSH333"/>
      <c r="CSK333"/>
      <c r="CSL333"/>
      <c r="CSO333"/>
      <c r="CSP333"/>
      <c r="CSS333"/>
      <c r="CST333"/>
      <c r="CSW333"/>
      <c r="CSX333"/>
      <c r="CTA333"/>
      <c r="CTB333"/>
      <c r="CTE333"/>
      <c r="CTF333"/>
      <c r="CTI333"/>
      <c r="CTJ333"/>
      <c r="CTM333"/>
      <c r="CTN333"/>
      <c r="CTQ333"/>
      <c r="CTR333"/>
      <c r="CTU333"/>
      <c r="CTV333"/>
      <c r="CTY333"/>
      <c r="CTZ333"/>
      <c r="CUC333"/>
      <c r="CUD333"/>
      <c r="CUG333"/>
      <c r="CUH333"/>
      <c r="CUK333"/>
      <c r="CUL333"/>
      <c r="CUO333"/>
      <c r="CUP333"/>
      <c r="CUS333"/>
      <c r="CUT333"/>
      <c r="CUW333"/>
      <c r="CUX333"/>
      <c r="CVA333"/>
      <c r="CVB333"/>
      <c r="CVE333"/>
      <c r="CVF333"/>
      <c r="CVI333"/>
      <c r="CVJ333"/>
      <c r="CVM333"/>
      <c r="CVN333"/>
      <c r="CVQ333"/>
      <c r="CVR333"/>
      <c r="CVU333"/>
      <c r="CVV333"/>
      <c r="CVY333"/>
      <c r="CVZ333"/>
      <c r="CWC333"/>
      <c r="CWD333"/>
      <c r="CWG333"/>
      <c r="CWH333"/>
      <c r="CWK333"/>
      <c r="CWL333"/>
      <c r="CWO333"/>
      <c r="CWP333"/>
      <c r="CWS333"/>
      <c r="CWT333"/>
      <c r="CWW333"/>
      <c r="CWX333"/>
      <c r="CXA333"/>
      <c r="CXB333"/>
      <c r="CXE333"/>
      <c r="CXF333"/>
      <c r="CXI333"/>
      <c r="CXJ333"/>
      <c r="CXM333"/>
      <c r="CXN333"/>
      <c r="CXQ333"/>
      <c r="CXR333"/>
      <c r="CXU333"/>
      <c r="CXV333"/>
      <c r="CXY333"/>
      <c r="CXZ333"/>
      <c r="CYC333"/>
      <c r="CYD333"/>
      <c r="CYG333"/>
      <c r="CYH333"/>
      <c r="CYK333"/>
      <c r="CYL333"/>
      <c r="CYO333"/>
      <c r="CYP333"/>
      <c r="CYS333"/>
      <c r="CYT333"/>
      <c r="CYW333"/>
      <c r="CYX333"/>
      <c r="CZA333"/>
      <c r="CZB333"/>
      <c r="CZE333"/>
      <c r="CZF333"/>
      <c r="CZI333"/>
      <c r="CZJ333"/>
      <c r="CZM333"/>
      <c r="CZN333"/>
      <c r="CZQ333"/>
      <c r="CZR333"/>
      <c r="CZU333"/>
      <c r="CZV333"/>
      <c r="CZY333"/>
      <c r="CZZ333"/>
      <c r="DAC333"/>
      <c r="DAD333"/>
      <c r="DAG333"/>
      <c r="DAH333"/>
      <c r="DAK333"/>
      <c r="DAL333"/>
      <c r="DAO333"/>
      <c r="DAP333"/>
      <c r="DAS333"/>
      <c r="DAT333"/>
      <c r="DAW333"/>
      <c r="DAX333"/>
      <c r="DBA333"/>
      <c r="DBB333"/>
      <c r="DBE333"/>
      <c r="DBF333"/>
      <c r="DBI333"/>
      <c r="DBJ333"/>
      <c r="DBM333"/>
      <c r="DBN333"/>
      <c r="DBQ333"/>
      <c r="DBR333"/>
      <c r="DBU333"/>
      <c r="DBV333"/>
      <c r="DBY333"/>
      <c r="DBZ333"/>
      <c r="DCC333"/>
      <c r="DCD333"/>
      <c r="DCG333"/>
      <c r="DCH333"/>
      <c r="DCK333"/>
      <c r="DCL333"/>
      <c r="DCO333"/>
      <c r="DCP333"/>
      <c r="DCS333"/>
      <c r="DCT333"/>
      <c r="DCW333"/>
      <c r="DCX333"/>
      <c r="DDA333"/>
      <c r="DDB333"/>
      <c r="DDE333"/>
      <c r="DDF333"/>
      <c r="DDI333"/>
      <c r="DDJ333"/>
      <c r="DDM333"/>
      <c r="DDN333"/>
      <c r="DDQ333"/>
      <c r="DDR333"/>
      <c r="DDU333"/>
      <c r="DDV333"/>
      <c r="DDY333"/>
      <c r="DDZ333"/>
      <c r="DEC333"/>
      <c r="DED333"/>
      <c r="DEG333"/>
      <c r="DEH333"/>
      <c r="DEK333"/>
      <c r="DEL333"/>
      <c r="DEO333"/>
      <c r="DEP333"/>
      <c r="DES333"/>
      <c r="DET333"/>
      <c r="DEW333"/>
      <c r="DEX333"/>
      <c r="DFA333"/>
      <c r="DFB333"/>
      <c r="DFE333"/>
      <c r="DFF333"/>
      <c r="DFI333"/>
      <c r="DFJ333"/>
      <c r="DFM333"/>
      <c r="DFN333"/>
      <c r="DFQ333"/>
      <c r="DFR333"/>
      <c r="DFU333"/>
      <c r="DFV333"/>
      <c r="DFY333"/>
      <c r="DFZ333"/>
      <c r="DGC333"/>
      <c r="DGD333"/>
      <c r="DGG333"/>
      <c r="DGH333"/>
      <c r="DGK333"/>
      <c r="DGL333"/>
      <c r="DGO333"/>
      <c r="DGP333"/>
      <c r="DGS333"/>
      <c r="DGT333"/>
      <c r="DGW333"/>
      <c r="DGX333"/>
      <c r="DHA333"/>
      <c r="DHB333"/>
      <c r="DHE333"/>
      <c r="DHF333"/>
      <c r="DHI333"/>
      <c r="DHJ333"/>
      <c r="DHM333"/>
      <c r="DHN333"/>
      <c r="DHQ333"/>
      <c r="DHR333"/>
      <c r="DHU333"/>
      <c r="DHV333"/>
      <c r="DHY333"/>
      <c r="DHZ333"/>
      <c r="DIC333"/>
      <c r="DID333"/>
      <c r="DIG333"/>
      <c r="DIH333"/>
      <c r="DIK333"/>
      <c r="DIL333"/>
      <c r="DIO333"/>
      <c r="DIP333"/>
      <c r="DIS333"/>
      <c r="DIT333"/>
      <c r="DIW333"/>
      <c r="DIX333"/>
      <c r="DJA333"/>
      <c r="DJB333"/>
      <c r="DJE333"/>
      <c r="DJF333"/>
      <c r="DJI333"/>
      <c r="DJJ333"/>
      <c r="DJM333"/>
      <c r="DJN333"/>
      <c r="DJQ333"/>
      <c r="DJR333"/>
      <c r="DJU333"/>
      <c r="DJV333"/>
      <c r="DJY333"/>
      <c r="DJZ333"/>
      <c r="DKC333"/>
      <c r="DKD333"/>
      <c r="DKG333"/>
      <c r="DKH333"/>
      <c r="DKK333"/>
      <c r="DKL333"/>
      <c r="DKO333"/>
      <c r="DKP333"/>
      <c r="DKS333"/>
      <c r="DKT333"/>
      <c r="DKW333"/>
      <c r="DKX333"/>
      <c r="DLA333"/>
      <c r="DLB333"/>
      <c r="DLE333"/>
      <c r="DLF333"/>
      <c r="DLI333"/>
      <c r="DLJ333"/>
      <c r="DLM333"/>
      <c r="DLN333"/>
      <c r="DLQ333"/>
      <c r="DLR333"/>
      <c r="DLU333"/>
      <c r="DLV333"/>
      <c r="DLY333"/>
      <c r="DLZ333"/>
      <c r="DMC333"/>
      <c r="DMD333"/>
      <c r="DMG333"/>
      <c r="DMH333"/>
      <c r="DMK333"/>
      <c r="DML333"/>
      <c r="DMO333"/>
      <c r="DMP333"/>
      <c r="DMS333"/>
      <c r="DMT333"/>
      <c r="DMW333"/>
      <c r="DMX333"/>
      <c r="DNA333"/>
      <c r="DNB333"/>
      <c r="DNE333"/>
      <c r="DNF333"/>
      <c r="DNI333"/>
      <c r="DNJ333"/>
      <c r="DNM333"/>
      <c r="DNN333"/>
      <c r="DNQ333"/>
      <c r="DNR333"/>
      <c r="DNU333"/>
      <c r="DNV333"/>
      <c r="DNY333"/>
      <c r="DNZ333"/>
      <c r="DOC333"/>
      <c r="DOD333"/>
      <c r="DOG333"/>
      <c r="DOH333"/>
      <c r="DOK333"/>
      <c r="DOL333"/>
      <c r="DOO333"/>
      <c r="DOP333"/>
      <c r="DOS333"/>
      <c r="DOT333"/>
      <c r="DOW333"/>
      <c r="DOX333"/>
      <c r="DPA333"/>
      <c r="DPB333"/>
      <c r="DPE333"/>
      <c r="DPF333"/>
      <c r="DPI333"/>
      <c r="DPJ333"/>
      <c r="DPM333"/>
      <c r="DPN333"/>
      <c r="DPQ333"/>
      <c r="DPR333"/>
      <c r="DPU333"/>
      <c r="DPV333"/>
      <c r="DPY333"/>
      <c r="DPZ333"/>
      <c r="DQC333"/>
      <c r="DQD333"/>
      <c r="DQG333"/>
      <c r="DQH333"/>
      <c r="DQK333"/>
      <c r="DQL333"/>
      <c r="DQO333"/>
      <c r="DQP333"/>
      <c r="DQS333"/>
      <c r="DQT333"/>
      <c r="DQW333"/>
      <c r="DQX333"/>
      <c r="DRA333"/>
      <c r="DRB333"/>
      <c r="DRE333"/>
      <c r="DRF333"/>
      <c r="DRI333"/>
      <c r="DRJ333"/>
      <c r="DRM333"/>
      <c r="DRN333"/>
      <c r="DRQ333"/>
      <c r="DRR333"/>
      <c r="DRU333"/>
      <c r="DRV333"/>
      <c r="DRY333"/>
      <c r="DRZ333"/>
      <c r="DSC333"/>
      <c r="DSD333"/>
      <c r="DSG333"/>
      <c r="DSH333"/>
      <c r="DSK333"/>
      <c r="DSL333"/>
      <c r="DSO333"/>
      <c r="DSP333"/>
      <c r="DSS333"/>
      <c r="DST333"/>
      <c r="DSW333"/>
      <c r="DSX333"/>
      <c r="DTA333"/>
      <c r="DTB333"/>
      <c r="DTE333"/>
      <c r="DTF333"/>
      <c r="DTI333"/>
      <c r="DTJ333"/>
      <c r="DTM333"/>
      <c r="DTN333"/>
      <c r="DTQ333"/>
      <c r="DTR333"/>
      <c r="DTU333"/>
      <c r="DTV333"/>
      <c r="DTY333"/>
      <c r="DTZ333"/>
      <c r="DUC333"/>
      <c r="DUD333"/>
      <c r="DUG333"/>
      <c r="DUH333"/>
      <c r="DUK333"/>
      <c r="DUL333"/>
      <c r="DUO333"/>
      <c r="DUP333"/>
      <c r="DUS333"/>
      <c r="DUT333"/>
      <c r="DUW333"/>
      <c r="DUX333"/>
      <c r="DVA333"/>
      <c r="DVB333"/>
      <c r="DVE333"/>
      <c r="DVF333"/>
      <c r="DVI333"/>
      <c r="DVJ333"/>
      <c r="DVM333"/>
      <c r="DVN333"/>
      <c r="DVQ333"/>
      <c r="DVR333"/>
      <c r="DVU333"/>
      <c r="DVV333"/>
      <c r="DVY333"/>
      <c r="DVZ333"/>
      <c r="DWC333"/>
      <c r="DWD333"/>
      <c r="DWG333"/>
      <c r="DWH333"/>
      <c r="DWK333"/>
      <c r="DWL333"/>
      <c r="DWO333"/>
      <c r="DWP333"/>
      <c r="DWS333"/>
      <c r="DWT333"/>
      <c r="DWW333"/>
      <c r="DWX333"/>
      <c r="DXA333"/>
      <c r="DXB333"/>
      <c r="DXE333"/>
      <c r="DXF333"/>
      <c r="DXI333"/>
      <c r="DXJ333"/>
      <c r="DXM333"/>
      <c r="DXN333"/>
      <c r="DXQ333"/>
      <c r="DXR333"/>
      <c r="DXU333"/>
      <c r="DXV333"/>
      <c r="DXY333"/>
      <c r="DXZ333"/>
      <c r="DYC333"/>
      <c r="DYD333"/>
      <c r="DYG333"/>
      <c r="DYH333"/>
      <c r="DYK333"/>
      <c r="DYL333"/>
      <c r="DYO333"/>
      <c r="DYP333"/>
      <c r="DYS333"/>
      <c r="DYT333"/>
      <c r="DYW333"/>
      <c r="DYX333"/>
      <c r="DZA333"/>
      <c r="DZB333"/>
      <c r="DZE333"/>
      <c r="DZF333"/>
      <c r="DZI333"/>
      <c r="DZJ333"/>
      <c r="DZM333"/>
      <c r="DZN333"/>
      <c r="DZQ333"/>
      <c r="DZR333"/>
      <c r="DZU333"/>
      <c r="DZV333"/>
      <c r="DZY333"/>
      <c r="DZZ333"/>
      <c r="EAC333"/>
      <c r="EAD333"/>
      <c r="EAG333"/>
      <c r="EAH333"/>
      <c r="EAK333"/>
      <c r="EAL333"/>
      <c r="EAO333"/>
      <c r="EAP333"/>
      <c r="EAS333"/>
      <c r="EAT333"/>
      <c r="EAW333"/>
      <c r="EAX333"/>
      <c r="EBA333"/>
      <c r="EBB333"/>
      <c r="EBE333"/>
      <c r="EBF333"/>
      <c r="EBI333"/>
      <c r="EBJ333"/>
      <c r="EBM333"/>
      <c r="EBN333"/>
      <c r="EBQ333"/>
      <c r="EBR333"/>
      <c r="EBU333"/>
      <c r="EBV333"/>
      <c r="EBY333"/>
      <c r="EBZ333"/>
      <c r="ECC333"/>
      <c r="ECD333"/>
      <c r="ECG333"/>
      <c r="ECH333"/>
      <c r="ECK333"/>
      <c r="ECL333"/>
      <c r="ECO333"/>
      <c r="ECP333"/>
      <c r="ECS333"/>
      <c r="ECT333"/>
      <c r="ECW333"/>
      <c r="ECX333"/>
      <c r="EDA333"/>
      <c r="EDB333"/>
      <c r="EDE333"/>
      <c r="EDF333"/>
      <c r="EDI333"/>
      <c r="EDJ333"/>
      <c r="EDM333"/>
      <c r="EDN333"/>
      <c r="EDQ333"/>
      <c r="EDR333"/>
      <c r="EDU333"/>
      <c r="EDV333"/>
      <c r="EDY333"/>
      <c r="EDZ333"/>
      <c r="EEC333"/>
      <c r="EED333"/>
      <c r="EEG333"/>
      <c r="EEH333"/>
      <c r="EEK333"/>
      <c r="EEL333"/>
      <c r="EEO333"/>
      <c r="EEP333"/>
      <c r="EES333"/>
      <c r="EET333"/>
      <c r="EEW333"/>
      <c r="EEX333"/>
      <c r="EFA333"/>
      <c r="EFB333"/>
      <c r="EFE333"/>
      <c r="EFF333"/>
      <c r="EFI333"/>
      <c r="EFJ333"/>
      <c r="EFM333"/>
      <c r="EFN333"/>
      <c r="EFQ333"/>
      <c r="EFR333"/>
      <c r="EFU333"/>
      <c r="EFV333"/>
      <c r="EFY333"/>
      <c r="EFZ333"/>
      <c r="EGC333"/>
      <c r="EGD333"/>
      <c r="EGG333"/>
      <c r="EGH333"/>
      <c r="EGK333"/>
      <c r="EGL333"/>
      <c r="EGO333"/>
      <c r="EGP333"/>
      <c r="EGS333"/>
      <c r="EGT333"/>
      <c r="EGW333"/>
      <c r="EGX333"/>
      <c r="EHA333"/>
      <c r="EHB333"/>
      <c r="EHE333"/>
      <c r="EHF333"/>
      <c r="EHI333"/>
      <c r="EHJ333"/>
      <c r="EHM333"/>
      <c r="EHN333"/>
      <c r="EHQ333"/>
      <c r="EHR333"/>
      <c r="EHU333"/>
      <c r="EHV333"/>
      <c r="EHY333"/>
      <c r="EHZ333"/>
      <c r="EIC333"/>
      <c r="EID333"/>
      <c r="EIG333"/>
      <c r="EIH333"/>
      <c r="EIK333"/>
      <c r="EIL333"/>
      <c r="EIO333"/>
      <c r="EIP333"/>
      <c r="EIS333"/>
      <c r="EIT333"/>
      <c r="EIW333"/>
      <c r="EIX333"/>
      <c r="EJA333"/>
      <c r="EJB333"/>
      <c r="EJE333"/>
      <c r="EJF333"/>
      <c r="EJI333"/>
      <c r="EJJ333"/>
      <c r="EJM333"/>
      <c r="EJN333"/>
      <c r="EJQ333"/>
      <c r="EJR333"/>
      <c r="EJU333"/>
      <c r="EJV333"/>
      <c r="EJY333"/>
      <c r="EJZ333"/>
      <c r="EKC333"/>
      <c r="EKD333"/>
      <c r="EKG333"/>
      <c r="EKH333"/>
      <c r="EKK333"/>
      <c r="EKL333"/>
      <c r="EKO333"/>
      <c r="EKP333"/>
      <c r="EKS333"/>
      <c r="EKT333"/>
      <c r="EKW333"/>
      <c r="EKX333"/>
      <c r="ELA333"/>
      <c r="ELB333"/>
      <c r="ELE333"/>
      <c r="ELF333"/>
      <c r="ELI333"/>
      <c r="ELJ333"/>
      <c r="ELM333"/>
      <c r="ELN333"/>
      <c r="ELQ333"/>
      <c r="ELR333"/>
      <c r="ELU333"/>
      <c r="ELV333"/>
      <c r="ELY333"/>
      <c r="ELZ333"/>
      <c r="EMC333"/>
      <c r="EMD333"/>
      <c r="EMG333"/>
      <c r="EMH333"/>
      <c r="EMK333"/>
      <c r="EML333"/>
      <c r="EMO333"/>
      <c r="EMP333"/>
      <c r="EMS333"/>
      <c r="EMT333"/>
      <c r="EMW333"/>
      <c r="EMX333"/>
      <c r="ENA333"/>
      <c r="ENB333"/>
      <c r="ENE333"/>
      <c r="ENF333"/>
      <c r="ENI333"/>
      <c r="ENJ333"/>
      <c r="ENM333"/>
      <c r="ENN333"/>
      <c r="ENQ333"/>
      <c r="ENR333"/>
      <c r="ENU333"/>
      <c r="ENV333"/>
      <c r="ENY333"/>
      <c r="ENZ333"/>
      <c r="EOC333"/>
      <c r="EOD333"/>
      <c r="EOG333"/>
      <c r="EOH333"/>
      <c r="EOK333"/>
      <c r="EOL333"/>
      <c r="EOO333"/>
      <c r="EOP333"/>
      <c r="EOS333"/>
      <c r="EOT333"/>
      <c r="EOW333"/>
      <c r="EOX333"/>
      <c r="EPA333"/>
      <c r="EPB333"/>
      <c r="EPE333"/>
      <c r="EPF333"/>
      <c r="EPI333"/>
      <c r="EPJ333"/>
      <c r="EPM333"/>
      <c r="EPN333"/>
      <c r="EPQ333"/>
      <c r="EPR333"/>
      <c r="EPU333"/>
      <c r="EPV333"/>
      <c r="EPY333"/>
      <c r="EPZ333"/>
      <c r="EQC333"/>
      <c r="EQD333"/>
      <c r="EQG333"/>
      <c r="EQH333"/>
      <c r="EQK333"/>
      <c r="EQL333"/>
      <c r="EQO333"/>
      <c r="EQP333"/>
      <c r="EQS333"/>
      <c r="EQT333"/>
      <c r="EQW333"/>
      <c r="EQX333"/>
      <c r="ERA333"/>
      <c r="ERB333"/>
      <c r="ERE333"/>
      <c r="ERF333"/>
      <c r="ERI333"/>
      <c r="ERJ333"/>
      <c r="ERM333"/>
      <c r="ERN333"/>
      <c r="ERQ333"/>
      <c r="ERR333"/>
      <c r="ERU333"/>
      <c r="ERV333"/>
      <c r="ERY333"/>
      <c r="ERZ333"/>
      <c r="ESC333"/>
      <c r="ESD333"/>
      <c r="ESG333"/>
      <c r="ESH333"/>
      <c r="ESK333"/>
      <c r="ESL333"/>
      <c r="ESO333"/>
      <c r="ESP333"/>
      <c r="ESS333"/>
      <c r="EST333"/>
      <c r="ESW333"/>
      <c r="ESX333"/>
      <c r="ETA333"/>
      <c r="ETB333"/>
      <c r="ETE333"/>
      <c r="ETF333"/>
      <c r="ETI333"/>
      <c r="ETJ333"/>
      <c r="ETM333"/>
      <c r="ETN333"/>
      <c r="ETQ333"/>
      <c r="ETR333"/>
      <c r="ETU333"/>
      <c r="ETV333"/>
      <c r="ETY333"/>
      <c r="ETZ333"/>
      <c r="EUC333"/>
      <c r="EUD333"/>
      <c r="EUG333"/>
      <c r="EUH333"/>
      <c r="EUK333"/>
      <c r="EUL333"/>
      <c r="EUO333"/>
      <c r="EUP333"/>
      <c r="EUS333"/>
      <c r="EUT333"/>
      <c r="EUW333"/>
      <c r="EUX333"/>
      <c r="EVA333"/>
      <c r="EVB333"/>
      <c r="EVE333"/>
      <c r="EVF333"/>
      <c r="EVI333"/>
      <c r="EVJ333"/>
      <c r="EVM333"/>
      <c r="EVN333"/>
      <c r="EVQ333"/>
      <c r="EVR333"/>
      <c r="EVU333"/>
      <c r="EVV333"/>
      <c r="EVY333"/>
      <c r="EVZ333"/>
      <c r="EWC333"/>
      <c r="EWD333"/>
      <c r="EWG333"/>
      <c r="EWH333"/>
      <c r="EWK333"/>
      <c r="EWL333"/>
      <c r="EWO333"/>
      <c r="EWP333"/>
      <c r="EWS333"/>
      <c r="EWT333"/>
      <c r="EWW333"/>
      <c r="EWX333"/>
      <c r="EXA333"/>
      <c r="EXB333"/>
      <c r="EXE333"/>
      <c r="EXF333"/>
      <c r="EXI333"/>
      <c r="EXJ333"/>
      <c r="EXM333"/>
      <c r="EXN333"/>
      <c r="EXQ333"/>
      <c r="EXR333"/>
      <c r="EXU333"/>
      <c r="EXV333"/>
      <c r="EXY333"/>
      <c r="EXZ333"/>
      <c r="EYC333"/>
      <c r="EYD333"/>
      <c r="EYG333"/>
      <c r="EYH333"/>
      <c r="EYK333"/>
      <c r="EYL333"/>
      <c r="EYO333"/>
      <c r="EYP333"/>
      <c r="EYS333"/>
      <c r="EYT333"/>
      <c r="EYW333"/>
      <c r="EYX333"/>
      <c r="EZA333"/>
      <c r="EZB333"/>
      <c r="EZE333"/>
      <c r="EZF333"/>
      <c r="EZI333"/>
      <c r="EZJ333"/>
      <c r="EZM333"/>
      <c r="EZN333"/>
      <c r="EZQ333"/>
      <c r="EZR333"/>
      <c r="EZU333"/>
      <c r="EZV333"/>
      <c r="EZY333"/>
      <c r="EZZ333"/>
      <c r="FAC333"/>
      <c r="FAD333"/>
      <c r="FAG333"/>
      <c r="FAH333"/>
      <c r="FAK333"/>
      <c r="FAL333"/>
      <c r="FAO333"/>
      <c r="FAP333"/>
      <c r="FAS333"/>
      <c r="FAT333"/>
      <c r="FAW333"/>
      <c r="FAX333"/>
      <c r="FBA333"/>
      <c r="FBB333"/>
      <c r="FBE333"/>
      <c r="FBF333"/>
      <c r="FBI333"/>
      <c r="FBJ333"/>
      <c r="FBM333"/>
      <c r="FBN333"/>
      <c r="FBQ333"/>
      <c r="FBR333"/>
      <c r="FBU333"/>
      <c r="FBV333"/>
      <c r="FBY333"/>
      <c r="FBZ333"/>
      <c r="FCC333"/>
      <c r="FCD333"/>
      <c r="FCG333"/>
      <c r="FCH333"/>
      <c r="FCK333"/>
      <c r="FCL333"/>
      <c r="FCO333"/>
      <c r="FCP333"/>
      <c r="FCS333"/>
      <c r="FCT333"/>
      <c r="FCW333"/>
      <c r="FCX333"/>
      <c r="FDA333"/>
      <c r="FDB333"/>
      <c r="FDE333"/>
      <c r="FDF333"/>
      <c r="FDI333"/>
      <c r="FDJ333"/>
      <c r="FDM333"/>
      <c r="FDN333"/>
      <c r="FDQ333"/>
      <c r="FDR333"/>
      <c r="FDU333"/>
      <c r="FDV333"/>
      <c r="FDY333"/>
      <c r="FDZ333"/>
      <c r="FEC333"/>
      <c r="FED333"/>
      <c r="FEG333"/>
      <c r="FEH333"/>
      <c r="FEK333"/>
      <c r="FEL333"/>
      <c r="FEO333"/>
      <c r="FEP333"/>
      <c r="FES333"/>
      <c r="FET333"/>
      <c r="FEW333"/>
      <c r="FEX333"/>
      <c r="FFA333"/>
      <c r="FFB333"/>
      <c r="FFE333"/>
      <c r="FFF333"/>
      <c r="FFI333"/>
      <c r="FFJ333"/>
      <c r="FFM333"/>
      <c r="FFN333"/>
      <c r="FFQ333"/>
      <c r="FFR333"/>
      <c r="FFU333"/>
      <c r="FFV333"/>
      <c r="FFY333"/>
      <c r="FFZ333"/>
      <c r="FGC333"/>
      <c r="FGD333"/>
      <c r="FGG333"/>
      <c r="FGH333"/>
      <c r="FGK333"/>
      <c r="FGL333"/>
      <c r="FGO333"/>
      <c r="FGP333"/>
      <c r="FGS333"/>
      <c r="FGT333"/>
      <c r="FGW333"/>
      <c r="FGX333"/>
      <c r="FHA333"/>
      <c r="FHB333"/>
      <c r="FHE333"/>
      <c r="FHF333"/>
      <c r="FHI333"/>
      <c r="FHJ333"/>
      <c r="FHM333"/>
      <c r="FHN333"/>
      <c r="FHQ333"/>
      <c r="FHR333"/>
      <c r="FHU333"/>
      <c r="FHV333"/>
      <c r="FHY333"/>
      <c r="FHZ333"/>
      <c r="FIC333"/>
      <c r="FID333"/>
      <c r="FIG333"/>
      <c r="FIH333"/>
      <c r="FIK333"/>
      <c r="FIL333"/>
      <c r="FIO333"/>
      <c r="FIP333"/>
      <c r="FIS333"/>
      <c r="FIT333"/>
      <c r="FIW333"/>
      <c r="FIX333"/>
      <c r="FJA333"/>
      <c r="FJB333"/>
      <c r="FJE333"/>
      <c r="FJF333"/>
      <c r="FJI333"/>
      <c r="FJJ333"/>
      <c r="FJM333"/>
      <c r="FJN333"/>
      <c r="FJQ333"/>
      <c r="FJR333"/>
      <c r="FJU333"/>
      <c r="FJV333"/>
      <c r="FJY333"/>
      <c r="FJZ333"/>
      <c r="FKC333"/>
      <c r="FKD333"/>
      <c r="FKG333"/>
      <c r="FKH333"/>
      <c r="FKK333"/>
      <c r="FKL333"/>
      <c r="FKO333"/>
      <c r="FKP333"/>
      <c r="FKS333"/>
      <c r="FKT333"/>
      <c r="FKW333"/>
      <c r="FKX333"/>
      <c r="FLA333"/>
      <c r="FLB333"/>
      <c r="FLE333"/>
      <c r="FLF333"/>
      <c r="FLI333"/>
      <c r="FLJ333"/>
      <c r="FLM333"/>
      <c r="FLN333"/>
      <c r="FLQ333"/>
      <c r="FLR333"/>
      <c r="FLU333"/>
      <c r="FLV333"/>
      <c r="FLY333"/>
      <c r="FLZ333"/>
      <c r="FMC333"/>
      <c r="FMD333"/>
      <c r="FMG333"/>
      <c r="FMH333"/>
      <c r="FMK333"/>
      <c r="FML333"/>
      <c r="FMO333"/>
      <c r="FMP333"/>
      <c r="FMS333"/>
      <c r="FMT333"/>
      <c r="FMW333"/>
      <c r="FMX333"/>
      <c r="FNA333"/>
      <c r="FNB333"/>
      <c r="FNE333"/>
      <c r="FNF333"/>
      <c r="FNI333"/>
      <c r="FNJ333"/>
      <c r="FNM333"/>
      <c r="FNN333"/>
      <c r="FNQ333"/>
      <c r="FNR333"/>
      <c r="FNU333"/>
      <c r="FNV333"/>
      <c r="FNY333"/>
      <c r="FNZ333"/>
      <c r="FOC333"/>
      <c r="FOD333"/>
      <c r="FOG333"/>
      <c r="FOH333"/>
      <c r="FOK333"/>
      <c r="FOL333"/>
      <c r="FOO333"/>
      <c r="FOP333"/>
      <c r="FOS333"/>
      <c r="FOT333"/>
      <c r="FOW333"/>
      <c r="FOX333"/>
      <c r="FPA333"/>
      <c r="FPB333"/>
      <c r="FPE333"/>
      <c r="FPF333"/>
      <c r="FPI333"/>
      <c r="FPJ333"/>
      <c r="FPM333"/>
      <c r="FPN333"/>
      <c r="FPQ333"/>
      <c r="FPR333"/>
      <c r="FPU333"/>
      <c r="FPV333"/>
      <c r="FPY333"/>
      <c r="FPZ333"/>
      <c r="FQC333"/>
      <c r="FQD333"/>
      <c r="FQG333"/>
      <c r="FQH333"/>
      <c r="FQK333"/>
      <c r="FQL333"/>
      <c r="FQO333"/>
      <c r="FQP333"/>
      <c r="FQS333"/>
      <c r="FQT333"/>
      <c r="FQW333"/>
      <c r="FQX333"/>
      <c r="FRA333"/>
      <c r="FRB333"/>
      <c r="FRE333"/>
      <c r="FRF333"/>
      <c r="FRI333"/>
      <c r="FRJ333"/>
      <c r="FRM333"/>
      <c r="FRN333"/>
      <c r="FRQ333"/>
      <c r="FRR333"/>
      <c r="FRU333"/>
      <c r="FRV333"/>
      <c r="FRY333"/>
      <c r="FRZ333"/>
      <c r="FSC333"/>
      <c r="FSD333"/>
      <c r="FSG333"/>
      <c r="FSH333"/>
      <c r="FSK333"/>
      <c r="FSL333"/>
      <c r="FSO333"/>
      <c r="FSP333"/>
      <c r="FSS333"/>
      <c r="FST333"/>
      <c r="FSW333"/>
      <c r="FSX333"/>
      <c r="FTA333"/>
      <c r="FTB333"/>
      <c r="FTE333"/>
      <c r="FTF333"/>
      <c r="FTI333"/>
      <c r="FTJ333"/>
      <c r="FTM333"/>
      <c r="FTN333"/>
      <c r="FTQ333"/>
      <c r="FTR333"/>
      <c r="FTU333"/>
      <c r="FTV333"/>
      <c r="FTY333"/>
      <c r="FTZ333"/>
      <c r="FUC333"/>
      <c r="FUD333"/>
      <c r="FUG333"/>
      <c r="FUH333"/>
      <c r="FUK333"/>
      <c r="FUL333"/>
      <c r="FUO333"/>
      <c r="FUP333"/>
      <c r="FUS333"/>
      <c r="FUT333"/>
      <c r="FUW333"/>
      <c r="FUX333"/>
      <c r="FVA333"/>
      <c r="FVB333"/>
      <c r="FVE333"/>
      <c r="FVF333"/>
      <c r="FVI333"/>
      <c r="FVJ333"/>
      <c r="FVM333"/>
      <c r="FVN333"/>
      <c r="FVQ333"/>
      <c r="FVR333"/>
      <c r="FVU333"/>
      <c r="FVV333"/>
      <c r="FVY333"/>
      <c r="FVZ333"/>
      <c r="FWC333"/>
      <c r="FWD333"/>
      <c r="FWG333"/>
      <c r="FWH333"/>
      <c r="FWK333"/>
      <c r="FWL333"/>
      <c r="FWO333"/>
      <c r="FWP333"/>
      <c r="FWS333"/>
      <c r="FWT333"/>
      <c r="FWW333"/>
      <c r="FWX333"/>
      <c r="FXA333"/>
      <c r="FXB333"/>
      <c r="FXE333"/>
      <c r="FXF333"/>
      <c r="FXI333"/>
      <c r="FXJ333"/>
      <c r="FXM333"/>
      <c r="FXN333"/>
      <c r="FXQ333"/>
      <c r="FXR333"/>
      <c r="FXU333"/>
      <c r="FXV333"/>
      <c r="FXY333"/>
      <c r="FXZ333"/>
      <c r="FYC333"/>
      <c r="FYD333"/>
      <c r="FYG333"/>
      <c r="FYH333"/>
      <c r="FYK333"/>
      <c r="FYL333"/>
      <c r="FYO333"/>
      <c r="FYP333"/>
      <c r="FYS333"/>
      <c r="FYT333"/>
      <c r="FYW333"/>
      <c r="FYX333"/>
      <c r="FZA333"/>
      <c r="FZB333"/>
      <c r="FZE333"/>
      <c r="FZF333"/>
      <c r="FZI333"/>
      <c r="FZJ333"/>
      <c r="FZM333"/>
      <c r="FZN333"/>
      <c r="FZQ333"/>
      <c r="FZR333"/>
      <c r="FZU333"/>
      <c r="FZV333"/>
      <c r="FZY333"/>
      <c r="FZZ333"/>
      <c r="GAC333"/>
      <c r="GAD333"/>
      <c r="GAG333"/>
      <c r="GAH333"/>
      <c r="GAK333"/>
      <c r="GAL333"/>
      <c r="GAO333"/>
      <c r="GAP333"/>
      <c r="GAS333"/>
      <c r="GAT333"/>
      <c r="GAW333"/>
      <c r="GAX333"/>
      <c r="GBA333"/>
      <c r="GBB333"/>
      <c r="GBE333"/>
      <c r="GBF333"/>
      <c r="GBI333"/>
      <c r="GBJ333"/>
      <c r="GBM333"/>
      <c r="GBN333"/>
      <c r="GBQ333"/>
      <c r="GBR333"/>
      <c r="GBU333"/>
      <c r="GBV333"/>
      <c r="GBY333"/>
      <c r="GBZ333"/>
      <c r="GCC333"/>
      <c r="GCD333"/>
      <c r="GCG333"/>
      <c r="GCH333"/>
      <c r="GCK333"/>
      <c r="GCL333"/>
      <c r="GCO333"/>
      <c r="GCP333"/>
      <c r="GCS333"/>
      <c r="GCT333"/>
      <c r="GCW333"/>
      <c r="GCX333"/>
      <c r="GDA333"/>
      <c r="GDB333"/>
      <c r="GDE333"/>
      <c r="GDF333"/>
      <c r="GDI333"/>
      <c r="GDJ333"/>
      <c r="GDM333"/>
      <c r="GDN333"/>
      <c r="GDQ333"/>
      <c r="GDR333"/>
      <c r="GDU333"/>
      <c r="GDV333"/>
      <c r="GDY333"/>
      <c r="GDZ333"/>
      <c r="GEC333"/>
      <c r="GED333"/>
      <c r="GEG333"/>
      <c r="GEH333"/>
      <c r="GEK333"/>
      <c r="GEL333"/>
      <c r="GEO333"/>
      <c r="GEP333"/>
      <c r="GES333"/>
      <c r="GET333"/>
      <c r="GEW333"/>
      <c r="GEX333"/>
      <c r="GFA333"/>
      <c r="GFB333"/>
      <c r="GFE333"/>
      <c r="GFF333"/>
      <c r="GFI333"/>
      <c r="GFJ333"/>
      <c r="GFM333"/>
      <c r="GFN333"/>
      <c r="GFQ333"/>
      <c r="GFR333"/>
      <c r="GFU333"/>
      <c r="GFV333"/>
      <c r="GFY333"/>
      <c r="GFZ333"/>
      <c r="GGC333"/>
      <c r="GGD333"/>
      <c r="GGG333"/>
      <c r="GGH333"/>
      <c r="GGK333"/>
      <c r="GGL333"/>
      <c r="GGO333"/>
      <c r="GGP333"/>
      <c r="GGS333"/>
      <c r="GGT333"/>
      <c r="GGW333"/>
      <c r="GGX333"/>
      <c r="GHA333"/>
      <c r="GHB333"/>
      <c r="GHE333"/>
      <c r="GHF333"/>
      <c r="GHI333"/>
      <c r="GHJ333"/>
      <c r="GHM333"/>
      <c r="GHN333"/>
      <c r="GHQ333"/>
      <c r="GHR333"/>
      <c r="GHU333"/>
      <c r="GHV333"/>
      <c r="GHY333"/>
      <c r="GHZ333"/>
      <c r="GIC333"/>
      <c r="GID333"/>
      <c r="GIG333"/>
      <c r="GIH333"/>
      <c r="GIK333"/>
      <c r="GIL333"/>
      <c r="GIO333"/>
      <c r="GIP333"/>
      <c r="GIS333"/>
      <c r="GIT333"/>
      <c r="GIW333"/>
      <c r="GIX333"/>
      <c r="GJA333"/>
      <c r="GJB333"/>
      <c r="GJE333"/>
      <c r="GJF333"/>
      <c r="GJI333"/>
      <c r="GJJ333"/>
      <c r="GJM333"/>
      <c r="GJN333"/>
      <c r="GJQ333"/>
      <c r="GJR333"/>
      <c r="GJU333"/>
      <c r="GJV333"/>
      <c r="GJY333"/>
      <c r="GJZ333"/>
      <c r="GKC333"/>
      <c r="GKD333"/>
      <c r="GKG333"/>
      <c r="GKH333"/>
      <c r="GKK333"/>
      <c r="GKL333"/>
      <c r="GKO333"/>
      <c r="GKP333"/>
      <c r="GKS333"/>
      <c r="GKT333"/>
      <c r="GKW333"/>
      <c r="GKX333"/>
      <c r="GLA333"/>
      <c r="GLB333"/>
      <c r="GLE333"/>
      <c r="GLF333"/>
      <c r="GLI333"/>
      <c r="GLJ333"/>
      <c r="GLM333"/>
      <c r="GLN333"/>
      <c r="GLQ333"/>
      <c r="GLR333"/>
      <c r="GLU333"/>
      <c r="GLV333"/>
      <c r="GLY333"/>
      <c r="GLZ333"/>
      <c r="GMC333"/>
      <c r="GMD333"/>
      <c r="GMG333"/>
      <c r="GMH333"/>
      <c r="GMK333"/>
      <c r="GML333"/>
      <c r="GMO333"/>
      <c r="GMP333"/>
      <c r="GMS333"/>
      <c r="GMT333"/>
      <c r="GMW333"/>
      <c r="GMX333"/>
      <c r="GNA333"/>
      <c r="GNB333"/>
      <c r="GNE333"/>
      <c r="GNF333"/>
      <c r="GNI333"/>
      <c r="GNJ333"/>
      <c r="GNM333"/>
      <c r="GNN333"/>
      <c r="GNQ333"/>
      <c r="GNR333"/>
      <c r="GNU333"/>
      <c r="GNV333"/>
      <c r="GNY333"/>
      <c r="GNZ333"/>
      <c r="GOC333"/>
      <c r="GOD333"/>
      <c r="GOG333"/>
      <c r="GOH333"/>
      <c r="GOK333"/>
      <c r="GOL333"/>
      <c r="GOO333"/>
      <c r="GOP333"/>
      <c r="GOS333"/>
      <c r="GOT333"/>
      <c r="GOW333"/>
      <c r="GOX333"/>
      <c r="GPA333"/>
      <c r="GPB333"/>
      <c r="GPE333"/>
      <c r="GPF333"/>
      <c r="GPI333"/>
      <c r="GPJ333"/>
      <c r="GPM333"/>
      <c r="GPN333"/>
      <c r="GPQ333"/>
      <c r="GPR333"/>
      <c r="GPU333"/>
      <c r="GPV333"/>
      <c r="GPY333"/>
      <c r="GPZ333"/>
      <c r="GQC333"/>
      <c r="GQD333"/>
      <c r="GQG333"/>
      <c r="GQH333"/>
      <c r="GQK333"/>
      <c r="GQL333"/>
      <c r="GQO333"/>
      <c r="GQP333"/>
      <c r="GQS333"/>
      <c r="GQT333"/>
      <c r="GQW333"/>
      <c r="GQX333"/>
      <c r="GRA333"/>
      <c r="GRB333"/>
      <c r="GRE333"/>
      <c r="GRF333"/>
      <c r="GRI333"/>
      <c r="GRJ333"/>
      <c r="GRM333"/>
      <c r="GRN333"/>
      <c r="GRQ333"/>
      <c r="GRR333"/>
      <c r="GRU333"/>
      <c r="GRV333"/>
      <c r="GRY333"/>
      <c r="GRZ333"/>
      <c r="GSC333"/>
      <c r="GSD333"/>
      <c r="GSG333"/>
      <c r="GSH333"/>
      <c r="GSK333"/>
      <c r="GSL333"/>
      <c r="GSO333"/>
      <c r="GSP333"/>
      <c r="GSS333"/>
      <c r="GST333"/>
      <c r="GSW333"/>
      <c r="GSX333"/>
      <c r="GTA333"/>
      <c r="GTB333"/>
      <c r="GTE333"/>
      <c r="GTF333"/>
      <c r="GTI333"/>
      <c r="GTJ333"/>
      <c r="GTM333"/>
      <c r="GTN333"/>
      <c r="GTQ333"/>
      <c r="GTR333"/>
      <c r="GTU333"/>
      <c r="GTV333"/>
      <c r="GTY333"/>
      <c r="GTZ333"/>
      <c r="GUC333"/>
      <c r="GUD333"/>
      <c r="GUG333"/>
      <c r="GUH333"/>
      <c r="GUK333"/>
      <c r="GUL333"/>
      <c r="GUO333"/>
      <c r="GUP333"/>
      <c r="GUS333"/>
      <c r="GUT333"/>
      <c r="GUW333"/>
      <c r="GUX333"/>
      <c r="GVA333"/>
      <c r="GVB333"/>
      <c r="GVE333"/>
      <c r="GVF333"/>
      <c r="GVI333"/>
      <c r="GVJ333"/>
      <c r="GVM333"/>
      <c r="GVN333"/>
      <c r="GVQ333"/>
      <c r="GVR333"/>
      <c r="GVU333"/>
      <c r="GVV333"/>
      <c r="GVY333"/>
      <c r="GVZ333"/>
      <c r="GWC333"/>
      <c r="GWD333"/>
      <c r="GWG333"/>
      <c r="GWH333"/>
      <c r="GWK333"/>
      <c r="GWL333"/>
      <c r="GWO333"/>
      <c r="GWP333"/>
      <c r="GWS333"/>
      <c r="GWT333"/>
      <c r="GWW333"/>
      <c r="GWX333"/>
      <c r="GXA333"/>
      <c r="GXB333"/>
      <c r="GXE333"/>
      <c r="GXF333"/>
      <c r="GXI333"/>
      <c r="GXJ333"/>
      <c r="GXM333"/>
      <c r="GXN333"/>
      <c r="GXQ333"/>
      <c r="GXR333"/>
      <c r="GXU333"/>
      <c r="GXV333"/>
      <c r="GXY333"/>
      <c r="GXZ333"/>
      <c r="GYC333"/>
      <c r="GYD333"/>
      <c r="GYG333"/>
      <c r="GYH333"/>
      <c r="GYK333"/>
      <c r="GYL333"/>
      <c r="GYO333"/>
      <c r="GYP333"/>
      <c r="GYS333"/>
      <c r="GYT333"/>
      <c r="GYW333"/>
      <c r="GYX333"/>
      <c r="GZA333"/>
      <c r="GZB333"/>
      <c r="GZE333"/>
      <c r="GZF333"/>
      <c r="GZI333"/>
      <c r="GZJ333"/>
      <c r="GZM333"/>
      <c r="GZN333"/>
      <c r="GZQ333"/>
      <c r="GZR333"/>
      <c r="GZU333"/>
      <c r="GZV333"/>
      <c r="GZY333"/>
      <c r="GZZ333"/>
      <c r="HAC333"/>
      <c r="HAD333"/>
      <c r="HAG333"/>
      <c r="HAH333"/>
      <c r="HAK333"/>
      <c r="HAL333"/>
      <c r="HAO333"/>
      <c r="HAP333"/>
      <c r="HAS333"/>
      <c r="HAT333"/>
      <c r="HAW333"/>
      <c r="HAX333"/>
      <c r="HBA333"/>
      <c r="HBB333"/>
      <c r="HBE333"/>
      <c r="HBF333"/>
      <c r="HBI333"/>
      <c r="HBJ333"/>
      <c r="HBM333"/>
      <c r="HBN333"/>
      <c r="HBQ333"/>
      <c r="HBR333"/>
      <c r="HBU333"/>
      <c r="HBV333"/>
      <c r="HBY333"/>
      <c r="HBZ333"/>
      <c r="HCC333"/>
      <c r="HCD333"/>
      <c r="HCG333"/>
      <c r="HCH333"/>
      <c r="HCK333"/>
      <c r="HCL333"/>
      <c r="HCO333"/>
      <c r="HCP333"/>
      <c r="HCS333"/>
      <c r="HCT333"/>
      <c r="HCW333"/>
      <c r="HCX333"/>
      <c r="HDA333"/>
      <c r="HDB333"/>
      <c r="HDE333"/>
      <c r="HDF333"/>
      <c r="HDI333"/>
      <c r="HDJ333"/>
      <c r="HDM333"/>
      <c r="HDN333"/>
      <c r="HDQ333"/>
      <c r="HDR333"/>
      <c r="HDU333"/>
      <c r="HDV333"/>
      <c r="HDY333"/>
      <c r="HDZ333"/>
      <c r="HEC333"/>
      <c r="HED333"/>
      <c r="HEG333"/>
      <c r="HEH333"/>
      <c r="HEK333"/>
      <c r="HEL333"/>
      <c r="HEO333"/>
      <c r="HEP333"/>
      <c r="HES333"/>
      <c r="HET333"/>
      <c r="HEW333"/>
      <c r="HEX333"/>
      <c r="HFA333"/>
      <c r="HFB333"/>
      <c r="HFE333"/>
      <c r="HFF333"/>
      <c r="HFI333"/>
      <c r="HFJ333"/>
      <c r="HFM333"/>
      <c r="HFN333"/>
      <c r="HFQ333"/>
      <c r="HFR333"/>
      <c r="HFU333"/>
      <c r="HFV333"/>
      <c r="HFY333"/>
      <c r="HFZ333"/>
      <c r="HGC333"/>
      <c r="HGD333"/>
      <c r="HGG333"/>
      <c r="HGH333"/>
      <c r="HGK333"/>
      <c r="HGL333"/>
      <c r="HGO333"/>
      <c r="HGP333"/>
      <c r="HGS333"/>
      <c r="HGT333"/>
      <c r="HGW333"/>
      <c r="HGX333"/>
      <c r="HHA333"/>
      <c r="HHB333"/>
      <c r="HHE333"/>
      <c r="HHF333"/>
      <c r="HHI333"/>
      <c r="HHJ333"/>
      <c r="HHM333"/>
      <c r="HHN333"/>
      <c r="HHQ333"/>
      <c r="HHR333"/>
      <c r="HHU333"/>
      <c r="HHV333"/>
      <c r="HHY333"/>
      <c r="HHZ333"/>
      <c r="HIC333"/>
      <c r="HID333"/>
      <c r="HIG333"/>
      <c r="HIH333"/>
      <c r="HIK333"/>
      <c r="HIL333"/>
      <c r="HIO333"/>
      <c r="HIP333"/>
      <c r="HIS333"/>
      <c r="HIT333"/>
      <c r="HIW333"/>
      <c r="HIX333"/>
      <c r="HJA333"/>
      <c r="HJB333"/>
      <c r="HJE333"/>
      <c r="HJF333"/>
      <c r="HJI333"/>
      <c r="HJJ333"/>
      <c r="HJM333"/>
      <c r="HJN333"/>
      <c r="HJQ333"/>
      <c r="HJR333"/>
      <c r="HJU333"/>
      <c r="HJV333"/>
      <c r="HJY333"/>
      <c r="HJZ333"/>
      <c r="HKC333"/>
      <c r="HKD333"/>
      <c r="HKG333"/>
      <c r="HKH333"/>
      <c r="HKK333"/>
      <c r="HKL333"/>
      <c r="HKO333"/>
      <c r="HKP333"/>
      <c r="HKS333"/>
      <c r="HKT333"/>
      <c r="HKW333"/>
      <c r="HKX333"/>
      <c r="HLA333"/>
      <c r="HLB333"/>
      <c r="HLE333"/>
      <c r="HLF333"/>
      <c r="HLI333"/>
      <c r="HLJ333"/>
      <c r="HLM333"/>
      <c r="HLN333"/>
      <c r="HLQ333"/>
      <c r="HLR333"/>
      <c r="HLU333"/>
      <c r="HLV333"/>
      <c r="HLY333"/>
      <c r="HLZ333"/>
      <c r="HMC333"/>
      <c r="HMD333"/>
      <c r="HMG333"/>
      <c r="HMH333"/>
      <c r="HMK333"/>
      <c r="HML333"/>
      <c r="HMO333"/>
      <c r="HMP333"/>
      <c r="HMS333"/>
      <c r="HMT333"/>
      <c r="HMW333"/>
      <c r="HMX333"/>
      <c r="HNA333"/>
      <c r="HNB333"/>
      <c r="HNE333"/>
      <c r="HNF333"/>
      <c r="HNI333"/>
      <c r="HNJ333"/>
      <c r="HNM333"/>
      <c r="HNN333"/>
      <c r="HNQ333"/>
      <c r="HNR333"/>
      <c r="HNU333"/>
      <c r="HNV333"/>
      <c r="HNY333"/>
      <c r="HNZ333"/>
      <c r="HOC333"/>
      <c r="HOD333"/>
      <c r="HOG333"/>
      <c r="HOH333"/>
      <c r="HOK333"/>
      <c r="HOL333"/>
      <c r="HOO333"/>
      <c r="HOP333"/>
      <c r="HOS333"/>
      <c r="HOT333"/>
      <c r="HOW333"/>
      <c r="HOX333"/>
      <c r="HPA333"/>
      <c r="HPB333"/>
      <c r="HPE333"/>
      <c r="HPF333"/>
      <c r="HPI333"/>
      <c r="HPJ333"/>
      <c r="HPM333"/>
      <c r="HPN333"/>
      <c r="HPQ333"/>
      <c r="HPR333"/>
      <c r="HPU333"/>
      <c r="HPV333"/>
      <c r="HPY333"/>
      <c r="HPZ333"/>
      <c r="HQC333"/>
      <c r="HQD333"/>
      <c r="HQG333"/>
      <c r="HQH333"/>
      <c r="HQK333"/>
      <c r="HQL333"/>
      <c r="HQO333"/>
      <c r="HQP333"/>
      <c r="HQS333"/>
      <c r="HQT333"/>
      <c r="HQW333"/>
      <c r="HQX333"/>
      <c r="HRA333"/>
      <c r="HRB333"/>
      <c r="HRE333"/>
      <c r="HRF333"/>
      <c r="HRI333"/>
      <c r="HRJ333"/>
      <c r="HRM333"/>
      <c r="HRN333"/>
      <c r="HRQ333"/>
      <c r="HRR333"/>
      <c r="HRU333"/>
      <c r="HRV333"/>
      <c r="HRY333"/>
      <c r="HRZ333"/>
      <c r="HSC333"/>
      <c r="HSD333"/>
      <c r="HSG333"/>
      <c r="HSH333"/>
      <c r="HSK333"/>
      <c r="HSL333"/>
      <c r="HSO333"/>
      <c r="HSP333"/>
      <c r="HSS333"/>
      <c r="HST333"/>
      <c r="HSW333"/>
      <c r="HSX333"/>
      <c r="HTA333"/>
      <c r="HTB333"/>
      <c r="HTE333"/>
      <c r="HTF333"/>
      <c r="HTI333"/>
      <c r="HTJ333"/>
      <c r="HTM333"/>
      <c r="HTN333"/>
      <c r="HTQ333"/>
      <c r="HTR333"/>
      <c r="HTU333"/>
      <c r="HTV333"/>
      <c r="HTY333"/>
      <c r="HTZ333"/>
      <c r="HUC333"/>
      <c r="HUD333"/>
      <c r="HUG333"/>
      <c r="HUH333"/>
      <c r="HUK333"/>
      <c r="HUL333"/>
      <c r="HUO333"/>
      <c r="HUP333"/>
      <c r="HUS333"/>
      <c r="HUT333"/>
      <c r="HUW333"/>
      <c r="HUX333"/>
      <c r="HVA333"/>
      <c r="HVB333"/>
      <c r="HVE333"/>
      <c r="HVF333"/>
      <c r="HVI333"/>
      <c r="HVJ333"/>
      <c r="HVM333"/>
      <c r="HVN333"/>
      <c r="HVQ333"/>
      <c r="HVR333"/>
      <c r="HVU333"/>
      <c r="HVV333"/>
      <c r="HVY333"/>
      <c r="HVZ333"/>
      <c r="HWC333"/>
      <c r="HWD333"/>
      <c r="HWG333"/>
      <c r="HWH333"/>
      <c r="HWK333"/>
      <c r="HWL333"/>
      <c r="HWO333"/>
      <c r="HWP333"/>
      <c r="HWS333"/>
      <c r="HWT333"/>
      <c r="HWW333"/>
      <c r="HWX333"/>
      <c r="HXA333"/>
      <c r="HXB333"/>
      <c r="HXE333"/>
      <c r="HXF333"/>
      <c r="HXI333"/>
      <c r="HXJ333"/>
      <c r="HXM333"/>
      <c r="HXN333"/>
      <c r="HXQ333"/>
      <c r="HXR333"/>
      <c r="HXU333"/>
      <c r="HXV333"/>
      <c r="HXY333"/>
      <c r="HXZ333"/>
      <c r="HYC333"/>
      <c r="HYD333"/>
      <c r="HYG333"/>
      <c r="HYH333"/>
      <c r="HYK333"/>
      <c r="HYL333"/>
      <c r="HYO333"/>
      <c r="HYP333"/>
      <c r="HYS333"/>
      <c r="HYT333"/>
      <c r="HYW333"/>
      <c r="HYX333"/>
      <c r="HZA333"/>
      <c r="HZB333"/>
      <c r="HZE333"/>
      <c r="HZF333"/>
      <c r="HZI333"/>
      <c r="HZJ333"/>
      <c r="HZM333"/>
      <c r="HZN333"/>
      <c r="HZQ333"/>
      <c r="HZR333"/>
      <c r="HZU333"/>
      <c r="HZV333"/>
      <c r="HZY333"/>
      <c r="HZZ333"/>
      <c r="IAC333"/>
      <c r="IAD333"/>
      <c r="IAG333"/>
      <c r="IAH333"/>
      <c r="IAK333"/>
      <c r="IAL333"/>
      <c r="IAO333"/>
      <c r="IAP333"/>
      <c r="IAS333"/>
      <c r="IAT333"/>
      <c r="IAW333"/>
      <c r="IAX333"/>
      <c r="IBA333"/>
      <c r="IBB333"/>
      <c r="IBE333"/>
      <c r="IBF333"/>
      <c r="IBI333"/>
      <c r="IBJ333"/>
      <c r="IBM333"/>
      <c r="IBN333"/>
      <c r="IBQ333"/>
      <c r="IBR333"/>
      <c r="IBU333"/>
      <c r="IBV333"/>
      <c r="IBY333"/>
      <c r="IBZ333"/>
      <c r="ICC333"/>
      <c r="ICD333"/>
      <c r="ICG333"/>
      <c r="ICH333"/>
      <c r="ICK333"/>
      <c r="ICL333"/>
      <c r="ICO333"/>
      <c r="ICP333"/>
      <c r="ICS333"/>
      <c r="ICT333"/>
      <c r="ICW333"/>
      <c r="ICX333"/>
      <c r="IDA333"/>
      <c r="IDB333"/>
      <c r="IDE333"/>
      <c r="IDF333"/>
      <c r="IDI333"/>
      <c r="IDJ333"/>
      <c r="IDM333"/>
      <c r="IDN333"/>
      <c r="IDQ333"/>
      <c r="IDR333"/>
      <c r="IDU333"/>
      <c r="IDV333"/>
      <c r="IDY333"/>
      <c r="IDZ333"/>
      <c r="IEC333"/>
      <c r="IED333"/>
      <c r="IEG333"/>
      <c r="IEH333"/>
      <c r="IEK333"/>
      <c r="IEL333"/>
      <c r="IEO333"/>
      <c r="IEP333"/>
      <c r="IES333"/>
      <c r="IET333"/>
      <c r="IEW333"/>
      <c r="IEX333"/>
      <c r="IFA333"/>
      <c r="IFB333"/>
      <c r="IFE333"/>
      <c r="IFF333"/>
      <c r="IFI333"/>
      <c r="IFJ333"/>
      <c r="IFM333"/>
      <c r="IFN333"/>
      <c r="IFQ333"/>
      <c r="IFR333"/>
      <c r="IFU333"/>
      <c r="IFV333"/>
      <c r="IFY333"/>
      <c r="IFZ333"/>
      <c r="IGC333"/>
      <c r="IGD333"/>
      <c r="IGG333"/>
      <c r="IGH333"/>
      <c r="IGK333"/>
      <c r="IGL333"/>
      <c r="IGO333"/>
      <c r="IGP333"/>
      <c r="IGS333"/>
      <c r="IGT333"/>
      <c r="IGW333"/>
      <c r="IGX333"/>
      <c r="IHA333"/>
      <c r="IHB333"/>
      <c r="IHE333"/>
      <c r="IHF333"/>
      <c r="IHI333"/>
      <c r="IHJ333"/>
      <c r="IHM333"/>
      <c r="IHN333"/>
      <c r="IHQ333"/>
      <c r="IHR333"/>
      <c r="IHU333"/>
      <c r="IHV333"/>
      <c r="IHY333"/>
      <c r="IHZ333"/>
      <c r="IIC333"/>
      <c r="IID333"/>
      <c r="IIG333"/>
      <c r="IIH333"/>
      <c r="IIK333"/>
      <c r="IIL333"/>
      <c r="IIO333"/>
      <c r="IIP333"/>
      <c r="IIS333"/>
      <c r="IIT333"/>
      <c r="IIW333"/>
      <c r="IIX333"/>
      <c r="IJA333"/>
      <c r="IJB333"/>
      <c r="IJE333"/>
      <c r="IJF333"/>
      <c r="IJI333"/>
      <c r="IJJ333"/>
      <c r="IJM333"/>
      <c r="IJN333"/>
      <c r="IJQ333"/>
      <c r="IJR333"/>
      <c r="IJU333"/>
      <c r="IJV333"/>
      <c r="IJY333"/>
      <c r="IJZ333"/>
      <c r="IKC333"/>
      <c r="IKD333"/>
      <c r="IKG333"/>
      <c r="IKH333"/>
      <c r="IKK333"/>
      <c r="IKL333"/>
      <c r="IKO333"/>
      <c r="IKP333"/>
      <c r="IKS333"/>
      <c r="IKT333"/>
      <c r="IKW333"/>
      <c r="IKX333"/>
      <c r="ILA333"/>
      <c r="ILB333"/>
      <c r="ILE333"/>
      <c r="ILF333"/>
      <c r="ILI333"/>
      <c r="ILJ333"/>
      <c r="ILM333"/>
      <c r="ILN333"/>
      <c r="ILQ333"/>
      <c r="ILR333"/>
      <c r="ILU333"/>
      <c r="ILV333"/>
      <c r="ILY333"/>
      <c r="ILZ333"/>
      <c r="IMC333"/>
      <c r="IMD333"/>
      <c r="IMG333"/>
      <c r="IMH333"/>
      <c r="IMK333"/>
      <c r="IML333"/>
      <c r="IMO333"/>
      <c r="IMP333"/>
      <c r="IMS333"/>
      <c r="IMT333"/>
      <c r="IMW333"/>
      <c r="IMX333"/>
      <c r="INA333"/>
      <c r="INB333"/>
      <c r="INE333"/>
      <c r="INF333"/>
      <c r="INI333"/>
      <c r="INJ333"/>
      <c r="INM333"/>
      <c r="INN333"/>
      <c r="INQ333"/>
      <c r="INR333"/>
      <c r="INU333"/>
      <c r="INV333"/>
      <c r="INY333"/>
      <c r="INZ333"/>
      <c r="IOC333"/>
      <c r="IOD333"/>
      <c r="IOG333"/>
      <c r="IOH333"/>
      <c r="IOK333"/>
      <c r="IOL333"/>
      <c r="IOO333"/>
      <c r="IOP333"/>
      <c r="IOS333"/>
      <c r="IOT333"/>
      <c r="IOW333"/>
      <c r="IOX333"/>
      <c r="IPA333"/>
      <c r="IPB333"/>
      <c r="IPE333"/>
      <c r="IPF333"/>
      <c r="IPI333"/>
      <c r="IPJ333"/>
      <c r="IPM333"/>
      <c r="IPN333"/>
      <c r="IPQ333"/>
      <c r="IPR333"/>
      <c r="IPU333"/>
      <c r="IPV333"/>
      <c r="IPY333"/>
      <c r="IPZ333"/>
      <c r="IQC333"/>
      <c r="IQD333"/>
      <c r="IQG333"/>
      <c r="IQH333"/>
      <c r="IQK333"/>
      <c r="IQL333"/>
      <c r="IQO333"/>
      <c r="IQP333"/>
      <c r="IQS333"/>
      <c r="IQT333"/>
      <c r="IQW333"/>
      <c r="IQX333"/>
      <c r="IRA333"/>
      <c r="IRB333"/>
      <c r="IRE333"/>
      <c r="IRF333"/>
      <c r="IRI333"/>
      <c r="IRJ333"/>
      <c r="IRM333"/>
      <c r="IRN333"/>
      <c r="IRQ333"/>
      <c r="IRR333"/>
      <c r="IRU333"/>
      <c r="IRV333"/>
      <c r="IRY333"/>
      <c r="IRZ333"/>
      <c r="ISC333"/>
      <c r="ISD333"/>
      <c r="ISG333"/>
      <c r="ISH333"/>
      <c r="ISK333"/>
      <c r="ISL333"/>
      <c r="ISO333"/>
      <c r="ISP333"/>
      <c r="ISS333"/>
      <c r="IST333"/>
      <c r="ISW333"/>
      <c r="ISX333"/>
      <c r="ITA333"/>
      <c r="ITB333"/>
      <c r="ITE333"/>
      <c r="ITF333"/>
      <c r="ITI333"/>
      <c r="ITJ333"/>
      <c r="ITM333"/>
      <c r="ITN333"/>
      <c r="ITQ333"/>
      <c r="ITR333"/>
      <c r="ITU333"/>
      <c r="ITV333"/>
      <c r="ITY333"/>
      <c r="ITZ333"/>
      <c r="IUC333"/>
      <c r="IUD333"/>
      <c r="IUG333"/>
      <c r="IUH333"/>
      <c r="IUK333"/>
      <c r="IUL333"/>
      <c r="IUO333"/>
      <c r="IUP333"/>
      <c r="IUS333"/>
      <c r="IUT333"/>
      <c r="IUW333"/>
      <c r="IUX333"/>
      <c r="IVA333"/>
      <c r="IVB333"/>
      <c r="IVE333"/>
      <c r="IVF333"/>
      <c r="IVI333"/>
      <c r="IVJ333"/>
      <c r="IVM333"/>
      <c r="IVN333"/>
      <c r="IVQ333"/>
      <c r="IVR333"/>
      <c r="IVU333"/>
      <c r="IVV333"/>
      <c r="IVY333"/>
      <c r="IVZ333"/>
      <c r="IWC333"/>
      <c r="IWD333"/>
      <c r="IWG333"/>
      <c r="IWH333"/>
      <c r="IWK333"/>
      <c r="IWL333"/>
      <c r="IWO333"/>
      <c r="IWP333"/>
      <c r="IWS333"/>
      <c r="IWT333"/>
      <c r="IWW333"/>
      <c r="IWX333"/>
      <c r="IXA333"/>
      <c r="IXB333"/>
      <c r="IXE333"/>
      <c r="IXF333"/>
      <c r="IXI333"/>
      <c r="IXJ333"/>
      <c r="IXM333"/>
      <c r="IXN333"/>
      <c r="IXQ333"/>
      <c r="IXR333"/>
      <c r="IXU333"/>
      <c r="IXV333"/>
      <c r="IXY333"/>
      <c r="IXZ333"/>
      <c r="IYC333"/>
      <c r="IYD333"/>
      <c r="IYG333"/>
      <c r="IYH333"/>
      <c r="IYK333"/>
      <c r="IYL333"/>
      <c r="IYO333"/>
      <c r="IYP333"/>
      <c r="IYS333"/>
      <c r="IYT333"/>
      <c r="IYW333"/>
      <c r="IYX333"/>
      <c r="IZA333"/>
      <c r="IZB333"/>
      <c r="IZE333"/>
      <c r="IZF333"/>
      <c r="IZI333"/>
      <c r="IZJ333"/>
      <c r="IZM333"/>
      <c r="IZN333"/>
      <c r="IZQ333"/>
      <c r="IZR333"/>
      <c r="IZU333"/>
      <c r="IZV333"/>
      <c r="IZY333"/>
      <c r="IZZ333"/>
      <c r="JAC333"/>
      <c r="JAD333"/>
      <c r="JAG333"/>
      <c r="JAH333"/>
      <c r="JAK333"/>
      <c r="JAL333"/>
      <c r="JAO333"/>
      <c r="JAP333"/>
      <c r="JAS333"/>
      <c r="JAT333"/>
      <c r="JAW333"/>
      <c r="JAX333"/>
      <c r="JBA333"/>
      <c r="JBB333"/>
      <c r="JBE333"/>
      <c r="JBF333"/>
      <c r="JBI333"/>
      <c r="JBJ333"/>
      <c r="JBM333"/>
      <c r="JBN333"/>
      <c r="JBQ333"/>
      <c r="JBR333"/>
      <c r="JBU333"/>
      <c r="JBV333"/>
      <c r="JBY333"/>
      <c r="JBZ333"/>
      <c r="JCC333"/>
      <c r="JCD333"/>
      <c r="JCG333"/>
      <c r="JCH333"/>
      <c r="JCK333"/>
      <c r="JCL333"/>
      <c r="JCO333"/>
      <c r="JCP333"/>
      <c r="JCS333"/>
      <c r="JCT333"/>
      <c r="JCW333"/>
      <c r="JCX333"/>
      <c r="JDA333"/>
      <c r="JDB333"/>
      <c r="JDE333"/>
      <c r="JDF333"/>
      <c r="JDI333"/>
      <c r="JDJ333"/>
      <c r="JDM333"/>
      <c r="JDN333"/>
      <c r="JDQ333"/>
      <c r="JDR333"/>
      <c r="JDU333"/>
      <c r="JDV333"/>
      <c r="JDY333"/>
      <c r="JDZ333"/>
      <c r="JEC333"/>
      <c r="JED333"/>
      <c r="JEG333"/>
      <c r="JEH333"/>
      <c r="JEK333"/>
      <c r="JEL333"/>
      <c r="JEO333"/>
      <c r="JEP333"/>
      <c r="JES333"/>
      <c r="JET333"/>
      <c r="JEW333"/>
      <c r="JEX333"/>
      <c r="JFA333"/>
      <c r="JFB333"/>
      <c r="JFE333"/>
      <c r="JFF333"/>
      <c r="JFI333"/>
      <c r="JFJ333"/>
      <c r="JFM333"/>
      <c r="JFN333"/>
      <c r="JFQ333"/>
      <c r="JFR333"/>
      <c r="JFU333"/>
      <c r="JFV333"/>
      <c r="JFY333"/>
      <c r="JFZ333"/>
      <c r="JGC333"/>
      <c r="JGD333"/>
      <c r="JGG333"/>
      <c r="JGH333"/>
      <c r="JGK333"/>
      <c r="JGL333"/>
      <c r="JGO333"/>
      <c r="JGP333"/>
      <c r="JGS333"/>
      <c r="JGT333"/>
      <c r="JGW333"/>
      <c r="JGX333"/>
      <c r="JHA333"/>
      <c r="JHB333"/>
      <c r="JHE333"/>
      <c r="JHF333"/>
      <c r="JHI333"/>
      <c r="JHJ333"/>
      <c r="JHM333"/>
      <c r="JHN333"/>
      <c r="JHQ333"/>
      <c r="JHR333"/>
      <c r="JHU333"/>
      <c r="JHV333"/>
      <c r="JHY333"/>
      <c r="JHZ333"/>
      <c r="JIC333"/>
      <c r="JID333"/>
      <c r="JIG333"/>
      <c r="JIH333"/>
      <c r="JIK333"/>
      <c r="JIL333"/>
      <c r="JIO333"/>
      <c r="JIP333"/>
      <c r="JIS333"/>
      <c r="JIT333"/>
      <c r="JIW333"/>
      <c r="JIX333"/>
      <c r="JJA333"/>
      <c r="JJB333"/>
      <c r="JJE333"/>
      <c r="JJF333"/>
      <c r="JJI333"/>
      <c r="JJJ333"/>
      <c r="JJM333"/>
      <c r="JJN333"/>
      <c r="JJQ333"/>
      <c r="JJR333"/>
      <c r="JJU333"/>
      <c r="JJV333"/>
      <c r="JJY333"/>
      <c r="JJZ333"/>
      <c r="JKC333"/>
      <c r="JKD333"/>
      <c r="JKG333"/>
      <c r="JKH333"/>
      <c r="JKK333"/>
      <c r="JKL333"/>
      <c r="JKO333"/>
      <c r="JKP333"/>
      <c r="JKS333"/>
      <c r="JKT333"/>
      <c r="JKW333"/>
      <c r="JKX333"/>
      <c r="JLA333"/>
      <c r="JLB333"/>
      <c r="JLE333"/>
      <c r="JLF333"/>
      <c r="JLI333"/>
      <c r="JLJ333"/>
      <c r="JLM333"/>
      <c r="JLN333"/>
      <c r="JLQ333"/>
      <c r="JLR333"/>
      <c r="JLU333"/>
      <c r="JLV333"/>
      <c r="JLY333"/>
      <c r="JLZ333"/>
      <c r="JMC333"/>
      <c r="JMD333"/>
      <c r="JMG333"/>
      <c r="JMH333"/>
      <c r="JMK333"/>
      <c r="JML333"/>
      <c r="JMO333"/>
      <c r="JMP333"/>
      <c r="JMS333"/>
      <c r="JMT333"/>
      <c r="JMW333"/>
      <c r="JMX333"/>
      <c r="JNA333"/>
      <c r="JNB333"/>
      <c r="JNE333"/>
      <c r="JNF333"/>
      <c r="JNI333"/>
      <c r="JNJ333"/>
      <c r="JNM333"/>
      <c r="JNN333"/>
      <c r="JNQ333"/>
      <c r="JNR333"/>
      <c r="JNU333"/>
      <c r="JNV333"/>
      <c r="JNY333"/>
      <c r="JNZ333"/>
      <c r="JOC333"/>
      <c r="JOD333"/>
      <c r="JOG333"/>
      <c r="JOH333"/>
      <c r="JOK333"/>
      <c r="JOL333"/>
      <c r="JOO333"/>
      <c r="JOP333"/>
      <c r="JOS333"/>
      <c r="JOT333"/>
      <c r="JOW333"/>
      <c r="JOX333"/>
      <c r="JPA333"/>
      <c r="JPB333"/>
      <c r="JPE333"/>
      <c r="JPF333"/>
      <c r="JPI333"/>
      <c r="JPJ333"/>
      <c r="JPM333"/>
      <c r="JPN333"/>
      <c r="JPQ333"/>
      <c r="JPR333"/>
      <c r="JPU333"/>
      <c r="JPV333"/>
      <c r="JPY333"/>
      <c r="JPZ333"/>
      <c r="JQC333"/>
      <c r="JQD333"/>
      <c r="JQG333"/>
      <c r="JQH333"/>
      <c r="JQK333"/>
      <c r="JQL333"/>
      <c r="JQO333"/>
      <c r="JQP333"/>
      <c r="JQS333"/>
      <c r="JQT333"/>
      <c r="JQW333"/>
      <c r="JQX333"/>
      <c r="JRA333"/>
      <c r="JRB333"/>
      <c r="JRE333"/>
      <c r="JRF333"/>
      <c r="JRI333"/>
      <c r="JRJ333"/>
      <c r="JRM333"/>
      <c r="JRN333"/>
      <c r="JRQ333"/>
      <c r="JRR333"/>
      <c r="JRU333"/>
      <c r="JRV333"/>
      <c r="JRY333"/>
      <c r="JRZ333"/>
      <c r="JSC333"/>
      <c r="JSD333"/>
      <c r="JSG333"/>
      <c r="JSH333"/>
      <c r="JSK333"/>
      <c r="JSL333"/>
      <c r="JSO333"/>
      <c r="JSP333"/>
      <c r="JSS333"/>
      <c r="JST333"/>
      <c r="JSW333"/>
      <c r="JSX333"/>
      <c r="JTA333"/>
      <c r="JTB333"/>
      <c r="JTE333"/>
      <c r="JTF333"/>
      <c r="JTI333"/>
      <c r="JTJ333"/>
      <c r="JTM333"/>
      <c r="JTN333"/>
      <c r="JTQ333"/>
      <c r="JTR333"/>
      <c r="JTU333"/>
      <c r="JTV333"/>
      <c r="JTY333"/>
      <c r="JTZ333"/>
      <c r="JUC333"/>
      <c r="JUD333"/>
      <c r="JUG333"/>
      <c r="JUH333"/>
      <c r="JUK333"/>
      <c r="JUL333"/>
      <c r="JUO333"/>
      <c r="JUP333"/>
      <c r="JUS333"/>
      <c r="JUT333"/>
      <c r="JUW333"/>
      <c r="JUX333"/>
      <c r="JVA333"/>
      <c r="JVB333"/>
      <c r="JVE333"/>
      <c r="JVF333"/>
      <c r="JVI333"/>
      <c r="JVJ333"/>
      <c r="JVM333"/>
      <c r="JVN333"/>
      <c r="JVQ333"/>
      <c r="JVR333"/>
      <c r="JVU333"/>
      <c r="JVV333"/>
      <c r="JVY333"/>
      <c r="JVZ333"/>
      <c r="JWC333"/>
      <c r="JWD333"/>
      <c r="JWG333"/>
      <c r="JWH333"/>
      <c r="JWK333"/>
      <c r="JWL333"/>
      <c r="JWO333"/>
      <c r="JWP333"/>
      <c r="JWS333"/>
      <c r="JWT333"/>
      <c r="JWW333"/>
      <c r="JWX333"/>
      <c r="JXA333"/>
      <c r="JXB333"/>
      <c r="JXE333"/>
      <c r="JXF333"/>
      <c r="JXI333"/>
      <c r="JXJ333"/>
      <c r="JXM333"/>
      <c r="JXN333"/>
      <c r="JXQ333"/>
      <c r="JXR333"/>
      <c r="JXU333"/>
      <c r="JXV333"/>
      <c r="JXY333"/>
      <c r="JXZ333"/>
      <c r="JYC333"/>
      <c r="JYD333"/>
      <c r="JYG333"/>
      <c r="JYH333"/>
      <c r="JYK333"/>
      <c r="JYL333"/>
      <c r="JYO333"/>
      <c r="JYP333"/>
      <c r="JYS333"/>
      <c r="JYT333"/>
      <c r="JYW333"/>
      <c r="JYX333"/>
      <c r="JZA333"/>
      <c r="JZB333"/>
      <c r="JZE333"/>
      <c r="JZF333"/>
      <c r="JZI333"/>
      <c r="JZJ333"/>
      <c r="JZM333"/>
      <c r="JZN333"/>
      <c r="JZQ333"/>
      <c r="JZR333"/>
      <c r="JZU333"/>
      <c r="JZV333"/>
      <c r="JZY333"/>
      <c r="JZZ333"/>
      <c r="KAC333"/>
      <c r="KAD333"/>
      <c r="KAG333"/>
      <c r="KAH333"/>
      <c r="KAK333"/>
      <c r="KAL333"/>
      <c r="KAO333"/>
      <c r="KAP333"/>
      <c r="KAS333"/>
      <c r="KAT333"/>
      <c r="KAW333"/>
      <c r="KAX333"/>
      <c r="KBA333"/>
      <c r="KBB333"/>
      <c r="KBE333"/>
      <c r="KBF333"/>
      <c r="KBI333"/>
      <c r="KBJ333"/>
      <c r="KBM333"/>
      <c r="KBN333"/>
      <c r="KBQ333"/>
      <c r="KBR333"/>
      <c r="KBU333"/>
      <c r="KBV333"/>
      <c r="KBY333"/>
      <c r="KBZ333"/>
      <c r="KCC333"/>
      <c r="KCD333"/>
      <c r="KCG333"/>
      <c r="KCH333"/>
      <c r="KCK333"/>
      <c r="KCL333"/>
      <c r="KCO333"/>
      <c r="KCP333"/>
      <c r="KCS333"/>
      <c r="KCT333"/>
      <c r="KCW333"/>
      <c r="KCX333"/>
      <c r="KDA333"/>
      <c r="KDB333"/>
      <c r="KDE333"/>
      <c r="KDF333"/>
      <c r="KDI333"/>
      <c r="KDJ333"/>
      <c r="KDM333"/>
      <c r="KDN333"/>
      <c r="KDQ333"/>
      <c r="KDR333"/>
      <c r="KDU333"/>
      <c r="KDV333"/>
      <c r="KDY333"/>
      <c r="KDZ333"/>
      <c r="KEC333"/>
      <c r="KED333"/>
      <c r="KEG333"/>
      <c r="KEH333"/>
      <c r="KEK333"/>
      <c r="KEL333"/>
      <c r="KEO333"/>
      <c r="KEP333"/>
      <c r="KES333"/>
      <c r="KET333"/>
      <c r="KEW333"/>
      <c r="KEX333"/>
      <c r="KFA333"/>
      <c r="KFB333"/>
      <c r="KFE333"/>
      <c r="KFF333"/>
      <c r="KFI333"/>
      <c r="KFJ333"/>
      <c r="KFM333"/>
      <c r="KFN333"/>
      <c r="KFQ333"/>
      <c r="KFR333"/>
      <c r="KFU333"/>
      <c r="KFV333"/>
      <c r="KFY333"/>
      <c r="KFZ333"/>
      <c r="KGC333"/>
      <c r="KGD333"/>
      <c r="KGG333"/>
      <c r="KGH333"/>
      <c r="KGK333"/>
      <c r="KGL333"/>
      <c r="KGO333"/>
      <c r="KGP333"/>
      <c r="KGS333"/>
      <c r="KGT333"/>
      <c r="KGW333"/>
      <c r="KGX333"/>
      <c r="KHA333"/>
      <c r="KHB333"/>
      <c r="KHE333"/>
      <c r="KHF333"/>
      <c r="KHI333"/>
      <c r="KHJ333"/>
      <c r="KHM333"/>
      <c r="KHN333"/>
      <c r="KHQ333"/>
      <c r="KHR333"/>
      <c r="KHU333"/>
      <c r="KHV333"/>
      <c r="KHY333"/>
      <c r="KHZ333"/>
      <c r="KIC333"/>
      <c r="KID333"/>
      <c r="KIG333"/>
      <c r="KIH333"/>
      <c r="KIK333"/>
      <c r="KIL333"/>
      <c r="KIO333"/>
      <c r="KIP333"/>
      <c r="KIS333"/>
      <c r="KIT333"/>
      <c r="KIW333"/>
      <c r="KIX333"/>
      <c r="KJA333"/>
      <c r="KJB333"/>
      <c r="KJE333"/>
      <c r="KJF333"/>
      <c r="KJI333"/>
      <c r="KJJ333"/>
      <c r="KJM333"/>
      <c r="KJN333"/>
      <c r="KJQ333"/>
      <c r="KJR333"/>
      <c r="KJU333"/>
      <c r="KJV333"/>
      <c r="KJY333"/>
      <c r="KJZ333"/>
      <c r="KKC333"/>
      <c r="KKD333"/>
      <c r="KKG333"/>
      <c r="KKH333"/>
      <c r="KKK333"/>
      <c r="KKL333"/>
      <c r="KKO333"/>
      <c r="KKP333"/>
      <c r="KKS333"/>
      <c r="KKT333"/>
      <c r="KKW333"/>
      <c r="KKX333"/>
      <c r="KLA333"/>
      <c r="KLB333"/>
      <c r="KLE333"/>
      <c r="KLF333"/>
      <c r="KLI333"/>
      <c r="KLJ333"/>
      <c r="KLM333"/>
      <c r="KLN333"/>
      <c r="KLQ333"/>
      <c r="KLR333"/>
      <c r="KLU333"/>
      <c r="KLV333"/>
      <c r="KLY333"/>
      <c r="KLZ333"/>
      <c r="KMC333"/>
      <c r="KMD333"/>
      <c r="KMG333"/>
      <c r="KMH333"/>
      <c r="KMK333"/>
      <c r="KML333"/>
      <c r="KMO333"/>
      <c r="KMP333"/>
      <c r="KMS333"/>
      <c r="KMT333"/>
      <c r="KMW333"/>
      <c r="KMX333"/>
      <c r="KNA333"/>
      <c r="KNB333"/>
      <c r="KNE333"/>
      <c r="KNF333"/>
      <c r="KNI333"/>
      <c r="KNJ333"/>
      <c r="KNM333"/>
      <c r="KNN333"/>
      <c r="KNQ333"/>
      <c r="KNR333"/>
      <c r="KNU333"/>
      <c r="KNV333"/>
      <c r="KNY333"/>
      <c r="KNZ333"/>
      <c r="KOC333"/>
      <c r="KOD333"/>
      <c r="KOG333"/>
      <c r="KOH333"/>
      <c r="KOK333"/>
      <c r="KOL333"/>
      <c r="KOO333"/>
      <c r="KOP333"/>
      <c r="KOS333"/>
      <c r="KOT333"/>
      <c r="KOW333"/>
      <c r="KOX333"/>
      <c r="KPA333"/>
      <c r="KPB333"/>
      <c r="KPE333"/>
      <c r="KPF333"/>
      <c r="KPI333"/>
      <c r="KPJ333"/>
      <c r="KPM333"/>
      <c r="KPN333"/>
      <c r="KPQ333"/>
      <c r="KPR333"/>
      <c r="KPU333"/>
      <c r="KPV333"/>
      <c r="KPY333"/>
      <c r="KPZ333"/>
      <c r="KQC333"/>
      <c r="KQD333"/>
      <c r="KQG333"/>
      <c r="KQH333"/>
      <c r="KQK333"/>
      <c r="KQL333"/>
      <c r="KQO333"/>
      <c r="KQP333"/>
      <c r="KQS333"/>
      <c r="KQT333"/>
      <c r="KQW333"/>
      <c r="KQX333"/>
      <c r="KRA333"/>
      <c r="KRB333"/>
      <c r="KRE333"/>
      <c r="KRF333"/>
      <c r="KRI333"/>
      <c r="KRJ333"/>
      <c r="KRM333"/>
      <c r="KRN333"/>
      <c r="KRQ333"/>
      <c r="KRR333"/>
      <c r="KRU333"/>
      <c r="KRV333"/>
      <c r="KRY333"/>
      <c r="KRZ333"/>
      <c r="KSC333"/>
      <c r="KSD333"/>
      <c r="KSG333"/>
      <c r="KSH333"/>
      <c r="KSK333"/>
      <c r="KSL333"/>
      <c r="KSO333"/>
      <c r="KSP333"/>
      <c r="KSS333"/>
      <c r="KST333"/>
      <c r="KSW333"/>
      <c r="KSX333"/>
      <c r="KTA333"/>
      <c r="KTB333"/>
      <c r="KTE333"/>
      <c r="KTF333"/>
      <c r="KTI333"/>
      <c r="KTJ333"/>
      <c r="KTM333"/>
      <c r="KTN333"/>
      <c r="KTQ333"/>
      <c r="KTR333"/>
      <c r="KTU333"/>
      <c r="KTV333"/>
      <c r="KTY333"/>
      <c r="KTZ333"/>
      <c r="KUC333"/>
      <c r="KUD333"/>
      <c r="KUG333"/>
      <c r="KUH333"/>
      <c r="KUK333"/>
      <c r="KUL333"/>
      <c r="KUO333"/>
      <c r="KUP333"/>
      <c r="KUS333"/>
      <c r="KUT333"/>
      <c r="KUW333"/>
      <c r="KUX333"/>
      <c r="KVA333"/>
      <c r="KVB333"/>
      <c r="KVE333"/>
      <c r="KVF333"/>
      <c r="KVI333"/>
      <c r="KVJ333"/>
      <c r="KVM333"/>
      <c r="KVN333"/>
      <c r="KVQ333"/>
      <c r="KVR333"/>
      <c r="KVU333"/>
      <c r="KVV333"/>
      <c r="KVY333"/>
      <c r="KVZ333"/>
      <c r="KWC333"/>
      <c r="KWD333"/>
      <c r="KWG333"/>
      <c r="KWH333"/>
      <c r="KWK333"/>
      <c r="KWL333"/>
      <c r="KWO333"/>
      <c r="KWP333"/>
      <c r="KWS333"/>
      <c r="KWT333"/>
      <c r="KWW333"/>
      <c r="KWX333"/>
      <c r="KXA333"/>
      <c r="KXB333"/>
      <c r="KXE333"/>
      <c r="KXF333"/>
      <c r="KXI333"/>
      <c r="KXJ333"/>
      <c r="KXM333"/>
      <c r="KXN333"/>
      <c r="KXQ333"/>
      <c r="KXR333"/>
      <c r="KXU333"/>
      <c r="KXV333"/>
      <c r="KXY333"/>
      <c r="KXZ333"/>
      <c r="KYC333"/>
      <c r="KYD333"/>
      <c r="KYG333"/>
      <c r="KYH333"/>
      <c r="KYK333"/>
      <c r="KYL333"/>
      <c r="KYO333"/>
      <c r="KYP333"/>
      <c r="KYS333"/>
      <c r="KYT333"/>
      <c r="KYW333"/>
      <c r="KYX333"/>
      <c r="KZA333"/>
      <c r="KZB333"/>
      <c r="KZE333"/>
      <c r="KZF333"/>
      <c r="KZI333"/>
      <c r="KZJ333"/>
      <c r="KZM333"/>
      <c r="KZN333"/>
      <c r="KZQ333"/>
      <c r="KZR333"/>
      <c r="KZU333"/>
      <c r="KZV333"/>
      <c r="KZY333"/>
      <c r="KZZ333"/>
      <c r="LAC333"/>
      <c r="LAD333"/>
      <c r="LAG333"/>
      <c r="LAH333"/>
      <c r="LAK333"/>
      <c r="LAL333"/>
      <c r="LAO333"/>
      <c r="LAP333"/>
      <c r="LAS333"/>
      <c r="LAT333"/>
      <c r="LAW333"/>
      <c r="LAX333"/>
      <c r="LBA333"/>
      <c r="LBB333"/>
      <c r="LBE333"/>
      <c r="LBF333"/>
      <c r="LBI333"/>
      <c r="LBJ333"/>
      <c r="LBM333"/>
      <c r="LBN333"/>
      <c r="LBQ333"/>
      <c r="LBR333"/>
      <c r="LBU333"/>
      <c r="LBV333"/>
      <c r="LBY333"/>
      <c r="LBZ333"/>
      <c r="LCC333"/>
      <c r="LCD333"/>
      <c r="LCG333"/>
      <c r="LCH333"/>
      <c r="LCK333"/>
      <c r="LCL333"/>
      <c r="LCO333"/>
      <c r="LCP333"/>
      <c r="LCS333"/>
      <c r="LCT333"/>
      <c r="LCW333"/>
      <c r="LCX333"/>
      <c r="LDA333"/>
      <c r="LDB333"/>
      <c r="LDE333"/>
      <c r="LDF333"/>
      <c r="LDI333"/>
      <c r="LDJ333"/>
      <c r="LDM333"/>
      <c r="LDN333"/>
      <c r="LDQ333"/>
      <c r="LDR333"/>
      <c r="LDU333"/>
      <c r="LDV333"/>
      <c r="LDY333"/>
      <c r="LDZ333"/>
      <c r="LEC333"/>
      <c r="LED333"/>
      <c r="LEG333"/>
      <c r="LEH333"/>
      <c r="LEK333"/>
      <c r="LEL333"/>
      <c r="LEO333"/>
      <c r="LEP333"/>
      <c r="LES333"/>
      <c r="LET333"/>
      <c r="LEW333"/>
      <c r="LEX333"/>
      <c r="LFA333"/>
      <c r="LFB333"/>
      <c r="LFE333"/>
      <c r="LFF333"/>
      <c r="LFI333"/>
      <c r="LFJ333"/>
      <c r="LFM333"/>
      <c r="LFN333"/>
      <c r="LFQ333"/>
      <c r="LFR333"/>
      <c r="LFU333"/>
      <c r="LFV333"/>
      <c r="LFY333"/>
      <c r="LFZ333"/>
      <c r="LGC333"/>
      <c r="LGD333"/>
      <c r="LGG333"/>
      <c r="LGH333"/>
      <c r="LGK333"/>
      <c r="LGL333"/>
      <c r="LGO333"/>
      <c r="LGP333"/>
      <c r="LGS333"/>
      <c r="LGT333"/>
      <c r="LGW333"/>
      <c r="LGX333"/>
      <c r="LHA333"/>
      <c r="LHB333"/>
      <c r="LHE333"/>
      <c r="LHF333"/>
      <c r="LHI333"/>
      <c r="LHJ333"/>
      <c r="LHM333"/>
      <c r="LHN333"/>
      <c r="LHQ333"/>
      <c r="LHR333"/>
      <c r="LHU333"/>
      <c r="LHV333"/>
      <c r="LHY333"/>
      <c r="LHZ333"/>
      <c r="LIC333"/>
      <c r="LID333"/>
      <c r="LIG333"/>
      <c r="LIH333"/>
      <c r="LIK333"/>
      <c r="LIL333"/>
      <c r="LIO333"/>
      <c r="LIP333"/>
      <c r="LIS333"/>
      <c r="LIT333"/>
      <c r="LIW333"/>
      <c r="LIX333"/>
      <c r="LJA333"/>
      <c r="LJB333"/>
      <c r="LJE333"/>
      <c r="LJF333"/>
      <c r="LJI333"/>
      <c r="LJJ333"/>
      <c r="LJM333"/>
      <c r="LJN333"/>
      <c r="LJQ333"/>
      <c r="LJR333"/>
      <c r="LJU333"/>
      <c r="LJV333"/>
      <c r="LJY333"/>
      <c r="LJZ333"/>
      <c r="LKC333"/>
      <c r="LKD333"/>
      <c r="LKG333"/>
      <c r="LKH333"/>
      <c r="LKK333"/>
      <c r="LKL333"/>
      <c r="LKO333"/>
      <c r="LKP333"/>
      <c r="LKS333"/>
      <c r="LKT333"/>
      <c r="LKW333"/>
      <c r="LKX333"/>
      <c r="LLA333"/>
      <c r="LLB333"/>
      <c r="LLE333"/>
      <c r="LLF333"/>
      <c r="LLI333"/>
      <c r="LLJ333"/>
      <c r="LLM333"/>
      <c r="LLN333"/>
      <c r="LLQ333"/>
      <c r="LLR333"/>
      <c r="LLU333"/>
      <c r="LLV333"/>
      <c r="LLY333"/>
      <c r="LLZ333"/>
      <c r="LMC333"/>
      <c r="LMD333"/>
      <c r="LMG333"/>
      <c r="LMH333"/>
      <c r="LMK333"/>
      <c r="LML333"/>
      <c r="LMO333"/>
      <c r="LMP333"/>
      <c r="LMS333"/>
      <c r="LMT333"/>
      <c r="LMW333"/>
      <c r="LMX333"/>
      <c r="LNA333"/>
      <c r="LNB333"/>
      <c r="LNE333"/>
      <c r="LNF333"/>
      <c r="LNI333"/>
      <c r="LNJ333"/>
      <c r="LNM333"/>
      <c r="LNN333"/>
      <c r="LNQ333"/>
      <c r="LNR333"/>
      <c r="LNU333"/>
      <c r="LNV333"/>
      <c r="LNY333"/>
      <c r="LNZ333"/>
      <c r="LOC333"/>
      <c r="LOD333"/>
      <c r="LOG333"/>
      <c r="LOH333"/>
      <c r="LOK333"/>
      <c r="LOL333"/>
      <c r="LOO333"/>
      <c r="LOP333"/>
      <c r="LOS333"/>
      <c r="LOT333"/>
      <c r="LOW333"/>
      <c r="LOX333"/>
      <c r="LPA333"/>
      <c r="LPB333"/>
      <c r="LPE333"/>
      <c r="LPF333"/>
      <c r="LPI333"/>
      <c r="LPJ333"/>
      <c r="LPM333"/>
      <c r="LPN333"/>
      <c r="LPQ333"/>
      <c r="LPR333"/>
      <c r="LPU333"/>
      <c r="LPV333"/>
      <c r="LPY333"/>
      <c r="LPZ333"/>
      <c r="LQC333"/>
      <c r="LQD333"/>
      <c r="LQG333"/>
      <c r="LQH333"/>
      <c r="LQK333"/>
      <c r="LQL333"/>
      <c r="LQO333"/>
      <c r="LQP333"/>
      <c r="LQS333"/>
      <c r="LQT333"/>
      <c r="LQW333"/>
      <c r="LQX333"/>
      <c r="LRA333"/>
      <c r="LRB333"/>
      <c r="LRE333"/>
      <c r="LRF333"/>
      <c r="LRI333"/>
      <c r="LRJ333"/>
      <c r="LRM333"/>
      <c r="LRN333"/>
      <c r="LRQ333"/>
      <c r="LRR333"/>
      <c r="LRU333"/>
      <c r="LRV333"/>
      <c r="LRY333"/>
      <c r="LRZ333"/>
      <c r="LSC333"/>
      <c r="LSD333"/>
      <c r="LSG333"/>
      <c r="LSH333"/>
      <c r="LSK333"/>
      <c r="LSL333"/>
      <c r="LSO333"/>
      <c r="LSP333"/>
      <c r="LSS333"/>
      <c r="LST333"/>
      <c r="LSW333"/>
      <c r="LSX333"/>
      <c r="LTA333"/>
      <c r="LTB333"/>
      <c r="LTE333"/>
      <c r="LTF333"/>
      <c r="LTI333"/>
      <c r="LTJ333"/>
      <c r="LTM333"/>
      <c r="LTN333"/>
      <c r="LTQ333"/>
      <c r="LTR333"/>
      <c r="LTU333"/>
      <c r="LTV333"/>
      <c r="LTY333"/>
      <c r="LTZ333"/>
      <c r="LUC333"/>
      <c r="LUD333"/>
      <c r="LUG333"/>
      <c r="LUH333"/>
      <c r="LUK333"/>
      <c r="LUL333"/>
      <c r="LUO333"/>
      <c r="LUP333"/>
      <c r="LUS333"/>
      <c r="LUT333"/>
      <c r="LUW333"/>
      <c r="LUX333"/>
      <c r="LVA333"/>
      <c r="LVB333"/>
      <c r="LVE333"/>
      <c r="LVF333"/>
      <c r="LVI333"/>
      <c r="LVJ333"/>
      <c r="LVM333"/>
      <c r="LVN333"/>
      <c r="LVQ333"/>
      <c r="LVR333"/>
      <c r="LVU333"/>
      <c r="LVV333"/>
      <c r="LVY333"/>
      <c r="LVZ333"/>
      <c r="LWC333"/>
      <c r="LWD333"/>
      <c r="LWG333"/>
      <c r="LWH333"/>
      <c r="LWK333"/>
      <c r="LWL333"/>
      <c r="LWO333"/>
      <c r="LWP333"/>
      <c r="LWS333"/>
      <c r="LWT333"/>
      <c r="LWW333"/>
      <c r="LWX333"/>
      <c r="LXA333"/>
      <c r="LXB333"/>
      <c r="LXE333"/>
      <c r="LXF333"/>
      <c r="LXI333"/>
      <c r="LXJ333"/>
      <c r="LXM333"/>
      <c r="LXN333"/>
      <c r="LXQ333"/>
      <c r="LXR333"/>
      <c r="LXU333"/>
      <c r="LXV333"/>
      <c r="LXY333"/>
      <c r="LXZ333"/>
      <c r="LYC333"/>
      <c r="LYD333"/>
      <c r="LYG333"/>
      <c r="LYH333"/>
      <c r="LYK333"/>
      <c r="LYL333"/>
      <c r="LYO333"/>
      <c r="LYP333"/>
      <c r="LYS333"/>
      <c r="LYT333"/>
      <c r="LYW333"/>
      <c r="LYX333"/>
      <c r="LZA333"/>
      <c r="LZB333"/>
      <c r="LZE333"/>
      <c r="LZF333"/>
      <c r="LZI333"/>
      <c r="LZJ333"/>
      <c r="LZM333"/>
      <c r="LZN333"/>
      <c r="LZQ333"/>
      <c r="LZR333"/>
      <c r="LZU333"/>
      <c r="LZV333"/>
      <c r="LZY333"/>
      <c r="LZZ333"/>
      <c r="MAC333"/>
      <c r="MAD333"/>
      <c r="MAG333"/>
      <c r="MAH333"/>
      <c r="MAK333"/>
      <c r="MAL333"/>
      <c r="MAO333"/>
      <c r="MAP333"/>
      <c r="MAS333"/>
      <c r="MAT333"/>
      <c r="MAW333"/>
      <c r="MAX333"/>
      <c r="MBA333"/>
      <c r="MBB333"/>
      <c r="MBE333"/>
      <c r="MBF333"/>
      <c r="MBI333"/>
      <c r="MBJ333"/>
      <c r="MBM333"/>
      <c r="MBN333"/>
      <c r="MBQ333"/>
      <c r="MBR333"/>
      <c r="MBU333"/>
      <c r="MBV333"/>
      <c r="MBY333"/>
      <c r="MBZ333"/>
      <c r="MCC333"/>
      <c r="MCD333"/>
      <c r="MCG333"/>
      <c r="MCH333"/>
      <c r="MCK333"/>
      <c r="MCL333"/>
      <c r="MCO333"/>
      <c r="MCP333"/>
      <c r="MCS333"/>
      <c r="MCT333"/>
      <c r="MCW333"/>
      <c r="MCX333"/>
      <c r="MDA333"/>
      <c r="MDB333"/>
      <c r="MDE333"/>
      <c r="MDF333"/>
      <c r="MDI333"/>
      <c r="MDJ333"/>
      <c r="MDM333"/>
      <c r="MDN333"/>
      <c r="MDQ333"/>
      <c r="MDR333"/>
      <c r="MDU333"/>
      <c r="MDV333"/>
      <c r="MDY333"/>
      <c r="MDZ333"/>
      <c r="MEC333"/>
      <c r="MED333"/>
      <c r="MEG333"/>
      <c r="MEH333"/>
      <c r="MEK333"/>
      <c r="MEL333"/>
      <c r="MEO333"/>
      <c r="MEP333"/>
      <c r="MES333"/>
      <c r="MET333"/>
      <c r="MEW333"/>
      <c r="MEX333"/>
      <c r="MFA333"/>
      <c r="MFB333"/>
      <c r="MFE333"/>
      <c r="MFF333"/>
      <c r="MFI333"/>
      <c r="MFJ333"/>
      <c r="MFM333"/>
      <c r="MFN333"/>
      <c r="MFQ333"/>
      <c r="MFR333"/>
      <c r="MFU333"/>
      <c r="MFV333"/>
      <c r="MFY333"/>
      <c r="MFZ333"/>
      <c r="MGC333"/>
      <c r="MGD333"/>
      <c r="MGG333"/>
      <c r="MGH333"/>
      <c r="MGK333"/>
      <c r="MGL333"/>
      <c r="MGO333"/>
      <c r="MGP333"/>
      <c r="MGS333"/>
      <c r="MGT333"/>
      <c r="MGW333"/>
      <c r="MGX333"/>
      <c r="MHA333"/>
      <c r="MHB333"/>
      <c r="MHE333"/>
      <c r="MHF333"/>
      <c r="MHI333"/>
      <c r="MHJ333"/>
      <c r="MHM333"/>
      <c r="MHN333"/>
      <c r="MHQ333"/>
      <c r="MHR333"/>
      <c r="MHU333"/>
      <c r="MHV333"/>
      <c r="MHY333"/>
      <c r="MHZ333"/>
      <c r="MIC333"/>
      <c r="MID333"/>
      <c r="MIG333"/>
      <c r="MIH333"/>
      <c r="MIK333"/>
      <c r="MIL333"/>
      <c r="MIO333"/>
      <c r="MIP333"/>
      <c r="MIS333"/>
      <c r="MIT333"/>
      <c r="MIW333"/>
      <c r="MIX333"/>
      <c r="MJA333"/>
      <c r="MJB333"/>
      <c r="MJE333"/>
      <c r="MJF333"/>
      <c r="MJI333"/>
      <c r="MJJ333"/>
      <c r="MJM333"/>
      <c r="MJN333"/>
      <c r="MJQ333"/>
      <c r="MJR333"/>
      <c r="MJU333"/>
      <c r="MJV333"/>
      <c r="MJY333"/>
      <c r="MJZ333"/>
      <c r="MKC333"/>
      <c r="MKD333"/>
      <c r="MKG333"/>
      <c r="MKH333"/>
      <c r="MKK333"/>
      <c r="MKL333"/>
      <c r="MKO333"/>
      <c r="MKP333"/>
      <c r="MKS333"/>
      <c r="MKT333"/>
      <c r="MKW333"/>
      <c r="MKX333"/>
      <c r="MLA333"/>
      <c r="MLB333"/>
      <c r="MLE333"/>
      <c r="MLF333"/>
      <c r="MLI333"/>
      <c r="MLJ333"/>
      <c r="MLM333"/>
      <c r="MLN333"/>
      <c r="MLQ333"/>
      <c r="MLR333"/>
      <c r="MLU333"/>
      <c r="MLV333"/>
      <c r="MLY333"/>
      <c r="MLZ333"/>
      <c r="MMC333"/>
      <c r="MMD333"/>
      <c r="MMG333"/>
      <c r="MMH333"/>
      <c r="MMK333"/>
      <c r="MML333"/>
      <c r="MMO333"/>
      <c r="MMP333"/>
      <c r="MMS333"/>
      <c r="MMT333"/>
      <c r="MMW333"/>
      <c r="MMX333"/>
      <c r="MNA333"/>
      <c r="MNB333"/>
      <c r="MNE333"/>
      <c r="MNF333"/>
      <c r="MNI333"/>
      <c r="MNJ333"/>
      <c r="MNM333"/>
      <c r="MNN333"/>
      <c r="MNQ333"/>
      <c r="MNR333"/>
      <c r="MNU333"/>
      <c r="MNV333"/>
      <c r="MNY333"/>
      <c r="MNZ333"/>
      <c r="MOC333"/>
      <c r="MOD333"/>
      <c r="MOG333"/>
      <c r="MOH333"/>
      <c r="MOK333"/>
      <c r="MOL333"/>
      <c r="MOO333"/>
      <c r="MOP333"/>
      <c r="MOS333"/>
      <c r="MOT333"/>
      <c r="MOW333"/>
      <c r="MOX333"/>
      <c r="MPA333"/>
      <c r="MPB333"/>
      <c r="MPE333"/>
      <c r="MPF333"/>
      <c r="MPI333"/>
      <c r="MPJ333"/>
      <c r="MPM333"/>
      <c r="MPN333"/>
      <c r="MPQ333"/>
      <c r="MPR333"/>
      <c r="MPU333"/>
      <c r="MPV333"/>
      <c r="MPY333"/>
      <c r="MPZ333"/>
      <c r="MQC333"/>
      <c r="MQD333"/>
      <c r="MQG333"/>
      <c r="MQH333"/>
      <c r="MQK333"/>
      <c r="MQL333"/>
      <c r="MQO333"/>
      <c r="MQP333"/>
      <c r="MQS333"/>
      <c r="MQT333"/>
      <c r="MQW333"/>
      <c r="MQX333"/>
      <c r="MRA333"/>
      <c r="MRB333"/>
      <c r="MRE333"/>
      <c r="MRF333"/>
      <c r="MRI333"/>
      <c r="MRJ333"/>
      <c r="MRM333"/>
      <c r="MRN333"/>
      <c r="MRQ333"/>
      <c r="MRR333"/>
      <c r="MRU333"/>
      <c r="MRV333"/>
      <c r="MRY333"/>
      <c r="MRZ333"/>
      <c r="MSC333"/>
      <c r="MSD333"/>
      <c r="MSG333"/>
      <c r="MSH333"/>
      <c r="MSK333"/>
      <c r="MSL333"/>
      <c r="MSO333"/>
      <c r="MSP333"/>
      <c r="MSS333"/>
      <c r="MST333"/>
      <c r="MSW333"/>
      <c r="MSX333"/>
      <c r="MTA333"/>
      <c r="MTB333"/>
      <c r="MTE333"/>
      <c r="MTF333"/>
      <c r="MTI333"/>
      <c r="MTJ333"/>
      <c r="MTM333"/>
      <c r="MTN333"/>
      <c r="MTQ333"/>
      <c r="MTR333"/>
      <c r="MTU333"/>
      <c r="MTV333"/>
      <c r="MTY333"/>
      <c r="MTZ333"/>
      <c r="MUC333"/>
      <c r="MUD333"/>
      <c r="MUG333"/>
      <c r="MUH333"/>
      <c r="MUK333"/>
      <c r="MUL333"/>
      <c r="MUO333"/>
      <c r="MUP333"/>
      <c r="MUS333"/>
      <c r="MUT333"/>
      <c r="MUW333"/>
      <c r="MUX333"/>
      <c r="MVA333"/>
      <c r="MVB333"/>
      <c r="MVE333"/>
      <c r="MVF333"/>
      <c r="MVI333"/>
      <c r="MVJ333"/>
      <c r="MVM333"/>
      <c r="MVN333"/>
      <c r="MVQ333"/>
      <c r="MVR333"/>
      <c r="MVU333"/>
      <c r="MVV333"/>
      <c r="MVY333"/>
      <c r="MVZ333"/>
      <c r="MWC333"/>
      <c r="MWD333"/>
      <c r="MWG333"/>
      <c r="MWH333"/>
      <c r="MWK333"/>
      <c r="MWL333"/>
      <c r="MWO333"/>
      <c r="MWP333"/>
      <c r="MWS333"/>
      <c r="MWT333"/>
      <c r="MWW333"/>
      <c r="MWX333"/>
      <c r="MXA333"/>
      <c r="MXB333"/>
      <c r="MXE333"/>
      <c r="MXF333"/>
      <c r="MXI333"/>
      <c r="MXJ333"/>
      <c r="MXM333"/>
      <c r="MXN333"/>
      <c r="MXQ333"/>
      <c r="MXR333"/>
      <c r="MXU333"/>
      <c r="MXV333"/>
      <c r="MXY333"/>
      <c r="MXZ333"/>
      <c r="MYC333"/>
      <c r="MYD333"/>
      <c r="MYG333"/>
      <c r="MYH333"/>
      <c r="MYK333"/>
      <c r="MYL333"/>
      <c r="MYO333"/>
      <c r="MYP333"/>
      <c r="MYS333"/>
      <c r="MYT333"/>
      <c r="MYW333"/>
      <c r="MYX333"/>
      <c r="MZA333"/>
      <c r="MZB333"/>
      <c r="MZE333"/>
      <c r="MZF333"/>
      <c r="MZI333"/>
      <c r="MZJ333"/>
      <c r="MZM333"/>
      <c r="MZN333"/>
      <c r="MZQ333"/>
      <c r="MZR333"/>
      <c r="MZU333"/>
      <c r="MZV333"/>
      <c r="MZY333"/>
      <c r="MZZ333"/>
      <c r="NAC333"/>
      <c r="NAD333"/>
      <c r="NAG333"/>
      <c r="NAH333"/>
      <c r="NAK333"/>
      <c r="NAL333"/>
      <c r="NAO333"/>
      <c r="NAP333"/>
      <c r="NAS333"/>
      <c r="NAT333"/>
      <c r="NAW333"/>
      <c r="NAX333"/>
      <c r="NBA333"/>
      <c r="NBB333"/>
      <c r="NBE333"/>
      <c r="NBF333"/>
      <c r="NBI333"/>
      <c r="NBJ333"/>
      <c r="NBM333"/>
      <c r="NBN333"/>
      <c r="NBQ333"/>
      <c r="NBR333"/>
      <c r="NBU333"/>
      <c r="NBV333"/>
      <c r="NBY333"/>
      <c r="NBZ333"/>
      <c r="NCC333"/>
      <c r="NCD333"/>
      <c r="NCG333"/>
      <c r="NCH333"/>
      <c r="NCK333"/>
      <c r="NCL333"/>
      <c r="NCO333"/>
      <c r="NCP333"/>
      <c r="NCS333"/>
      <c r="NCT333"/>
      <c r="NCW333"/>
      <c r="NCX333"/>
      <c r="NDA333"/>
      <c r="NDB333"/>
      <c r="NDE333"/>
      <c r="NDF333"/>
      <c r="NDI333"/>
      <c r="NDJ333"/>
      <c r="NDM333"/>
      <c r="NDN333"/>
      <c r="NDQ333"/>
      <c r="NDR333"/>
      <c r="NDU333"/>
      <c r="NDV333"/>
      <c r="NDY333"/>
      <c r="NDZ333"/>
      <c r="NEC333"/>
      <c r="NED333"/>
      <c r="NEG333"/>
      <c r="NEH333"/>
      <c r="NEK333"/>
      <c r="NEL333"/>
      <c r="NEO333"/>
      <c r="NEP333"/>
      <c r="NES333"/>
      <c r="NET333"/>
      <c r="NEW333"/>
      <c r="NEX333"/>
      <c r="NFA333"/>
      <c r="NFB333"/>
      <c r="NFE333"/>
      <c r="NFF333"/>
      <c r="NFI333"/>
      <c r="NFJ333"/>
      <c r="NFM333"/>
      <c r="NFN333"/>
      <c r="NFQ333"/>
      <c r="NFR333"/>
      <c r="NFU333"/>
      <c r="NFV333"/>
      <c r="NFY333"/>
      <c r="NFZ333"/>
      <c r="NGC333"/>
      <c r="NGD333"/>
      <c r="NGG333"/>
      <c r="NGH333"/>
      <c r="NGK333"/>
      <c r="NGL333"/>
      <c r="NGO333"/>
      <c r="NGP333"/>
      <c r="NGS333"/>
      <c r="NGT333"/>
      <c r="NGW333"/>
      <c r="NGX333"/>
      <c r="NHA333"/>
      <c r="NHB333"/>
      <c r="NHE333"/>
      <c r="NHF333"/>
      <c r="NHI333"/>
      <c r="NHJ333"/>
      <c r="NHM333"/>
      <c r="NHN333"/>
      <c r="NHQ333"/>
      <c r="NHR333"/>
      <c r="NHU333"/>
      <c r="NHV333"/>
      <c r="NHY333"/>
      <c r="NHZ333"/>
      <c r="NIC333"/>
      <c r="NID333"/>
      <c r="NIG333"/>
      <c r="NIH333"/>
      <c r="NIK333"/>
      <c r="NIL333"/>
      <c r="NIO333"/>
      <c r="NIP333"/>
      <c r="NIS333"/>
      <c r="NIT333"/>
      <c r="NIW333"/>
      <c r="NIX333"/>
      <c r="NJA333"/>
      <c r="NJB333"/>
      <c r="NJE333"/>
      <c r="NJF333"/>
      <c r="NJI333"/>
      <c r="NJJ333"/>
      <c r="NJM333"/>
      <c r="NJN333"/>
      <c r="NJQ333"/>
      <c r="NJR333"/>
      <c r="NJU333"/>
      <c r="NJV333"/>
      <c r="NJY333"/>
      <c r="NJZ333"/>
      <c r="NKC333"/>
      <c r="NKD333"/>
      <c r="NKG333"/>
      <c r="NKH333"/>
      <c r="NKK333"/>
      <c r="NKL333"/>
      <c r="NKO333"/>
      <c r="NKP333"/>
      <c r="NKS333"/>
      <c r="NKT333"/>
      <c r="NKW333"/>
      <c r="NKX333"/>
      <c r="NLA333"/>
      <c r="NLB333"/>
      <c r="NLE333"/>
      <c r="NLF333"/>
      <c r="NLI333"/>
      <c r="NLJ333"/>
      <c r="NLM333"/>
      <c r="NLN333"/>
      <c r="NLQ333"/>
      <c r="NLR333"/>
      <c r="NLU333"/>
      <c r="NLV333"/>
      <c r="NLY333"/>
      <c r="NLZ333"/>
      <c r="NMC333"/>
      <c r="NMD333"/>
      <c r="NMG333"/>
      <c r="NMH333"/>
      <c r="NMK333"/>
      <c r="NML333"/>
      <c r="NMO333"/>
      <c r="NMP333"/>
      <c r="NMS333"/>
      <c r="NMT333"/>
      <c r="NMW333"/>
      <c r="NMX333"/>
      <c r="NNA333"/>
      <c r="NNB333"/>
      <c r="NNE333"/>
      <c r="NNF333"/>
      <c r="NNI333"/>
      <c r="NNJ333"/>
      <c r="NNM333"/>
      <c r="NNN333"/>
      <c r="NNQ333"/>
      <c r="NNR333"/>
      <c r="NNU333"/>
      <c r="NNV333"/>
      <c r="NNY333"/>
      <c r="NNZ333"/>
      <c r="NOC333"/>
      <c r="NOD333"/>
      <c r="NOG333"/>
      <c r="NOH333"/>
      <c r="NOK333"/>
      <c r="NOL333"/>
      <c r="NOO333"/>
      <c r="NOP333"/>
      <c r="NOS333"/>
      <c r="NOT333"/>
      <c r="NOW333"/>
      <c r="NOX333"/>
      <c r="NPA333"/>
      <c r="NPB333"/>
      <c r="NPE333"/>
      <c r="NPF333"/>
      <c r="NPI333"/>
      <c r="NPJ333"/>
      <c r="NPM333"/>
      <c r="NPN333"/>
      <c r="NPQ333"/>
      <c r="NPR333"/>
      <c r="NPU333"/>
      <c r="NPV333"/>
      <c r="NPY333"/>
      <c r="NPZ333"/>
      <c r="NQC333"/>
      <c r="NQD333"/>
      <c r="NQG333"/>
      <c r="NQH333"/>
      <c r="NQK333"/>
      <c r="NQL333"/>
      <c r="NQO333"/>
      <c r="NQP333"/>
      <c r="NQS333"/>
      <c r="NQT333"/>
      <c r="NQW333"/>
      <c r="NQX333"/>
      <c r="NRA333"/>
      <c r="NRB333"/>
      <c r="NRE333"/>
      <c r="NRF333"/>
      <c r="NRI333"/>
      <c r="NRJ333"/>
      <c r="NRM333"/>
      <c r="NRN333"/>
      <c r="NRQ333"/>
      <c r="NRR333"/>
      <c r="NRU333"/>
      <c r="NRV333"/>
      <c r="NRY333"/>
      <c r="NRZ333"/>
      <c r="NSC333"/>
      <c r="NSD333"/>
      <c r="NSG333"/>
      <c r="NSH333"/>
      <c r="NSK333"/>
      <c r="NSL333"/>
      <c r="NSO333"/>
      <c r="NSP333"/>
      <c r="NSS333"/>
      <c r="NST333"/>
      <c r="NSW333"/>
      <c r="NSX333"/>
      <c r="NTA333"/>
      <c r="NTB333"/>
      <c r="NTE333"/>
      <c r="NTF333"/>
      <c r="NTI333"/>
      <c r="NTJ333"/>
      <c r="NTM333"/>
      <c r="NTN333"/>
      <c r="NTQ333"/>
      <c r="NTR333"/>
      <c r="NTU333"/>
      <c r="NTV333"/>
      <c r="NTY333"/>
      <c r="NTZ333"/>
      <c r="NUC333"/>
      <c r="NUD333"/>
      <c r="NUG333"/>
      <c r="NUH333"/>
      <c r="NUK333"/>
      <c r="NUL333"/>
      <c r="NUO333"/>
      <c r="NUP333"/>
      <c r="NUS333"/>
      <c r="NUT333"/>
      <c r="NUW333"/>
      <c r="NUX333"/>
      <c r="NVA333"/>
      <c r="NVB333"/>
      <c r="NVE333"/>
      <c r="NVF333"/>
      <c r="NVI333"/>
      <c r="NVJ333"/>
      <c r="NVM333"/>
      <c r="NVN333"/>
      <c r="NVQ333"/>
      <c r="NVR333"/>
      <c r="NVU333"/>
      <c r="NVV333"/>
      <c r="NVY333"/>
      <c r="NVZ333"/>
      <c r="NWC333"/>
      <c r="NWD333"/>
      <c r="NWG333"/>
      <c r="NWH333"/>
      <c r="NWK333"/>
      <c r="NWL333"/>
      <c r="NWO333"/>
      <c r="NWP333"/>
      <c r="NWS333"/>
      <c r="NWT333"/>
      <c r="NWW333"/>
      <c r="NWX333"/>
      <c r="NXA333"/>
      <c r="NXB333"/>
      <c r="NXE333"/>
      <c r="NXF333"/>
      <c r="NXI333"/>
      <c r="NXJ333"/>
      <c r="NXM333"/>
      <c r="NXN333"/>
      <c r="NXQ333"/>
      <c r="NXR333"/>
      <c r="NXU333"/>
      <c r="NXV333"/>
      <c r="NXY333"/>
      <c r="NXZ333"/>
      <c r="NYC333"/>
      <c r="NYD333"/>
      <c r="NYG333"/>
      <c r="NYH333"/>
      <c r="NYK333"/>
      <c r="NYL333"/>
      <c r="NYO333"/>
      <c r="NYP333"/>
      <c r="NYS333"/>
      <c r="NYT333"/>
      <c r="NYW333"/>
      <c r="NYX333"/>
      <c r="NZA333"/>
      <c r="NZB333"/>
      <c r="NZE333"/>
      <c r="NZF333"/>
      <c r="NZI333"/>
      <c r="NZJ333"/>
      <c r="NZM333"/>
      <c r="NZN333"/>
      <c r="NZQ333"/>
      <c r="NZR333"/>
      <c r="NZU333"/>
      <c r="NZV333"/>
      <c r="NZY333"/>
      <c r="NZZ333"/>
      <c r="OAC333"/>
      <c r="OAD333"/>
      <c r="OAG333"/>
      <c r="OAH333"/>
      <c r="OAK333"/>
      <c r="OAL333"/>
      <c r="OAO333"/>
      <c r="OAP333"/>
      <c r="OAS333"/>
      <c r="OAT333"/>
      <c r="OAW333"/>
      <c r="OAX333"/>
      <c r="OBA333"/>
      <c r="OBB333"/>
      <c r="OBE333"/>
      <c r="OBF333"/>
      <c r="OBI333"/>
      <c r="OBJ333"/>
      <c r="OBM333"/>
      <c r="OBN333"/>
      <c r="OBQ333"/>
      <c r="OBR333"/>
      <c r="OBU333"/>
      <c r="OBV333"/>
      <c r="OBY333"/>
      <c r="OBZ333"/>
      <c r="OCC333"/>
      <c r="OCD333"/>
      <c r="OCG333"/>
      <c r="OCH333"/>
      <c r="OCK333"/>
      <c r="OCL333"/>
      <c r="OCO333"/>
      <c r="OCP333"/>
      <c r="OCS333"/>
      <c r="OCT333"/>
      <c r="OCW333"/>
      <c r="OCX333"/>
      <c r="ODA333"/>
      <c r="ODB333"/>
      <c r="ODE333"/>
      <c r="ODF333"/>
      <c r="ODI333"/>
      <c r="ODJ333"/>
      <c r="ODM333"/>
      <c r="ODN333"/>
      <c r="ODQ333"/>
      <c r="ODR333"/>
      <c r="ODU333"/>
      <c r="ODV333"/>
      <c r="ODY333"/>
      <c r="ODZ333"/>
      <c r="OEC333"/>
      <c r="OED333"/>
      <c r="OEG333"/>
      <c r="OEH333"/>
      <c r="OEK333"/>
      <c r="OEL333"/>
      <c r="OEO333"/>
      <c r="OEP333"/>
      <c r="OES333"/>
      <c r="OET333"/>
      <c r="OEW333"/>
      <c r="OEX333"/>
      <c r="OFA333"/>
      <c r="OFB333"/>
      <c r="OFE333"/>
      <c r="OFF333"/>
      <c r="OFI333"/>
      <c r="OFJ333"/>
      <c r="OFM333"/>
      <c r="OFN333"/>
      <c r="OFQ333"/>
      <c r="OFR333"/>
      <c r="OFU333"/>
      <c r="OFV333"/>
      <c r="OFY333"/>
      <c r="OFZ333"/>
      <c r="OGC333"/>
      <c r="OGD333"/>
      <c r="OGG333"/>
      <c r="OGH333"/>
      <c r="OGK333"/>
      <c r="OGL333"/>
      <c r="OGO333"/>
      <c r="OGP333"/>
      <c r="OGS333"/>
      <c r="OGT333"/>
      <c r="OGW333"/>
      <c r="OGX333"/>
      <c r="OHA333"/>
      <c r="OHB333"/>
      <c r="OHE333"/>
      <c r="OHF333"/>
      <c r="OHI333"/>
      <c r="OHJ333"/>
      <c r="OHM333"/>
      <c r="OHN333"/>
      <c r="OHQ333"/>
      <c r="OHR333"/>
      <c r="OHU333"/>
      <c r="OHV333"/>
      <c r="OHY333"/>
      <c r="OHZ333"/>
      <c r="OIC333"/>
      <c r="OID333"/>
      <c r="OIG333"/>
      <c r="OIH333"/>
      <c r="OIK333"/>
      <c r="OIL333"/>
      <c r="OIO333"/>
      <c r="OIP333"/>
      <c r="OIS333"/>
      <c r="OIT333"/>
      <c r="OIW333"/>
      <c r="OIX333"/>
      <c r="OJA333"/>
      <c r="OJB333"/>
      <c r="OJE333"/>
      <c r="OJF333"/>
      <c r="OJI333"/>
      <c r="OJJ333"/>
      <c r="OJM333"/>
      <c r="OJN333"/>
      <c r="OJQ333"/>
      <c r="OJR333"/>
      <c r="OJU333"/>
      <c r="OJV333"/>
      <c r="OJY333"/>
      <c r="OJZ333"/>
      <c r="OKC333"/>
      <c r="OKD333"/>
      <c r="OKG333"/>
      <c r="OKH333"/>
      <c r="OKK333"/>
      <c r="OKL333"/>
      <c r="OKO333"/>
      <c r="OKP333"/>
      <c r="OKS333"/>
      <c r="OKT333"/>
      <c r="OKW333"/>
      <c r="OKX333"/>
      <c r="OLA333"/>
      <c r="OLB333"/>
      <c r="OLE333"/>
      <c r="OLF333"/>
      <c r="OLI333"/>
      <c r="OLJ333"/>
      <c r="OLM333"/>
      <c r="OLN333"/>
      <c r="OLQ333"/>
      <c r="OLR333"/>
      <c r="OLU333"/>
      <c r="OLV333"/>
      <c r="OLY333"/>
      <c r="OLZ333"/>
      <c r="OMC333"/>
      <c r="OMD333"/>
      <c r="OMG333"/>
      <c r="OMH333"/>
      <c r="OMK333"/>
      <c r="OML333"/>
      <c r="OMO333"/>
      <c r="OMP333"/>
      <c r="OMS333"/>
      <c r="OMT333"/>
      <c r="OMW333"/>
      <c r="OMX333"/>
      <c r="ONA333"/>
      <c r="ONB333"/>
      <c r="ONE333"/>
      <c r="ONF333"/>
      <c r="ONI333"/>
      <c r="ONJ333"/>
      <c r="ONM333"/>
      <c r="ONN333"/>
      <c r="ONQ333"/>
      <c r="ONR333"/>
      <c r="ONU333"/>
      <c r="ONV333"/>
      <c r="ONY333"/>
      <c r="ONZ333"/>
      <c r="OOC333"/>
      <c r="OOD333"/>
      <c r="OOG333"/>
      <c r="OOH333"/>
      <c r="OOK333"/>
      <c r="OOL333"/>
      <c r="OOO333"/>
      <c r="OOP333"/>
      <c r="OOS333"/>
      <c r="OOT333"/>
      <c r="OOW333"/>
      <c r="OOX333"/>
      <c r="OPA333"/>
      <c r="OPB333"/>
      <c r="OPE333"/>
      <c r="OPF333"/>
      <c r="OPI333"/>
      <c r="OPJ333"/>
      <c r="OPM333"/>
      <c r="OPN333"/>
      <c r="OPQ333"/>
      <c r="OPR333"/>
      <c r="OPU333"/>
      <c r="OPV333"/>
      <c r="OPY333"/>
      <c r="OPZ333"/>
      <c r="OQC333"/>
      <c r="OQD333"/>
      <c r="OQG333"/>
      <c r="OQH333"/>
      <c r="OQK333"/>
      <c r="OQL333"/>
      <c r="OQO333"/>
      <c r="OQP333"/>
      <c r="OQS333"/>
      <c r="OQT333"/>
      <c r="OQW333"/>
      <c r="OQX333"/>
      <c r="ORA333"/>
      <c r="ORB333"/>
      <c r="ORE333"/>
      <c r="ORF333"/>
      <c r="ORI333"/>
      <c r="ORJ333"/>
      <c r="ORM333"/>
      <c r="ORN333"/>
      <c r="ORQ333"/>
      <c r="ORR333"/>
      <c r="ORU333"/>
      <c r="ORV333"/>
      <c r="ORY333"/>
      <c r="ORZ333"/>
      <c r="OSC333"/>
      <c r="OSD333"/>
      <c r="OSG333"/>
      <c r="OSH333"/>
      <c r="OSK333"/>
      <c r="OSL333"/>
      <c r="OSO333"/>
      <c r="OSP333"/>
      <c r="OSS333"/>
      <c r="OST333"/>
      <c r="OSW333"/>
      <c r="OSX333"/>
      <c r="OTA333"/>
      <c r="OTB333"/>
      <c r="OTE333"/>
      <c r="OTF333"/>
      <c r="OTI333"/>
      <c r="OTJ333"/>
      <c r="OTM333"/>
      <c r="OTN333"/>
      <c r="OTQ333"/>
      <c r="OTR333"/>
      <c r="OTU333"/>
      <c r="OTV333"/>
      <c r="OTY333"/>
      <c r="OTZ333"/>
      <c r="OUC333"/>
      <c r="OUD333"/>
      <c r="OUG333"/>
      <c r="OUH333"/>
      <c r="OUK333"/>
      <c r="OUL333"/>
      <c r="OUO333"/>
      <c r="OUP333"/>
      <c r="OUS333"/>
      <c r="OUT333"/>
      <c r="OUW333"/>
      <c r="OUX333"/>
      <c r="OVA333"/>
      <c r="OVB333"/>
      <c r="OVE333"/>
      <c r="OVF333"/>
      <c r="OVI333"/>
      <c r="OVJ333"/>
      <c r="OVM333"/>
      <c r="OVN333"/>
      <c r="OVQ333"/>
      <c r="OVR333"/>
      <c r="OVU333"/>
      <c r="OVV333"/>
      <c r="OVY333"/>
      <c r="OVZ333"/>
      <c r="OWC333"/>
      <c r="OWD333"/>
      <c r="OWG333"/>
      <c r="OWH333"/>
      <c r="OWK333"/>
      <c r="OWL333"/>
      <c r="OWO333"/>
      <c r="OWP333"/>
      <c r="OWS333"/>
      <c r="OWT333"/>
      <c r="OWW333"/>
      <c r="OWX333"/>
      <c r="OXA333"/>
      <c r="OXB333"/>
      <c r="OXE333"/>
      <c r="OXF333"/>
      <c r="OXI333"/>
      <c r="OXJ333"/>
      <c r="OXM333"/>
      <c r="OXN333"/>
      <c r="OXQ333"/>
      <c r="OXR333"/>
      <c r="OXU333"/>
      <c r="OXV333"/>
      <c r="OXY333"/>
      <c r="OXZ333"/>
      <c r="OYC333"/>
      <c r="OYD333"/>
      <c r="OYG333"/>
      <c r="OYH333"/>
      <c r="OYK333"/>
      <c r="OYL333"/>
      <c r="OYO333"/>
      <c r="OYP333"/>
      <c r="OYS333"/>
      <c r="OYT333"/>
      <c r="OYW333"/>
      <c r="OYX333"/>
      <c r="OZA333"/>
      <c r="OZB333"/>
      <c r="OZE333"/>
      <c r="OZF333"/>
      <c r="OZI333"/>
      <c r="OZJ333"/>
      <c r="OZM333"/>
      <c r="OZN333"/>
      <c r="OZQ333"/>
      <c r="OZR333"/>
      <c r="OZU333"/>
      <c r="OZV333"/>
      <c r="OZY333"/>
      <c r="OZZ333"/>
      <c r="PAC333"/>
      <c r="PAD333"/>
      <c r="PAG333"/>
      <c r="PAH333"/>
      <c r="PAK333"/>
      <c r="PAL333"/>
      <c r="PAO333"/>
      <c r="PAP333"/>
      <c r="PAS333"/>
      <c r="PAT333"/>
      <c r="PAW333"/>
      <c r="PAX333"/>
      <c r="PBA333"/>
      <c r="PBB333"/>
      <c r="PBE333"/>
      <c r="PBF333"/>
      <c r="PBI333"/>
      <c r="PBJ333"/>
      <c r="PBM333"/>
      <c r="PBN333"/>
      <c r="PBQ333"/>
      <c r="PBR333"/>
      <c r="PBU333"/>
      <c r="PBV333"/>
      <c r="PBY333"/>
      <c r="PBZ333"/>
      <c r="PCC333"/>
      <c r="PCD333"/>
      <c r="PCG333"/>
      <c r="PCH333"/>
      <c r="PCK333"/>
      <c r="PCL333"/>
      <c r="PCO333"/>
      <c r="PCP333"/>
      <c r="PCS333"/>
      <c r="PCT333"/>
      <c r="PCW333"/>
      <c r="PCX333"/>
      <c r="PDA333"/>
      <c r="PDB333"/>
      <c r="PDE333"/>
      <c r="PDF333"/>
      <c r="PDI333"/>
      <c r="PDJ333"/>
      <c r="PDM333"/>
      <c r="PDN333"/>
      <c r="PDQ333"/>
      <c r="PDR333"/>
      <c r="PDU333"/>
      <c r="PDV333"/>
      <c r="PDY333"/>
      <c r="PDZ333"/>
      <c r="PEC333"/>
      <c r="PED333"/>
      <c r="PEG333"/>
      <c r="PEH333"/>
      <c r="PEK333"/>
      <c r="PEL333"/>
      <c r="PEO333"/>
      <c r="PEP333"/>
      <c r="PES333"/>
      <c r="PET333"/>
      <c r="PEW333"/>
      <c r="PEX333"/>
      <c r="PFA333"/>
      <c r="PFB333"/>
      <c r="PFE333"/>
      <c r="PFF333"/>
      <c r="PFI333"/>
      <c r="PFJ333"/>
      <c r="PFM333"/>
      <c r="PFN333"/>
      <c r="PFQ333"/>
      <c r="PFR333"/>
      <c r="PFU333"/>
      <c r="PFV333"/>
      <c r="PFY333"/>
      <c r="PFZ333"/>
      <c r="PGC333"/>
      <c r="PGD333"/>
      <c r="PGG333"/>
      <c r="PGH333"/>
      <c r="PGK333"/>
      <c r="PGL333"/>
      <c r="PGO333"/>
      <c r="PGP333"/>
      <c r="PGS333"/>
      <c r="PGT333"/>
      <c r="PGW333"/>
      <c r="PGX333"/>
      <c r="PHA333"/>
      <c r="PHB333"/>
      <c r="PHE333"/>
      <c r="PHF333"/>
      <c r="PHI333"/>
      <c r="PHJ333"/>
      <c r="PHM333"/>
      <c r="PHN333"/>
      <c r="PHQ333"/>
      <c r="PHR333"/>
      <c r="PHU333"/>
      <c r="PHV333"/>
      <c r="PHY333"/>
      <c r="PHZ333"/>
      <c r="PIC333"/>
      <c r="PID333"/>
      <c r="PIG333"/>
      <c r="PIH333"/>
      <c r="PIK333"/>
      <c r="PIL333"/>
      <c r="PIO333"/>
      <c r="PIP333"/>
      <c r="PIS333"/>
      <c r="PIT333"/>
      <c r="PIW333"/>
      <c r="PIX333"/>
      <c r="PJA333"/>
      <c r="PJB333"/>
      <c r="PJE333"/>
      <c r="PJF333"/>
      <c r="PJI333"/>
      <c r="PJJ333"/>
      <c r="PJM333"/>
      <c r="PJN333"/>
      <c r="PJQ333"/>
      <c r="PJR333"/>
      <c r="PJU333"/>
      <c r="PJV333"/>
      <c r="PJY333"/>
      <c r="PJZ333"/>
      <c r="PKC333"/>
      <c r="PKD333"/>
      <c r="PKG333"/>
      <c r="PKH333"/>
      <c r="PKK333"/>
      <c r="PKL333"/>
      <c r="PKO333"/>
      <c r="PKP333"/>
      <c r="PKS333"/>
      <c r="PKT333"/>
      <c r="PKW333"/>
      <c r="PKX333"/>
      <c r="PLA333"/>
      <c r="PLB333"/>
      <c r="PLE333"/>
      <c r="PLF333"/>
      <c r="PLI333"/>
      <c r="PLJ333"/>
      <c r="PLM333"/>
      <c r="PLN333"/>
      <c r="PLQ333"/>
      <c r="PLR333"/>
      <c r="PLU333"/>
      <c r="PLV333"/>
      <c r="PLY333"/>
      <c r="PLZ333"/>
      <c r="PMC333"/>
      <c r="PMD333"/>
      <c r="PMG333"/>
      <c r="PMH333"/>
      <c r="PMK333"/>
      <c r="PML333"/>
      <c r="PMO333"/>
      <c r="PMP333"/>
      <c r="PMS333"/>
      <c r="PMT333"/>
      <c r="PMW333"/>
      <c r="PMX333"/>
      <c r="PNA333"/>
      <c r="PNB333"/>
      <c r="PNE333"/>
      <c r="PNF333"/>
      <c r="PNI333"/>
      <c r="PNJ333"/>
      <c r="PNM333"/>
      <c r="PNN333"/>
      <c r="PNQ333"/>
      <c r="PNR333"/>
      <c r="PNU333"/>
      <c r="PNV333"/>
      <c r="PNY333"/>
      <c r="PNZ333"/>
      <c r="POC333"/>
      <c r="POD333"/>
      <c r="POG333"/>
      <c r="POH333"/>
      <c r="POK333"/>
      <c r="POL333"/>
      <c r="POO333"/>
      <c r="POP333"/>
      <c r="POS333"/>
      <c r="POT333"/>
      <c r="POW333"/>
      <c r="POX333"/>
      <c r="PPA333"/>
      <c r="PPB333"/>
      <c r="PPE333"/>
      <c r="PPF333"/>
      <c r="PPI333"/>
      <c r="PPJ333"/>
      <c r="PPM333"/>
      <c r="PPN333"/>
      <c r="PPQ333"/>
      <c r="PPR333"/>
      <c r="PPU333"/>
      <c r="PPV333"/>
      <c r="PPY333"/>
      <c r="PPZ333"/>
      <c r="PQC333"/>
      <c r="PQD333"/>
      <c r="PQG333"/>
      <c r="PQH333"/>
      <c r="PQK333"/>
      <c r="PQL333"/>
      <c r="PQO333"/>
      <c r="PQP333"/>
      <c r="PQS333"/>
      <c r="PQT333"/>
      <c r="PQW333"/>
      <c r="PQX333"/>
      <c r="PRA333"/>
      <c r="PRB333"/>
      <c r="PRE333"/>
      <c r="PRF333"/>
      <c r="PRI333"/>
      <c r="PRJ333"/>
      <c r="PRM333"/>
      <c r="PRN333"/>
      <c r="PRQ333"/>
      <c r="PRR333"/>
      <c r="PRU333"/>
      <c r="PRV333"/>
      <c r="PRY333"/>
      <c r="PRZ333"/>
      <c r="PSC333"/>
      <c r="PSD333"/>
      <c r="PSG333"/>
      <c r="PSH333"/>
      <c r="PSK333"/>
      <c r="PSL333"/>
      <c r="PSO333"/>
      <c r="PSP333"/>
      <c r="PSS333"/>
      <c r="PST333"/>
      <c r="PSW333"/>
      <c r="PSX333"/>
      <c r="PTA333"/>
      <c r="PTB333"/>
      <c r="PTE333"/>
      <c r="PTF333"/>
      <c r="PTI333"/>
      <c r="PTJ333"/>
      <c r="PTM333"/>
      <c r="PTN333"/>
      <c r="PTQ333"/>
      <c r="PTR333"/>
      <c r="PTU333"/>
      <c r="PTV333"/>
      <c r="PTY333"/>
      <c r="PTZ333"/>
      <c r="PUC333"/>
      <c r="PUD333"/>
      <c r="PUG333"/>
      <c r="PUH333"/>
      <c r="PUK333"/>
      <c r="PUL333"/>
      <c r="PUO333"/>
      <c r="PUP333"/>
      <c r="PUS333"/>
      <c r="PUT333"/>
      <c r="PUW333"/>
      <c r="PUX333"/>
      <c r="PVA333"/>
      <c r="PVB333"/>
      <c r="PVE333"/>
      <c r="PVF333"/>
      <c r="PVI333"/>
      <c r="PVJ333"/>
      <c r="PVM333"/>
      <c r="PVN333"/>
      <c r="PVQ333"/>
      <c r="PVR333"/>
      <c r="PVU333"/>
      <c r="PVV333"/>
      <c r="PVY333"/>
      <c r="PVZ333"/>
      <c r="PWC333"/>
      <c r="PWD333"/>
      <c r="PWG333"/>
      <c r="PWH333"/>
      <c r="PWK333"/>
      <c r="PWL333"/>
      <c r="PWO333"/>
      <c r="PWP333"/>
      <c r="PWS333"/>
      <c r="PWT333"/>
      <c r="PWW333"/>
      <c r="PWX333"/>
      <c r="PXA333"/>
      <c r="PXB333"/>
      <c r="PXE333"/>
      <c r="PXF333"/>
      <c r="PXI333"/>
      <c r="PXJ333"/>
      <c r="PXM333"/>
      <c r="PXN333"/>
      <c r="PXQ333"/>
      <c r="PXR333"/>
      <c r="PXU333"/>
      <c r="PXV333"/>
      <c r="PXY333"/>
      <c r="PXZ333"/>
      <c r="PYC333"/>
      <c r="PYD333"/>
      <c r="PYG333"/>
      <c r="PYH333"/>
      <c r="PYK333"/>
      <c r="PYL333"/>
      <c r="PYO333"/>
      <c r="PYP333"/>
      <c r="PYS333"/>
      <c r="PYT333"/>
      <c r="PYW333"/>
      <c r="PYX333"/>
      <c r="PZA333"/>
      <c r="PZB333"/>
      <c r="PZE333"/>
      <c r="PZF333"/>
      <c r="PZI333"/>
      <c r="PZJ333"/>
      <c r="PZM333"/>
      <c r="PZN333"/>
      <c r="PZQ333"/>
      <c r="PZR333"/>
      <c r="PZU333"/>
      <c r="PZV333"/>
      <c r="PZY333"/>
      <c r="PZZ333"/>
      <c r="QAC333"/>
      <c r="QAD333"/>
      <c r="QAG333"/>
      <c r="QAH333"/>
      <c r="QAK333"/>
      <c r="QAL333"/>
      <c r="QAO333"/>
      <c r="QAP333"/>
      <c r="QAS333"/>
      <c r="QAT333"/>
      <c r="QAW333"/>
      <c r="QAX333"/>
      <c r="QBA333"/>
      <c r="QBB333"/>
      <c r="QBE333"/>
      <c r="QBF333"/>
      <c r="QBI333"/>
      <c r="QBJ333"/>
      <c r="QBM333"/>
      <c r="QBN333"/>
      <c r="QBQ333"/>
      <c r="QBR333"/>
      <c r="QBU333"/>
      <c r="QBV333"/>
      <c r="QBY333"/>
      <c r="QBZ333"/>
      <c r="QCC333"/>
      <c r="QCD333"/>
      <c r="QCG333"/>
      <c r="QCH333"/>
      <c r="QCK333"/>
      <c r="QCL333"/>
      <c r="QCO333"/>
      <c r="QCP333"/>
      <c r="QCS333"/>
      <c r="QCT333"/>
      <c r="QCW333"/>
      <c r="QCX333"/>
      <c r="QDA333"/>
      <c r="QDB333"/>
      <c r="QDE333"/>
      <c r="QDF333"/>
      <c r="QDI333"/>
      <c r="QDJ333"/>
      <c r="QDM333"/>
      <c r="QDN333"/>
      <c r="QDQ333"/>
      <c r="QDR333"/>
      <c r="QDU333"/>
      <c r="QDV333"/>
      <c r="QDY333"/>
      <c r="QDZ333"/>
      <c r="QEC333"/>
      <c r="QED333"/>
      <c r="QEG333"/>
      <c r="QEH333"/>
      <c r="QEK333"/>
      <c r="QEL333"/>
      <c r="QEO333"/>
      <c r="QEP333"/>
      <c r="QES333"/>
      <c r="QET333"/>
      <c r="QEW333"/>
      <c r="QEX333"/>
      <c r="QFA333"/>
      <c r="QFB333"/>
      <c r="QFE333"/>
      <c r="QFF333"/>
      <c r="QFI333"/>
      <c r="QFJ333"/>
      <c r="QFM333"/>
      <c r="QFN333"/>
      <c r="QFQ333"/>
      <c r="QFR333"/>
      <c r="QFU333"/>
      <c r="QFV333"/>
      <c r="QFY333"/>
      <c r="QFZ333"/>
      <c r="QGC333"/>
      <c r="QGD333"/>
      <c r="QGG333"/>
      <c r="QGH333"/>
      <c r="QGK333"/>
      <c r="QGL333"/>
      <c r="QGO333"/>
      <c r="QGP333"/>
      <c r="QGS333"/>
      <c r="QGT333"/>
      <c r="QGW333"/>
      <c r="QGX333"/>
      <c r="QHA333"/>
      <c r="QHB333"/>
      <c r="QHE333"/>
      <c r="QHF333"/>
      <c r="QHI333"/>
      <c r="QHJ333"/>
      <c r="QHM333"/>
      <c r="QHN333"/>
      <c r="QHQ333"/>
      <c r="QHR333"/>
      <c r="QHU333"/>
      <c r="QHV333"/>
      <c r="QHY333"/>
      <c r="QHZ333"/>
      <c r="QIC333"/>
      <c r="QID333"/>
      <c r="QIG333"/>
      <c r="QIH333"/>
      <c r="QIK333"/>
      <c r="QIL333"/>
      <c r="QIO333"/>
      <c r="QIP333"/>
      <c r="QIS333"/>
      <c r="QIT333"/>
      <c r="QIW333"/>
      <c r="QIX333"/>
      <c r="QJA333"/>
      <c r="QJB333"/>
      <c r="QJE333"/>
      <c r="QJF333"/>
      <c r="QJI333"/>
      <c r="QJJ333"/>
      <c r="QJM333"/>
      <c r="QJN333"/>
      <c r="QJQ333"/>
      <c r="QJR333"/>
      <c r="QJU333"/>
      <c r="QJV333"/>
      <c r="QJY333"/>
      <c r="QJZ333"/>
      <c r="QKC333"/>
      <c r="QKD333"/>
      <c r="QKG333"/>
      <c r="QKH333"/>
      <c r="QKK333"/>
      <c r="QKL333"/>
      <c r="QKO333"/>
      <c r="QKP333"/>
      <c r="QKS333"/>
      <c r="QKT333"/>
      <c r="QKW333"/>
      <c r="QKX333"/>
      <c r="QLA333"/>
      <c r="QLB333"/>
      <c r="QLE333"/>
      <c r="QLF333"/>
      <c r="QLI333"/>
      <c r="QLJ333"/>
      <c r="QLM333"/>
      <c r="QLN333"/>
      <c r="QLQ333"/>
      <c r="QLR333"/>
      <c r="QLU333"/>
      <c r="QLV333"/>
      <c r="QLY333"/>
      <c r="QLZ333"/>
      <c r="QMC333"/>
      <c r="QMD333"/>
      <c r="QMG333"/>
      <c r="QMH333"/>
      <c r="QMK333"/>
      <c r="QML333"/>
      <c r="QMO333"/>
      <c r="QMP333"/>
      <c r="QMS333"/>
      <c r="QMT333"/>
      <c r="QMW333"/>
      <c r="QMX333"/>
      <c r="QNA333"/>
      <c r="QNB333"/>
      <c r="QNE333"/>
      <c r="QNF333"/>
      <c r="QNI333"/>
      <c r="QNJ333"/>
      <c r="QNM333"/>
      <c r="QNN333"/>
      <c r="QNQ333"/>
      <c r="QNR333"/>
      <c r="QNU333"/>
      <c r="QNV333"/>
      <c r="QNY333"/>
      <c r="QNZ333"/>
      <c r="QOC333"/>
      <c r="QOD333"/>
      <c r="QOG333"/>
      <c r="QOH333"/>
      <c r="QOK333"/>
      <c r="QOL333"/>
      <c r="QOO333"/>
      <c r="QOP333"/>
      <c r="QOS333"/>
      <c r="QOT333"/>
      <c r="QOW333"/>
      <c r="QOX333"/>
      <c r="QPA333"/>
      <c r="QPB333"/>
      <c r="QPE333"/>
      <c r="QPF333"/>
      <c r="QPI333"/>
      <c r="QPJ333"/>
      <c r="QPM333"/>
      <c r="QPN333"/>
      <c r="QPQ333"/>
      <c r="QPR333"/>
      <c r="QPU333"/>
      <c r="QPV333"/>
      <c r="QPY333"/>
      <c r="QPZ333"/>
      <c r="QQC333"/>
      <c r="QQD333"/>
      <c r="QQG333"/>
      <c r="QQH333"/>
      <c r="QQK333"/>
      <c r="QQL333"/>
      <c r="QQO333"/>
      <c r="QQP333"/>
      <c r="QQS333"/>
      <c r="QQT333"/>
      <c r="QQW333"/>
      <c r="QQX333"/>
      <c r="QRA333"/>
      <c r="QRB333"/>
      <c r="QRE333"/>
      <c r="QRF333"/>
      <c r="QRI333"/>
      <c r="QRJ333"/>
      <c r="QRM333"/>
      <c r="QRN333"/>
      <c r="QRQ333"/>
      <c r="QRR333"/>
      <c r="QRU333"/>
      <c r="QRV333"/>
      <c r="QRY333"/>
      <c r="QRZ333"/>
      <c r="QSC333"/>
      <c r="QSD333"/>
      <c r="QSG333"/>
      <c r="QSH333"/>
      <c r="QSK333"/>
      <c r="QSL333"/>
      <c r="QSO333"/>
      <c r="QSP333"/>
      <c r="QSS333"/>
      <c r="QST333"/>
      <c r="QSW333"/>
      <c r="QSX333"/>
      <c r="QTA333"/>
      <c r="QTB333"/>
      <c r="QTE333"/>
      <c r="QTF333"/>
      <c r="QTI333"/>
      <c r="QTJ333"/>
      <c r="QTM333"/>
      <c r="QTN333"/>
      <c r="QTQ333"/>
      <c r="QTR333"/>
      <c r="QTU333"/>
      <c r="QTV333"/>
      <c r="QTY333"/>
      <c r="QTZ333"/>
      <c r="QUC333"/>
      <c r="QUD333"/>
      <c r="QUG333"/>
      <c r="QUH333"/>
      <c r="QUK333"/>
      <c r="QUL333"/>
      <c r="QUO333"/>
      <c r="QUP333"/>
      <c r="QUS333"/>
      <c r="QUT333"/>
      <c r="QUW333"/>
      <c r="QUX333"/>
      <c r="QVA333"/>
      <c r="QVB333"/>
      <c r="QVE333"/>
      <c r="QVF333"/>
      <c r="QVI333"/>
      <c r="QVJ333"/>
      <c r="QVM333"/>
      <c r="QVN333"/>
      <c r="QVQ333"/>
      <c r="QVR333"/>
      <c r="QVU333"/>
      <c r="QVV333"/>
      <c r="QVY333"/>
      <c r="QVZ333"/>
      <c r="QWC333"/>
      <c r="QWD333"/>
      <c r="QWG333"/>
      <c r="QWH333"/>
      <c r="QWK333"/>
      <c r="QWL333"/>
      <c r="QWO333"/>
      <c r="QWP333"/>
      <c r="QWS333"/>
      <c r="QWT333"/>
      <c r="QWW333"/>
      <c r="QWX333"/>
      <c r="QXA333"/>
      <c r="QXB333"/>
      <c r="QXE333"/>
      <c r="QXF333"/>
      <c r="QXI333"/>
      <c r="QXJ333"/>
      <c r="QXM333"/>
      <c r="QXN333"/>
      <c r="QXQ333"/>
      <c r="QXR333"/>
      <c r="QXU333"/>
      <c r="QXV333"/>
      <c r="QXY333"/>
      <c r="QXZ333"/>
      <c r="QYC333"/>
      <c r="QYD333"/>
      <c r="QYG333"/>
      <c r="QYH333"/>
      <c r="QYK333"/>
      <c r="QYL333"/>
      <c r="QYO333"/>
      <c r="QYP333"/>
      <c r="QYS333"/>
      <c r="QYT333"/>
      <c r="QYW333"/>
      <c r="QYX333"/>
      <c r="QZA333"/>
      <c r="QZB333"/>
      <c r="QZE333"/>
      <c r="QZF333"/>
      <c r="QZI333"/>
      <c r="QZJ333"/>
      <c r="QZM333"/>
      <c r="QZN333"/>
      <c r="QZQ333"/>
      <c r="QZR333"/>
      <c r="QZU333"/>
      <c r="QZV333"/>
      <c r="QZY333"/>
      <c r="QZZ333"/>
      <c r="RAC333"/>
      <c r="RAD333"/>
      <c r="RAG333"/>
      <c r="RAH333"/>
      <c r="RAK333"/>
      <c r="RAL333"/>
      <c r="RAO333"/>
      <c r="RAP333"/>
      <c r="RAS333"/>
      <c r="RAT333"/>
      <c r="RAW333"/>
      <c r="RAX333"/>
      <c r="RBA333"/>
      <c r="RBB333"/>
      <c r="RBE333"/>
      <c r="RBF333"/>
      <c r="RBI333"/>
      <c r="RBJ333"/>
      <c r="RBM333"/>
      <c r="RBN333"/>
      <c r="RBQ333"/>
      <c r="RBR333"/>
      <c r="RBU333"/>
      <c r="RBV333"/>
      <c r="RBY333"/>
      <c r="RBZ333"/>
      <c r="RCC333"/>
      <c r="RCD333"/>
      <c r="RCG333"/>
      <c r="RCH333"/>
      <c r="RCK333"/>
      <c r="RCL333"/>
      <c r="RCO333"/>
      <c r="RCP333"/>
      <c r="RCS333"/>
      <c r="RCT333"/>
      <c r="RCW333"/>
      <c r="RCX333"/>
      <c r="RDA333"/>
      <c r="RDB333"/>
      <c r="RDE333"/>
      <c r="RDF333"/>
      <c r="RDI333"/>
      <c r="RDJ333"/>
      <c r="RDM333"/>
      <c r="RDN333"/>
      <c r="RDQ333"/>
      <c r="RDR333"/>
      <c r="RDU333"/>
      <c r="RDV333"/>
      <c r="RDY333"/>
      <c r="RDZ333"/>
      <c r="REC333"/>
      <c r="RED333"/>
      <c r="REG333"/>
      <c r="REH333"/>
      <c r="REK333"/>
      <c r="REL333"/>
      <c r="REO333"/>
      <c r="REP333"/>
      <c r="RES333"/>
      <c r="RET333"/>
      <c r="REW333"/>
      <c r="REX333"/>
      <c r="RFA333"/>
      <c r="RFB333"/>
      <c r="RFE333"/>
      <c r="RFF333"/>
      <c r="RFI333"/>
      <c r="RFJ333"/>
      <c r="RFM333"/>
      <c r="RFN333"/>
      <c r="RFQ333"/>
      <c r="RFR333"/>
      <c r="RFU333"/>
      <c r="RFV333"/>
      <c r="RFY333"/>
      <c r="RFZ333"/>
      <c r="RGC333"/>
      <c r="RGD333"/>
      <c r="RGG333"/>
      <c r="RGH333"/>
      <c r="RGK333"/>
      <c r="RGL333"/>
      <c r="RGO333"/>
      <c r="RGP333"/>
      <c r="RGS333"/>
      <c r="RGT333"/>
      <c r="RGW333"/>
      <c r="RGX333"/>
      <c r="RHA333"/>
      <c r="RHB333"/>
      <c r="RHE333"/>
      <c r="RHF333"/>
      <c r="RHI333"/>
      <c r="RHJ333"/>
      <c r="RHM333"/>
      <c r="RHN333"/>
      <c r="RHQ333"/>
      <c r="RHR333"/>
      <c r="RHU333"/>
      <c r="RHV333"/>
      <c r="RHY333"/>
      <c r="RHZ333"/>
      <c r="RIC333"/>
      <c r="RID333"/>
      <c r="RIG333"/>
      <c r="RIH333"/>
      <c r="RIK333"/>
      <c r="RIL333"/>
      <c r="RIO333"/>
      <c r="RIP333"/>
      <c r="RIS333"/>
      <c r="RIT333"/>
      <c r="RIW333"/>
      <c r="RIX333"/>
      <c r="RJA333"/>
      <c r="RJB333"/>
      <c r="RJE333"/>
      <c r="RJF333"/>
      <c r="RJI333"/>
      <c r="RJJ333"/>
      <c r="RJM333"/>
      <c r="RJN333"/>
      <c r="RJQ333"/>
      <c r="RJR333"/>
      <c r="RJU333"/>
      <c r="RJV333"/>
      <c r="RJY333"/>
      <c r="RJZ333"/>
      <c r="RKC333"/>
      <c r="RKD333"/>
      <c r="RKG333"/>
      <c r="RKH333"/>
      <c r="RKK333"/>
      <c r="RKL333"/>
      <c r="RKO333"/>
      <c r="RKP333"/>
      <c r="RKS333"/>
      <c r="RKT333"/>
      <c r="RKW333"/>
      <c r="RKX333"/>
      <c r="RLA333"/>
      <c r="RLB333"/>
      <c r="RLE333"/>
      <c r="RLF333"/>
      <c r="RLI333"/>
      <c r="RLJ333"/>
      <c r="RLM333"/>
      <c r="RLN333"/>
      <c r="RLQ333"/>
      <c r="RLR333"/>
      <c r="RLU333"/>
      <c r="RLV333"/>
      <c r="RLY333"/>
      <c r="RLZ333"/>
      <c r="RMC333"/>
      <c r="RMD333"/>
      <c r="RMG333"/>
      <c r="RMH333"/>
      <c r="RMK333"/>
      <c r="RML333"/>
      <c r="RMO333"/>
      <c r="RMP333"/>
      <c r="RMS333"/>
      <c r="RMT333"/>
      <c r="RMW333"/>
      <c r="RMX333"/>
      <c r="RNA333"/>
      <c r="RNB333"/>
      <c r="RNE333"/>
      <c r="RNF333"/>
      <c r="RNI333"/>
      <c r="RNJ333"/>
      <c r="RNM333"/>
      <c r="RNN333"/>
      <c r="RNQ333"/>
      <c r="RNR333"/>
      <c r="RNU333"/>
      <c r="RNV333"/>
      <c r="RNY333"/>
      <c r="RNZ333"/>
      <c r="ROC333"/>
      <c r="ROD333"/>
      <c r="ROG333"/>
      <c r="ROH333"/>
      <c r="ROK333"/>
      <c r="ROL333"/>
      <c r="ROO333"/>
      <c r="ROP333"/>
      <c r="ROS333"/>
      <c r="ROT333"/>
      <c r="ROW333"/>
      <c r="ROX333"/>
      <c r="RPA333"/>
      <c r="RPB333"/>
      <c r="RPE333"/>
      <c r="RPF333"/>
      <c r="RPI333"/>
      <c r="RPJ333"/>
      <c r="RPM333"/>
      <c r="RPN333"/>
      <c r="RPQ333"/>
      <c r="RPR333"/>
      <c r="RPU333"/>
      <c r="RPV333"/>
      <c r="RPY333"/>
      <c r="RPZ333"/>
      <c r="RQC333"/>
      <c r="RQD333"/>
      <c r="RQG333"/>
      <c r="RQH333"/>
      <c r="RQK333"/>
      <c r="RQL333"/>
      <c r="RQO333"/>
      <c r="RQP333"/>
      <c r="RQS333"/>
      <c r="RQT333"/>
      <c r="RQW333"/>
      <c r="RQX333"/>
      <c r="RRA333"/>
      <c r="RRB333"/>
      <c r="RRE333"/>
      <c r="RRF333"/>
      <c r="RRI333"/>
      <c r="RRJ333"/>
      <c r="RRM333"/>
      <c r="RRN333"/>
      <c r="RRQ333"/>
      <c r="RRR333"/>
      <c r="RRU333"/>
      <c r="RRV333"/>
      <c r="RRY333"/>
      <c r="RRZ333"/>
      <c r="RSC333"/>
      <c r="RSD333"/>
      <c r="RSG333"/>
      <c r="RSH333"/>
      <c r="RSK333"/>
      <c r="RSL333"/>
      <c r="RSO333"/>
      <c r="RSP333"/>
      <c r="RSS333"/>
      <c r="RST333"/>
      <c r="RSW333"/>
      <c r="RSX333"/>
      <c r="RTA333"/>
      <c r="RTB333"/>
      <c r="RTE333"/>
      <c r="RTF333"/>
      <c r="RTI333"/>
      <c r="RTJ333"/>
      <c r="RTM333"/>
      <c r="RTN333"/>
      <c r="RTQ333"/>
      <c r="RTR333"/>
      <c r="RTU333"/>
      <c r="RTV333"/>
      <c r="RTY333"/>
      <c r="RTZ333"/>
      <c r="RUC333"/>
      <c r="RUD333"/>
      <c r="RUG333"/>
      <c r="RUH333"/>
      <c r="RUK333"/>
      <c r="RUL333"/>
      <c r="RUO333"/>
      <c r="RUP333"/>
      <c r="RUS333"/>
      <c r="RUT333"/>
      <c r="RUW333"/>
      <c r="RUX333"/>
      <c r="RVA333"/>
      <c r="RVB333"/>
      <c r="RVE333"/>
      <c r="RVF333"/>
      <c r="RVI333"/>
      <c r="RVJ333"/>
      <c r="RVM333"/>
      <c r="RVN333"/>
      <c r="RVQ333"/>
      <c r="RVR333"/>
      <c r="RVU333"/>
      <c r="RVV333"/>
      <c r="RVY333"/>
      <c r="RVZ333"/>
      <c r="RWC333"/>
      <c r="RWD333"/>
      <c r="RWG333"/>
      <c r="RWH333"/>
      <c r="RWK333"/>
      <c r="RWL333"/>
      <c r="RWO333"/>
      <c r="RWP333"/>
      <c r="RWS333"/>
      <c r="RWT333"/>
      <c r="RWW333"/>
      <c r="RWX333"/>
      <c r="RXA333"/>
      <c r="RXB333"/>
      <c r="RXE333"/>
      <c r="RXF333"/>
      <c r="RXI333"/>
      <c r="RXJ333"/>
      <c r="RXM333"/>
      <c r="RXN333"/>
      <c r="RXQ333"/>
      <c r="RXR333"/>
      <c r="RXU333"/>
      <c r="RXV333"/>
      <c r="RXY333"/>
      <c r="RXZ333"/>
      <c r="RYC333"/>
      <c r="RYD333"/>
      <c r="RYG333"/>
      <c r="RYH333"/>
      <c r="RYK333"/>
      <c r="RYL333"/>
      <c r="RYO333"/>
      <c r="RYP333"/>
      <c r="RYS333"/>
      <c r="RYT333"/>
      <c r="RYW333"/>
      <c r="RYX333"/>
      <c r="RZA333"/>
      <c r="RZB333"/>
      <c r="RZE333"/>
      <c r="RZF333"/>
      <c r="RZI333"/>
      <c r="RZJ333"/>
      <c r="RZM333"/>
      <c r="RZN333"/>
      <c r="RZQ333"/>
      <c r="RZR333"/>
      <c r="RZU333"/>
      <c r="RZV333"/>
      <c r="RZY333"/>
      <c r="RZZ333"/>
      <c r="SAC333"/>
      <c r="SAD333"/>
      <c r="SAG333"/>
      <c r="SAH333"/>
      <c r="SAK333"/>
      <c r="SAL333"/>
      <c r="SAO333"/>
      <c r="SAP333"/>
      <c r="SAS333"/>
      <c r="SAT333"/>
      <c r="SAW333"/>
      <c r="SAX333"/>
      <c r="SBA333"/>
      <c r="SBB333"/>
      <c r="SBE333"/>
      <c r="SBF333"/>
      <c r="SBI333"/>
      <c r="SBJ333"/>
      <c r="SBM333"/>
      <c r="SBN333"/>
      <c r="SBQ333"/>
      <c r="SBR333"/>
      <c r="SBU333"/>
      <c r="SBV333"/>
      <c r="SBY333"/>
      <c r="SBZ333"/>
      <c r="SCC333"/>
      <c r="SCD333"/>
      <c r="SCG333"/>
      <c r="SCH333"/>
      <c r="SCK333"/>
      <c r="SCL333"/>
      <c r="SCO333"/>
      <c r="SCP333"/>
      <c r="SCS333"/>
      <c r="SCT333"/>
      <c r="SCW333"/>
      <c r="SCX333"/>
      <c r="SDA333"/>
      <c r="SDB333"/>
      <c r="SDE333"/>
      <c r="SDF333"/>
      <c r="SDI333"/>
      <c r="SDJ333"/>
      <c r="SDM333"/>
      <c r="SDN333"/>
      <c r="SDQ333"/>
      <c r="SDR333"/>
      <c r="SDU333"/>
      <c r="SDV333"/>
      <c r="SDY333"/>
      <c r="SDZ333"/>
      <c r="SEC333"/>
      <c r="SED333"/>
      <c r="SEG333"/>
      <c r="SEH333"/>
      <c r="SEK333"/>
      <c r="SEL333"/>
      <c r="SEO333"/>
      <c r="SEP333"/>
      <c r="SES333"/>
      <c r="SET333"/>
      <c r="SEW333"/>
      <c r="SEX333"/>
      <c r="SFA333"/>
      <c r="SFB333"/>
      <c r="SFE333"/>
      <c r="SFF333"/>
      <c r="SFI333"/>
      <c r="SFJ333"/>
      <c r="SFM333"/>
      <c r="SFN333"/>
      <c r="SFQ333"/>
      <c r="SFR333"/>
      <c r="SFU333"/>
      <c r="SFV333"/>
      <c r="SFY333"/>
      <c r="SFZ333"/>
      <c r="SGC333"/>
      <c r="SGD333"/>
      <c r="SGG333"/>
      <c r="SGH333"/>
      <c r="SGK333"/>
      <c r="SGL333"/>
      <c r="SGO333"/>
      <c r="SGP333"/>
      <c r="SGS333"/>
      <c r="SGT333"/>
      <c r="SGW333"/>
      <c r="SGX333"/>
      <c r="SHA333"/>
      <c r="SHB333"/>
      <c r="SHE333"/>
      <c r="SHF333"/>
      <c r="SHI333"/>
      <c r="SHJ333"/>
      <c r="SHM333"/>
      <c r="SHN333"/>
      <c r="SHQ333"/>
      <c r="SHR333"/>
      <c r="SHU333"/>
      <c r="SHV333"/>
      <c r="SHY333"/>
      <c r="SHZ333"/>
      <c r="SIC333"/>
      <c r="SID333"/>
      <c r="SIG333"/>
      <c r="SIH333"/>
      <c r="SIK333"/>
      <c r="SIL333"/>
      <c r="SIO333"/>
      <c r="SIP333"/>
      <c r="SIS333"/>
      <c r="SIT333"/>
      <c r="SIW333"/>
      <c r="SIX333"/>
      <c r="SJA333"/>
      <c r="SJB333"/>
      <c r="SJE333"/>
      <c r="SJF333"/>
      <c r="SJI333"/>
      <c r="SJJ333"/>
      <c r="SJM333"/>
      <c r="SJN333"/>
      <c r="SJQ333"/>
      <c r="SJR333"/>
      <c r="SJU333"/>
      <c r="SJV333"/>
      <c r="SJY333"/>
      <c r="SJZ333"/>
      <c r="SKC333"/>
      <c r="SKD333"/>
      <c r="SKG333"/>
      <c r="SKH333"/>
      <c r="SKK333"/>
      <c r="SKL333"/>
      <c r="SKO333"/>
      <c r="SKP333"/>
      <c r="SKS333"/>
      <c r="SKT333"/>
      <c r="SKW333"/>
      <c r="SKX333"/>
      <c r="SLA333"/>
      <c r="SLB333"/>
      <c r="SLE333"/>
      <c r="SLF333"/>
      <c r="SLI333"/>
      <c r="SLJ333"/>
      <c r="SLM333"/>
      <c r="SLN333"/>
      <c r="SLQ333"/>
      <c r="SLR333"/>
      <c r="SLU333"/>
      <c r="SLV333"/>
      <c r="SLY333"/>
      <c r="SLZ333"/>
      <c r="SMC333"/>
      <c r="SMD333"/>
      <c r="SMG333"/>
      <c r="SMH333"/>
      <c r="SMK333"/>
      <c r="SML333"/>
      <c r="SMO333"/>
      <c r="SMP333"/>
      <c r="SMS333"/>
      <c r="SMT333"/>
      <c r="SMW333"/>
      <c r="SMX333"/>
      <c r="SNA333"/>
      <c r="SNB333"/>
      <c r="SNE333"/>
      <c r="SNF333"/>
      <c r="SNI333"/>
      <c r="SNJ333"/>
      <c r="SNM333"/>
      <c r="SNN333"/>
      <c r="SNQ333"/>
      <c r="SNR333"/>
      <c r="SNU333"/>
      <c r="SNV333"/>
      <c r="SNY333"/>
      <c r="SNZ333"/>
      <c r="SOC333"/>
      <c r="SOD333"/>
      <c r="SOG333"/>
      <c r="SOH333"/>
      <c r="SOK333"/>
      <c r="SOL333"/>
      <c r="SOO333"/>
      <c r="SOP333"/>
      <c r="SOS333"/>
      <c r="SOT333"/>
      <c r="SOW333"/>
      <c r="SOX333"/>
      <c r="SPA333"/>
      <c r="SPB333"/>
      <c r="SPE333"/>
      <c r="SPF333"/>
      <c r="SPI333"/>
      <c r="SPJ333"/>
      <c r="SPM333"/>
      <c r="SPN333"/>
      <c r="SPQ333"/>
      <c r="SPR333"/>
      <c r="SPU333"/>
      <c r="SPV333"/>
      <c r="SPY333"/>
      <c r="SPZ333"/>
      <c r="SQC333"/>
      <c r="SQD333"/>
      <c r="SQG333"/>
      <c r="SQH333"/>
      <c r="SQK333"/>
      <c r="SQL333"/>
      <c r="SQO333"/>
      <c r="SQP333"/>
      <c r="SQS333"/>
      <c r="SQT333"/>
      <c r="SQW333"/>
      <c r="SQX333"/>
      <c r="SRA333"/>
      <c r="SRB333"/>
      <c r="SRE333"/>
      <c r="SRF333"/>
      <c r="SRI333"/>
      <c r="SRJ333"/>
      <c r="SRM333"/>
      <c r="SRN333"/>
      <c r="SRQ333"/>
      <c r="SRR333"/>
      <c r="SRU333"/>
      <c r="SRV333"/>
      <c r="SRY333"/>
      <c r="SRZ333"/>
      <c r="SSC333"/>
      <c r="SSD333"/>
      <c r="SSG333"/>
      <c r="SSH333"/>
      <c r="SSK333"/>
      <c r="SSL333"/>
      <c r="SSO333"/>
      <c r="SSP333"/>
      <c r="SSS333"/>
      <c r="SST333"/>
      <c r="SSW333"/>
      <c r="SSX333"/>
      <c r="STA333"/>
      <c r="STB333"/>
      <c r="STE333"/>
      <c r="STF333"/>
      <c r="STI333"/>
      <c r="STJ333"/>
      <c r="STM333"/>
      <c r="STN333"/>
      <c r="STQ333"/>
      <c r="STR333"/>
      <c r="STU333"/>
      <c r="STV333"/>
      <c r="STY333"/>
      <c r="STZ333"/>
      <c r="SUC333"/>
      <c r="SUD333"/>
      <c r="SUG333"/>
      <c r="SUH333"/>
      <c r="SUK333"/>
      <c r="SUL333"/>
      <c r="SUO333"/>
      <c r="SUP333"/>
      <c r="SUS333"/>
      <c r="SUT333"/>
      <c r="SUW333"/>
      <c r="SUX333"/>
      <c r="SVA333"/>
      <c r="SVB333"/>
      <c r="SVE333"/>
      <c r="SVF333"/>
      <c r="SVI333"/>
      <c r="SVJ333"/>
      <c r="SVM333"/>
      <c r="SVN333"/>
      <c r="SVQ333"/>
      <c r="SVR333"/>
      <c r="SVU333"/>
      <c r="SVV333"/>
      <c r="SVY333"/>
      <c r="SVZ333"/>
      <c r="SWC333"/>
      <c r="SWD333"/>
      <c r="SWG333"/>
      <c r="SWH333"/>
      <c r="SWK333"/>
      <c r="SWL333"/>
      <c r="SWO333"/>
      <c r="SWP333"/>
      <c r="SWS333"/>
      <c r="SWT333"/>
      <c r="SWW333"/>
      <c r="SWX333"/>
      <c r="SXA333"/>
      <c r="SXB333"/>
      <c r="SXE333"/>
      <c r="SXF333"/>
      <c r="SXI333"/>
      <c r="SXJ333"/>
      <c r="SXM333"/>
      <c r="SXN333"/>
      <c r="SXQ333"/>
      <c r="SXR333"/>
      <c r="SXU333"/>
      <c r="SXV333"/>
      <c r="SXY333"/>
      <c r="SXZ333"/>
      <c r="SYC333"/>
      <c r="SYD333"/>
      <c r="SYG333"/>
      <c r="SYH333"/>
      <c r="SYK333"/>
      <c r="SYL333"/>
      <c r="SYO333"/>
      <c r="SYP333"/>
      <c r="SYS333"/>
      <c r="SYT333"/>
      <c r="SYW333"/>
      <c r="SYX333"/>
      <c r="SZA333"/>
      <c r="SZB333"/>
      <c r="SZE333"/>
      <c r="SZF333"/>
      <c r="SZI333"/>
      <c r="SZJ333"/>
      <c r="SZM333"/>
      <c r="SZN333"/>
      <c r="SZQ333"/>
      <c r="SZR333"/>
      <c r="SZU333"/>
      <c r="SZV333"/>
      <c r="SZY333"/>
      <c r="SZZ333"/>
      <c r="TAC333"/>
      <c r="TAD333"/>
      <c r="TAG333"/>
      <c r="TAH333"/>
      <c r="TAK333"/>
      <c r="TAL333"/>
      <c r="TAO333"/>
      <c r="TAP333"/>
      <c r="TAS333"/>
      <c r="TAT333"/>
      <c r="TAW333"/>
      <c r="TAX333"/>
      <c r="TBA333"/>
      <c r="TBB333"/>
      <c r="TBE333"/>
      <c r="TBF333"/>
      <c r="TBI333"/>
      <c r="TBJ333"/>
      <c r="TBM333"/>
      <c r="TBN333"/>
      <c r="TBQ333"/>
      <c r="TBR333"/>
      <c r="TBU333"/>
      <c r="TBV333"/>
      <c r="TBY333"/>
      <c r="TBZ333"/>
      <c r="TCC333"/>
      <c r="TCD333"/>
      <c r="TCG333"/>
      <c r="TCH333"/>
      <c r="TCK333"/>
      <c r="TCL333"/>
      <c r="TCO333"/>
      <c r="TCP333"/>
      <c r="TCS333"/>
      <c r="TCT333"/>
      <c r="TCW333"/>
      <c r="TCX333"/>
      <c r="TDA333"/>
      <c r="TDB333"/>
      <c r="TDE333"/>
      <c r="TDF333"/>
      <c r="TDI333"/>
      <c r="TDJ333"/>
      <c r="TDM333"/>
      <c r="TDN333"/>
      <c r="TDQ333"/>
      <c r="TDR333"/>
      <c r="TDU333"/>
      <c r="TDV333"/>
      <c r="TDY333"/>
      <c r="TDZ333"/>
      <c r="TEC333"/>
      <c r="TED333"/>
      <c r="TEG333"/>
      <c r="TEH333"/>
      <c r="TEK333"/>
      <c r="TEL333"/>
      <c r="TEO333"/>
      <c r="TEP333"/>
      <c r="TES333"/>
      <c r="TET333"/>
      <c r="TEW333"/>
      <c r="TEX333"/>
      <c r="TFA333"/>
      <c r="TFB333"/>
      <c r="TFE333"/>
      <c r="TFF333"/>
      <c r="TFI333"/>
      <c r="TFJ333"/>
      <c r="TFM333"/>
      <c r="TFN333"/>
      <c r="TFQ333"/>
      <c r="TFR333"/>
      <c r="TFU333"/>
      <c r="TFV333"/>
      <c r="TFY333"/>
      <c r="TFZ333"/>
      <c r="TGC333"/>
      <c r="TGD333"/>
      <c r="TGG333"/>
      <c r="TGH333"/>
      <c r="TGK333"/>
      <c r="TGL333"/>
      <c r="TGO333"/>
      <c r="TGP333"/>
      <c r="TGS333"/>
      <c r="TGT333"/>
      <c r="TGW333"/>
      <c r="TGX333"/>
      <c r="THA333"/>
      <c r="THB333"/>
      <c r="THE333"/>
      <c r="THF333"/>
      <c r="THI333"/>
      <c r="THJ333"/>
      <c r="THM333"/>
      <c r="THN333"/>
      <c r="THQ333"/>
      <c r="THR333"/>
      <c r="THU333"/>
      <c r="THV333"/>
      <c r="THY333"/>
      <c r="THZ333"/>
      <c r="TIC333"/>
      <c r="TID333"/>
      <c r="TIG333"/>
      <c r="TIH333"/>
      <c r="TIK333"/>
      <c r="TIL333"/>
      <c r="TIO333"/>
      <c r="TIP333"/>
      <c r="TIS333"/>
      <c r="TIT333"/>
      <c r="TIW333"/>
      <c r="TIX333"/>
      <c r="TJA333"/>
      <c r="TJB333"/>
      <c r="TJE333"/>
      <c r="TJF333"/>
      <c r="TJI333"/>
      <c r="TJJ333"/>
      <c r="TJM333"/>
      <c r="TJN333"/>
      <c r="TJQ333"/>
      <c r="TJR333"/>
      <c r="TJU333"/>
      <c r="TJV333"/>
      <c r="TJY333"/>
      <c r="TJZ333"/>
      <c r="TKC333"/>
      <c r="TKD333"/>
      <c r="TKG333"/>
      <c r="TKH333"/>
      <c r="TKK333"/>
      <c r="TKL333"/>
      <c r="TKO333"/>
      <c r="TKP333"/>
      <c r="TKS333"/>
      <c r="TKT333"/>
      <c r="TKW333"/>
      <c r="TKX333"/>
      <c r="TLA333"/>
      <c r="TLB333"/>
      <c r="TLE333"/>
      <c r="TLF333"/>
      <c r="TLI333"/>
      <c r="TLJ333"/>
      <c r="TLM333"/>
      <c r="TLN333"/>
      <c r="TLQ333"/>
      <c r="TLR333"/>
      <c r="TLU333"/>
      <c r="TLV333"/>
      <c r="TLY333"/>
      <c r="TLZ333"/>
      <c r="TMC333"/>
      <c r="TMD333"/>
      <c r="TMG333"/>
      <c r="TMH333"/>
      <c r="TMK333"/>
      <c r="TML333"/>
      <c r="TMO333"/>
      <c r="TMP333"/>
      <c r="TMS333"/>
      <c r="TMT333"/>
      <c r="TMW333"/>
      <c r="TMX333"/>
      <c r="TNA333"/>
      <c r="TNB333"/>
      <c r="TNE333"/>
      <c r="TNF333"/>
      <c r="TNI333"/>
      <c r="TNJ333"/>
      <c r="TNM333"/>
      <c r="TNN333"/>
      <c r="TNQ333"/>
      <c r="TNR333"/>
      <c r="TNU333"/>
      <c r="TNV333"/>
      <c r="TNY333"/>
      <c r="TNZ333"/>
      <c r="TOC333"/>
      <c r="TOD333"/>
      <c r="TOG333"/>
      <c r="TOH333"/>
      <c r="TOK333"/>
      <c r="TOL333"/>
      <c r="TOO333"/>
      <c r="TOP333"/>
      <c r="TOS333"/>
      <c r="TOT333"/>
      <c r="TOW333"/>
      <c r="TOX333"/>
      <c r="TPA333"/>
      <c r="TPB333"/>
      <c r="TPE333"/>
      <c r="TPF333"/>
      <c r="TPI333"/>
      <c r="TPJ333"/>
      <c r="TPM333"/>
      <c r="TPN333"/>
      <c r="TPQ333"/>
      <c r="TPR333"/>
      <c r="TPU333"/>
      <c r="TPV333"/>
      <c r="TPY333"/>
      <c r="TPZ333"/>
      <c r="TQC333"/>
      <c r="TQD333"/>
      <c r="TQG333"/>
      <c r="TQH333"/>
      <c r="TQK333"/>
      <c r="TQL333"/>
      <c r="TQO333"/>
      <c r="TQP333"/>
      <c r="TQS333"/>
      <c r="TQT333"/>
      <c r="TQW333"/>
      <c r="TQX333"/>
      <c r="TRA333"/>
      <c r="TRB333"/>
      <c r="TRE333"/>
      <c r="TRF333"/>
      <c r="TRI333"/>
      <c r="TRJ333"/>
      <c r="TRM333"/>
      <c r="TRN333"/>
      <c r="TRQ333"/>
      <c r="TRR333"/>
      <c r="TRU333"/>
      <c r="TRV333"/>
      <c r="TRY333"/>
      <c r="TRZ333"/>
      <c r="TSC333"/>
      <c r="TSD333"/>
      <c r="TSG333"/>
      <c r="TSH333"/>
      <c r="TSK333"/>
      <c r="TSL333"/>
      <c r="TSO333"/>
      <c r="TSP333"/>
      <c r="TSS333"/>
      <c r="TST333"/>
      <c r="TSW333"/>
      <c r="TSX333"/>
      <c r="TTA333"/>
      <c r="TTB333"/>
      <c r="TTE333"/>
      <c r="TTF333"/>
      <c r="TTI333"/>
      <c r="TTJ333"/>
      <c r="TTM333"/>
      <c r="TTN333"/>
      <c r="TTQ333"/>
      <c r="TTR333"/>
      <c r="TTU333"/>
      <c r="TTV333"/>
      <c r="TTY333"/>
      <c r="TTZ333"/>
      <c r="TUC333"/>
      <c r="TUD333"/>
      <c r="TUG333"/>
      <c r="TUH333"/>
      <c r="TUK333"/>
      <c r="TUL333"/>
      <c r="TUO333"/>
      <c r="TUP333"/>
      <c r="TUS333"/>
      <c r="TUT333"/>
      <c r="TUW333"/>
      <c r="TUX333"/>
      <c r="TVA333"/>
      <c r="TVB333"/>
      <c r="TVE333"/>
      <c r="TVF333"/>
      <c r="TVI333"/>
      <c r="TVJ333"/>
      <c r="TVM333"/>
      <c r="TVN333"/>
      <c r="TVQ333"/>
      <c r="TVR333"/>
      <c r="TVU333"/>
      <c r="TVV333"/>
      <c r="TVY333"/>
      <c r="TVZ333"/>
      <c r="TWC333"/>
      <c r="TWD333"/>
      <c r="TWG333"/>
      <c r="TWH333"/>
      <c r="TWK333"/>
      <c r="TWL333"/>
      <c r="TWO333"/>
      <c r="TWP333"/>
      <c r="TWS333"/>
      <c r="TWT333"/>
      <c r="TWW333"/>
      <c r="TWX333"/>
      <c r="TXA333"/>
      <c r="TXB333"/>
      <c r="TXE333"/>
      <c r="TXF333"/>
      <c r="TXI333"/>
      <c r="TXJ333"/>
      <c r="TXM333"/>
      <c r="TXN333"/>
      <c r="TXQ333"/>
      <c r="TXR333"/>
      <c r="TXU333"/>
      <c r="TXV333"/>
      <c r="TXY333"/>
      <c r="TXZ333"/>
      <c r="TYC333"/>
      <c r="TYD333"/>
      <c r="TYG333"/>
      <c r="TYH333"/>
      <c r="TYK333"/>
      <c r="TYL333"/>
      <c r="TYO333"/>
      <c r="TYP333"/>
      <c r="TYS333"/>
      <c r="TYT333"/>
      <c r="TYW333"/>
      <c r="TYX333"/>
      <c r="TZA333"/>
      <c r="TZB333"/>
      <c r="TZE333"/>
      <c r="TZF333"/>
      <c r="TZI333"/>
      <c r="TZJ333"/>
      <c r="TZM333"/>
      <c r="TZN333"/>
      <c r="TZQ333"/>
      <c r="TZR333"/>
      <c r="TZU333"/>
      <c r="TZV333"/>
      <c r="TZY333"/>
      <c r="TZZ333"/>
      <c r="UAC333"/>
      <c r="UAD333"/>
      <c r="UAG333"/>
      <c r="UAH333"/>
      <c r="UAK333"/>
      <c r="UAL333"/>
      <c r="UAO333"/>
      <c r="UAP333"/>
      <c r="UAS333"/>
      <c r="UAT333"/>
      <c r="UAW333"/>
      <c r="UAX333"/>
      <c r="UBA333"/>
      <c r="UBB333"/>
      <c r="UBE333"/>
      <c r="UBF333"/>
      <c r="UBI333"/>
      <c r="UBJ333"/>
      <c r="UBM333"/>
      <c r="UBN333"/>
      <c r="UBQ333"/>
      <c r="UBR333"/>
      <c r="UBU333"/>
      <c r="UBV333"/>
      <c r="UBY333"/>
      <c r="UBZ333"/>
      <c r="UCC333"/>
      <c r="UCD333"/>
      <c r="UCG333"/>
      <c r="UCH333"/>
      <c r="UCK333"/>
      <c r="UCL333"/>
      <c r="UCO333"/>
      <c r="UCP333"/>
      <c r="UCS333"/>
      <c r="UCT333"/>
      <c r="UCW333"/>
      <c r="UCX333"/>
      <c r="UDA333"/>
      <c r="UDB333"/>
      <c r="UDE333"/>
      <c r="UDF333"/>
      <c r="UDI333"/>
      <c r="UDJ333"/>
      <c r="UDM333"/>
      <c r="UDN333"/>
      <c r="UDQ333"/>
      <c r="UDR333"/>
      <c r="UDU333"/>
      <c r="UDV333"/>
      <c r="UDY333"/>
      <c r="UDZ333"/>
      <c r="UEC333"/>
      <c r="UED333"/>
      <c r="UEG333"/>
      <c r="UEH333"/>
      <c r="UEK333"/>
      <c r="UEL333"/>
      <c r="UEO333"/>
      <c r="UEP333"/>
      <c r="UES333"/>
      <c r="UET333"/>
      <c r="UEW333"/>
      <c r="UEX333"/>
      <c r="UFA333"/>
      <c r="UFB333"/>
      <c r="UFE333"/>
      <c r="UFF333"/>
      <c r="UFI333"/>
      <c r="UFJ333"/>
      <c r="UFM333"/>
      <c r="UFN333"/>
      <c r="UFQ333"/>
      <c r="UFR333"/>
      <c r="UFU333"/>
      <c r="UFV333"/>
      <c r="UFY333"/>
      <c r="UFZ333"/>
      <c r="UGC333"/>
      <c r="UGD333"/>
      <c r="UGG333"/>
      <c r="UGH333"/>
      <c r="UGK333"/>
      <c r="UGL333"/>
      <c r="UGO333"/>
      <c r="UGP333"/>
      <c r="UGS333"/>
      <c r="UGT333"/>
      <c r="UGW333"/>
      <c r="UGX333"/>
      <c r="UHA333"/>
      <c r="UHB333"/>
      <c r="UHE333"/>
      <c r="UHF333"/>
      <c r="UHI333"/>
      <c r="UHJ333"/>
      <c r="UHM333"/>
      <c r="UHN333"/>
      <c r="UHQ333"/>
      <c r="UHR333"/>
      <c r="UHU333"/>
      <c r="UHV333"/>
      <c r="UHY333"/>
      <c r="UHZ333"/>
      <c r="UIC333"/>
      <c r="UID333"/>
      <c r="UIG333"/>
      <c r="UIH333"/>
      <c r="UIK333"/>
      <c r="UIL333"/>
      <c r="UIO333"/>
      <c r="UIP333"/>
      <c r="UIS333"/>
      <c r="UIT333"/>
      <c r="UIW333"/>
      <c r="UIX333"/>
      <c r="UJA333"/>
      <c r="UJB333"/>
      <c r="UJE333"/>
      <c r="UJF333"/>
      <c r="UJI333"/>
      <c r="UJJ333"/>
      <c r="UJM333"/>
      <c r="UJN333"/>
      <c r="UJQ333"/>
      <c r="UJR333"/>
      <c r="UJU333"/>
      <c r="UJV333"/>
      <c r="UJY333"/>
      <c r="UJZ333"/>
      <c r="UKC333"/>
      <c r="UKD333"/>
      <c r="UKG333"/>
      <c r="UKH333"/>
      <c r="UKK333"/>
      <c r="UKL333"/>
      <c r="UKO333"/>
      <c r="UKP333"/>
      <c r="UKS333"/>
      <c r="UKT333"/>
      <c r="UKW333"/>
      <c r="UKX333"/>
      <c r="ULA333"/>
      <c r="ULB333"/>
      <c r="ULE333"/>
      <c r="ULF333"/>
      <c r="ULI333"/>
      <c r="ULJ333"/>
      <c r="ULM333"/>
      <c r="ULN333"/>
      <c r="ULQ333"/>
      <c r="ULR333"/>
      <c r="ULU333"/>
      <c r="ULV333"/>
      <c r="ULY333"/>
      <c r="ULZ333"/>
      <c r="UMC333"/>
      <c r="UMD333"/>
      <c r="UMG333"/>
      <c r="UMH333"/>
      <c r="UMK333"/>
      <c r="UML333"/>
      <c r="UMO333"/>
      <c r="UMP333"/>
      <c r="UMS333"/>
      <c r="UMT333"/>
      <c r="UMW333"/>
      <c r="UMX333"/>
      <c r="UNA333"/>
      <c r="UNB333"/>
      <c r="UNE333"/>
      <c r="UNF333"/>
      <c r="UNI333"/>
      <c r="UNJ333"/>
      <c r="UNM333"/>
      <c r="UNN333"/>
      <c r="UNQ333"/>
      <c r="UNR333"/>
      <c r="UNU333"/>
      <c r="UNV333"/>
      <c r="UNY333"/>
      <c r="UNZ333"/>
      <c r="UOC333"/>
      <c r="UOD333"/>
      <c r="UOG333"/>
      <c r="UOH333"/>
      <c r="UOK333"/>
      <c r="UOL333"/>
      <c r="UOO333"/>
      <c r="UOP333"/>
      <c r="UOS333"/>
      <c r="UOT333"/>
      <c r="UOW333"/>
      <c r="UOX333"/>
      <c r="UPA333"/>
      <c r="UPB333"/>
      <c r="UPE333"/>
      <c r="UPF333"/>
      <c r="UPI333"/>
      <c r="UPJ333"/>
      <c r="UPM333"/>
      <c r="UPN333"/>
      <c r="UPQ333"/>
      <c r="UPR333"/>
      <c r="UPU333"/>
      <c r="UPV333"/>
      <c r="UPY333"/>
      <c r="UPZ333"/>
      <c r="UQC333"/>
      <c r="UQD333"/>
      <c r="UQG333"/>
      <c r="UQH333"/>
      <c r="UQK333"/>
      <c r="UQL333"/>
      <c r="UQO333"/>
      <c r="UQP333"/>
      <c r="UQS333"/>
      <c r="UQT333"/>
      <c r="UQW333"/>
      <c r="UQX333"/>
      <c r="URA333"/>
      <c r="URB333"/>
      <c r="URE333"/>
      <c r="URF333"/>
      <c r="URI333"/>
      <c r="URJ333"/>
      <c r="URM333"/>
      <c r="URN333"/>
      <c r="URQ333"/>
      <c r="URR333"/>
      <c r="URU333"/>
      <c r="URV333"/>
      <c r="URY333"/>
      <c r="URZ333"/>
      <c r="USC333"/>
      <c r="USD333"/>
      <c r="USG333"/>
      <c r="USH333"/>
      <c r="USK333"/>
      <c r="USL333"/>
      <c r="USO333"/>
      <c r="USP333"/>
      <c r="USS333"/>
      <c r="UST333"/>
      <c r="USW333"/>
      <c r="USX333"/>
      <c r="UTA333"/>
      <c r="UTB333"/>
      <c r="UTE333"/>
      <c r="UTF333"/>
      <c r="UTI333"/>
      <c r="UTJ333"/>
      <c r="UTM333"/>
      <c r="UTN333"/>
      <c r="UTQ333"/>
      <c r="UTR333"/>
      <c r="UTU333"/>
      <c r="UTV333"/>
      <c r="UTY333"/>
      <c r="UTZ333"/>
      <c r="UUC333"/>
      <c r="UUD333"/>
      <c r="UUG333"/>
      <c r="UUH333"/>
      <c r="UUK333"/>
      <c r="UUL333"/>
      <c r="UUO333"/>
      <c r="UUP333"/>
      <c r="UUS333"/>
      <c r="UUT333"/>
      <c r="UUW333"/>
      <c r="UUX333"/>
      <c r="UVA333"/>
      <c r="UVB333"/>
      <c r="UVE333"/>
      <c r="UVF333"/>
      <c r="UVI333"/>
      <c r="UVJ333"/>
      <c r="UVM333"/>
      <c r="UVN333"/>
      <c r="UVQ333"/>
      <c r="UVR333"/>
      <c r="UVU333"/>
      <c r="UVV333"/>
      <c r="UVY333"/>
      <c r="UVZ333"/>
      <c r="UWC333"/>
      <c r="UWD333"/>
      <c r="UWG333"/>
      <c r="UWH333"/>
      <c r="UWK333"/>
      <c r="UWL333"/>
      <c r="UWO333"/>
      <c r="UWP333"/>
      <c r="UWS333"/>
      <c r="UWT333"/>
      <c r="UWW333"/>
      <c r="UWX333"/>
      <c r="UXA333"/>
      <c r="UXB333"/>
      <c r="UXE333"/>
      <c r="UXF333"/>
      <c r="UXI333"/>
      <c r="UXJ333"/>
      <c r="UXM333"/>
      <c r="UXN333"/>
      <c r="UXQ333"/>
      <c r="UXR333"/>
      <c r="UXU333"/>
      <c r="UXV333"/>
      <c r="UXY333"/>
      <c r="UXZ333"/>
      <c r="UYC333"/>
      <c r="UYD333"/>
      <c r="UYG333"/>
      <c r="UYH333"/>
      <c r="UYK333"/>
      <c r="UYL333"/>
      <c r="UYO333"/>
      <c r="UYP333"/>
      <c r="UYS333"/>
      <c r="UYT333"/>
      <c r="UYW333"/>
      <c r="UYX333"/>
      <c r="UZA333"/>
      <c r="UZB333"/>
      <c r="UZE333"/>
      <c r="UZF333"/>
      <c r="UZI333"/>
      <c r="UZJ333"/>
      <c r="UZM333"/>
      <c r="UZN333"/>
      <c r="UZQ333"/>
      <c r="UZR333"/>
      <c r="UZU333"/>
      <c r="UZV333"/>
      <c r="UZY333"/>
      <c r="UZZ333"/>
      <c r="VAC333"/>
      <c r="VAD333"/>
      <c r="VAG333"/>
      <c r="VAH333"/>
      <c r="VAK333"/>
      <c r="VAL333"/>
      <c r="VAO333"/>
      <c r="VAP333"/>
      <c r="VAS333"/>
      <c r="VAT333"/>
      <c r="VAW333"/>
      <c r="VAX333"/>
      <c r="VBA333"/>
      <c r="VBB333"/>
      <c r="VBE333"/>
      <c r="VBF333"/>
      <c r="VBI333"/>
      <c r="VBJ333"/>
      <c r="VBM333"/>
      <c r="VBN333"/>
      <c r="VBQ333"/>
      <c r="VBR333"/>
      <c r="VBU333"/>
      <c r="VBV333"/>
      <c r="VBY333"/>
      <c r="VBZ333"/>
      <c r="VCC333"/>
      <c r="VCD333"/>
      <c r="VCG333"/>
      <c r="VCH333"/>
      <c r="VCK333"/>
      <c r="VCL333"/>
      <c r="VCO333"/>
      <c r="VCP333"/>
      <c r="VCS333"/>
      <c r="VCT333"/>
      <c r="VCW333"/>
      <c r="VCX333"/>
      <c r="VDA333"/>
      <c r="VDB333"/>
      <c r="VDE333"/>
      <c r="VDF333"/>
      <c r="VDI333"/>
      <c r="VDJ333"/>
      <c r="VDM333"/>
      <c r="VDN333"/>
      <c r="VDQ333"/>
      <c r="VDR333"/>
      <c r="VDU333"/>
      <c r="VDV333"/>
      <c r="VDY333"/>
      <c r="VDZ333"/>
      <c r="VEC333"/>
      <c r="VED333"/>
      <c r="VEG333"/>
      <c r="VEH333"/>
      <c r="VEK333"/>
      <c r="VEL333"/>
      <c r="VEO333"/>
      <c r="VEP333"/>
      <c r="VES333"/>
      <c r="VET333"/>
      <c r="VEW333"/>
      <c r="VEX333"/>
      <c r="VFA333"/>
      <c r="VFB333"/>
      <c r="VFE333"/>
      <c r="VFF333"/>
      <c r="VFI333"/>
      <c r="VFJ333"/>
      <c r="VFM333"/>
      <c r="VFN333"/>
      <c r="VFQ333"/>
      <c r="VFR333"/>
      <c r="VFU333"/>
      <c r="VFV333"/>
      <c r="VFY333"/>
      <c r="VFZ333"/>
      <c r="VGC333"/>
      <c r="VGD333"/>
      <c r="VGG333"/>
      <c r="VGH333"/>
      <c r="VGK333"/>
      <c r="VGL333"/>
      <c r="VGO333"/>
      <c r="VGP333"/>
      <c r="VGS333"/>
      <c r="VGT333"/>
      <c r="VGW333"/>
      <c r="VGX333"/>
      <c r="VHA333"/>
      <c r="VHB333"/>
      <c r="VHE333"/>
      <c r="VHF333"/>
      <c r="VHI333"/>
      <c r="VHJ333"/>
      <c r="VHM333"/>
      <c r="VHN333"/>
      <c r="VHQ333"/>
      <c r="VHR333"/>
      <c r="VHU333"/>
      <c r="VHV333"/>
      <c r="VHY333"/>
      <c r="VHZ333"/>
      <c r="VIC333"/>
      <c r="VID333"/>
      <c r="VIG333"/>
      <c r="VIH333"/>
      <c r="VIK333"/>
      <c r="VIL333"/>
      <c r="VIO333"/>
      <c r="VIP333"/>
      <c r="VIS333"/>
      <c r="VIT333"/>
      <c r="VIW333"/>
      <c r="VIX333"/>
      <c r="VJA333"/>
      <c r="VJB333"/>
      <c r="VJE333"/>
      <c r="VJF333"/>
      <c r="VJI333"/>
      <c r="VJJ333"/>
      <c r="VJM333"/>
      <c r="VJN333"/>
      <c r="VJQ333"/>
      <c r="VJR333"/>
      <c r="VJU333"/>
      <c r="VJV333"/>
      <c r="VJY333"/>
      <c r="VJZ333"/>
      <c r="VKC333"/>
      <c r="VKD333"/>
      <c r="VKG333"/>
      <c r="VKH333"/>
      <c r="VKK333"/>
      <c r="VKL333"/>
      <c r="VKO333"/>
      <c r="VKP333"/>
      <c r="VKS333"/>
      <c r="VKT333"/>
      <c r="VKW333"/>
      <c r="VKX333"/>
      <c r="VLA333"/>
      <c r="VLB333"/>
      <c r="VLE333"/>
      <c r="VLF333"/>
      <c r="VLI333"/>
      <c r="VLJ333"/>
      <c r="VLM333"/>
      <c r="VLN333"/>
      <c r="VLQ333"/>
      <c r="VLR333"/>
      <c r="VLU333"/>
      <c r="VLV333"/>
      <c r="VLY333"/>
      <c r="VLZ333"/>
      <c r="VMC333"/>
      <c r="VMD333"/>
      <c r="VMG333"/>
      <c r="VMH333"/>
      <c r="VMK333"/>
      <c r="VML333"/>
      <c r="VMO333"/>
      <c r="VMP333"/>
      <c r="VMS333"/>
      <c r="VMT333"/>
      <c r="VMW333"/>
      <c r="VMX333"/>
      <c r="VNA333"/>
      <c r="VNB333"/>
      <c r="VNE333"/>
      <c r="VNF333"/>
      <c r="VNI333"/>
      <c r="VNJ333"/>
      <c r="VNM333"/>
      <c r="VNN333"/>
      <c r="VNQ333"/>
      <c r="VNR333"/>
      <c r="VNU333"/>
      <c r="VNV333"/>
      <c r="VNY333"/>
      <c r="VNZ333"/>
      <c r="VOC333"/>
      <c r="VOD333"/>
      <c r="VOG333"/>
      <c r="VOH333"/>
      <c r="VOK333"/>
      <c r="VOL333"/>
      <c r="VOO333"/>
      <c r="VOP333"/>
      <c r="VOS333"/>
      <c r="VOT333"/>
      <c r="VOW333"/>
      <c r="VOX333"/>
      <c r="VPA333"/>
      <c r="VPB333"/>
      <c r="VPE333"/>
      <c r="VPF333"/>
      <c r="VPI333"/>
      <c r="VPJ333"/>
      <c r="VPM333"/>
      <c r="VPN333"/>
      <c r="VPQ333"/>
      <c r="VPR333"/>
      <c r="VPU333"/>
      <c r="VPV333"/>
      <c r="VPY333"/>
      <c r="VPZ333"/>
      <c r="VQC333"/>
      <c r="VQD333"/>
      <c r="VQG333"/>
      <c r="VQH333"/>
      <c r="VQK333"/>
      <c r="VQL333"/>
      <c r="VQO333"/>
      <c r="VQP333"/>
      <c r="VQS333"/>
      <c r="VQT333"/>
      <c r="VQW333"/>
      <c r="VQX333"/>
      <c r="VRA333"/>
      <c r="VRB333"/>
      <c r="VRE333"/>
      <c r="VRF333"/>
      <c r="VRI333"/>
      <c r="VRJ333"/>
      <c r="VRM333"/>
      <c r="VRN333"/>
      <c r="VRQ333"/>
      <c r="VRR333"/>
      <c r="VRU333"/>
      <c r="VRV333"/>
      <c r="VRY333"/>
      <c r="VRZ333"/>
      <c r="VSC333"/>
      <c r="VSD333"/>
      <c r="VSG333"/>
      <c r="VSH333"/>
      <c r="VSK333"/>
      <c r="VSL333"/>
      <c r="VSO333"/>
      <c r="VSP333"/>
      <c r="VSS333"/>
      <c r="VST333"/>
      <c r="VSW333"/>
      <c r="VSX333"/>
      <c r="VTA333"/>
      <c r="VTB333"/>
      <c r="VTE333"/>
      <c r="VTF333"/>
      <c r="VTI333"/>
      <c r="VTJ333"/>
      <c r="VTM333"/>
      <c r="VTN333"/>
      <c r="VTQ333"/>
      <c r="VTR333"/>
      <c r="VTU333"/>
      <c r="VTV333"/>
      <c r="VTY333"/>
      <c r="VTZ333"/>
      <c r="VUC333"/>
      <c r="VUD333"/>
      <c r="VUG333"/>
      <c r="VUH333"/>
      <c r="VUK333"/>
      <c r="VUL333"/>
      <c r="VUO333"/>
      <c r="VUP333"/>
      <c r="VUS333"/>
      <c r="VUT333"/>
      <c r="VUW333"/>
      <c r="VUX333"/>
      <c r="VVA333"/>
      <c r="VVB333"/>
      <c r="VVE333"/>
      <c r="VVF333"/>
      <c r="VVI333"/>
      <c r="VVJ333"/>
      <c r="VVM333"/>
      <c r="VVN333"/>
      <c r="VVQ333"/>
      <c r="VVR333"/>
      <c r="VVU333"/>
      <c r="VVV333"/>
      <c r="VVY333"/>
      <c r="VVZ333"/>
      <c r="VWC333"/>
      <c r="VWD333"/>
      <c r="VWG333"/>
      <c r="VWH333"/>
      <c r="VWK333"/>
      <c r="VWL333"/>
      <c r="VWO333"/>
      <c r="VWP333"/>
      <c r="VWS333"/>
      <c r="VWT333"/>
      <c r="VWW333"/>
      <c r="VWX333"/>
      <c r="VXA333"/>
      <c r="VXB333"/>
      <c r="VXE333"/>
      <c r="VXF333"/>
      <c r="VXI333"/>
      <c r="VXJ333"/>
      <c r="VXM333"/>
      <c r="VXN333"/>
      <c r="VXQ333"/>
      <c r="VXR333"/>
      <c r="VXU333"/>
      <c r="VXV333"/>
      <c r="VXY333"/>
      <c r="VXZ333"/>
      <c r="VYC333"/>
      <c r="VYD333"/>
      <c r="VYG333"/>
      <c r="VYH333"/>
      <c r="VYK333"/>
      <c r="VYL333"/>
      <c r="VYO333"/>
      <c r="VYP333"/>
      <c r="VYS333"/>
      <c r="VYT333"/>
      <c r="VYW333"/>
      <c r="VYX333"/>
      <c r="VZA333"/>
      <c r="VZB333"/>
      <c r="VZE333"/>
      <c r="VZF333"/>
      <c r="VZI333"/>
      <c r="VZJ333"/>
      <c r="VZM333"/>
      <c r="VZN333"/>
      <c r="VZQ333"/>
      <c r="VZR333"/>
      <c r="VZU333"/>
      <c r="VZV333"/>
      <c r="VZY333"/>
      <c r="VZZ333"/>
      <c r="WAC333"/>
      <c r="WAD333"/>
      <c r="WAG333"/>
      <c r="WAH333"/>
      <c r="WAK333"/>
      <c r="WAL333"/>
      <c r="WAO333"/>
      <c r="WAP333"/>
      <c r="WAS333"/>
      <c r="WAT333"/>
      <c r="WAW333"/>
      <c r="WAX333"/>
      <c r="WBA333"/>
      <c r="WBB333"/>
      <c r="WBE333"/>
      <c r="WBF333"/>
      <c r="WBI333"/>
      <c r="WBJ333"/>
      <c r="WBM333"/>
      <c r="WBN333"/>
      <c r="WBQ333"/>
      <c r="WBR333"/>
      <c r="WBU333"/>
      <c r="WBV333"/>
      <c r="WBY333"/>
      <c r="WBZ333"/>
      <c r="WCC333"/>
      <c r="WCD333"/>
      <c r="WCG333"/>
      <c r="WCH333"/>
      <c r="WCK333"/>
      <c r="WCL333"/>
      <c r="WCO333"/>
      <c r="WCP333"/>
      <c r="WCS333"/>
      <c r="WCT333"/>
      <c r="WCW333"/>
      <c r="WCX333"/>
      <c r="WDA333"/>
      <c r="WDB333"/>
      <c r="WDE333"/>
      <c r="WDF333"/>
      <c r="WDI333"/>
      <c r="WDJ333"/>
      <c r="WDM333"/>
      <c r="WDN333"/>
      <c r="WDQ333"/>
      <c r="WDR333"/>
      <c r="WDU333"/>
      <c r="WDV333"/>
      <c r="WDY333"/>
      <c r="WDZ333"/>
      <c r="WEC333"/>
      <c r="WED333"/>
      <c r="WEG333"/>
      <c r="WEH333"/>
      <c r="WEK333"/>
      <c r="WEL333"/>
      <c r="WEO333"/>
      <c r="WEP333"/>
      <c r="WES333"/>
      <c r="WET333"/>
      <c r="WEW333"/>
      <c r="WEX333"/>
      <c r="WFA333"/>
      <c r="WFB333"/>
      <c r="WFE333"/>
      <c r="WFF333"/>
      <c r="WFI333"/>
      <c r="WFJ333"/>
      <c r="WFM333"/>
      <c r="WFN333"/>
      <c r="WFQ333"/>
      <c r="WFR333"/>
      <c r="WFU333"/>
      <c r="WFV333"/>
      <c r="WFY333"/>
      <c r="WFZ333"/>
      <c r="WGC333"/>
      <c r="WGD333"/>
      <c r="WGG333"/>
      <c r="WGH333"/>
      <c r="WGK333"/>
      <c r="WGL333"/>
      <c r="WGO333"/>
      <c r="WGP333"/>
      <c r="WGS333"/>
      <c r="WGT333"/>
      <c r="WGW333"/>
      <c r="WGX333"/>
      <c r="WHA333"/>
      <c r="WHB333"/>
      <c r="WHE333"/>
      <c r="WHF333"/>
      <c r="WHI333"/>
      <c r="WHJ333"/>
      <c r="WHM333"/>
      <c r="WHN333"/>
      <c r="WHQ333"/>
      <c r="WHR333"/>
      <c r="WHU333"/>
      <c r="WHV333"/>
      <c r="WHY333"/>
      <c r="WHZ333"/>
      <c r="WIC333"/>
      <c r="WID333"/>
      <c r="WIG333"/>
      <c r="WIH333"/>
      <c r="WIK333"/>
      <c r="WIL333"/>
      <c r="WIO333"/>
      <c r="WIP333"/>
      <c r="WIS333"/>
      <c r="WIT333"/>
      <c r="WIW333"/>
      <c r="WIX333"/>
      <c r="WJA333"/>
      <c r="WJB333"/>
      <c r="WJE333"/>
      <c r="WJF333"/>
      <c r="WJI333"/>
      <c r="WJJ333"/>
      <c r="WJM333"/>
      <c r="WJN333"/>
      <c r="WJQ333"/>
      <c r="WJR333"/>
      <c r="WJU333"/>
      <c r="WJV333"/>
      <c r="WJY333"/>
      <c r="WJZ333"/>
      <c r="WKC333"/>
      <c r="WKD333"/>
      <c r="WKG333"/>
      <c r="WKH333"/>
      <c r="WKK333"/>
      <c r="WKL333"/>
      <c r="WKO333"/>
      <c r="WKP333"/>
      <c r="WKS333"/>
      <c r="WKT333"/>
      <c r="WKW333"/>
      <c r="WKX333"/>
      <c r="WLA333"/>
      <c r="WLB333"/>
      <c r="WLE333"/>
      <c r="WLF333"/>
      <c r="WLI333"/>
      <c r="WLJ333"/>
      <c r="WLM333"/>
      <c r="WLN333"/>
      <c r="WLQ333"/>
      <c r="WLR333"/>
      <c r="WLU333"/>
      <c r="WLV333"/>
      <c r="WLY333"/>
      <c r="WLZ333"/>
      <c r="WMC333"/>
      <c r="WMD333"/>
      <c r="WMG333"/>
      <c r="WMH333"/>
      <c r="WMK333"/>
      <c r="WML333"/>
      <c r="WMO333"/>
      <c r="WMP333"/>
      <c r="WMS333"/>
      <c r="WMT333"/>
      <c r="WMW333"/>
      <c r="WMX333"/>
      <c r="WNA333"/>
      <c r="WNB333"/>
      <c r="WNE333"/>
      <c r="WNF333"/>
      <c r="WNI333"/>
      <c r="WNJ333"/>
      <c r="WNM333"/>
      <c r="WNN333"/>
      <c r="WNQ333"/>
      <c r="WNR333"/>
      <c r="WNU333"/>
      <c r="WNV333"/>
      <c r="WNY333"/>
      <c r="WNZ333"/>
      <c r="WOC333"/>
      <c r="WOD333"/>
      <c r="WOG333"/>
      <c r="WOH333"/>
      <c r="WOK333"/>
      <c r="WOL333"/>
      <c r="WOO333"/>
      <c r="WOP333"/>
      <c r="WOS333"/>
      <c r="WOT333"/>
      <c r="WOW333"/>
      <c r="WOX333"/>
      <c r="WPA333"/>
      <c r="WPB333"/>
      <c r="WPE333"/>
      <c r="WPF333"/>
      <c r="WPI333"/>
      <c r="WPJ333"/>
      <c r="WPM333"/>
      <c r="WPN333"/>
      <c r="WPQ333"/>
      <c r="WPR333"/>
      <c r="WPU333"/>
      <c r="WPV333"/>
      <c r="WPY333"/>
      <c r="WPZ333"/>
      <c r="WQC333"/>
      <c r="WQD333"/>
      <c r="WQG333"/>
      <c r="WQH333"/>
      <c r="WQK333"/>
      <c r="WQL333"/>
      <c r="WQO333"/>
      <c r="WQP333"/>
      <c r="WQS333"/>
      <c r="WQT333"/>
      <c r="WQW333"/>
      <c r="WQX333"/>
      <c r="WRA333"/>
      <c r="WRB333"/>
      <c r="WRE333"/>
      <c r="WRF333"/>
      <c r="WRI333"/>
      <c r="WRJ333"/>
      <c r="WRM333"/>
      <c r="WRN333"/>
      <c r="WRQ333"/>
      <c r="WRR333"/>
      <c r="WRU333"/>
      <c r="WRV333"/>
      <c r="WRY333"/>
      <c r="WRZ333"/>
      <c r="WSC333"/>
      <c r="WSD333"/>
      <c r="WSG333"/>
      <c r="WSH333"/>
      <c r="WSK333"/>
      <c r="WSL333"/>
      <c r="WSO333"/>
      <c r="WSP333"/>
      <c r="WSS333"/>
      <c r="WST333"/>
      <c r="WSW333"/>
      <c r="WSX333"/>
      <c r="WTA333"/>
      <c r="WTB333"/>
      <c r="WTE333"/>
      <c r="WTF333"/>
      <c r="WTI333"/>
      <c r="WTJ333"/>
      <c r="WTM333"/>
      <c r="WTN333"/>
      <c r="WTQ333"/>
      <c r="WTR333"/>
      <c r="WTU333"/>
      <c r="WTV333"/>
      <c r="WTY333"/>
      <c r="WTZ333"/>
      <c r="WUC333"/>
      <c r="WUD333"/>
      <c r="WUG333"/>
      <c r="WUH333"/>
      <c r="WUK333"/>
      <c r="WUL333"/>
      <c r="WUO333"/>
      <c r="WUP333"/>
      <c r="WUS333"/>
      <c r="WUT333"/>
      <c r="WUW333"/>
      <c r="WUX333"/>
      <c r="WVA333"/>
      <c r="WVB333"/>
      <c r="WVE333"/>
      <c r="WVF333"/>
      <c r="WVI333"/>
      <c r="WVJ333"/>
      <c r="WVM333"/>
      <c r="WVN333"/>
      <c r="WVQ333"/>
      <c r="WVR333"/>
      <c r="WVU333"/>
      <c r="WVV333"/>
      <c r="WVY333"/>
      <c r="WVZ333"/>
      <c r="WWC333"/>
      <c r="WWD333"/>
      <c r="WWG333"/>
      <c r="WWH333"/>
      <c r="WWK333"/>
      <c r="WWL333"/>
      <c r="WWO333"/>
      <c r="WWP333"/>
      <c r="WWS333"/>
      <c r="WWT333"/>
      <c r="WWW333"/>
      <c r="WWX333"/>
      <c r="WXA333"/>
      <c r="WXB333"/>
      <c r="WXE333"/>
      <c r="WXF333"/>
      <c r="WXI333"/>
      <c r="WXJ333"/>
      <c r="WXM333"/>
      <c r="WXN333"/>
      <c r="WXQ333"/>
      <c r="WXR333"/>
      <c r="WXU333"/>
      <c r="WXV333"/>
      <c r="WXY333"/>
      <c r="WXZ333"/>
      <c r="WYC333"/>
      <c r="WYD333"/>
      <c r="WYG333"/>
      <c r="WYH333"/>
      <c r="WYK333"/>
      <c r="WYL333"/>
      <c r="WYO333"/>
      <c r="WYP333"/>
      <c r="WYS333"/>
      <c r="WYT333"/>
      <c r="WYW333"/>
      <c r="WYX333"/>
      <c r="WZA333"/>
      <c r="WZB333"/>
      <c r="WZE333"/>
      <c r="WZF333"/>
      <c r="WZI333"/>
      <c r="WZJ333"/>
      <c r="WZM333"/>
      <c r="WZN333"/>
      <c r="WZQ333"/>
      <c r="WZR333"/>
      <c r="WZU333"/>
      <c r="WZV333"/>
      <c r="WZY333"/>
      <c r="WZZ333"/>
      <c r="XAC333"/>
      <c r="XAD333"/>
      <c r="XAG333"/>
      <c r="XAH333"/>
      <c r="XAK333"/>
      <c r="XAL333"/>
      <c r="XAO333"/>
      <c r="XAP333"/>
      <c r="XAS333"/>
      <c r="XAT333"/>
      <c r="XAW333"/>
      <c r="XAX333"/>
      <c r="XBA333"/>
      <c r="XBB333"/>
      <c r="XBE333"/>
      <c r="XBF333"/>
      <c r="XBI333"/>
      <c r="XBJ333"/>
      <c r="XBM333"/>
      <c r="XBN333"/>
      <c r="XBQ333"/>
      <c r="XBR333"/>
      <c r="XBU333"/>
      <c r="XBV333"/>
      <c r="XBY333"/>
      <c r="XBZ333"/>
      <c r="XCC333"/>
      <c r="XCD333"/>
      <c r="XCG333"/>
      <c r="XCH333"/>
      <c r="XCK333"/>
      <c r="XCL333"/>
      <c r="XCO333"/>
      <c r="XCP333"/>
      <c r="XCS333"/>
      <c r="XCT333"/>
      <c r="XCW333"/>
      <c r="XCX333"/>
      <c r="XDA333"/>
      <c r="XDB333"/>
      <c r="XDE333"/>
      <c r="XDF333"/>
      <c r="XDI333"/>
      <c r="XDJ333"/>
      <c r="XDM333"/>
      <c r="XDN333"/>
      <c r="XDQ333"/>
      <c r="XDR333"/>
      <c r="XDU333"/>
      <c r="XDV333"/>
      <c r="XDY333"/>
      <c r="XDZ333"/>
      <c r="XEC333"/>
      <c r="XED333"/>
      <c r="XEG333"/>
      <c r="XEH333"/>
      <c r="XEK333"/>
      <c r="XEL333"/>
      <c r="XEO333"/>
      <c r="XEP333"/>
      <c r="XES333"/>
      <c r="XET333"/>
      <c r="XEW333"/>
      <c r="XEX333"/>
      <c r="XFA333"/>
      <c r="XFB333"/>
    </row>
    <row r="334" spans="1:1022 1025:2046 2049:3070 3073:4094 4097:5118 5121:6142 6145:7166 7169:8190 8193:9214 9217:10238 10241:11262 11265:12286 12289:13310 13313:14334 14337:15358 15361:16382" s="13" customFormat="1" outlineLevel="1" x14ac:dyDescent="0.3">
      <c r="A334" t="s">
        <v>1218</v>
      </c>
      <c r="B334" t="s">
        <v>168</v>
      </c>
      <c r="C334" s="13" t="s">
        <v>7</v>
      </c>
      <c r="D334" s="13" t="s">
        <v>6861</v>
      </c>
      <c r="E334" t="s">
        <v>5966</v>
      </c>
      <c r="F334"/>
      <c r="G334"/>
      <c r="H334"/>
      <c r="I334"/>
      <c r="J334" t="s">
        <v>6844</v>
      </c>
      <c r="K334" t="s">
        <v>6839</v>
      </c>
      <c r="M334"/>
      <c r="N334"/>
      <c r="Q334"/>
      <c r="R334"/>
      <c r="U334"/>
      <c r="V334"/>
      <c r="Y334"/>
      <c r="Z334"/>
      <c r="AC334"/>
      <c r="AD334"/>
      <c r="AG334"/>
      <c r="AH334"/>
      <c r="AK334"/>
      <c r="AL334"/>
      <c r="AO334"/>
      <c r="AP334"/>
      <c r="AS334"/>
      <c r="AT334"/>
      <c r="AW334"/>
      <c r="AX334"/>
      <c r="BA334"/>
      <c r="BB334"/>
      <c r="BE334"/>
      <c r="BF334"/>
      <c r="BI334"/>
      <c r="BJ334"/>
      <c r="BM334"/>
      <c r="BN334"/>
      <c r="BQ334"/>
      <c r="BR334"/>
      <c r="BU334"/>
      <c r="BV334"/>
      <c r="BY334"/>
      <c r="BZ334"/>
      <c r="CC334"/>
      <c r="CD334"/>
      <c r="CG334"/>
      <c r="CH334"/>
      <c r="CK334"/>
      <c r="CL334"/>
      <c r="CO334"/>
      <c r="CP334"/>
      <c r="CS334"/>
      <c r="CT334"/>
      <c r="CW334"/>
      <c r="CX334"/>
      <c r="DA334"/>
      <c r="DB334"/>
      <c r="DE334"/>
      <c r="DF334"/>
      <c r="DI334"/>
      <c r="DJ334"/>
      <c r="DM334"/>
      <c r="DN334"/>
      <c r="DQ334"/>
      <c r="DR334"/>
      <c r="DU334"/>
      <c r="DV334"/>
      <c r="DY334"/>
      <c r="DZ334"/>
      <c r="EC334"/>
      <c r="ED334"/>
      <c r="EG334"/>
      <c r="EH334"/>
      <c r="EK334"/>
      <c r="EL334"/>
      <c r="EO334"/>
      <c r="EP334"/>
      <c r="ES334"/>
      <c r="ET334"/>
      <c r="EW334"/>
      <c r="EX334"/>
      <c r="FA334"/>
      <c r="FB334"/>
      <c r="FE334"/>
      <c r="FF334"/>
      <c r="FI334"/>
      <c r="FJ334"/>
      <c r="FM334"/>
      <c r="FN334"/>
      <c r="FQ334"/>
      <c r="FR334"/>
      <c r="FU334"/>
      <c r="FV334"/>
      <c r="FY334"/>
      <c r="FZ334"/>
      <c r="GC334"/>
      <c r="GD334"/>
      <c r="GG334"/>
      <c r="GH334"/>
      <c r="GK334"/>
      <c r="GL334"/>
      <c r="GO334"/>
      <c r="GP334"/>
      <c r="GS334"/>
      <c r="GT334"/>
      <c r="GW334"/>
      <c r="GX334"/>
      <c r="HA334"/>
      <c r="HB334"/>
      <c r="HE334"/>
      <c r="HF334"/>
      <c r="HI334"/>
      <c r="HJ334"/>
      <c r="HM334"/>
      <c r="HN334"/>
      <c r="HQ334"/>
      <c r="HR334"/>
      <c r="HU334"/>
      <c r="HV334"/>
      <c r="HY334"/>
      <c r="HZ334"/>
      <c r="IC334"/>
      <c r="ID334"/>
      <c r="IG334"/>
      <c r="IH334"/>
      <c r="IK334"/>
      <c r="IL334"/>
      <c r="IO334"/>
      <c r="IP334"/>
      <c r="IS334"/>
      <c r="IT334"/>
      <c r="IW334"/>
      <c r="IX334"/>
      <c r="JA334"/>
      <c r="JB334"/>
      <c r="JE334"/>
      <c r="JF334"/>
      <c r="JI334"/>
      <c r="JJ334"/>
      <c r="JM334"/>
      <c r="JN334"/>
      <c r="JQ334"/>
      <c r="JR334"/>
      <c r="JU334"/>
      <c r="JV334"/>
      <c r="JY334"/>
      <c r="JZ334"/>
      <c r="KC334"/>
      <c r="KD334"/>
      <c r="KG334"/>
      <c r="KH334"/>
      <c r="KK334"/>
      <c r="KL334"/>
      <c r="KO334"/>
      <c r="KP334"/>
      <c r="KS334"/>
      <c r="KT334"/>
      <c r="KW334"/>
      <c r="KX334"/>
      <c r="LA334"/>
      <c r="LB334"/>
      <c r="LE334"/>
      <c r="LF334"/>
      <c r="LI334"/>
      <c r="LJ334"/>
      <c r="LM334"/>
      <c r="LN334"/>
      <c r="LQ334"/>
      <c r="LR334"/>
      <c r="LU334"/>
      <c r="LV334"/>
      <c r="LY334"/>
      <c r="LZ334"/>
      <c r="MC334"/>
      <c r="MD334"/>
      <c r="MG334"/>
      <c r="MH334"/>
      <c r="MK334"/>
      <c r="ML334"/>
      <c r="MO334"/>
      <c r="MP334"/>
      <c r="MS334"/>
      <c r="MT334"/>
      <c r="MW334"/>
      <c r="MX334"/>
      <c r="NA334"/>
      <c r="NB334"/>
      <c r="NE334"/>
      <c r="NF334"/>
      <c r="NI334"/>
      <c r="NJ334"/>
      <c r="NM334"/>
      <c r="NN334"/>
      <c r="NQ334"/>
      <c r="NR334"/>
      <c r="NU334"/>
      <c r="NV334"/>
      <c r="NY334"/>
      <c r="NZ334"/>
      <c r="OC334"/>
      <c r="OD334"/>
      <c r="OG334"/>
      <c r="OH334"/>
      <c r="OK334"/>
      <c r="OL334"/>
      <c r="OO334"/>
      <c r="OP334"/>
      <c r="OS334"/>
      <c r="OT334"/>
      <c r="OW334"/>
      <c r="OX334"/>
      <c r="PA334"/>
      <c r="PB334"/>
      <c r="PE334"/>
      <c r="PF334"/>
      <c r="PI334"/>
      <c r="PJ334"/>
      <c r="PM334"/>
      <c r="PN334"/>
      <c r="PQ334"/>
      <c r="PR334"/>
      <c r="PU334"/>
      <c r="PV334"/>
      <c r="PY334"/>
      <c r="PZ334"/>
      <c r="QC334"/>
      <c r="QD334"/>
      <c r="QG334"/>
      <c r="QH334"/>
      <c r="QK334"/>
      <c r="QL334"/>
      <c r="QO334"/>
      <c r="QP334"/>
      <c r="QS334"/>
      <c r="QT334"/>
      <c r="QW334"/>
      <c r="QX334"/>
      <c r="RA334"/>
      <c r="RB334"/>
      <c r="RE334"/>
      <c r="RF334"/>
      <c r="RI334"/>
      <c r="RJ334"/>
      <c r="RM334"/>
      <c r="RN334"/>
      <c r="RQ334"/>
      <c r="RR334"/>
      <c r="RU334"/>
      <c r="RV334"/>
      <c r="RY334"/>
      <c r="RZ334"/>
      <c r="SC334"/>
      <c r="SD334"/>
      <c r="SG334"/>
      <c r="SH334"/>
      <c r="SK334"/>
      <c r="SL334"/>
      <c r="SO334"/>
      <c r="SP334"/>
      <c r="SS334"/>
      <c r="ST334"/>
      <c r="SW334"/>
      <c r="SX334"/>
      <c r="TA334"/>
      <c r="TB334"/>
      <c r="TE334"/>
      <c r="TF334"/>
      <c r="TI334"/>
      <c r="TJ334"/>
      <c r="TM334"/>
      <c r="TN334"/>
      <c r="TQ334"/>
      <c r="TR334"/>
      <c r="TU334"/>
      <c r="TV334"/>
      <c r="TY334"/>
      <c r="TZ334"/>
      <c r="UC334"/>
      <c r="UD334"/>
      <c r="UG334"/>
      <c r="UH334"/>
      <c r="UK334"/>
      <c r="UL334"/>
      <c r="UO334"/>
      <c r="UP334"/>
      <c r="US334"/>
      <c r="UT334"/>
      <c r="UW334"/>
      <c r="UX334"/>
      <c r="VA334"/>
      <c r="VB334"/>
      <c r="VE334"/>
      <c r="VF334"/>
      <c r="VI334"/>
      <c r="VJ334"/>
      <c r="VM334"/>
      <c r="VN334"/>
      <c r="VQ334"/>
      <c r="VR334"/>
      <c r="VU334"/>
      <c r="VV334"/>
      <c r="VY334"/>
      <c r="VZ334"/>
      <c r="WC334"/>
      <c r="WD334"/>
      <c r="WG334"/>
      <c r="WH334"/>
      <c r="WK334"/>
      <c r="WL334"/>
      <c r="WO334"/>
      <c r="WP334"/>
      <c r="WS334"/>
      <c r="WT334"/>
      <c r="WW334"/>
      <c r="WX334"/>
      <c r="XA334"/>
      <c r="XB334"/>
      <c r="XE334"/>
      <c r="XF334"/>
      <c r="XI334"/>
      <c r="XJ334"/>
      <c r="XM334"/>
      <c r="XN334"/>
      <c r="XQ334"/>
      <c r="XR334"/>
      <c r="XU334"/>
      <c r="XV334"/>
      <c r="XY334"/>
      <c r="XZ334"/>
      <c r="YC334"/>
      <c r="YD334"/>
      <c r="YG334"/>
      <c r="YH334"/>
      <c r="YK334"/>
      <c r="YL334"/>
      <c r="YO334"/>
      <c r="YP334"/>
      <c r="YS334"/>
      <c r="YT334"/>
      <c r="YW334"/>
      <c r="YX334"/>
      <c r="ZA334"/>
      <c r="ZB334"/>
      <c r="ZE334"/>
      <c r="ZF334"/>
      <c r="ZI334"/>
      <c r="ZJ334"/>
      <c r="ZM334"/>
      <c r="ZN334"/>
      <c r="ZQ334"/>
      <c r="ZR334"/>
      <c r="ZU334"/>
      <c r="ZV334"/>
      <c r="ZY334"/>
      <c r="ZZ334"/>
      <c r="AAC334"/>
      <c r="AAD334"/>
      <c r="AAG334"/>
      <c r="AAH334"/>
      <c r="AAK334"/>
      <c r="AAL334"/>
      <c r="AAO334"/>
      <c r="AAP334"/>
      <c r="AAS334"/>
      <c r="AAT334"/>
      <c r="AAW334"/>
      <c r="AAX334"/>
      <c r="ABA334"/>
      <c r="ABB334"/>
      <c r="ABE334"/>
      <c r="ABF334"/>
      <c r="ABI334"/>
      <c r="ABJ334"/>
      <c r="ABM334"/>
      <c r="ABN334"/>
      <c r="ABQ334"/>
      <c r="ABR334"/>
      <c r="ABU334"/>
      <c r="ABV334"/>
      <c r="ABY334"/>
      <c r="ABZ334"/>
      <c r="ACC334"/>
      <c r="ACD334"/>
      <c r="ACG334"/>
      <c r="ACH334"/>
      <c r="ACK334"/>
      <c r="ACL334"/>
      <c r="ACO334"/>
      <c r="ACP334"/>
      <c r="ACS334"/>
      <c r="ACT334"/>
      <c r="ACW334"/>
      <c r="ACX334"/>
      <c r="ADA334"/>
      <c r="ADB334"/>
      <c r="ADE334"/>
      <c r="ADF334"/>
      <c r="ADI334"/>
      <c r="ADJ334"/>
      <c r="ADM334"/>
      <c r="ADN334"/>
      <c r="ADQ334"/>
      <c r="ADR334"/>
      <c r="ADU334"/>
      <c r="ADV334"/>
      <c r="ADY334"/>
      <c r="ADZ334"/>
      <c r="AEC334"/>
      <c r="AED334"/>
      <c r="AEG334"/>
      <c r="AEH334"/>
      <c r="AEK334"/>
      <c r="AEL334"/>
      <c r="AEO334"/>
      <c r="AEP334"/>
      <c r="AES334"/>
      <c r="AET334"/>
      <c r="AEW334"/>
      <c r="AEX334"/>
      <c r="AFA334"/>
      <c r="AFB334"/>
      <c r="AFE334"/>
      <c r="AFF334"/>
      <c r="AFI334"/>
      <c r="AFJ334"/>
      <c r="AFM334"/>
      <c r="AFN334"/>
      <c r="AFQ334"/>
      <c r="AFR334"/>
      <c r="AFU334"/>
      <c r="AFV334"/>
      <c r="AFY334"/>
      <c r="AFZ334"/>
      <c r="AGC334"/>
      <c r="AGD334"/>
      <c r="AGG334"/>
      <c r="AGH334"/>
      <c r="AGK334"/>
      <c r="AGL334"/>
      <c r="AGO334"/>
      <c r="AGP334"/>
      <c r="AGS334"/>
      <c r="AGT334"/>
      <c r="AGW334"/>
      <c r="AGX334"/>
      <c r="AHA334"/>
      <c r="AHB334"/>
      <c r="AHE334"/>
      <c r="AHF334"/>
      <c r="AHI334"/>
      <c r="AHJ334"/>
      <c r="AHM334"/>
      <c r="AHN334"/>
      <c r="AHQ334"/>
      <c r="AHR334"/>
      <c r="AHU334"/>
      <c r="AHV334"/>
      <c r="AHY334"/>
      <c r="AHZ334"/>
      <c r="AIC334"/>
      <c r="AID334"/>
      <c r="AIG334"/>
      <c r="AIH334"/>
      <c r="AIK334"/>
      <c r="AIL334"/>
      <c r="AIO334"/>
      <c r="AIP334"/>
      <c r="AIS334"/>
      <c r="AIT334"/>
      <c r="AIW334"/>
      <c r="AIX334"/>
      <c r="AJA334"/>
      <c r="AJB334"/>
      <c r="AJE334"/>
      <c r="AJF334"/>
      <c r="AJI334"/>
      <c r="AJJ334"/>
      <c r="AJM334"/>
      <c r="AJN334"/>
      <c r="AJQ334"/>
      <c r="AJR334"/>
      <c r="AJU334"/>
      <c r="AJV334"/>
      <c r="AJY334"/>
      <c r="AJZ334"/>
      <c r="AKC334"/>
      <c r="AKD334"/>
      <c r="AKG334"/>
      <c r="AKH334"/>
      <c r="AKK334"/>
      <c r="AKL334"/>
      <c r="AKO334"/>
      <c r="AKP334"/>
      <c r="AKS334"/>
      <c r="AKT334"/>
      <c r="AKW334"/>
      <c r="AKX334"/>
      <c r="ALA334"/>
      <c r="ALB334"/>
      <c r="ALE334"/>
      <c r="ALF334"/>
      <c r="ALI334"/>
      <c r="ALJ334"/>
      <c r="ALM334"/>
      <c r="ALN334"/>
      <c r="ALQ334"/>
      <c r="ALR334"/>
      <c r="ALU334"/>
      <c r="ALV334"/>
      <c r="ALY334"/>
      <c r="ALZ334"/>
      <c r="AMC334"/>
      <c r="AMD334"/>
      <c r="AMG334"/>
      <c r="AMH334"/>
      <c r="AMK334"/>
      <c r="AML334"/>
      <c r="AMO334"/>
      <c r="AMP334"/>
      <c r="AMS334"/>
      <c r="AMT334"/>
      <c r="AMW334"/>
      <c r="AMX334"/>
      <c r="ANA334"/>
      <c r="ANB334"/>
      <c r="ANE334"/>
      <c r="ANF334"/>
      <c r="ANI334"/>
      <c r="ANJ334"/>
      <c r="ANM334"/>
      <c r="ANN334"/>
      <c r="ANQ334"/>
      <c r="ANR334"/>
      <c r="ANU334"/>
      <c r="ANV334"/>
      <c r="ANY334"/>
      <c r="ANZ334"/>
      <c r="AOC334"/>
      <c r="AOD334"/>
      <c r="AOG334"/>
      <c r="AOH334"/>
      <c r="AOK334"/>
      <c r="AOL334"/>
      <c r="AOO334"/>
      <c r="AOP334"/>
      <c r="AOS334"/>
      <c r="AOT334"/>
      <c r="AOW334"/>
      <c r="AOX334"/>
      <c r="APA334"/>
      <c r="APB334"/>
      <c r="APE334"/>
      <c r="APF334"/>
      <c r="API334"/>
      <c r="APJ334"/>
      <c r="APM334"/>
      <c r="APN334"/>
      <c r="APQ334"/>
      <c r="APR334"/>
      <c r="APU334"/>
      <c r="APV334"/>
      <c r="APY334"/>
      <c r="APZ334"/>
      <c r="AQC334"/>
      <c r="AQD334"/>
      <c r="AQG334"/>
      <c r="AQH334"/>
      <c r="AQK334"/>
      <c r="AQL334"/>
      <c r="AQO334"/>
      <c r="AQP334"/>
      <c r="AQS334"/>
      <c r="AQT334"/>
      <c r="AQW334"/>
      <c r="AQX334"/>
      <c r="ARA334"/>
      <c r="ARB334"/>
      <c r="ARE334"/>
      <c r="ARF334"/>
      <c r="ARI334"/>
      <c r="ARJ334"/>
      <c r="ARM334"/>
      <c r="ARN334"/>
      <c r="ARQ334"/>
      <c r="ARR334"/>
      <c r="ARU334"/>
      <c r="ARV334"/>
      <c r="ARY334"/>
      <c r="ARZ334"/>
      <c r="ASC334"/>
      <c r="ASD334"/>
      <c r="ASG334"/>
      <c r="ASH334"/>
      <c r="ASK334"/>
      <c r="ASL334"/>
      <c r="ASO334"/>
      <c r="ASP334"/>
      <c r="ASS334"/>
      <c r="AST334"/>
      <c r="ASW334"/>
      <c r="ASX334"/>
      <c r="ATA334"/>
      <c r="ATB334"/>
      <c r="ATE334"/>
      <c r="ATF334"/>
      <c r="ATI334"/>
      <c r="ATJ334"/>
      <c r="ATM334"/>
      <c r="ATN334"/>
      <c r="ATQ334"/>
      <c r="ATR334"/>
      <c r="ATU334"/>
      <c r="ATV334"/>
      <c r="ATY334"/>
      <c r="ATZ334"/>
      <c r="AUC334"/>
      <c r="AUD334"/>
      <c r="AUG334"/>
      <c r="AUH334"/>
      <c r="AUK334"/>
      <c r="AUL334"/>
      <c r="AUO334"/>
      <c r="AUP334"/>
      <c r="AUS334"/>
      <c r="AUT334"/>
      <c r="AUW334"/>
      <c r="AUX334"/>
      <c r="AVA334"/>
      <c r="AVB334"/>
      <c r="AVE334"/>
      <c r="AVF334"/>
      <c r="AVI334"/>
      <c r="AVJ334"/>
      <c r="AVM334"/>
      <c r="AVN334"/>
      <c r="AVQ334"/>
      <c r="AVR334"/>
      <c r="AVU334"/>
      <c r="AVV334"/>
      <c r="AVY334"/>
      <c r="AVZ334"/>
      <c r="AWC334"/>
      <c r="AWD334"/>
      <c r="AWG334"/>
      <c r="AWH334"/>
      <c r="AWK334"/>
      <c r="AWL334"/>
      <c r="AWO334"/>
      <c r="AWP334"/>
      <c r="AWS334"/>
      <c r="AWT334"/>
      <c r="AWW334"/>
      <c r="AWX334"/>
      <c r="AXA334"/>
      <c r="AXB334"/>
      <c r="AXE334"/>
      <c r="AXF334"/>
      <c r="AXI334"/>
      <c r="AXJ334"/>
      <c r="AXM334"/>
      <c r="AXN334"/>
      <c r="AXQ334"/>
      <c r="AXR334"/>
      <c r="AXU334"/>
      <c r="AXV334"/>
      <c r="AXY334"/>
      <c r="AXZ334"/>
      <c r="AYC334"/>
      <c r="AYD334"/>
      <c r="AYG334"/>
      <c r="AYH334"/>
      <c r="AYK334"/>
      <c r="AYL334"/>
      <c r="AYO334"/>
      <c r="AYP334"/>
      <c r="AYS334"/>
      <c r="AYT334"/>
      <c r="AYW334"/>
      <c r="AYX334"/>
      <c r="AZA334"/>
      <c r="AZB334"/>
      <c r="AZE334"/>
      <c r="AZF334"/>
      <c r="AZI334"/>
      <c r="AZJ334"/>
      <c r="AZM334"/>
      <c r="AZN334"/>
      <c r="AZQ334"/>
      <c r="AZR334"/>
      <c r="AZU334"/>
      <c r="AZV334"/>
      <c r="AZY334"/>
      <c r="AZZ334"/>
      <c r="BAC334"/>
      <c r="BAD334"/>
      <c r="BAG334"/>
      <c r="BAH334"/>
      <c r="BAK334"/>
      <c r="BAL334"/>
      <c r="BAO334"/>
      <c r="BAP334"/>
      <c r="BAS334"/>
      <c r="BAT334"/>
      <c r="BAW334"/>
      <c r="BAX334"/>
      <c r="BBA334"/>
      <c r="BBB334"/>
      <c r="BBE334"/>
      <c r="BBF334"/>
      <c r="BBI334"/>
      <c r="BBJ334"/>
      <c r="BBM334"/>
      <c r="BBN334"/>
      <c r="BBQ334"/>
      <c r="BBR334"/>
      <c r="BBU334"/>
      <c r="BBV334"/>
      <c r="BBY334"/>
      <c r="BBZ334"/>
      <c r="BCC334"/>
      <c r="BCD334"/>
      <c r="BCG334"/>
      <c r="BCH334"/>
      <c r="BCK334"/>
      <c r="BCL334"/>
      <c r="BCO334"/>
      <c r="BCP334"/>
      <c r="BCS334"/>
      <c r="BCT334"/>
      <c r="BCW334"/>
      <c r="BCX334"/>
      <c r="BDA334"/>
      <c r="BDB334"/>
      <c r="BDE334"/>
      <c r="BDF334"/>
      <c r="BDI334"/>
      <c r="BDJ334"/>
      <c r="BDM334"/>
      <c r="BDN334"/>
      <c r="BDQ334"/>
      <c r="BDR334"/>
      <c r="BDU334"/>
      <c r="BDV334"/>
      <c r="BDY334"/>
      <c r="BDZ334"/>
      <c r="BEC334"/>
      <c r="BED334"/>
      <c r="BEG334"/>
      <c r="BEH334"/>
      <c r="BEK334"/>
      <c r="BEL334"/>
      <c r="BEO334"/>
      <c r="BEP334"/>
      <c r="BES334"/>
      <c r="BET334"/>
      <c r="BEW334"/>
      <c r="BEX334"/>
      <c r="BFA334"/>
      <c r="BFB334"/>
      <c r="BFE334"/>
      <c r="BFF334"/>
      <c r="BFI334"/>
      <c r="BFJ334"/>
      <c r="BFM334"/>
      <c r="BFN334"/>
      <c r="BFQ334"/>
      <c r="BFR334"/>
      <c r="BFU334"/>
      <c r="BFV334"/>
      <c r="BFY334"/>
      <c r="BFZ334"/>
      <c r="BGC334"/>
      <c r="BGD334"/>
      <c r="BGG334"/>
      <c r="BGH334"/>
      <c r="BGK334"/>
      <c r="BGL334"/>
      <c r="BGO334"/>
      <c r="BGP334"/>
      <c r="BGS334"/>
      <c r="BGT334"/>
      <c r="BGW334"/>
      <c r="BGX334"/>
      <c r="BHA334"/>
      <c r="BHB334"/>
      <c r="BHE334"/>
      <c r="BHF334"/>
      <c r="BHI334"/>
      <c r="BHJ334"/>
      <c r="BHM334"/>
      <c r="BHN334"/>
      <c r="BHQ334"/>
      <c r="BHR334"/>
      <c r="BHU334"/>
      <c r="BHV334"/>
      <c r="BHY334"/>
      <c r="BHZ334"/>
      <c r="BIC334"/>
      <c r="BID334"/>
      <c r="BIG334"/>
      <c r="BIH334"/>
      <c r="BIK334"/>
      <c r="BIL334"/>
      <c r="BIO334"/>
      <c r="BIP334"/>
      <c r="BIS334"/>
      <c r="BIT334"/>
      <c r="BIW334"/>
      <c r="BIX334"/>
      <c r="BJA334"/>
      <c r="BJB334"/>
      <c r="BJE334"/>
      <c r="BJF334"/>
      <c r="BJI334"/>
      <c r="BJJ334"/>
      <c r="BJM334"/>
      <c r="BJN334"/>
      <c r="BJQ334"/>
      <c r="BJR334"/>
      <c r="BJU334"/>
      <c r="BJV334"/>
      <c r="BJY334"/>
      <c r="BJZ334"/>
      <c r="BKC334"/>
      <c r="BKD334"/>
      <c r="BKG334"/>
      <c r="BKH334"/>
      <c r="BKK334"/>
      <c r="BKL334"/>
      <c r="BKO334"/>
      <c r="BKP334"/>
      <c r="BKS334"/>
      <c r="BKT334"/>
      <c r="BKW334"/>
      <c r="BKX334"/>
      <c r="BLA334"/>
      <c r="BLB334"/>
      <c r="BLE334"/>
      <c r="BLF334"/>
      <c r="BLI334"/>
      <c r="BLJ334"/>
      <c r="BLM334"/>
      <c r="BLN334"/>
      <c r="BLQ334"/>
      <c r="BLR334"/>
      <c r="BLU334"/>
      <c r="BLV334"/>
      <c r="BLY334"/>
      <c r="BLZ334"/>
      <c r="BMC334"/>
      <c r="BMD334"/>
      <c r="BMG334"/>
      <c r="BMH334"/>
      <c r="BMK334"/>
      <c r="BML334"/>
      <c r="BMO334"/>
      <c r="BMP334"/>
      <c r="BMS334"/>
      <c r="BMT334"/>
      <c r="BMW334"/>
      <c r="BMX334"/>
      <c r="BNA334"/>
      <c r="BNB334"/>
      <c r="BNE334"/>
      <c r="BNF334"/>
      <c r="BNI334"/>
      <c r="BNJ334"/>
      <c r="BNM334"/>
      <c r="BNN334"/>
      <c r="BNQ334"/>
      <c r="BNR334"/>
      <c r="BNU334"/>
      <c r="BNV334"/>
      <c r="BNY334"/>
      <c r="BNZ334"/>
      <c r="BOC334"/>
      <c r="BOD334"/>
      <c r="BOG334"/>
      <c r="BOH334"/>
      <c r="BOK334"/>
      <c r="BOL334"/>
      <c r="BOO334"/>
      <c r="BOP334"/>
      <c r="BOS334"/>
      <c r="BOT334"/>
      <c r="BOW334"/>
      <c r="BOX334"/>
      <c r="BPA334"/>
      <c r="BPB334"/>
      <c r="BPE334"/>
      <c r="BPF334"/>
      <c r="BPI334"/>
      <c r="BPJ334"/>
      <c r="BPM334"/>
      <c r="BPN334"/>
      <c r="BPQ334"/>
      <c r="BPR334"/>
      <c r="BPU334"/>
      <c r="BPV334"/>
      <c r="BPY334"/>
      <c r="BPZ334"/>
      <c r="BQC334"/>
      <c r="BQD334"/>
      <c r="BQG334"/>
      <c r="BQH334"/>
      <c r="BQK334"/>
      <c r="BQL334"/>
      <c r="BQO334"/>
      <c r="BQP334"/>
      <c r="BQS334"/>
      <c r="BQT334"/>
      <c r="BQW334"/>
      <c r="BQX334"/>
      <c r="BRA334"/>
      <c r="BRB334"/>
      <c r="BRE334"/>
      <c r="BRF334"/>
      <c r="BRI334"/>
      <c r="BRJ334"/>
      <c r="BRM334"/>
      <c r="BRN334"/>
      <c r="BRQ334"/>
      <c r="BRR334"/>
      <c r="BRU334"/>
      <c r="BRV334"/>
      <c r="BRY334"/>
      <c r="BRZ334"/>
      <c r="BSC334"/>
      <c r="BSD334"/>
      <c r="BSG334"/>
      <c r="BSH334"/>
      <c r="BSK334"/>
      <c r="BSL334"/>
      <c r="BSO334"/>
      <c r="BSP334"/>
      <c r="BSS334"/>
      <c r="BST334"/>
      <c r="BSW334"/>
      <c r="BSX334"/>
      <c r="BTA334"/>
      <c r="BTB334"/>
      <c r="BTE334"/>
      <c r="BTF334"/>
      <c r="BTI334"/>
      <c r="BTJ334"/>
      <c r="BTM334"/>
      <c r="BTN334"/>
      <c r="BTQ334"/>
      <c r="BTR334"/>
      <c r="BTU334"/>
      <c r="BTV334"/>
      <c r="BTY334"/>
      <c r="BTZ334"/>
      <c r="BUC334"/>
      <c r="BUD334"/>
      <c r="BUG334"/>
      <c r="BUH334"/>
      <c r="BUK334"/>
      <c r="BUL334"/>
      <c r="BUO334"/>
      <c r="BUP334"/>
      <c r="BUS334"/>
      <c r="BUT334"/>
      <c r="BUW334"/>
      <c r="BUX334"/>
      <c r="BVA334"/>
      <c r="BVB334"/>
      <c r="BVE334"/>
      <c r="BVF334"/>
      <c r="BVI334"/>
      <c r="BVJ334"/>
      <c r="BVM334"/>
      <c r="BVN334"/>
      <c r="BVQ334"/>
      <c r="BVR334"/>
      <c r="BVU334"/>
      <c r="BVV334"/>
      <c r="BVY334"/>
      <c r="BVZ334"/>
      <c r="BWC334"/>
      <c r="BWD334"/>
      <c r="BWG334"/>
      <c r="BWH334"/>
      <c r="BWK334"/>
      <c r="BWL334"/>
      <c r="BWO334"/>
      <c r="BWP334"/>
      <c r="BWS334"/>
      <c r="BWT334"/>
      <c r="BWW334"/>
      <c r="BWX334"/>
      <c r="BXA334"/>
      <c r="BXB334"/>
      <c r="BXE334"/>
      <c r="BXF334"/>
      <c r="BXI334"/>
      <c r="BXJ334"/>
      <c r="BXM334"/>
      <c r="BXN334"/>
      <c r="BXQ334"/>
      <c r="BXR334"/>
      <c r="BXU334"/>
      <c r="BXV334"/>
      <c r="BXY334"/>
      <c r="BXZ334"/>
      <c r="BYC334"/>
      <c r="BYD334"/>
      <c r="BYG334"/>
      <c r="BYH334"/>
      <c r="BYK334"/>
      <c r="BYL334"/>
      <c r="BYO334"/>
      <c r="BYP334"/>
      <c r="BYS334"/>
      <c r="BYT334"/>
      <c r="BYW334"/>
      <c r="BYX334"/>
      <c r="BZA334"/>
      <c r="BZB334"/>
      <c r="BZE334"/>
      <c r="BZF334"/>
      <c r="BZI334"/>
      <c r="BZJ334"/>
      <c r="BZM334"/>
      <c r="BZN334"/>
      <c r="BZQ334"/>
      <c r="BZR334"/>
      <c r="BZU334"/>
      <c r="BZV334"/>
      <c r="BZY334"/>
      <c r="BZZ334"/>
      <c r="CAC334"/>
      <c r="CAD334"/>
      <c r="CAG334"/>
      <c r="CAH334"/>
      <c r="CAK334"/>
      <c r="CAL334"/>
      <c r="CAO334"/>
      <c r="CAP334"/>
      <c r="CAS334"/>
      <c r="CAT334"/>
      <c r="CAW334"/>
      <c r="CAX334"/>
      <c r="CBA334"/>
      <c r="CBB334"/>
      <c r="CBE334"/>
      <c r="CBF334"/>
      <c r="CBI334"/>
      <c r="CBJ334"/>
      <c r="CBM334"/>
      <c r="CBN334"/>
      <c r="CBQ334"/>
      <c r="CBR334"/>
      <c r="CBU334"/>
      <c r="CBV334"/>
      <c r="CBY334"/>
      <c r="CBZ334"/>
      <c r="CCC334"/>
      <c r="CCD334"/>
      <c r="CCG334"/>
      <c r="CCH334"/>
      <c r="CCK334"/>
      <c r="CCL334"/>
      <c r="CCO334"/>
      <c r="CCP334"/>
      <c r="CCS334"/>
      <c r="CCT334"/>
      <c r="CCW334"/>
      <c r="CCX334"/>
      <c r="CDA334"/>
      <c r="CDB334"/>
      <c r="CDE334"/>
      <c r="CDF334"/>
      <c r="CDI334"/>
      <c r="CDJ334"/>
      <c r="CDM334"/>
      <c r="CDN334"/>
      <c r="CDQ334"/>
      <c r="CDR334"/>
      <c r="CDU334"/>
      <c r="CDV334"/>
      <c r="CDY334"/>
      <c r="CDZ334"/>
      <c r="CEC334"/>
      <c r="CED334"/>
      <c r="CEG334"/>
      <c r="CEH334"/>
      <c r="CEK334"/>
      <c r="CEL334"/>
      <c r="CEO334"/>
      <c r="CEP334"/>
      <c r="CES334"/>
      <c r="CET334"/>
      <c r="CEW334"/>
      <c r="CEX334"/>
      <c r="CFA334"/>
      <c r="CFB334"/>
      <c r="CFE334"/>
      <c r="CFF334"/>
      <c r="CFI334"/>
      <c r="CFJ334"/>
      <c r="CFM334"/>
      <c r="CFN334"/>
      <c r="CFQ334"/>
      <c r="CFR334"/>
      <c r="CFU334"/>
      <c r="CFV334"/>
      <c r="CFY334"/>
      <c r="CFZ334"/>
      <c r="CGC334"/>
      <c r="CGD334"/>
      <c r="CGG334"/>
      <c r="CGH334"/>
      <c r="CGK334"/>
      <c r="CGL334"/>
      <c r="CGO334"/>
      <c r="CGP334"/>
      <c r="CGS334"/>
      <c r="CGT334"/>
      <c r="CGW334"/>
      <c r="CGX334"/>
      <c r="CHA334"/>
      <c r="CHB334"/>
      <c r="CHE334"/>
      <c r="CHF334"/>
      <c r="CHI334"/>
      <c r="CHJ334"/>
      <c r="CHM334"/>
      <c r="CHN334"/>
      <c r="CHQ334"/>
      <c r="CHR334"/>
      <c r="CHU334"/>
      <c r="CHV334"/>
      <c r="CHY334"/>
      <c r="CHZ334"/>
      <c r="CIC334"/>
      <c r="CID334"/>
      <c r="CIG334"/>
      <c r="CIH334"/>
      <c r="CIK334"/>
      <c r="CIL334"/>
      <c r="CIO334"/>
      <c r="CIP334"/>
      <c r="CIS334"/>
      <c r="CIT334"/>
      <c r="CIW334"/>
      <c r="CIX334"/>
      <c r="CJA334"/>
      <c r="CJB334"/>
      <c r="CJE334"/>
      <c r="CJF334"/>
      <c r="CJI334"/>
      <c r="CJJ334"/>
      <c r="CJM334"/>
      <c r="CJN334"/>
      <c r="CJQ334"/>
      <c r="CJR334"/>
      <c r="CJU334"/>
      <c r="CJV334"/>
      <c r="CJY334"/>
      <c r="CJZ334"/>
      <c r="CKC334"/>
      <c r="CKD334"/>
      <c r="CKG334"/>
      <c r="CKH334"/>
      <c r="CKK334"/>
      <c r="CKL334"/>
      <c r="CKO334"/>
      <c r="CKP334"/>
      <c r="CKS334"/>
      <c r="CKT334"/>
      <c r="CKW334"/>
      <c r="CKX334"/>
      <c r="CLA334"/>
      <c r="CLB334"/>
      <c r="CLE334"/>
      <c r="CLF334"/>
      <c r="CLI334"/>
      <c r="CLJ334"/>
      <c r="CLM334"/>
      <c r="CLN334"/>
      <c r="CLQ334"/>
      <c r="CLR334"/>
      <c r="CLU334"/>
      <c r="CLV334"/>
      <c r="CLY334"/>
      <c r="CLZ334"/>
      <c r="CMC334"/>
      <c r="CMD334"/>
      <c r="CMG334"/>
      <c r="CMH334"/>
      <c r="CMK334"/>
      <c r="CML334"/>
      <c r="CMO334"/>
      <c r="CMP334"/>
      <c r="CMS334"/>
      <c r="CMT334"/>
      <c r="CMW334"/>
      <c r="CMX334"/>
      <c r="CNA334"/>
      <c r="CNB334"/>
      <c r="CNE334"/>
      <c r="CNF334"/>
      <c r="CNI334"/>
      <c r="CNJ334"/>
      <c r="CNM334"/>
      <c r="CNN334"/>
      <c r="CNQ334"/>
      <c r="CNR334"/>
      <c r="CNU334"/>
      <c r="CNV334"/>
      <c r="CNY334"/>
      <c r="CNZ334"/>
      <c r="COC334"/>
      <c r="COD334"/>
      <c r="COG334"/>
      <c r="COH334"/>
      <c r="COK334"/>
      <c r="COL334"/>
      <c r="COO334"/>
      <c r="COP334"/>
      <c r="COS334"/>
      <c r="COT334"/>
      <c r="COW334"/>
      <c r="COX334"/>
      <c r="CPA334"/>
      <c r="CPB334"/>
      <c r="CPE334"/>
      <c r="CPF334"/>
      <c r="CPI334"/>
      <c r="CPJ334"/>
      <c r="CPM334"/>
      <c r="CPN334"/>
      <c r="CPQ334"/>
      <c r="CPR334"/>
      <c r="CPU334"/>
      <c r="CPV334"/>
      <c r="CPY334"/>
      <c r="CPZ334"/>
      <c r="CQC334"/>
      <c r="CQD334"/>
      <c r="CQG334"/>
      <c r="CQH334"/>
      <c r="CQK334"/>
      <c r="CQL334"/>
      <c r="CQO334"/>
      <c r="CQP334"/>
      <c r="CQS334"/>
      <c r="CQT334"/>
      <c r="CQW334"/>
      <c r="CQX334"/>
      <c r="CRA334"/>
      <c r="CRB334"/>
      <c r="CRE334"/>
      <c r="CRF334"/>
      <c r="CRI334"/>
      <c r="CRJ334"/>
      <c r="CRM334"/>
      <c r="CRN334"/>
      <c r="CRQ334"/>
      <c r="CRR334"/>
      <c r="CRU334"/>
      <c r="CRV334"/>
      <c r="CRY334"/>
      <c r="CRZ334"/>
      <c r="CSC334"/>
      <c r="CSD334"/>
      <c r="CSG334"/>
      <c r="CSH334"/>
      <c r="CSK334"/>
      <c r="CSL334"/>
      <c r="CSO334"/>
      <c r="CSP334"/>
      <c r="CSS334"/>
      <c r="CST334"/>
      <c r="CSW334"/>
      <c r="CSX334"/>
      <c r="CTA334"/>
      <c r="CTB334"/>
      <c r="CTE334"/>
      <c r="CTF334"/>
      <c r="CTI334"/>
      <c r="CTJ334"/>
      <c r="CTM334"/>
      <c r="CTN334"/>
      <c r="CTQ334"/>
      <c r="CTR334"/>
      <c r="CTU334"/>
      <c r="CTV334"/>
      <c r="CTY334"/>
      <c r="CTZ334"/>
      <c r="CUC334"/>
      <c r="CUD334"/>
      <c r="CUG334"/>
      <c r="CUH334"/>
      <c r="CUK334"/>
      <c r="CUL334"/>
      <c r="CUO334"/>
      <c r="CUP334"/>
      <c r="CUS334"/>
      <c r="CUT334"/>
      <c r="CUW334"/>
      <c r="CUX334"/>
      <c r="CVA334"/>
      <c r="CVB334"/>
      <c r="CVE334"/>
      <c r="CVF334"/>
      <c r="CVI334"/>
      <c r="CVJ334"/>
      <c r="CVM334"/>
      <c r="CVN334"/>
      <c r="CVQ334"/>
      <c r="CVR334"/>
      <c r="CVU334"/>
      <c r="CVV334"/>
      <c r="CVY334"/>
      <c r="CVZ334"/>
      <c r="CWC334"/>
      <c r="CWD334"/>
      <c r="CWG334"/>
      <c r="CWH334"/>
      <c r="CWK334"/>
      <c r="CWL334"/>
      <c r="CWO334"/>
      <c r="CWP334"/>
      <c r="CWS334"/>
      <c r="CWT334"/>
      <c r="CWW334"/>
      <c r="CWX334"/>
      <c r="CXA334"/>
      <c r="CXB334"/>
      <c r="CXE334"/>
      <c r="CXF334"/>
      <c r="CXI334"/>
      <c r="CXJ334"/>
      <c r="CXM334"/>
      <c r="CXN334"/>
      <c r="CXQ334"/>
      <c r="CXR334"/>
      <c r="CXU334"/>
      <c r="CXV334"/>
      <c r="CXY334"/>
      <c r="CXZ334"/>
      <c r="CYC334"/>
      <c r="CYD334"/>
      <c r="CYG334"/>
      <c r="CYH334"/>
      <c r="CYK334"/>
      <c r="CYL334"/>
      <c r="CYO334"/>
      <c r="CYP334"/>
      <c r="CYS334"/>
      <c r="CYT334"/>
      <c r="CYW334"/>
      <c r="CYX334"/>
      <c r="CZA334"/>
      <c r="CZB334"/>
      <c r="CZE334"/>
      <c r="CZF334"/>
      <c r="CZI334"/>
      <c r="CZJ334"/>
      <c r="CZM334"/>
      <c r="CZN334"/>
      <c r="CZQ334"/>
      <c r="CZR334"/>
      <c r="CZU334"/>
      <c r="CZV334"/>
      <c r="CZY334"/>
      <c r="CZZ334"/>
      <c r="DAC334"/>
      <c r="DAD334"/>
      <c r="DAG334"/>
      <c r="DAH334"/>
      <c r="DAK334"/>
      <c r="DAL334"/>
      <c r="DAO334"/>
      <c r="DAP334"/>
      <c r="DAS334"/>
      <c r="DAT334"/>
      <c r="DAW334"/>
      <c r="DAX334"/>
      <c r="DBA334"/>
      <c r="DBB334"/>
      <c r="DBE334"/>
      <c r="DBF334"/>
      <c r="DBI334"/>
      <c r="DBJ334"/>
      <c r="DBM334"/>
      <c r="DBN334"/>
      <c r="DBQ334"/>
      <c r="DBR334"/>
      <c r="DBU334"/>
      <c r="DBV334"/>
      <c r="DBY334"/>
      <c r="DBZ334"/>
      <c r="DCC334"/>
      <c r="DCD334"/>
      <c r="DCG334"/>
      <c r="DCH334"/>
      <c r="DCK334"/>
      <c r="DCL334"/>
      <c r="DCO334"/>
      <c r="DCP334"/>
      <c r="DCS334"/>
      <c r="DCT334"/>
      <c r="DCW334"/>
      <c r="DCX334"/>
      <c r="DDA334"/>
      <c r="DDB334"/>
      <c r="DDE334"/>
      <c r="DDF334"/>
      <c r="DDI334"/>
      <c r="DDJ334"/>
      <c r="DDM334"/>
      <c r="DDN334"/>
      <c r="DDQ334"/>
      <c r="DDR334"/>
      <c r="DDU334"/>
      <c r="DDV334"/>
      <c r="DDY334"/>
      <c r="DDZ334"/>
      <c r="DEC334"/>
      <c r="DED334"/>
      <c r="DEG334"/>
      <c r="DEH334"/>
      <c r="DEK334"/>
      <c r="DEL334"/>
      <c r="DEO334"/>
      <c r="DEP334"/>
      <c r="DES334"/>
      <c r="DET334"/>
      <c r="DEW334"/>
      <c r="DEX334"/>
      <c r="DFA334"/>
      <c r="DFB334"/>
      <c r="DFE334"/>
      <c r="DFF334"/>
      <c r="DFI334"/>
      <c r="DFJ334"/>
      <c r="DFM334"/>
      <c r="DFN334"/>
      <c r="DFQ334"/>
      <c r="DFR334"/>
      <c r="DFU334"/>
      <c r="DFV334"/>
      <c r="DFY334"/>
      <c r="DFZ334"/>
      <c r="DGC334"/>
      <c r="DGD334"/>
      <c r="DGG334"/>
      <c r="DGH334"/>
      <c r="DGK334"/>
      <c r="DGL334"/>
      <c r="DGO334"/>
      <c r="DGP334"/>
      <c r="DGS334"/>
      <c r="DGT334"/>
      <c r="DGW334"/>
      <c r="DGX334"/>
      <c r="DHA334"/>
      <c r="DHB334"/>
      <c r="DHE334"/>
      <c r="DHF334"/>
      <c r="DHI334"/>
      <c r="DHJ334"/>
      <c r="DHM334"/>
      <c r="DHN334"/>
      <c r="DHQ334"/>
      <c r="DHR334"/>
      <c r="DHU334"/>
      <c r="DHV334"/>
      <c r="DHY334"/>
      <c r="DHZ334"/>
      <c r="DIC334"/>
      <c r="DID334"/>
      <c r="DIG334"/>
      <c r="DIH334"/>
      <c r="DIK334"/>
      <c r="DIL334"/>
      <c r="DIO334"/>
      <c r="DIP334"/>
      <c r="DIS334"/>
      <c r="DIT334"/>
      <c r="DIW334"/>
      <c r="DIX334"/>
      <c r="DJA334"/>
      <c r="DJB334"/>
      <c r="DJE334"/>
      <c r="DJF334"/>
      <c r="DJI334"/>
      <c r="DJJ334"/>
      <c r="DJM334"/>
      <c r="DJN334"/>
      <c r="DJQ334"/>
      <c r="DJR334"/>
      <c r="DJU334"/>
      <c r="DJV334"/>
      <c r="DJY334"/>
      <c r="DJZ334"/>
      <c r="DKC334"/>
      <c r="DKD334"/>
      <c r="DKG334"/>
      <c r="DKH334"/>
      <c r="DKK334"/>
      <c r="DKL334"/>
      <c r="DKO334"/>
      <c r="DKP334"/>
      <c r="DKS334"/>
      <c r="DKT334"/>
      <c r="DKW334"/>
      <c r="DKX334"/>
      <c r="DLA334"/>
      <c r="DLB334"/>
      <c r="DLE334"/>
      <c r="DLF334"/>
      <c r="DLI334"/>
      <c r="DLJ334"/>
      <c r="DLM334"/>
      <c r="DLN334"/>
      <c r="DLQ334"/>
      <c r="DLR334"/>
      <c r="DLU334"/>
      <c r="DLV334"/>
      <c r="DLY334"/>
      <c r="DLZ334"/>
      <c r="DMC334"/>
      <c r="DMD334"/>
      <c r="DMG334"/>
      <c r="DMH334"/>
      <c r="DMK334"/>
      <c r="DML334"/>
      <c r="DMO334"/>
      <c r="DMP334"/>
      <c r="DMS334"/>
      <c r="DMT334"/>
      <c r="DMW334"/>
      <c r="DMX334"/>
      <c r="DNA334"/>
      <c r="DNB334"/>
      <c r="DNE334"/>
      <c r="DNF334"/>
      <c r="DNI334"/>
      <c r="DNJ334"/>
      <c r="DNM334"/>
      <c r="DNN334"/>
      <c r="DNQ334"/>
      <c r="DNR334"/>
      <c r="DNU334"/>
      <c r="DNV334"/>
      <c r="DNY334"/>
      <c r="DNZ334"/>
      <c r="DOC334"/>
      <c r="DOD334"/>
      <c r="DOG334"/>
      <c r="DOH334"/>
      <c r="DOK334"/>
      <c r="DOL334"/>
      <c r="DOO334"/>
      <c r="DOP334"/>
      <c r="DOS334"/>
      <c r="DOT334"/>
      <c r="DOW334"/>
      <c r="DOX334"/>
      <c r="DPA334"/>
      <c r="DPB334"/>
      <c r="DPE334"/>
      <c r="DPF334"/>
      <c r="DPI334"/>
      <c r="DPJ334"/>
      <c r="DPM334"/>
      <c r="DPN334"/>
      <c r="DPQ334"/>
      <c r="DPR334"/>
      <c r="DPU334"/>
      <c r="DPV334"/>
      <c r="DPY334"/>
      <c r="DPZ334"/>
      <c r="DQC334"/>
      <c r="DQD334"/>
      <c r="DQG334"/>
      <c r="DQH334"/>
      <c r="DQK334"/>
      <c r="DQL334"/>
      <c r="DQO334"/>
      <c r="DQP334"/>
      <c r="DQS334"/>
      <c r="DQT334"/>
      <c r="DQW334"/>
      <c r="DQX334"/>
      <c r="DRA334"/>
      <c r="DRB334"/>
      <c r="DRE334"/>
      <c r="DRF334"/>
      <c r="DRI334"/>
      <c r="DRJ334"/>
      <c r="DRM334"/>
      <c r="DRN334"/>
      <c r="DRQ334"/>
      <c r="DRR334"/>
      <c r="DRU334"/>
      <c r="DRV334"/>
      <c r="DRY334"/>
      <c r="DRZ334"/>
      <c r="DSC334"/>
      <c r="DSD334"/>
      <c r="DSG334"/>
      <c r="DSH334"/>
      <c r="DSK334"/>
      <c r="DSL334"/>
      <c r="DSO334"/>
      <c r="DSP334"/>
      <c r="DSS334"/>
      <c r="DST334"/>
      <c r="DSW334"/>
      <c r="DSX334"/>
      <c r="DTA334"/>
      <c r="DTB334"/>
      <c r="DTE334"/>
      <c r="DTF334"/>
      <c r="DTI334"/>
      <c r="DTJ334"/>
      <c r="DTM334"/>
      <c r="DTN334"/>
      <c r="DTQ334"/>
      <c r="DTR334"/>
      <c r="DTU334"/>
      <c r="DTV334"/>
      <c r="DTY334"/>
      <c r="DTZ334"/>
      <c r="DUC334"/>
      <c r="DUD334"/>
      <c r="DUG334"/>
      <c r="DUH334"/>
      <c r="DUK334"/>
      <c r="DUL334"/>
      <c r="DUO334"/>
      <c r="DUP334"/>
      <c r="DUS334"/>
      <c r="DUT334"/>
      <c r="DUW334"/>
      <c r="DUX334"/>
      <c r="DVA334"/>
      <c r="DVB334"/>
      <c r="DVE334"/>
      <c r="DVF334"/>
      <c r="DVI334"/>
      <c r="DVJ334"/>
      <c r="DVM334"/>
      <c r="DVN334"/>
      <c r="DVQ334"/>
      <c r="DVR334"/>
      <c r="DVU334"/>
      <c r="DVV334"/>
      <c r="DVY334"/>
      <c r="DVZ334"/>
      <c r="DWC334"/>
      <c r="DWD334"/>
      <c r="DWG334"/>
      <c r="DWH334"/>
      <c r="DWK334"/>
      <c r="DWL334"/>
      <c r="DWO334"/>
      <c r="DWP334"/>
      <c r="DWS334"/>
      <c r="DWT334"/>
      <c r="DWW334"/>
      <c r="DWX334"/>
      <c r="DXA334"/>
      <c r="DXB334"/>
      <c r="DXE334"/>
      <c r="DXF334"/>
      <c r="DXI334"/>
      <c r="DXJ334"/>
      <c r="DXM334"/>
      <c r="DXN334"/>
      <c r="DXQ334"/>
      <c r="DXR334"/>
      <c r="DXU334"/>
      <c r="DXV334"/>
      <c r="DXY334"/>
      <c r="DXZ334"/>
      <c r="DYC334"/>
      <c r="DYD334"/>
      <c r="DYG334"/>
      <c r="DYH334"/>
      <c r="DYK334"/>
      <c r="DYL334"/>
      <c r="DYO334"/>
      <c r="DYP334"/>
      <c r="DYS334"/>
      <c r="DYT334"/>
      <c r="DYW334"/>
      <c r="DYX334"/>
      <c r="DZA334"/>
      <c r="DZB334"/>
      <c r="DZE334"/>
      <c r="DZF334"/>
      <c r="DZI334"/>
      <c r="DZJ334"/>
      <c r="DZM334"/>
      <c r="DZN334"/>
      <c r="DZQ334"/>
      <c r="DZR334"/>
      <c r="DZU334"/>
      <c r="DZV334"/>
      <c r="DZY334"/>
      <c r="DZZ334"/>
      <c r="EAC334"/>
      <c r="EAD334"/>
      <c r="EAG334"/>
      <c r="EAH334"/>
      <c r="EAK334"/>
      <c r="EAL334"/>
      <c r="EAO334"/>
      <c r="EAP334"/>
      <c r="EAS334"/>
      <c r="EAT334"/>
      <c r="EAW334"/>
      <c r="EAX334"/>
      <c r="EBA334"/>
      <c r="EBB334"/>
      <c r="EBE334"/>
      <c r="EBF334"/>
      <c r="EBI334"/>
      <c r="EBJ334"/>
      <c r="EBM334"/>
      <c r="EBN334"/>
      <c r="EBQ334"/>
      <c r="EBR334"/>
      <c r="EBU334"/>
      <c r="EBV334"/>
      <c r="EBY334"/>
      <c r="EBZ334"/>
      <c r="ECC334"/>
      <c r="ECD334"/>
      <c r="ECG334"/>
      <c r="ECH334"/>
      <c r="ECK334"/>
      <c r="ECL334"/>
      <c r="ECO334"/>
      <c r="ECP334"/>
      <c r="ECS334"/>
      <c r="ECT334"/>
      <c r="ECW334"/>
      <c r="ECX334"/>
      <c r="EDA334"/>
      <c r="EDB334"/>
      <c r="EDE334"/>
      <c r="EDF334"/>
      <c r="EDI334"/>
      <c r="EDJ334"/>
      <c r="EDM334"/>
      <c r="EDN334"/>
      <c r="EDQ334"/>
      <c r="EDR334"/>
      <c r="EDU334"/>
      <c r="EDV334"/>
      <c r="EDY334"/>
      <c r="EDZ334"/>
      <c r="EEC334"/>
      <c r="EED334"/>
      <c r="EEG334"/>
      <c r="EEH334"/>
      <c r="EEK334"/>
      <c r="EEL334"/>
      <c r="EEO334"/>
      <c r="EEP334"/>
      <c r="EES334"/>
      <c r="EET334"/>
      <c r="EEW334"/>
      <c r="EEX334"/>
      <c r="EFA334"/>
      <c r="EFB334"/>
      <c r="EFE334"/>
      <c r="EFF334"/>
      <c r="EFI334"/>
      <c r="EFJ334"/>
      <c r="EFM334"/>
      <c r="EFN334"/>
      <c r="EFQ334"/>
      <c r="EFR334"/>
      <c r="EFU334"/>
      <c r="EFV334"/>
      <c r="EFY334"/>
      <c r="EFZ334"/>
      <c r="EGC334"/>
      <c r="EGD334"/>
      <c r="EGG334"/>
      <c r="EGH334"/>
      <c r="EGK334"/>
      <c r="EGL334"/>
      <c r="EGO334"/>
      <c r="EGP334"/>
      <c r="EGS334"/>
      <c r="EGT334"/>
      <c r="EGW334"/>
      <c r="EGX334"/>
      <c r="EHA334"/>
      <c r="EHB334"/>
      <c r="EHE334"/>
      <c r="EHF334"/>
      <c r="EHI334"/>
      <c r="EHJ334"/>
      <c r="EHM334"/>
      <c r="EHN334"/>
      <c r="EHQ334"/>
      <c r="EHR334"/>
      <c r="EHU334"/>
      <c r="EHV334"/>
      <c r="EHY334"/>
      <c r="EHZ334"/>
      <c r="EIC334"/>
      <c r="EID334"/>
      <c r="EIG334"/>
      <c r="EIH334"/>
      <c r="EIK334"/>
      <c r="EIL334"/>
      <c r="EIO334"/>
      <c r="EIP334"/>
      <c r="EIS334"/>
      <c r="EIT334"/>
      <c r="EIW334"/>
      <c r="EIX334"/>
      <c r="EJA334"/>
      <c r="EJB334"/>
      <c r="EJE334"/>
      <c r="EJF334"/>
      <c r="EJI334"/>
      <c r="EJJ334"/>
      <c r="EJM334"/>
      <c r="EJN334"/>
      <c r="EJQ334"/>
      <c r="EJR334"/>
      <c r="EJU334"/>
      <c r="EJV334"/>
      <c r="EJY334"/>
      <c r="EJZ334"/>
      <c r="EKC334"/>
      <c r="EKD334"/>
      <c r="EKG334"/>
      <c r="EKH334"/>
      <c r="EKK334"/>
      <c r="EKL334"/>
      <c r="EKO334"/>
      <c r="EKP334"/>
      <c r="EKS334"/>
      <c r="EKT334"/>
      <c r="EKW334"/>
      <c r="EKX334"/>
      <c r="ELA334"/>
      <c r="ELB334"/>
      <c r="ELE334"/>
      <c r="ELF334"/>
      <c r="ELI334"/>
      <c r="ELJ334"/>
      <c r="ELM334"/>
      <c r="ELN334"/>
      <c r="ELQ334"/>
      <c r="ELR334"/>
      <c r="ELU334"/>
      <c r="ELV334"/>
      <c r="ELY334"/>
      <c r="ELZ334"/>
      <c r="EMC334"/>
      <c r="EMD334"/>
      <c r="EMG334"/>
      <c r="EMH334"/>
      <c r="EMK334"/>
      <c r="EML334"/>
      <c r="EMO334"/>
      <c r="EMP334"/>
      <c r="EMS334"/>
      <c r="EMT334"/>
      <c r="EMW334"/>
      <c r="EMX334"/>
      <c r="ENA334"/>
      <c r="ENB334"/>
      <c r="ENE334"/>
      <c r="ENF334"/>
      <c r="ENI334"/>
      <c r="ENJ334"/>
      <c r="ENM334"/>
      <c r="ENN334"/>
      <c r="ENQ334"/>
      <c r="ENR334"/>
      <c r="ENU334"/>
      <c r="ENV334"/>
      <c r="ENY334"/>
      <c r="ENZ334"/>
      <c r="EOC334"/>
      <c r="EOD334"/>
      <c r="EOG334"/>
      <c r="EOH334"/>
      <c r="EOK334"/>
      <c r="EOL334"/>
      <c r="EOO334"/>
      <c r="EOP334"/>
      <c r="EOS334"/>
      <c r="EOT334"/>
      <c r="EOW334"/>
      <c r="EOX334"/>
      <c r="EPA334"/>
      <c r="EPB334"/>
      <c r="EPE334"/>
      <c r="EPF334"/>
      <c r="EPI334"/>
      <c r="EPJ334"/>
      <c r="EPM334"/>
      <c r="EPN334"/>
      <c r="EPQ334"/>
      <c r="EPR334"/>
      <c r="EPU334"/>
      <c r="EPV334"/>
      <c r="EPY334"/>
      <c r="EPZ334"/>
      <c r="EQC334"/>
      <c r="EQD334"/>
      <c r="EQG334"/>
      <c r="EQH334"/>
      <c r="EQK334"/>
      <c r="EQL334"/>
      <c r="EQO334"/>
      <c r="EQP334"/>
      <c r="EQS334"/>
      <c r="EQT334"/>
      <c r="EQW334"/>
      <c r="EQX334"/>
      <c r="ERA334"/>
      <c r="ERB334"/>
      <c r="ERE334"/>
      <c r="ERF334"/>
      <c r="ERI334"/>
      <c r="ERJ334"/>
      <c r="ERM334"/>
      <c r="ERN334"/>
      <c r="ERQ334"/>
      <c r="ERR334"/>
      <c r="ERU334"/>
      <c r="ERV334"/>
      <c r="ERY334"/>
      <c r="ERZ334"/>
      <c r="ESC334"/>
      <c r="ESD334"/>
      <c r="ESG334"/>
      <c r="ESH334"/>
      <c r="ESK334"/>
      <c r="ESL334"/>
      <c r="ESO334"/>
      <c r="ESP334"/>
      <c r="ESS334"/>
      <c r="EST334"/>
      <c r="ESW334"/>
      <c r="ESX334"/>
      <c r="ETA334"/>
      <c r="ETB334"/>
      <c r="ETE334"/>
      <c r="ETF334"/>
      <c r="ETI334"/>
      <c r="ETJ334"/>
      <c r="ETM334"/>
      <c r="ETN334"/>
      <c r="ETQ334"/>
      <c r="ETR334"/>
      <c r="ETU334"/>
      <c r="ETV334"/>
      <c r="ETY334"/>
      <c r="ETZ334"/>
      <c r="EUC334"/>
      <c r="EUD334"/>
      <c r="EUG334"/>
      <c r="EUH334"/>
      <c r="EUK334"/>
      <c r="EUL334"/>
      <c r="EUO334"/>
      <c r="EUP334"/>
      <c r="EUS334"/>
      <c r="EUT334"/>
      <c r="EUW334"/>
      <c r="EUX334"/>
      <c r="EVA334"/>
      <c r="EVB334"/>
      <c r="EVE334"/>
      <c r="EVF334"/>
      <c r="EVI334"/>
      <c r="EVJ334"/>
      <c r="EVM334"/>
      <c r="EVN334"/>
      <c r="EVQ334"/>
      <c r="EVR334"/>
      <c r="EVU334"/>
      <c r="EVV334"/>
      <c r="EVY334"/>
      <c r="EVZ334"/>
      <c r="EWC334"/>
      <c r="EWD334"/>
      <c r="EWG334"/>
      <c r="EWH334"/>
      <c r="EWK334"/>
      <c r="EWL334"/>
      <c r="EWO334"/>
      <c r="EWP334"/>
      <c r="EWS334"/>
      <c r="EWT334"/>
      <c r="EWW334"/>
      <c r="EWX334"/>
      <c r="EXA334"/>
      <c r="EXB334"/>
      <c r="EXE334"/>
      <c r="EXF334"/>
      <c r="EXI334"/>
      <c r="EXJ334"/>
      <c r="EXM334"/>
      <c r="EXN334"/>
      <c r="EXQ334"/>
      <c r="EXR334"/>
      <c r="EXU334"/>
      <c r="EXV334"/>
      <c r="EXY334"/>
      <c r="EXZ334"/>
      <c r="EYC334"/>
      <c r="EYD334"/>
      <c r="EYG334"/>
      <c r="EYH334"/>
      <c r="EYK334"/>
      <c r="EYL334"/>
      <c r="EYO334"/>
      <c r="EYP334"/>
      <c r="EYS334"/>
      <c r="EYT334"/>
      <c r="EYW334"/>
      <c r="EYX334"/>
      <c r="EZA334"/>
      <c r="EZB334"/>
      <c r="EZE334"/>
      <c r="EZF334"/>
      <c r="EZI334"/>
      <c r="EZJ334"/>
      <c r="EZM334"/>
      <c r="EZN334"/>
      <c r="EZQ334"/>
      <c r="EZR334"/>
      <c r="EZU334"/>
      <c r="EZV334"/>
      <c r="EZY334"/>
      <c r="EZZ334"/>
      <c r="FAC334"/>
      <c r="FAD334"/>
      <c r="FAG334"/>
      <c r="FAH334"/>
      <c r="FAK334"/>
      <c r="FAL334"/>
      <c r="FAO334"/>
      <c r="FAP334"/>
      <c r="FAS334"/>
      <c r="FAT334"/>
      <c r="FAW334"/>
      <c r="FAX334"/>
      <c r="FBA334"/>
      <c r="FBB334"/>
      <c r="FBE334"/>
      <c r="FBF334"/>
      <c r="FBI334"/>
      <c r="FBJ334"/>
      <c r="FBM334"/>
      <c r="FBN334"/>
      <c r="FBQ334"/>
      <c r="FBR334"/>
      <c r="FBU334"/>
      <c r="FBV334"/>
      <c r="FBY334"/>
      <c r="FBZ334"/>
      <c r="FCC334"/>
      <c r="FCD334"/>
      <c r="FCG334"/>
      <c r="FCH334"/>
      <c r="FCK334"/>
      <c r="FCL334"/>
      <c r="FCO334"/>
      <c r="FCP334"/>
      <c r="FCS334"/>
      <c r="FCT334"/>
      <c r="FCW334"/>
      <c r="FCX334"/>
      <c r="FDA334"/>
      <c r="FDB334"/>
      <c r="FDE334"/>
      <c r="FDF334"/>
      <c r="FDI334"/>
      <c r="FDJ334"/>
      <c r="FDM334"/>
      <c r="FDN334"/>
      <c r="FDQ334"/>
      <c r="FDR334"/>
      <c r="FDU334"/>
      <c r="FDV334"/>
      <c r="FDY334"/>
      <c r="FDZ334"/>
      <c r="FEC334"/>
      <c r="FED334"/>
      <c r="FEG334"/>
      <c r="FEH334"/>
      <c r="FEK334"/>
      <c r="FEL334"/>
      <c r="FEO334"/>
      <c r="FEP334"/>
      <c r="FES334"/>
      <c r="FET334"/>
      <c r="FEW334"/>
      <c r="FEX334"/>
      <c r="FFA334"/>
      <c r="FFB334"/>
      <c r="FFE334"/>
      <c r="FFF334"/>
      <c r="FFI334"/>
      <c r="FFJ334"/>
      <c r="FFM334"/>
      <c r="FFN334"/>
      <c r="FFQ334"/>
      <c r="FFR334"/>
      <c r="FFU334"/>
      <c r="FFV334"/>
      <c r="FFY334"/>
      <c r="FFZ334"/>
      <c r="FGC334"/>
      <c r="FGD334"/>
      <c r="FGG334"/>
      <c r="FGH334"/>
      <c r="FGK334"/>
      <c r="FGL334"/>
      <c r="FGO334"/>
      <c r="FGP334"/>
      <c r="FGS334"/>
      <c r="FGT334"/>
      <c r="FGW334"/>
      <c r="FGX334"/>
      <c r="FHA334"/>
      <c r="FHB334"/>
      <c r="FHE334"/>
      <c r="FHF334"/>
      <c r="FHI334"/>
      <c r="FHJ334"/>
      <c r="FHM334"/>
      <c r="FHN334"/>
      <c r="FHQ334"/>
      <c r="FHR334"/>
      <c r="FHU334"/>
      <c r="FHV334"/>
      <c r="FHY334"/>
      <c r="FHZ334"/>
      <c r="FIC334"/>
      <c r="FID334"/>
      <c r="FIG334"/>
      <c r="FIH334"/>
      <c r="FIK334"/>
      <c r="FIL334"/>
      <c r="FIO334"/>
      <c r="FIP334"/>
      <c r="FIS334"/>
      <c r="FIT334"/>
      <c r="FIW334"/>
      <c r="FIX334"/>
      <c r="FJA334"/>
      <c r="FJB334"/>
      <c r="FJE334"/>
      <c r="FJF334"/>
      <c r="FJI334"/>
      <c r="FJJ334"/>
      <c r="FJM334"/>
      <c r="FJN334"/>
      <c r="FJQ334"/>
      <c r="FJR334"/>
      <c r="FJU334"/>
      <c r="FJV334"/>
      <c r="FJY334"/>
      <c r="FJZ334"/>
      <c r="FKC334"/>
      <c r="FKD334"/>
      <c r="FKG334"/>
      <c r="FKH334"/>
      <c r="FKK334"/>
      <c r="FKL334"/>
      <c r="FKO334"/>
      <c r="FKP334"/>
      <c r="FKS334"/>
      <c r="FKT334"/>
      <c r="FKW334"/>
      <c r="FKX334"/>
      <c r="FLA334"/>
      <c r="FLB334"/>
      <c r="FLE334"/>
      <c r="FLF334"/>
      <c r="FLI334"/>
      <c r="FLJ334"/>
      <c r="FLM334"/>
      <c r="FLN334"/>
      <c r="FLQ334"/>
      <c r="FLR334"/>
      <c r="FLU334"/>
      <c r="FLV334"/>
      <c r="FLY334"/>
      <c r="FLZ334"/>
      <c r="FMC334"/>
      <c r="FMD334"/>
      <c r="FMG334"/>
      <c r="FMH334"/>
      <c r="FMK334"/>
      <c r="FML334"/>
      <c r="FMO334"/>
      <c r="FMP334"/>
      <c r="FMS334"/>
      <c r="FMT334"/>
      <c r="FMW334"/>
      <c r="FMX334"/>
      <c r="FNA334"/>
      <c r="FNB334"/>
      <c r="FNE334"/>
      <c r="FNF334"/>
      <c r="FNI334"/>
      <c r="FNJ334"/>
      <c r="FNM334"/>
      <c r="FNN334"/>
      <c r="FNQ334"/>
      <c r="FNR334"/>
      <c r="FNU334"/>
      <c r="FNV334"/>
      <c r="FNY334"/>
      <c r="FNZ334"/>
      <c r="FOC334"/>
      <c r="FOD334"/>
      <c r="FOG334"/>
      <c r="FOH334"/>
      <c r="FOK334"/>
      <c r="FOL334"/>
      <c r="FOO334"/>
      <c r="FOP334"/>
      <c r="FOS334"/>
      <c r="FOT334"/>
      <c r="FOW334"/>
      <c r="FOX334"/>
      <c r="FPA334"/>
      <c r="FPB334"/>
      <c r="FPE334"/>
      <c r="FPF334"/>
      <c r="FPI334"/>
      <c r="FPJ334"/>
      <c r="FPM334"/>
      <c r="FPN334"/>
      <c r="FPQ334"/>
      <c r="FPR334"/>
      <c r="FPU334"/>
      <c r="FPV334"/>
      <c r="FPY334"/>
      <c r="FPZ334"/>
      <c r="FQC334"/>
      <c r="FQD334"/>
      <c r="FQG334"/>
      <c r="FQH334"/>
      <c r="FQK334"/>
      <c r="FQL334"/>
      <c r="FQO334"/>
      <c r="FQP334"/>
      <c r="FQS334"/>
      <c r="FQT334"/>
      <c r="FQW334"/>
      <c r="FQX334"/>
      <c r="FRA334"/>
      <c r="FRB334"/>
      <c r="FRE334"/>
      <c r="FRF334"/>
      <c r="FRI334"/>
      <c r="FRJ334"/>
      <c r="FRM334"/>
      <c r="FRN334"/>
      <c r="FRQ334"/>
      <c r="FRR334"/>
      <c r="FRU334"/>
      <c r="FRV334"/>
      <c r="FRY334"/>
      <c r="FRZ334"/>
      <c r="FSC334"/>
      <c r="FSD334"/>
      <c r="FSG334"/>
      <c r="FSH334"/>
      <c r="FSK334"/>
      <c r="FSL334"/>
      <c r="FSO334"/>
      <c r="FSP334"/>
      <c r="FSS334"/>
      <c r="FST334"/>
      <c r="FSW334"/>
      <c r="FSX334"/>
      <c r="FTA334"/>
      <c r="FTB334"/>
      <c r="FTE334"/>
      <c r="FTF334"/>
      <c r="FTI334"/>
      <c r="FTJ334"/>
      <c r="FTM334"/>
      <c r="FTN334"/>
      <c r="FTQ334"/>
      <c r="FTR334"/>
      <c r="FTU334"/>
      <c r="FTV334"/>
      <c r="FTY334"/>
      <c r="FTZ334"/>
      <c r="FUC334"/>
      <c r="FUD334"/>
      <c r="FUG334"/>
      <c r="FUH334"/>
      <c r="FUK334"/>
      <c r="FUL334"/>
      <c r="FUO334"/>
      <c r="FUP334"/>
      <c r="FUS334"/>
      <c r="FUT334"/>
      <c r="FUW334"/>
      <c r="FUX334"/>
      <c r="FVA334"/>
      <c r="FVB334"/>
      <c r="FVE334"/>
      <c r="FVF334"/>
      <c r="FVI334"/>
      <c r="FVJ334"/>
      <c r="FVM334"/>
      <c r="FVN334"/>
      <c r="FVQ334"/>
      <c r="FVR334"/>
      <c r="FVU334"/>
      <c r="FVV334"/>
      <c r="FVY334"/>
      <c r="FVZ334"/>
      <c r="FWC334"/>
      <c r="FWD334"/>
      <c r="FWG334"/>
      <c r="FWH334"/>
      <c r="FWK334"/>
      <c r="FWL334"/>
      <c r="FWO334"/>
      <c r="FWP334"/>
      <c r="FWS334"/>
      <c r="FWT334"/>
      <c r="FWW334"/>
      <c r="FWX334"/>
      <c r="FXA334"/>
      <c r="FXB334"/>
      <c r="FXE334"/>
      <c r="FXF334"/>
      <c r="FXI334"/>
      <c r="FXJ334"/>
      <c r="FXM334"/>
      <c r="FXN334"/>
      <c r="FXQ334"/>
      <c r="FXR334"/>
      <c r="FXU334"/>
      <c r="FXV334"/>
      <c r="FXY334"/>
      <c r="FXZ334"/>
      <c r="FYC334"/>
      <c r="FYD334"/>
      <c r="FYG334"/>
      <c r="FYH334"/>
      <c r="FYK334"/>
      <c r="FYL334"/>
      <c r="FYO334"/>
      <c r="FYP334"/>
      <c r="FYS334"/>
      <c r="FYT334"/>
      <c r="FYW334"/>
      <c r="FYX334"/>
      <c r="FZA334"/>
      <c r="FZB334"/>
      <c r="FZE334"/>
      <c r="FZF334"/>
      <c r="FZI334"/>
      <c r="FZJ334"/>
      <c r="FZM334"/>
      <c r="FZN334"/>
      <c r="FZQ334"/>
      <c r="FZR334"/>
      <c r="FZU334"/>
      <c r="FZV334"/>
      <c r="FZY334"/>
      <c r="FZZ334"/>
      <c r="GAC334"/>
      <c r="GAD334"/>
      <c r="GAG334"/>
      <c r="GAH334"/>
      <c r="GAK334"/>
      <c r="GAL334"/>
      <c r="GAO334"/>
      <c r="GAP334"/>
      <c r="GAS334"/>
      <c r="GAT334"/>
      <c r="GAW334"/>
      <c r="GAX334"/>
      <c r="GBA334"/>
      <c r="GBB334"/>
      <c r="GBE334"/>
      <c r="GBF334"/>
      <c r="GBI334"/>
      <c r="GBJ334"/>
      <c r="GBM334"/>
      <c r="GBN334"/>
      <c r="GBQ334"/>
      <c r="GBR334"/>
      <c r="GBU334"/>
      <c r="GBV334"/>
      <c r="GBY334"/>
      <c r="GBZ334"/>
      <c r="GCC334"/>
      <c r="GCD334"/>
      <c r="GCG334"/>
      <c r="GCH334"/>
      <c r="GCK334"/>
      <c r="GCL334"/>
      <c r="GCO334"/>
      <c r="GCP334"/>
      <c r="GCS334"/>
      <c r="GCT334"/>
      <c r="GCW334"/>
      <c r="GCX334"/>
      <c r="GDA334"/>
      <c r="GDB334"/>
      <c r="GDE334"/>
      <c r="GDF334"/>
      <c r="GDI334"/>
      <c r="GDJ334"/>
      <c r="GDM334"/>
      <c r="GDN334"/>
      <c r="GDQ334"/>
      <c r="GDR334"/>
      <c r="GDU334"/>
      <c r="GDV334"/>
      <c r="GDY334"/>
      <c r="GDZ334"/>
      <c r="GEC334"/>
      <c r="GED334"/>
      <c r="GEG334"/>
      <c r="GEH334"/>
      <c r="GEK334"/>
      <c r="GEL334"/>
      <c r="GEO334"/>
      <c r="GEP334"/>
      <c r="GES334"/>
      <c r="GET334"/>
      <c r="GEW334"/>
      <c r="GEX334"/>
      <c r="GFA334"/>
      <c r="GFB334"/>
      <c r="GFE334"/>
      <c r="GFF334"/>
      <c r="GFI334"/>
      <c r="GFJ334"/>
      <c r="GFM334"/>
      <c r="GFN334"/>
      <c r="GFQ334"/>
      <c r="GFR334"/>
      <c r="GFU334"/>
      <c r="GFV334"/>
      <c r="GFY334"/>
      <c r="GFZ334"/>
      <c r="GGC334"/>
      <c r="GGD334"/>
      <c r="GGG334"/>
      <c r="GGH334"/>
      <c r="GGK334"/>
      <c r="GGL334"/>
      <c r="GGO334"/>
      <c r="GGP334"/>
      <c r="GGS334"/>
      <c r="GGT334"/>
      <c r="GGW334"/>
      <c r="GGX334"/>
      <c r="GHA334"/>
      <c r="GHB334"/>
      <c r="GHE334"/>
      <c r="GHF334"/>
      <c r="GHI334"/>
      <c r="GHJ334"/>
      <c r="GHM334"/>
      <c r="GHN334"/>
      <c r="GHQ334"/>
      <c r="GHR334"/>
      <c r="GHU334"/>
      <c r="GHV334"/>
      <c r="GHY334"/>
      <c r="GHZ334"/>
      <c r="GIC334"/>
      <c r="GID334"/>
      <c r="GIG334"/>
      <c r="GIH334"/>
      <c r="GIK334"/>
      <c r="GIL334"/>
      <c r="GIO334"/>
      <c r="GIP334"/>
      <c r="GIS334"/>
      <c r="GIT334"/>
      <c r="GIW334"/>
      <c r="GIX334"/>
      <c r="GJA334"/>
      <c r="GJB334"/>
      <c r="GJE334"/>
      <c r="GJF334"/>
      <c r="GJI334"/>
      <c r="GJJ334"/>
      <c r="GJM334"/>
      <c r="GJN334"/>
      <c r="GJQ334"/>
      <c r="GJR334"/>
      <c r="GJU334"/>
      <c r="GJV334"/>
      <c r="GJY334"/>
      <c r="GJZ334"/>
      <c r="GKC334"/>
      <c r="GKD334"/>
      <c r="GKG334"/>
      <c r="GKH334"/>
      <c r="GKK334"/>
      <c r="GKL334"/>
      <c r="GKO334"/>
      <c r="GKP334"/>
      <c r="GKS334"/>
      <c r="GKT334"/>
      <c r="GKW334"/>
      <c r="GKX334"/>
      <c r="GLA334"/>
      <c r="GLB334"/>
      <c r="GLE334"/>
      <c r="GLF334"/>
      <c r="GLI334"/>
      <c r="GLJ334"/>
      <c r="GLM334"/>
      <c r="GLN334"/>
      <c r="GLQ334"/>
      <c r="GLR334"/>
      <c r="GLU334"/>
      <c r="GLV334"/>
      <c r="GLY334"/>
      <c r="GLZ334"/>
      <c r="GMC334"/>
      <c r="GMD334"/>
      <c r="GMG334"/>
      <c r="GMH334"/>
      <c r="GMK334"/>
      <c r="GML334"/>
      <c r="GMO334"/>
      <c r="GMP334"/>
      <c r="GMS334"/>
      <c r="GMT334"/>
      <c r="GMW334"/>
      <c r="GMX334"/>
      <c r="GNA334"/>
      <c r="GNB334"/>
      <c r="GNE334"/>
      <c r="GNF334"/>
      <c r="GNI334"/>
      <c r="GNJ334"/>
      <c r="GNM334"/>
      <c r="GNN334"/>
      <c r="GNQ334"/>
      <c r="GNR334"/>
      <c r="GNU334"/>
      <c r="GNV334"/>
      <c r="GNY334"/>
      <c r="GNZ334"/>
      <c r="GOC334"/>
      <c r="GOD334"/>
      <c r="GOG334"/>
      <c r="GOH334"/>
      <c r="GOK334"/>
      <c r="GOL334"/>
      <c r="GOO334"/>
      <c r="GOP334"/>
      <c r="GOS334"/>
      <c r="GOT334"/>
      <c r="GOW334"/>
      <c r="GOX334"/>
      <c r="GPA334"/>
      <c r="GPB334"/>
      <c r="GPE334"/>
      <c r="GPF334"/>
      <c r="GPI334"/>
      <c r="GPJ334"/>
      <c r="GPM334"/>
      <c r="GPN334"/>
      <c r="GPQ334"/>
      <c r="GPR334"/>
      <c r="GPU334"/>
      <c r="GPV334"/>
      <c r="GPY334"/>
      <c r="GPZ334"/>
      <c r="GQC334"/>
      <c r="GQD334"/>
      <c r="GQG334"/>
      <c r="GQH334"/>
      <c r="GQK334"/>
      <c r="GQL334"/>
      <c r="GQO334"/>
      <c r="GQP334"/>
      <c r="GQS334"/>
      <c r="GQT334"/>
      <c r="GQW334"/>
      <c r="GQX334"/>
      <c r="GRA334"/>
      <c r="GRB334"/>
      <c r="GRE334"/>
      <c r="GRF334"/>
      <c r="GRI334"/>
      <c r="GRJ334"/>
      <c r="GRM334"/>
      <c r="GRN334"/>
      <c r="GRQ334"/>
      <c r="GRR334"/>
      <c r="GRU334"/>
      <c r="GRV334"/>
      <c r="GRY334"/>
      <c r="GRZ334"/>
      <c r="GSC334"/>
      <c r="GSD334"/>
      <c r="GSG334"/>
      <c r="GSH334"/>
      <c r="GSK334"/>
      <c r="GSL334"/>
      <c r="GSO334"/>
      <c r="GSP334"/>
      <c r="GSS334"/>
      <c r="GST334"/>
      <c r="GSW334"/>
      <c r="GSX334"/>
      <c r="GTA334"/>
      <c r="GTB334"/>
      <c r="GTE334"/>
      <c r="GTF334"/>
      <c r="GTI334"/>
      <c r="GTJ334"/>
      <c r="GTM334"/>
      <c r="GTN334"/>
      <c r="GTQ334"/>
      <c r="GTR334"/>
      <c r="GTU334"/>
      <c r="GTV334"/>
      <c r="GTY334"/>
      <c r="GTZ334"/>
      <c r="GUC334"/>
      <c r="GUD334"/>
      <c r="GUG334"/>
      <c r="GUH334"/>
      <c r="GUK334"/>
      <c r="GUL334"/>
      <c r="GUO334"/>
      <c r="GUP334"/>
      <c r="GUS334"/>
      <c r="GUT334"/>
      <c r="GUW334"/>
      <c r="GUX334"/>
      <c r="GVA334"/>
      <c r="GVB334"/>
      <c r="GVE334"/>
      <c r="GVF334"/>
      <c r="GVI334"/>
      <c r="GVJ334"/>
      <c r="GVM334"/>
      <c r="GVN334"/>
      <c r="GVQ334"/>
      <c r="GVR334"/>
      <c r="GVU334"/>
      <c r="GVV334"/>
      <c r="GVY334"/>
      <c r="GVZ334"/>
      <c r="GWC334"/>
      <c r="GWD334"/>
      <c r="GWG334"/>
      <c r="GWH334"/>
      <c r="GWK334"/>
      <c r="GWL334"/>
      <c r="GWO334"/>
      <c r="GWP334"/>
      <c r="GWS334"/>
      <c r="GWT334"/>
      <c r="GWW334"/>
      <c r="GWX334"/>
      <c r="GXA334"/>
      <c r="GXB334"/>
      <c r="GXE334"/>
      <c r="GXF334"/>
      <c r="GXI334"/>
      <c r="GXJ334"/>
      <c r="GXM334"/>
      <c r="GXN334"/>
      <c r="GXQ334"/>
      <c r="GXR334"/>
      <c r="GXU334"/>
      <c r="GXV334"/>
      <c r="GXY334"/>
      <c r="GXZ334"/>
      <c r="GYC334"/>
      <c r="GYD334"/>
      <c r="GYG334"/>
      <c r="GYH334"/>
      <c r="GYK334"/>
      <c r="GYL334"/>
      <c r="GYO334"/>
      <c r="GYP334"/>
      <c r="GYS334"/>
      <c r="GYT334"/>
      <c r="GYW334"/>
      <c r="GYX334"/>
      <c r="GZA334"/>
      <c r="GZB334"/>
      <c r="GZE334"/>
      <c r="GZF334"/>
      <c r="GZI334"/>
      <c r="GZJ334"/>
      <c r="GZM334"/>
      <c r="GZN334"/>
      <c r="GZQ334"/>
      <c r="GZR334"/>
      <c r="GZU334"/>
      <c r="GZV334"/>
      <c r="GZY334"/>
      <c r="GZZ334"/>
      <c r="HAC334"/>
      <c r="HAD334"/>
      <c r="HAG334"/>
      <c r="HAH334"/>
      <c r="HAK334"/>
      <c r="HAL334"/>
      <c r="HAO334"/>
      <c r="HAP334"/>
      <c r="HAS334"/>
      <c r="HAT334"/>
      <c r="HAW334"/>
      <c r="HAX334"/>
      <c r="HBA334"/>
      <c r="HBB334"/>
      <c r="HBE334"/>
      <c r="HBF334"/>
      <c r="HBI334"/>
      <c r="HBJ334"/>
      <c r="HBM334"/>
      <c r="HBN334"/>
      <c r="HBQ334"/>
      <c r="HBR334"/>
      <c r="HBU334"/>
      <c r="HBV334"/>
      <c r="HBY334"/>
      <c r="HBZ334"/>
      <c r="HCC334"/>
      <c r="HCD334"/>
      <c r="HCG334"/>
      <c r="HCH334"/>
      <c r="HCK334"/>
      <c r="HCL334"/>
      <c r="HCO334"/>
      <c r="HCP334"/>
      <c r="HCS334"/>
      <c r="HCT334"/>
      <c r="HCW334"/>
      <c r="HCX334"/>
      <c r="HDA334"/>
      <c r="HDB334"/>
      <c r="HDE334"/>
      <c r="HDF334"/>
      <c r="HDI334"/>
      <c r="HDJ334"/>
      <c r="HDM334"/>
      <c r="HDN334"/>
      <c r="HDQ334"/>
      <c r="HDR334"/>
      <c r="HDU334"/>
      <c r="HDV334"/>
      <c r="HDY334"/>
      <c r="HDZ334"/>
      <c r="HEC334"/>
      <c r="HED334"/>
      <c r="HEG334"/>
      <c r="HEH334"/>
      <c r="HEK334"/>
      <c r="HEL334"/>
      <c r="HEO334"/>
      <c r="HEP334"/>
      <c r="HES334"/>
      <c r="HET334"/>
      <c r="HEW334"/>
      <c r="HEX334"/>
      <c r="HFA334"/>
      <c r="HFB334"/>
      <c r="HFE334"/>
      <c r="HFF334"/>
      <c r="HFI334"/>
      <c r="HFJ334"/>
      <c r="HFM334"/>
      <c r="HFN334"/>
      <c r="HFQ334"/>
      <c r="HFR334"/>
      <c r="HFU334"/>
      <c r="HFV334"/>
      <c r="HFY334"/>
      <c r="HFZ334"/>
      <c r="HGC334"/>
      <c r="HGD334"/>
      <c r="HGG334"/>
      <c r="HGH334"/>
      <c r="HGK334"/>
      <c r="HGL334"/>
      <c r="HGO334"/>
      <c r="HGP334"/>
      <c r="HGS334"/>
      <c r="HGT334"/>
      <c r="HGW334"/>
      <c r="HGX334"/>
      <c r="HHA334"/>
      <c r="HHB334"/>
      <c r="HHE334"/>
      <c r="HHF334"/>
      <c r="HHI334"/>
      <c r="HHJ334"/>
      <c r="HHM334"/>
      <c r="HHN334"/>
      <c r="HHQ334"/>
      <c r="HHR334"/>
      <c r="HHU334"/>
      <c r="HHV334"/>
      <c r="HHY334"/>
      <c r="HHZ334"/>
      <c r="HIC334"/>
      <c r="HID334"/>
      <c r="HIG334"/>
      <c r="HIH334"/>
      <c r="HIK334"/>
      <c r="HIL334"/>
      <c r="HIO334"/>
      <c r="HIP334"/>
      <c r="HIS334"/>
      <c r="HIT334"/>
      <c r="HIW334"/>
      <c r="HIX334"/>
      <c r="HJA334"/>
      <c r="HJB334"/>
      <c r="HJE334"/>
      <c r="HJF334"/>
      <c r="HJI334"/>
      <c r="HJJ334"/>
      <c r="HJM334"/>
      <c r="HJN334"/>
      <c r="HJQ334"/>
      <c r="HJR334"/>
      <c r="HJU334"/>
      <c r="HJV334"/>
      <c r="HJY334"/>
      <c r="HJZ334"/>
      <c r="HKC334"/>
      <c r="HKD334"/>
      <c r="HKG334"/>
      <c r="HKH334"/>
      <c r="HKK334"/>
      <c r="HKL334"/>
      <c r="HKO334"/>
      <c r="HKP334"/>
      <c r="HKS334"/>
      <c r="HKT334"/>
      <c r="HKW334"/>
      <c r="HKX334"/>
      <c r="HLA334"/>
      <c r="HLB334"/>
      <c r="HLE334"/>
      <c r="HLF334"/>
      <c r="HLI334"/>
      <c r="HLJ334"/>
      <c r="HLM334"/>
      <c r="HLN334"/>
      <c r="HLQ334"/>
      <c r="HLR334"/>
      <c r="HLU334"/>
      <c r="HLV334"/>
      <c r="HLY334"/>
      <c r="HLZ334"/>
      <c r="HMC334"/>
      <c r="HMD334"/>
      <c r="HMG334"/>
      <c r="HMH334"/>
      <c r="HMK334"/>
      <c r="HML334"/>
      <c r="HMO334"/>
      <c r="HMP334"/>
      <c r="HMS334"/>
      <c r="HMT334"/>
      <c r="HMW334"/>
      <c r="HMX334"/>
      <c r="HNA334"/>
      <c r="HNB334"/>
      <c r="HNE334"/>
      <c r="HNF334"/>
      <c r="HNI334"/>
      <c r="HNJ334"/>
      <c r="HNM334"/>
      <c r="HNN334"/>
      <c r="HNQ334"/>
      <c r="HNR334"/>
      <c r="HNU334"/>
      <c r="HNV334"/>
      <c r="HNY334"/>
      <c r="HNZ334"/>
      <c r="HOC334"/>
      <c r="HOD334"/>
      <c r="HOG334"/>
      <c r="HOH334"/>
      <c r="HOK334"/>
      <c r="HOL334"/>
      <c r="HOO334"/>
      <c r="HOP334"/>
      <c r="HOS334"/>
      <c r="HOT334"/>
      <c r="HOW334"/>
      <c r="HOX334"/>
      <c r="HPA334"/>
      <c r="HPB334"/>
      <c r="HPE334"/>
      <c r="HPF334"/>
      <c r="HPI334"/>
      <c r="HPJ334"/>
      <c r="HPM334"/>
      <c r="HPN334"/>
      <c r="HPQ334"/>
      <c r="HPR334"/>
      <c r="HPU334"/>
      <c r="HPV334"/>
      <c r="HPY334"/>
      <c r="HPZ334"/>
      <c r="HQC334"/>
      <c r="HQD334"/>
      <c r="HQG334"/>
      <c r="HQH334"/>
      <c r="HQK334"/>
      <c r="HQL334"/>
      <c r="HQO334"/>
      <c r="HQP334"/>
      <c r="HQS334"/>
      <c r="HQT334"/>
      <c r="HQW334"/>
      <c r="HQX334"/>
      <c r="HRA334"/>
      <c r="HRB334"/>
      <c r="HRE334"/>
      <c r="HRF334"/>
      <c r="HRI334"/>
      <c r="HRJ334"/>
      <c r="HRM334"/>
      <c r="HRN334"/>
      <c r="HRQ334"/>
      <c r="HRR334"/>
      <c r="HRU334"/>
      <c r="HRV334"/>
      <c r="HRY334"/>
      <c r="HRZ334"/>
      <c r="HSC334"/>
      <c r="HSD334"/>
      <c r="HSG334"/>
      <c r="HSH334"/>
      <c r="HSK334"/>
      <c r="HSL334"/>
      <c r="HSO334"/>
      <c r="HSP334"/>
      <c r="HSS334"/>
      <c r="HST334"/>
      <c r="HSW334"/>
      <c r="HSX334"/>
      <c r="HTA334"/>
      <c r="HTB334"/>
      <c r="HTE334"/>
      <c r="HTF334"/>
      <c r="HTI334"/>
      <c r="HTJ334"/>
      <c r="HTM334"/>
      <c r="HTN334"/>
      <c r="HTQ334"/>
      <c r="HTR334"/>
      <c r="HTU334"/>
      <c r="HTV334"/>
      <c r="HTY334"/>
      <c r="HTZ334"/>
      <c r="HUC334"/>
      <c r="HUD334"/>
      <c r="HUG334"/>
      <c r="HUH334"/>
      <c r="HUK334"/>
      <c r="HUL334"/>
      <c r="HUO334"/>
      <c r="HUP334"/>
      <c r="HUS334"/>
      <c r="HUT334"/>
      <c r="HUW334"/>
      <c r="HUX334"/>
      <c r="HVA334"/>
      <c r="HVB334"/>
      <c r="HVE334"/>
      <c r="HVF334"/>
      <c r="HVI334"/>
      <c r="HVJ334"/>
      <c r="HVM334"/>
      <c r="HVN334"/>
      <c r="HVQ334"/>
      <c r="HVR334"/>
      <c r="HVU334"/>
      <c r="HVV334"/>
      <c r="HVY334"/>
      <c r="HVZ334"/>
      <c r="HWC334"/>
      <c r="HWD334"/>
      <c r="HWG334"/>
      <c r="HWH334"/>
      <c r="HWK334"/>
      <c r="HWL334"/>
      <c r="HWO334"/>
      <c r="HWP334"/>
      <c r="HWS334"/>
      <c r="HWT334"/>
      <c r="HWW334"/>
      <c r="HWX334"/>
      <c r="HXA334"/>
      <c r="HXB334"/>
      <c r="HXE334"/>
      <c r="HXF334"/>
      <c r="HXI334"/>
      <c r="HXJ334"/>
      <c r="HXM334"/>
      <c r="HXN334"/>
      <c r="HXQ334"/>
      <c r="HXR334"/>
      <c r="HXU334"/>
      <c r="HXV334"/>
      <c r="HXY334"/>
      <c r="HXZ334"/>
      <c r="HYC334"/>
      <c r="HYD334"/>
      <c r="HYG334"/>
      <c r="HYH334"/>
      <c r="HYK334"/>
      <c r="HYL334"/>
      <c r="HYO334"/>
      <c r="HYP334"/>
      <c r="HYS334"/>
      <c r="HYT334"/>
      <c r="HYW334"/>
      <c r="HYX334"/>
      <c r="HZA334"/>
      <c r="HZB334"/>
      <c r="HZE334"/>
      <c r="HZF334"/>
      <c r="HZI334"/>
      <c r="HZJ334"/>
      <c r="HZM334"/>
      <c r="HZN334"/>
      <c r="HZQ334"/>
      <c r="HZR334"/>
      <c r="HZU334"/>
      <c r="HZV334"/>
      <c r="HZY334"/>
      <c r="HZZ334"/>
      <c r="IAC334"/>
      <c r="IAD334"/>
      <c r="IAG334"/>
      <c r="IAH334"/>
      <c r="IAK334"/>
      <c r="IAL334"/>
      <c r="IAO334"/>
      <c r="IAP334"/>
      <c r="IAS334"/>
      <c r="IAT334"/>
      <c r="IAW334"/>
      <c r="IAX334"/>
      <c r="IBA334"/>
      <c r="IBB334"/>
      <c r="IBE334"/>
      <c r="IBF334"/>
      <c r="IBI334"/>
      <c r="IBJ334"/>
      <c r="IBM334"/>
      <c r="IBN334"/>
      <c r="IBQ334"/>
      <c r="IBR334"/>
      <c r="IBU334"/>
      <c r="IBV334"/>
      <c r="IBY334"/>
      <c r="IBZ334"/>
      <c r="ICC334"/>
      <c r="ICD334"/>
      <c r="ICG334"/>
      <c r="ICH334"/>
      <c r="ICK334"/>
      <c r="ICL334"/>
      <c r="ICO334"/>
      <c r="ICP334"/>
      <c r="ICS334"/>
      <c r="ICT334"/>
      <c r="ICW334"/>
      <c r="ICX334"/>
      <c r="IDA334"/>
      <c r="IDB334"/>
      <c r="IDE334"/>
      <c r="IDF334"/>
      <c r="IDI334"/>
      <c r="IDJ334"/>
      <c r="IDM334"/>
      <c r="IDN334"/>
      <c r="IDQ334"/>
      <c r="IDR334"/>
      <c r="IDU334"/>
      <c r="IDV334"/>
      <c r="IDY334"/>
      <c r="IDZ334"/>
      <c r="IEC334"/>
      <c r="IED334"/>
      <c r="IEG334"/>
      <c r="IEH334"/>
      <c r="IEK334"/>
      <c r="IEL334"/>
      <c r="IEO334"/>
      <c r="IEP334"/>
      <c r="IES334"/>
      <c r="IET334"/>
      <c r="IEW334"/>
      <c r="IEX334"/>
      <c r="IFA334"/>
      <c r="IFB334"/>
      <c r="IFE334"/>
      <c r="IFF334"/>
      <c r="IFI334"/>
      <c r="IFJ334"/>
      <c r="IFM334"/>
      <c r="IFN334"/>
      <c r="IFQ334"/>
      <c r="IFR334"/>
      <c r="IFU334"/>
      <c r="IFV334"/>
      <c r="IFY334"/>
      <c r="IFZ334"/>
      <c r="IGC334"/>
      <c r="IGD334"/>
      <c r="IGG334"/>
      <c r="IGH334"/>
      <c r="IGK334"/>
      <c r="IGL334"/>
      <c r="IGO334"/>
      <c r="IGP334"/>
      <c r="IGS334"/>
      <c r="IGT334"/>
      <c r="IGW334"/>
      <c r="IGX334"/>
      <c r="IHA334"/>
      <c r="IHB334"/>
      <c r="IHE334"/>
      <c r="IHF334"/>
      <c r="IHI334"/>
      <c r="IHJ334"/>
      <c r="IHM334"/>
      <c r="IHN334"/>
      <c r="IHQ334"/>
      <c r="IHR334"/>
      <c r="IHU334"/>
      <c r="IHV334"/>
      <c r="IHY334"/>
      <c r="IHZ334"/>
      <c r="IIC334"/>
      <c r="IID334"/>
      <c r="IIG334"/>
      <c r="IIH334"/>
      <c r="IIK334"/>
      <c r="IIL334"/>
      <c r="IIO334"/>
      <c r="IIP334"/>
      <c r="IIS334"/>
      <c r="IIT334"/>
      <c r="IIW334"/>
      <c r="IIX334"/>
      <c r="IJA334"/>
      <c r="IJB334"/>
      <c r="IJE334"/>
      <c r="IJF334"/>
      <c r="IJI334"/>
      <c r="IJJ334"/>
      <c r="IJM334"/>
      <c r="IJN334"/>
      <c r="IJQ334"/>
      <c r="IJR334"/>
      <c r="IJU334"/>
      <c r="IJV334"/>
      <c r="IJY334"/>
      <c r="IJZ334"/>
      <c r="IKC334"/>
      <c r="IKD334"/>
      <c r="IKG334"/>
      <c r="IKH334"/>
      <c r="IKK334"/>
      <c r="IKL334"/>
      <c r="IKO334"/>
      <c r="IKP334"/>
      <c r="IKS334"/>
      <c r="IKT334"/>
      <c r="IKW334"/>
      <c r="IKX334"/>
      <c r="ILA334"/>
      <c r="ILB334"/>
      <c r="ILE334"/>
      <c r="ILF334"/>
      <c r="ILI334"/>
      <c r="ILJ334"/>
      <c r="ILM334"/>
      <c r="ILN334"/>
      <c r="ILQ334"/>
      <c r="ILR334"/>
      <c r="ILU334"/>
      <c r="ILV334"/>
      <c r="ILY334"/>
      <c r="ILZ334"/>
      <c r="IMC334"/>
      <c r="IMD334"/>
      <c r="IMG334"/>
      <c r="IMH334"/>
      <c r="IMK334"/>
      <c r="IML334"/>
      <c r="IMO334"/>
      <c r="IMP334"/>
      <c r="IMS334"/>
      <c r="IMT334"/>
      <c r="IMW334"/>
      <c r="IMX334"/>
      <c r="INA334"/>
      <c r="INB334"/>
      <c r="INE334"/>
      <c r="INF334"/>
      <c r="INI334"/>
      <c r="INJ334"/>
      <c r="INM334"/>
      <c r="INN334"/>
      <c r="INQ334"/>
      <c r="INR334"/>
      <c r="INU334"/>
      <c r="INV334"/>
      <c r="INY334"/>
      <c r="INZ334"/>
      <c r="IOC334"/>
      <c r="IOD334"/>
      <c r="IOG334"/>
      <c r="IOH334"/>
      <c r="IOK334"/>
      <c r="IOL334"/>
      <c r="IOO334"/>
      <c r="IOP334"/>
      <c r="IOS334"/>
      <c r="IOT334"/>
      <c r="IOW334"/>
      <c r="IOX334"/>
      <c r="IPA334"/>
      <c r="IPB334"/>
      <c r="IPE334"/>
      <c r="IPF334"/>
      <c r="IPI334"/>
      <c r="IPJ334"/>
      <c r="IPM334"/>
      <c r="IPN334"/>
      <c r="IPQ334"/>
      <c r="IPR334"/>
      <c r="IPU334"/>
      <c r="IPV334"/>
      <c r="IPY334"/>
      <c r="IPZ334"/>
      <c r="IQC334"/>
      <c r="IQD334"/>
      <c r="IQG334"/>
      <c r="IQH334"/>
      <c r="IQK334"/>
      <c r="IQL334"/>
      <c r="IQO334"/>
      <c r="IQP334"/>
      <c r="IQS334"/>
      <c r="IQT334"/>
      <c r="IQW334"/>
      <c r="IQX334"/>
      <c r="IRA334"/>
      <c r="IRB334"/>
      <c r="IRE334"/>
      <c r="IRF334"/>
      <c r="IRI334"/>
      <c r="IRJ334"/>
      <c r="IRM334"/>
      <c r="IRN334"/>
      <c r="IRQ334"/>
      <c r="IRR334"/>
      <c r="IRU334"/>
      <c r="IRV334"/>
      <c r="IRY334"/>
      <c r="IRZ334"/>
      <c r="ISC334"/>
      <c r="ISD334"/>
      <c r="ISG334"/>
      <c r="ISH334"/>
      <c r="ISK334"/>
      <c r="ISL334"/>
      <c r="ISO334"/>
      <c r="ISP334"/>
      <c r="ISS334"/>
      <c r="IST334"/>
      <c r="ISW334"/>
      <c r="ISX334"/>
      <c r="ITA334"/>
      <c r="ITB334"/>
      <c r="ITE334"/>
      <c r="ITF334"/>
      <c r="ITI334"/>
      <c r="ITJ334"/>
      <c r="ITM334"/>
      <c r="ITN334"/>
      <c r="ITQ334"/>
      <c r="ITR334"/>
      <c r="ITU334"/>
      <c r="ITV334"/>
      <c r="ITY334"/>
      <c r="ITZ334"/>
      <c r="IUC334"/>
      <c r="IUD334"/>
      <c r="IUG334"/>
      <c r="IUH334"/>
      <c r="IUK334"/>
      <c r="IUL334"/>
      <c r="IUO334"/>
      <c r="IUP334"/>
      <c r="IUS334"/>
      <c r="IUT334"/>
      <c r="IUW334"/>
      <c r="IUX334"/>
      <c r="IVA334"/>
      <c r="IVB334"/>
      <c r="IVE334"/>
      <c r="IVF334"/>
      <c r="IVI334"/>
      <c r="IVJ334"/>
      <c r="IVM334"/>
      <c r="IVN334"/>
      <c r="IVQ334"/>
      <c r="IVR334"/>
      <c r="IVU334"/>
      <c r="IVV334"/>
      <c r="IVY334"/>
      <c r="IVZ334"/>
      <c r="IWC334"/>
      <c r="IWD334"/>
      <c r="IWG334"/>
      <c r="IWH334"/>
      <c r="IWK334"/>
      <c r="IWL334"/>
      <c r="IWO334"/>
      <c r="IWP334"/>
      <c r="IWS334"/>
      <c r="IWT334"/>
      <c r="IWW334"/>
      <c r="IWX334"/>
      <c r="IXA334"/>
      <c r="IXB334"/>
      <c r="IXE334"/>
      <c r="IXF334"/>
      <c r="IXI334"/>
      <c r="IXJ334"/>
      <c r="IXM334"/>
      <c r="IXN334"/>
      <c r="IXQ334"/>
      <c r="IXR334"/>
      <c r="IXU334"/>
      <c r="IXV334"/>
      <c r="IXY334"/>
      <c r="IXZ334"/>
      <c r="IYC334"/>
      <c r="IYD334"/>
      <c r="IYG334"/>
      <c r="IYH334"/>
      <c r="IYK334"/>
      <c r="IYL334"/>
      <c r="IYO334"/>
      <c r="IYP334"/>
      <c r="IYS334"/>
      <c r="IYT334"/>
      <c r="IYW334"/>
      <c r="IYX334"/>
      <c r="IZA334"/>
      <c r="IZB334"/>
      <c r="IZE334"/>
      <c r="IZF334"/>
      <c r="IZI334"/>
      <c r="IZJ334"/>
      <c r="IZM334"/>
      <c r="IZN334"/>
      <c r="IZQ334"/>
      <c r="IZR334"/>
      <c r="IZU334"/>
      <c r="IZV334"/>
      <c r="IZY334"/>
      <c r="IZZ334"/>
      <c r="JAC334"/>
      <c r="JAD334"/>
      <c r="JAG334"/>
      <c r="JAH334"/>
      <c r="JAK334"/>
      <c r="JAL334"/>
      <c r="JAO334"/>
      <c r="JAP334"/>
      <c r="JAS334"/>
      <c r="JAT334"/>
      <c r="JAW334"/>
      <c r="JAX334"/>
      <c r="JBA334"/>
      <c r="JBB334"/>
      <c r="JBE334"/>
      <c r="JBF334"/>
      <c r="JBI334"/>
      <c r="JBJ334"/>
      <c r="JBM334"/>
      <c r="JBN334"/>
      <c r="JBQ334"/>
      <c r="JBR334"/>
      <c r="JBU334"/>
      <c r="JBV334"/>
      <c r="JBY334"/>
      <c r="JBZ334"/>
      <c r="JCC334"/>
      <c r="JCD334"/>
      <c r="JCG334"/>
      <c r="JCH334"/>
      <c r="JCK334"/>
      <c r="JCL334"/>
      <c r="JCO334"/>
      <c r="JCP334"/>
      <c r="JCS334"/>
      <c r="JCT334"/>
      <c r="JCW334"/>
      <c r="JCX334"/>
      <c r="JDA334"/>
      <c r="JDB334"/>
      <c r="JDE334"/>
      <c r="JDF334"/>
      <c r="JDI334"/>
      <c r="JDJ334"/>
      <c r="JDM334"/>
      <c r="JDN334"/>
      <c r="JDQ334"/>
      <c r="JDR334"/>
      <c r="JDU334"/>
      <c r="JDV334"/>
      <c r="JDY334"/>
      <c r="JDZ334"/>
      <c r="JEC334"/>
      <c r="JED334"/>
      <c r="JEG334"/>
      <c r="JEH334"/>
      <c r="JEK334"/>
      <c r="JEL334"/>
      <c r="JEO334"/>
      <c r="JEP334"/>
      <c r="JES334"/>
      <c r="JET334"/>
      <c r="JEW334"/>
      <c r="JEX334"/>
      <c r="JFA334"/>
      <c r="JFB334"/>
      <c r="JFE334"/>
      <c r="JFF334"/>
      <c r="JFI334"/>
      <c r="JFJ334"/>
      <c r="JFM334"/>
      <c r="JFN334"/>
      <c r="JFQ334"/>
      <c r="JFR334"/>
      <c r="JFU334"/>
      <c r="JFV334"/>
      <c r="JFY334"/>
      <c r="JFZ334"/>
      <c r="JGC334"/>
      <c r="JGD334"/>
      <c r="JGG334"/>
      <c r="JGH334"/>
      <c r="JGK334"/>
      <c r="JGL334"/>
      <c r="JGO334"/>
      <c r="JGP334"/>
      <c r="JGS334"/>
      <c r="JGT334"/>
      <c r="JGW334"/>
      <c r="JGX334"/>
      <c r="JHA334"/>
      <c r="JHB334"/>
      <c r="JHE334"/>
      <c r="JHF334"/>
      <c r="JHI334"/>
      <c r="JHJ334"/>
      <c r="JHM334"/>
      <c r="JHN334"/>
      <c r="JHQ334"/>
      <c r="JHR334"/>
      <c r="JHU334"/>
      <c r="JHV334"/>
      <c r="JHY334"/>
      <c r="JHZ334"/>
      <c r="JIC334"/>
      <c r="JID334"/>
      <c r="JIG334"/>
      <c r="JIH334"/>
      <c r="JIK334"/>
      <c r="JIL334"/>
      <c r="JIO334"/>
      <c r="JIP334"/>
      <c r="JIS334"/>
      <c r="JIT334"/>
      <c r="JIW334"/>
      <c r="JIX334"/>
      <c r="JJA334"/>
      <c r="JJB334"/>
      <c r="JJE334"/>
      <c r="JJF334"/>
      <c r="JJI334"/>
      <c r="JJJ334"/>
      <c r="JJM334"/>
      <c r="JJN334"/>
      <c r="JJQ334"/>
      <c r="JJR334"/>
      <c r="JJU334"/>
      <c r="JJV334"/>
      <c r="JJY334"/>
      <c r="JJZ334"/>
      <c r="JKC334"/>
      <c r="JKD334"/>
      <c r="JKG334"/>
      <c r="JKH334"/>
      <c r="JKK334"/>
      <c r="JKL334"/>
      <c r="JKO334"/>
      <c r="JKP334"/>
      <c r="JKS334"/>
      <c r="JKT334"/>
      <c r="JKW334"/>
      <c r="JKX334"/>
      <c r="JLA334"/>
      <c r="JLB334"/>
      <c r="JLE334"/>
      <c r="JLF334"/>
      <c r="JLI334"/>
      <c r="JLJ334"/>
      <c r="JLM334"/>
      <c r="JLN334"/>
      <c r="JLQ334"/>
      <c r="JLR334"/>
      <c r="JLU334"/>
      <c r="JLV334"/>
      <c r="JLY334"/>
      <c r="JLZ334"/>
      <c r="JMC334"/>
      <c r="JMD334"/>
      <c r="JMG334"/>
      <c r="JMH334"/>
      <c r="JMK334"/>
      <c r="JML334"/>
      <c r="JMO334"/>
      <c r="JMP334"/>
      <c r="JMS334"/>
      <c r="JMT334"/>
      <c r="JMW334"/>
      <c r="JMX334"/>
      <c r="JNA334"/>
      <c r="JNB334"/>
      <c r="JNE334"/>
      <c r="JNF334"/>
      <c r="JNI334"/>
      <c r="JNJ334"/>
      <c r="JNM334"/>
      <c r="JNN334"/>
      <c r="JNQ334"/>
      <c r="JNR334"/>
      <c r="JNU334"/>
      <c r="JNV334"/>
      <c r="JNY334"/>
      <c r="JNZ334"/>
      <c r="JOC334"/>
      <c r="JOD334"/>
      <c r="JOG334"/>
      <c r="JOH334"/>
      <c r="JOK334"/>
      <c r="JOL334"/>
      <c r="JOO334"/>
      <c r="JOP334"/>
      <c r="JOS334"/>
      <c r="JOT334"/>
      <c r="JOW334"/>
      <c r="JOX334"/>
      <c r="JPA334"/>
      <c r="JPB334"/>
      <c r="JPE334"/>
      <c r="JPF334"/>
      <c r="JPI334"/>
      <c r="JPJ334"/>
      <c r="JPM334"/>
      <c r="JPN334"/>
      <c r="JPQ334"/>
      <c r="JPR334"/>
      <c r="JPU334"/>
      <c r="JPV334"/>
      <c r="JPY334"/>
      <c r="JPZ334"/>
      <c r="JQC334"/>
      <c r="JQD334"/>
      <c r="JQG334"/>
      <c r="JQH334"/>
      <c r="JQK334"/>
      <c r="JQL334"/>
      <c r="JQO334"/>
      <c r="JQP334"/>
      <c r="JQS334"/>
      <c r="JQT334"/>
      <c r="JQW334"/>
      <c r="JQX334"/>
      <c r="JRA334"/>
      <c r="JRB334"/>
      <c r="JRE334"/>
      <c r="JRF334"/>
      <c r="JRI334"/>
      <c r="JRJ334"/>
      <c r="JRM334"/>
      <c r="JRN334"/>
      <c r="JRQ334"/>
      <c r="JRR334"/>
      <c r="JRU334"/>
      <c r="JRV334"/>
      <c r="JRY334"/>
      <c r="JRZ334"/>
      <c r="JSC334"/>
      <c r="JSD334"/>
      <c r="JSG334"/>
      <c r="JSH334"/>
      <c r="JSK334"/>
      <c r="JSL334"/>
      <c r="JSO334"/>
      <c r="JSP334"/>
      <c r="JSS334"/>
      <c r="JST334"/>
      <c r="JSW334"/>
      <c r="JSX334"/>
      <c r="JTA334"/>
      <c r="JTB334"/>
      <c r="JTE334"/>
      <c r="JTF334"/>
      <c r="JTI334"/>
      <c r="JTJ334"/>
      <c r="JTM334"/>
      <c r="JTN334"/>
      <c r="JTQ334"/>
      <c r="JTR334"/>
      <c r="JTU334"/>
      <c r="JTV334"/>
      <c r="JTY334"/>
      <c r="JTZ334"/>
      <c r="JUC334"/>
      <c r="JUD334"/>
      <c r="JUG334"/>
      <c r="JUH334"/>
      <c r="JUK334"/>
      <c r="JUL334"/>
      <c r="JUO334"/>
      <c r="JUP334"/>
      <c r="JUS334"/>
      <c r="JUT334"/>
      <c r="JUW334"/>
      <c r="JUX334"/>
      <c r="JVA334"/>
      <c r="JVB334"/>
      <c r="JVE334"/>
      <c r="JVF334"/>
      <c r="JVI334"/>
      <c r="JVJ334"/>
      <c r="JVM334"/>
      <c r="JVN334"/>
      <c r="JVQ334"/>
      <c r="JVR334"/>
      <c r="JVU334"/>
      <c r="JVV334"/>
      <c r="JVY334"/>
      <c r="JVZ334"/>
      <c r="JWC334"/>
      <c r="JWD334"/>
      <c r="JWG334"/>
      <c r="JWH334"/>
      <c r="JWK334"/>
      <c r="JWL334"/>
      <c r="JWO334"/>
      <c r="JWP334"/>
      <c r="JWS334"/>
      <c r="JWT334"/>
      <c r="JWW334"/>
      <c r="JWX334"/>
      <c r="JXA334"/>
      <c r="JXB334"/>
      <c r="JXE334"/>
      <c r="JXF334"/>
      <c r="JXI334"/>
      <c r="JXJ334"/>
      <c r="JXM334"/>
      <c r="JXN334"/>
      <c r="JXQ334"/>
      <c r="JXR334"/>
      <c r="JXU334"/>
      <c r="JXV334"/>
      <c r="JXY334"/>
      <c r="JXZ334"/>
      <c r="JYC334"/>
      <c r="JYD334"/>
      <c r="JYG334"/>
      <c r="JYH334"/>
      <c r="JYK334"/>
      <c r="JYL334"/>
      <c r="JYO334"/>
      <c r="JYP334"/>
      <c r="JYS334"/>
      <c r="JYT334"/>
      <c r="JYW334"/>
      <c r="JYX334"/>
      <c r="JZA334"/>
      <c r="JZB334"/>
      <c r="JZE334"/>
      <c r="JZF334"/>
      <c r="JZI334"/>
      <c r="JZJ334"/>
      <c r="JZM334"/>
      <c r="JZN334"/>
      <c r="JZQ334"/>
      <c r="JZR334"/>
      <c r="JZU334"/>
      <c r="JZV334"/>
      <c r="JZY334"/>
      <c r="JZZ334"/>
      <c r="KAC334"/>
      <c r="KAD334"/>
      <c r="KAG334"/>
      <c r="KAH334"/>
      <c r="KAK334"/>
      <c r="KAL334"/>
      <c r="KAO334"/>
      <c r="KAP334"/>
      <c r="KAS334"/>
      <c r="KAT334"/>
      <c r="KAW334"/>
      <c r="KAX334"/>
      <c r="KBA334"/>
      <c r="KBB334"/>
      <c r="KBE334"/>
      <c r="KBF334"/>
      <c r="KBI334"/>
      <c r="KBJ334"/>
      <c r="KBM334"/>
      <c r="KBN334"/>
      <c r="KBQ334"/>
      <c r="KBR334"/>
      <c r="KBU334"/>
      <c r="KBV334"/>
      <c r="KBY334"/>
      <c r="KBZ334"/>
      <c r="KCC334"/>
      <c r="KCD334"/>
      <c r="KCG334"/>
      <c r="KCH334"/>
      <c r="KCK334"/>
      <c r="KCL334"/>
      <c r="KCO334"/>
      <c r="KCP334"/>
      <c r="KCS334"/>
      <c r="KCT334"/>
      <c r="KCW334"/>
      <c r="KCX334"/>
      <c r="KDA334"/>
      <c r="KDB334"/>
      <c r="KDE334"/>
      <c r="KDF334"/>
      <c r="KDI334"/>
      <c r="KDJ334"/>
      <c r="KDM334"/>
      <c r="KDN334"/>
      <c r="KDQ334"/>
      <c r="KDR334"/>
      <c r="KDU334"/>
      <c r="KDV334"/>
      <c r="KDY334"/>
      <c r="KDZ334"/>
      <c r="KEC334"/>
      <c r="KED334"/>
      <c r="KEG334"/>
      <c r="KEH334"/>
      <c r="KEK334"/>
      <c r="KEL334"/>
      <c r="KEO334"/>
      <c r="KEP334"/>
      <c r="KES334"/>
      <c r="KET334"/>
      <c r="KEW334"/>
      <c r="KEX334"/>
      <c r="KFA334"/>
      <c r="KFB334"/>
      <c r="KFE334"/>
      <c r="KFF334"/>
      <c r="KFI334"/>
      <c r="KFJ334"/>
      <c r="KFM334"/>
      <c r="KFN334"/>
      <c r="KFQ334"/>
      <c r="KFR334"/>
      <c r="KFU334"/>
      <c r="KFV334"/>
      <c r="KFY334"/>
      <c r="KFZ334"/>
      <c r="KGC334"/>
      <c r="KGD334"/>
      <c r="KGG334"/>
      <c r="KGH334"/>
      <c r="KGK334"/>
      <c r="KGL334"/>
      <c r="KGO334"/>
      <c r="KGP334"/>
      <c r="KGS334"/>
      <c r="KGT334"/>
      <c r="KGW334"/>
      <c r="KGX334"/>
      <c r="KHA334"/>
      <c r="KHB334"/>
      <c r="KHE334"/>
      <c r="KHF334"/>
      <c r="KHI334"/>
      <c r="KHJ334"/>
      <c r="KHM334"/>
      <c r="KHN334"/>
      <c r="KHQ334"/>
      <c r="KHR334"/>
      <c r="KHU334"/>
      <c r="KHV334"/>
      <c r="KHY334"/>
      <c r="KHZ334"/>
      <c r="KIC334"/>
      <c r="KID334"/>
      <c r="KIG334"/>
      <c r="KIH334"/>
      <c r="KIK334"/>
      <c r="KIL334"/>
      <c r="KIO334"/>
      <c r="KIP334"/>
      <c r="KIS334"/>
      <c r="KIT334"/>
      <c r="KIW334"/>
      <c r="KIX334"/>
      <c r="KJA334"/>
      <c r="KJB334"/>
      <c r="KJE334"/>
      <c r="KJF334"/>
      <c r="KJI334"/>
      <c r="KJJ334"/>
      <c r="KJM334"/>
      <c r="KJN334"/>
      <c r="KJQ334"/>
      <c r="KJR334"/>
      <c r="KJU334"/>
      <c r="KJV334"/>
      <c r="KJY334"/>
      <c r="KJZ334"/>
      <c r="KKC334"/>
      <c r="KKD334"/>
      <c r="KKG334"/>
      <c r="KKH334"/>
      <c r="KKK334"/>
      <c r="KKL334"/>
      <c r="KKO334"/>
      <c r="KKP334"/>
      <c r="KKS334"/>
      <c r="KKT334"/>
      <c r="KKW334"/>
      <c r="KKX334"/>
      <c r="KLA334"/>
      <c r="KLB334"/>
      <c r="KLE334"/>
      <c r="KLF334"/>
      <c r="KLI334"/>
      <c r="KLJ334"/>
      <c r="KLM334"/>
      <c r="KLN334"/>
      <c r="KLQ334"/>
      <c r="KLR334"/>
      <c r="KLU334"/>
      <c r="KLV334"/>
      <c r="KLY334"/>
      <c r="KLZ334"/>
      <c r="KMC334"/>
      <c r="KMD334"/>
      <c r="KMG334"/>
      <c r="KMH334"/>
      <c r="KMK334"/>
      <c r="KML334"/>
      <c r="KMO334"/>
      <c r="KMP334"/>
      <c r="KMS334"/>
      <c r="KMT334"/>
      <c r="KMW334"/>
      <c r="KMX334"/>
      <c r="KNA334"/>
      <c r="KNB334"/>
      <c r="KNE334"/>
      <c r="KNF334"/>
      <c r="KNI334"/>
      <c r="KNJ334"/>
      <c r="KNM334"/>
      <c r="KNN334"/>
      <c r="KNQ334"/>
      <c r="KNR334"/>
      <c r="KNU334"/>
      <c r="KNV334"/>
      <c r="KNY334"/>
      <c r="KNZ334"/>
      <c r="KOC334"/>
      <c r="KOD334"/>
      <c r="KOG334"/>
      <c r="KOH334"/>
      <c r="KOK334"/>
      <c r="KOL334"/>
      <c r="KOO334"/>
      <c r="KOP334"/>
      <c r="KOS334"/>
      <c r="KOT334"/>
      <c r="KOW334"/>
      <c r="KOX334"/>
      <c r="KPA334"/>
      <c r="KPB334"/>
      <c r="KPE334"/>
      <c r="KPF334"/>
      <c r="KPI334"/>
      <c r="KPJ334"/>
      <c r="KPM334"/>
      <c r="KPN334"/>
      <c r="KPQ334"/>
      <c r="KPR334"/>
      <c r="KPU334"/>
      <c r="KPV334"/>
      <c r="KPY334"/>
      <c r="KPZ334"/>
      <c r="KQC334"/>
      <c r="KQD334"/>
      <c r="KQG334"/>
      <c r="KQH334"/>
      <c r="KQK334"/>
      <c r="KQL334"/>
      <c r="KQO334"/>
      <c r="KQP334"/>
      <c r="KQS334"/>
      <c r="KQT334"/>
      <c r="KQW334"/>
      <c r="KQX334"/>
      <c r="KRA334"/>
      <c r="KRB334"/>
      <c r="KRE334"/>
      <c r="KRF334"/>
      <c r="KRI334"/>
      <c r="KRJ334"/>
      <c r="KRM334"/>
      <c r="KRN334"/>
      <c r="KRQ334"/>
      <c r="KRR334"/>
      <c r="KRU334"/>
      <c r="KRV334"/>
      <c r="KRY334"/>
      <c r="KRZ334"/>
      <c r="KSC334"/>
      <c r="KSD334"/>
      <c r="KSG334"/>
      <c r="KSH334"/>
      <c r="KSK334"/>
      <c r="KSL334"/>
      <c r="KSO334"/>
      <c r="KSP334"/>
      <c r="KSS334"/>
      <c r="KST334"/>
      <c r="KSW334"/>
      <c r="KSX334"/>
      <c r="KTA334"/>
      <c r="KTB334"/>
      <c r="KTE334"/>
      <c r="KTF334"/>
      <c r="KTI334"/>
      <c r="KTJ334"/>
      <c r="KTM334"/>
      <c r="KTN334"/>
      <c r="KTQ334"/>
      <c r="KTR334"/>
      <c r="KTU334"/>
      <c r="KTV334"/>
      <c r="KTY334"/>
      <c r="KTZ334"/>
      <c r="KUC334"/>
      <c r="KUD334"/>
      <c r="KUG334"/>
      <c r="KUH334"/>
      <c r="KUK334"/>
      <c r="KUL334"/>
      <c r="KUO334"/>
      <c r="KUP334"/>
      <c r="KUS334"/>
      <c r="KUT334"/>
      <c r="KUW334"/>
      <c r="KUX334"/>
      <c r="KVA334"/>
      <c r="KVB334"/>
      <c r="KVE334"/>
      <c r="KVF334"/>
      <c r="KVI334"/>
      <c r="KVJ334"/>
      <c r="KVM334"/>
      <c r="KVN334"/>
      <c r="KVQ334"/>
      <c r="KVR334"/>
      <c r="KVU334"/>
      <c r="KVV334"/>
      <c r="KVY334"/>
      <c r="KVZ334"/>
      <c r="KWC334"/>
      <c r="KWD334"/>
      <c r="KWG334"/>
      <c r="KWH334"/>
      <c r="KWK334"/>
      <c r="KWL334"/>
      <c r="KWO334"/>
      <c r="KWP334"/>
      <c r="KWS334"/>
      <c r="KWT334"/>
      <c r="KWW334"/>
      <c r="KWX334"/>
      <c r="KXA334"/>
      <c r="KXB334"/>
      <c r="KXE334"/>
      <c r="KXF334"/>
      <c r="KXI334"/>
      <c r="KXJ334"/>
      <c r="KXM334"/>
      <c r="KXN334"/>
      <c r="KXQ334"/>
      <c r="KXR334"/>
      <c r="KXU334"/>
      <c r="KXV334"/>
      <c r="KXY334"/>
      <c r="KXZ334"/>
      <c r="KYC334"/>
      <c r="KYD334"/>
      <c r="KYG334"/>
      <c r="KYH334"/>
      <c r="KYK334"/>
      <c r="KYL334"/>
      <c r="KYO334"/>
      <c r="KYP334"/>
      <c r="KYS334"/>
      <c r="KYT334"/>
      <c r="KYW334"/>
      <c r="KYX334"/>
      <c r="KZA334"/>
      <c r="KZB334"/>
      <c r="KZE334"/>
      <c r="KZF334"/>
      <c r="KZI334"/>
      <c r="KZJ334"/>
      <c r="KZM334"/>
      <c r="KZN334"/>
      <c r="KZQ334"/>
      <c r="KZR334"/>
      <c r="KZU334"/>
      <c r="KZV334"/>
      <c r="KZY334"/>
      <c r="KZZ334"/>
      <c r="LAC334"/>
      <c r="LAD334"/>
      <c r="LAG334"/>
      <c r="LAH334"/>
      <c r="LAK334"/>
      <c r="LAL334"/>
      <c r="LAO334"/>
      <c r="LAP334"/>
      <c r="LAS334"/>
      <c r="LAT334"/>
      <c r="LAW334"/>
      <c r="LAX334"/>
      <c r="LBA334"/>
      <c r="LBB334"/>
      <c r="LBE334"/>
      <c r="LBF334"/>
      <c r="LBI334"/>
      <c r="LBJ334"/>
      <c r="LBM334"/>
      <c r="LBN334"/>
      <c r="LBQ334"/>
      <c r="LBR334"/>
      <c r="LBU334"/>
      <c r="LBV334"/>
      <c r="LBY334"/>
      <c r="LBZ334"/>
      <c r="LCC334"/>
      <c r="LCD334"/>
      <c r="LCG334"/>
      <c r="LCH334"/>
      <c r="LCK334"/>
      <c r="LCL334"/>
      <c r="LCO334"/>
      <c r="LCP334"/>
      <c r="LCS334"/>
      <c r="LCT334"/>
      <c r="LCW334"/>
      <c r="LCX334"/>
      <c r="LDA334"/>
      <c r="LDB334"/>
      <c r="LDE334"/>
      <c r="LDF334"/>
      <c r="LDI334"/>
      <c r="LDJ334"/>
      <c r="LDM334"/>
      <c r="LDN334"/>
      <c r="LDQ334"/>
      <c r="LDR334"/>
      <c r="LDU334"/>
      <c r="LDV334"/>
      <c r="LDY334"/>
      <c r="LDZ334"/>
      <c r="LEC334"/>
      <c r="LED334"/>
      <c r="LEG334"/>
      <c r="LEH334"/>
      <c r="LEK334"/>
      <c r="LEL334"/>
      <c r="LEO334"/>
      <c r="LEP334"/>
      <c r="LES334"/>
      <c r="LET334"/>
      <c r="LEW334"/>
      <c r="LEX334"/>
      <c r="LFA334"/>
      <c r="LFB334"/>
      <c r="LFE334"/>
      <c r="LFF334"/>
      <c r="LFI334"/>
      <c r="LFJ334"/>
      <c r="LFM334"/>
      <c r="LFN334"/>
      <c r="LFQ334"/>
      <c r="LFR334"/>
      <c r="LFU334"/>
      <c r="LFV334"/>
      <c r="LFY334"/>
      <c r="LFZ334"/>
      <c r="LGC334"/>
      <c r="LGD334"/>
      <c r="LGG334"/>
      <c r="LGH334"/>
      <c r="LGK334"/>
      <c r="LGL334"/>
      <c r="LGO334"/>
      <c r="LGP334"/>
      <c r="LGS334"/>
      <c r="LGT334"/>
      <c r="LGW334"/>
      <c r="LGX334"/>
      <c r="LHA334"/>
      <c r="LHB334"/>
      <c r="LHE334"/>
      <c r="LHF334"/>
      <c r="LHI334"/>
      <c r="LHJ334"/>
      <c r="LHM334"/>
      <c r="LHN334"/>
      <c r="LHQ334"/>
      <c r="LHR334"/>
      <c r="LHU334"/>
      <c r="LHV334"/>
      <c r="LHY334"/>
      <c r="LHZ334"/>
      <c r="LIC334"/>
      <c r="LID334"/>
      <c r="LIG334"/>
      <c r="LIH334"/>
      <c r="LIK334"/>
      <c r="LIL334"/>
      <c r="LIO334"/>
      <c r="LIP334"/>
      <c r="LIS334"/>
      <c r="LIT334"/>
      <c r="LIW334"/>
      <c r="LIX334"/>
      <c r="LJA334"/>
      <c r="LJB334"/>
      <c r="LJE334"/>
      <c r="LJF334"/>
      <c r="LJI334"/>
      <c r="LJJ334"/>
      <c r="LJM334"/>
      <c r="LJN334"/>
      <c r="LJQ334"/>
      <c r="LJR334"/>
      <c r="LJU334"/>
      <c r="LJV334"/>
      <c r="LJY334"/>
      <c r="LJZ334"/>
      <c r="LKC334"/>
      <c r="LKD334"/>
      <c r="LKG334"/>
      <c r="LKH334"/>
      <c r="LKK334"/>
      <c r="LKL334"/>
      <c r="LKO334"/>
      <c r="LKP334"/>
      <c r="LKS334"/>
      <c r="LKT334"/>
      <c r="LKW334"/>
      <c r="LKX334"/>
      <c r="LLA334"/>
      <c r="LLB334"/>
      <c r="LLE334"/>
      <c r="LLF334"/>
      <c r="LLI334"/>
      <c r="LLJ334"/>
      <c r="LLM334"/>
      <c r="LLN334"/>
      <c r="LLQ334"/>
      <c r="LLR334"/>
      <c r="LLU334"/>
      <c r="LLV334"/>
      <c r="LLY334"/>
      <c r="LLZ334"/>
      <c r="LMC334"/>
      <c r="LMD334"/>
      <c r="LMG334"/>
      <c r="LMH334"/>
      <c r="LMK334"/>
      <c r="LML334"/>
      <c r="LMO334"/>
      <c r="LMP334"/>
      <c r="LMS334"/>
      <c r="LMT334"/>
      <c r="LMW334"/>
      <c r="LMX334"/>
      <c r="LNA334"/>
      <c r="LNB334"/>
      <c r="LNE334"/>
      <c r="LNF334"/>
      <c r="LNI334"/>
      <c r="LNJ334"/>
      <c r="LNM334"/>
      <c r="LNN334"/>
      <c r="LNQ334"/>
      <c r="LNR334"/>
      <c r="LNU334"/>
      <c r="LNV334"/>
      <c r="LNY334"/>
      <c r="LNZ334"/>
      <c r="LOC334"/>
      <c r="LOD334"/>
      <c r="LOG334"/>
      <c r="LOH334"/>
      <c r="LOK334"/>
      <c r="LOL334"/>
      <c r="LOO334"/>
      <c r="LOP334"/>
      <c r="LOS334"/>
      <c r="LOT334"/>
      <c r="LOW334"/>
      <c r="LOX334"/>
      <c r="LPA334"/>
      <c r="LPB334"/>
      <c r="LPE334"/>
      <c r="LPF334"/>
      <c r="LPI334"/>
      <c r="LPJ334"/>
      <c r="LPM334"/>
      <c r="LPN334"/>
      <c r="LPQ334"/>
      <c r="LPR334"/>
      <c r="LPU334"/>
      <c r="LPV334"/>
      <c r="LPY334"/>
      <c r="LPZ334"/>
      <c r="LQC334"/>
      <c r="LQD334"/>
      <c r="LQG334"/>
      <c r="LQH334"/>
      <c r="LQK334"/>
      <c r="LQL334"/>
      <c r="LQO334"/>
      <c r="LQP334"/>
      <c r="LQS334"/>
      <c r="LQT334"/>
      <c r="LQW334"/>
      <c r="LQX334"/>
      <c r="LRA334"/>
      <c r="LRB334"/>
      <c r="LRE334"/>
      <c r="LRF334"/>
      <c r="LRI334"/>
      <c r="LRJ334"/>
      <c r="LRM334"/>
      <c r="LRN334"/>
      <c r="LRQ334"/>
      <c r="LRR334"/>
      <c r="LRU334"/>
      <c r="LRV334"/>
      <c r="LRY334"/>
      <c r="LRZ334"/>
      <c r="LSC334"/>
      <c r="LSD334"/>
      <c r="LSG334"/>
      <c r="LSH334"/>
      <c r="LSK334"/>
      <c r="LSL334"/>
      <c r="LSO334"/>
      <c r="LSP334"/>
      <c r="LSS334"/>
      <c r="LST334"/>
      <c r="LSW334"/>
      <c r="LSX334"/>
      <c r="LTA334"/>
      <c r="LTB334"/>
      <c r="LTE334"/>
      <c r="LTF334"/>
      <c r="LTI334"/>
      <c r="LTJ334"/>
      <c r="LTM334"/>
      <c r="LTN334"/>
      <c r="LTQ334"/>
      <c r="LTR334"/>
      <c r="LTU334"/>
      <c r="LTV334"/>
      <c r="LTY334"/>
      <c r="LTZ334"/>
      <c r="LUC334"/>
      <c r="LUD334"/>
      <c r="LUG334"/>
      <c r="LUH334"/>
      <c r="LUK334"/>
      <c r="LUL334"/>
      <c r="LUO334"/>
      <c r="LUP334"/>
      <c r="LUS334"/>
      <c r="LUT334"/>
      <c r="LUW334"/>
      <c r="LUX334"/>
      <c r="LVA334"/>
      <c r="LVB334"/>
      <c r="LVE334"/>
      <c r="LVF334"/>
      <c r="LVI334"/>
      <c r="LVJ334"/>
      <c r="LVM334"/>
      <c r="LVN334"/>
      <c r="LVQ334"/>
      <c r="LVR334"/>
      <c r="LVU334"/>
      <c r="LVV334"/>
      <c r="LVY334"/>
      <c r="LVZ334"/>
      <c r="LWC334"/>
      <c r="LWD334"/>
      <c r="LWG334"/>
      <c r="LWH334"/>
      <c r="LWK334"/>
      <c r="LWL334"/>
      <c r="LWO334"/>
      <c r="LWP334"/>
      <c r="LWS334"/>
      <c r="LWT334"/>
      <c r="LWW334"/>
      <c r="LWX334"/>
      <c r="LXA334"/>
      <c r="LXB334"/>
      <c r="LXE334"/>
      <c r="LXF334"/>
      <c r="LXI334"/>
      <c r="LXJ334"/>
      <c r="LXM334"/>
      <c r="LXN334"/>
      <c r="LXQ334"/>
      <c r="LXR334"/>
      <c r="LXU334"/>
      <c r="LXV334"/>
      <c r="LXY334"/>
      <c r="LXZ334"/>
      <c r="LYC334"/>
      <c r="LYD334"/>
      <c r="LYG334"/>
      <c r="LYH334"/>
      <c r="LYK334"/>
      <c r="LYL334"/>
      <c r="LYO334"/>
      <c r="LYP334"/>
      <c r="LYS334"/>
      <c r="LYT334"/>
      <c r="LYW334"/>
      <c r="LYX334"/>
      <c r="LZA334"/>
      <c r="LZB334"/>
      <c r="LZE334"/>
      <c r="LZF334"/>
      <c r="LZI334"/>
      <c r="LZJ334"/>
      <c r="LZM334"/>
      <c r="LZN334"/>
      <c r="LZQ334"/>
      <c r="LZR334"/>
      <c r="LZU334"/>
      <c r="LZV334"/>
      <c r="LZY334"/>
      <c r="LZZ334"/>
      <c r="MAC334"/>
      <c r="MAD334"/>
      <c r="MAG334"/>
      <c r="MAH334"/>
      <c r="MAK334"/>
      <c r="MAL334"/>
      <c r="MAO334"/>
      <c r="MAP334"/>
      <c r="MAS334"/>
      <c r="MAT334"/>
      <c r="MAW334"/>
      <c r="MAX334"/>
      <c r="MBA334"/>
      <c r="MBB334"/>
      <c r="MBE334"/>
      <c r="MBF334"/>
      <c r="MBI334"/>
      <c r="MBJ334"/>
      <c r="MBM334"/>
      <c r="MBN334"/>
      <c r="MBQ334"/>
      <c r="MBR334"/>
      <c r="MBU334"/>
      <c r="MBV334"/>
      <c r="MBY334"/>
      <c r="MBZ334"/>
      <c r="MCC334"/>
      <c r="MCD334"/>
      <c r="MCG334"/>
      <c r="MCH334"/>
      <c r="MCK334"/>
      <c r="MCL334"/>
      <c r="MCO334"/>
      <c r="MCP334"/>
      <c r="MCS334"/>
      <c r="MCT334"/>
      <c r="MCW334"/>
      <c r="MCX334"/>
      <c r="MDA334"/>
      <c r="MDB334"/>
      <c r="MDE334"/>
      <c r="MDF334"/>
      <c r="MDI334"/>
      <c r="MDJ334"/>
      <c r="MDM334"/>
      <c r="MDN334"/>
      <c r="MDQ334"/>
      <c r="MDR334"/>
      <c r="MDU334"/>
      <c r="MDV334"/>
      <c r="MDY334"/>
      <c r="MDZ334"/>
      <c r="MEC334"/>
      <c r="MED334"/>
      <c r="MEG334"/>
      <c r="MEH334"/>
      <c r="MEK334"/>
      <c r="MEL334"/>
      <c r="MEO334"/>
      <c r="MEP334"/>
      <c r="MES334"/>
      <c r="MET334"/>
      <c r="MEW334"/>
      <c r="MEX334"/>
      <c r="MFA334"/>
      <c r="MFB334"/>
      <c r="MFE334"/>
      <c r="MFF334"/>
      <c r="MFI334"/>
      <c r="MFJ334"/>
      <c r="MFM334"/>
      <c r="MFN334"/>
      <c r="MFQ334"/>
      <c r="MFR334"/>
      <c r="MFU334"/>
      <c r="MFV334"/>
      <c r="MFY334"/>
      <c r="MFZ334"/>
      <c r="MGC334"/>
      <c r="MGD334"/>
      <c r="MGG334"/>
      <c r="MGH334"/>
      <c r="MGK334"/>
      <c r="MGL334"/>
      <c r="MGO334"/>
      <c r="MGP334"/>
      <c r="MGS334"/>
      <c r="MGT334"/>
      <c r="MGW334"/>
      <c r="MGX334"/>
      <c r="MHA334"/>
      <c r="MHB334"/>
      <c r="MHE334"/>
      <c r="MHF334"/>
      <c r="MHI334"/>
      <c r="MHJ334"/>
      <c r="MHM334"/>
      <c r="MHN334"/>
      <c r="MHQ334"/>
      <c r="MHR334"/>
      <c r="MHU334"/>
      <c r="MHV334"/>
      <c r="MHY334"/>
      <c r="MHZ334"/>
      <c r="MIC334"/>
      <c r="MID334"/>
      <c r="MIG334"/>
      <c r="MIH334"/>
      <c r="MIK334"/>
      <c r="MIL334"/>
      <c r="MIO334"/>
      <c r="MIP334"/>
      <c r="MIS334"/>
      <c r="MIT334"/>
      <c r="MIW334"/>
      <c r="MIX334"/>
      <c r="MJA334"/>
      <c r="MJB334"/>
      <c r="MJE334"/>
      <c r="MJF334"/>
      <c r="MJI334"/>
      <c r="MJJ334"/>
      <c r="MJM334"/>
      <c r="MJN334"/>
      <c r="MJQ334"/>
      <c r="MJR334"/>
      <c r="MJU334"/>
      <c r="MJV334"/>
      <c r="MJY334"/>
      <c r="MJZ334"/>
      <c r="MKC334"/>
      <c r="MKD334"/>
      <c r="MKG334"/>
      <c r="MKH334"/>
      <c r="MKK334"/>
      <c r="MKL334"/>
      <c r="MKO334"/>
      <c r="MKP334"/>
      <c r="MKS334"/>
      <c r="MKT334"/>
      <c r="MKW334"/>
      <c r="MKX334"/>
      <c r="MLA334"/>
      <c r="MLB334"/>
      <c r="MLE334"/>
      <c r="MLF334"/>
      <c r="MLI334"/>
      <c r="MLJ334"/>
      <c r="MLM334"/>
      <c r="MLN334"/>
      <c r="MLQ334"/>
      <c r="MLR334"/>
      <c r="MLU334"/>
      <c r="MLV334"/>
      <c r="MLY334"/>
      <c r="MLZ334"/>
      <c r="MMC334"/>
      <c r="MMD334"/>
      <c r="MMG334"/>
      <c r="MMH334"/>
      <c r="MMK334"/>
      <c r="MML334"/>
      <c r="MMO334"/>
      <c r="MMP334"/>
      <c r="MMS334"/>
      <c r="MMT334"/>
      <c r="MMW334"/>
      <c r="MMX334"/>
      <c r="MNA334"/>
      <c r="MNB334"/>
      <c r="MNE334"/>
      <c r="MNF334"/>
      <c r="MNI334"/>
      <c r="MNJ334"/>
      <c r="MNM334"/>
      <c r="MNN334"/>
      <c r="MNQ334"/>
      <c r="MNR334"/>
      <c r="MNU334"/>
      <c r="MNV334"/>
      <c r="MNY334"/>
      <c r="MNZ334"/>
      <c r="MOC334"/>
      <c r="MOD334"/>
      <c r="MOG334"/>
      <c r="MOH334"/>
      <c r="MOK334"/>
      <c r="MOL334"/>
      <c r="MOO334"/>
      <c r="MOP334"/>
      <c r="MOS334"/>
      <c r="MOT334"/>
      <c r="MOW334"/>
      <c r="MOX334"/>
      <c r="MPA334"/>
      <c r="MPB334"/>
      <c r="MPE334"/>
      <c r="MPF334"/>
      <c r="MPI334"/>
      <c r="MPJ334"/>
      <c r="MPM334"/>
      <c r="MPN334"/>
      <c r="MPQ334"/>
      <c r="MPR334"/>
      <c r="MPU334"/>
      <c r="MPV334"/>
      <c r="MPY334"/>
      <c r="MPZ334"/>
      <c r="MQC334"/>
      <c r="MQD334"/>
      <c r="MQG334"/>
      <c r="MQH334"/>
      <c r="MQK334"/>
      <c r="MQL334"/>
      <c r="MQO334"/>
      <c r="MQP334"/>
      <c r="MQS334"/>
      <c r="MQT334"/>
      <c r="MQW334"/>
      <c r="MQX334"/>
      <c r="MRA334"/>
      <c r="MRB334"/>
      <c r="MRE334"/>
      <c r="MRF334"/>
      <c r="MRI334"/>
      <c r="MRJ334"/>
      <c r="MRM334"/>
      <c r="MRN334"/>
      <c r="MRQ334"/>
      <c r="MRR334"/>
      <c r="MRU334"/>
      <c r="MRV334"/>
      <c r="MRY334"/>
      <c r="MRZ334"/>
      <c r="MSC334"/>
      <c r="MSD334"/>
      <c r="MSG334"/>
      <c r="MSH334"/>
      <c r="MSK334"/>
      <c r="MSL334"/>
      <c r="MSO334"/>
      <c r="MSP334"/>
      <c r="MSS334"/>
      <c r="MST334"/>
      <c r="MSW334"/>
      <c r="MSX334"/>
      <c r="MTA334"/>
      <c r="MTB334"/>
      <c r="MTE334"/>
      <c r="MTF334"/>
      <c r="MTI334"/>
      <c r="MTJ334"/>
      <c r="MTM334"/>
      <c r="MTN334"/>
      <c r="MTQ334"/>
      <c r="MTR334"/>
      <c r="MTU334"/>
      <c r="MTV334"/>
      <c r="MTY334"/>
      <c r="MTZ334"/>
      <c r="MUC334"/>
      <c r="MUD334"/>
      <c r="MUG334"/>
      <c r="MUH334"/>
      <c r="MUK334"/>
      <c r="MUL334"/>
      <c r="MUO334"/>
      <c r="MUP334"/>
      <c r="MUS334"/>
      <c r="MUT334"/>
      <c r="MUW334"/>
      <c r="MUX334"/>
      <c r="MVA334"/>
      <c r="MVB334"/>
      <c r="MVE334"/>
      <c r="MVF334"/>
      <c r="MVI334"/>
      <c r="MVJ334"/>
      <c r="MVM334"/>
      <c r="MVN334"/>
      <c r="MVQ334"/>
      <c r="MVR334"/>
      <c r="MVU334"/>
      <c r="MVV334"/>
      <c r="MVY334"/>
      <c r="MVZ334"/>
      <c r="MWC334"/>
      <c r="MWD334"/>
      <c r="MWG334"/>
      <c r="MWH334"/>
      <c r="MWK334"/>
      <c r="MWL334"/>
      <c r="MWO334"/>
      <c r="MWP334"/>
      <c r="MWS334"/>
      <c r="MWT334"/>
      <c r="MWW334"/>
      <c r="MWX334"/>
      <c r="MXA334"/>
      <c r="MXB334"/>
      <c r="MXE334"/>
      <c r="MXF334"/>
      <c r="MXI334"/>
      <c r="MXJ334"/>
      <c r="MXM334"/>
      <c r="MXN334"/>
      <c r="MXQ334"/>
      <c r="MXR334"/>
      <c r="MXU334"/>
      <c r="MXV334"/>
      <c r="MXY334"/>
      <c r="MXZ334"/>
      <c r="MYC334"/>
      <c r="MYD334"/>
      <c r="MYG334"/>
      <c r="MYH334"/>
      <c r="MYK334"/>
      <c r="MYL334"/>
      <c r="MYO334"/>
      <c r="MYP334"/>
      <c r="MYS334"/>
      <c r="MYT334"/>
      <c r="MYW334"/>
      <c r="MYX334"/>
      <c r="MZA334"/>
      <c r="MZB334"/>
      <c r="MZE334"/>
      <c r="MZF334"/>
      <c r="MZI334"/>
      <c r="MZJ334"/>
      <c r="MZM334"/>
      <c r="MZN334"/>
      <c r="MZQ334"/>
      <c r="MZR334"/>
      <c r="MZU334"/>
      <c r="MZV334"/>
      <c r="MZY334"/>
      <c r="MZZ334"/>
      <c r="NAC334"/>
      <c r="NAD334"/>
      <c r="NAG334"/>
      <c r="NAH334"/>
      <c r="NAK334"/>
      <c r="NAL334"/>
      <c r="NAO334"/>
      <c r="NAP334"/>
      <c r="NAS334"/>
      <c r="NAT334"/>
      <c r="NAW334"/>
      <c r="NAX334"/>
      <c r="NBA334"/>
      <c r="NBB334"/>
      <c r="NBE334"/>
      <c r="NBF334"/>
      <c r="NBI334"/>
      <c r="NBJ334"/>
      <c r="NBM334"/>
      <c r="NBN334"/>
      <c r="NBQ334"/>
      <c r="NBR334"/>
      <c r="NBU334"/>
      <c r="NBV334"/>
      <c r="NBY334"/>
      <c r="NBZ334"/>
      <c r="NCC334"/>
      <c r="NCD334"/>
      <c r="NCG334"/>
      <c r="NCH334"/>
      <c r="NCK334"/>
      <c r="NCL334"/>
      <c r="NCO334"/>
      <c r="NCP334"/>
      <c r="NCS334"/>
      <c r="NCT334"/>
      <c r="NCW334"/>
      <c r="NCX334"/>
      <c r="NDA334"/>
      <c r="NDB334"/>
      <c r="NDE334"/>
      <c r="NDF334"/>
      <c r="NDI334"/>
      <c r="NDJ334"/>
      <c r="NDM334"/>
      <c r="NDN334"/>
      <c r="NDQ334"/>
      <c r="NDR334"/>
      <c r="NDU334"/>
      <c r="NDV334"/>
      <c r="NDY334"/>
      <c r="NDZ334"/>
      <c r="NEC334"/>
      <c r="NED334"/>
      <c r="NEG334"/>
      <c r="NEH334"/>
      <c r="NEK334"/>
      <c r="NEL334"/>
      <c r="NEO334"/>
      <c r="NEP334"/>
      <c r="NES334"/>
      <c r="NET334"/>
      <c r="NEW334"/>
      <c r="NEX334"/>
      <c r="NFA334"/>
      <c r="NFB334"/>
      <c r="NFE334"/>
      <c r="NFF334"/>
      <c r="NFI334"/>
      <c r="NFJ334"/>
      <c r="NFM334"/>
      <c r="NFN334"/>
      <c r="NFQ334"/>
      <c r="NFR334"/>
      <c r="NFU334"/>
      <c r="NFV334"/>
      <c r="NFY334"/>
      <c r="NFZ334"/>
      <c r="NGC334"/>
      <c r="NGD334"/>
      <c r="NGG334"/>
      <c r="NGH334"/>
      <c r="NGK334"/>
      <c r="NGL334"/>
      <c r="NGO334"/>
      <c r="NGP334"/>
      <c r="NGS334"/>
      <c r="NGT334"/>
      <c r="NGW334"/>
      <c r="NGX334"/>
      <c r="NHA334"/>
      <c r="NHB334"/>
      <c r="NHE334"/>
      <c r="NHF334"/>
      <c r="NHI334"/>
      <c r="NHJ334"/>
      <c r="NHM334"/>
      <c r="NHN334"/>
      <c r="NHQ334"/>
      <c r="NHR334"/>
      <c r="NHU334"/>
      <c r="NHV334"/>
      <c r="NHY334"/>
      <c r="NHZ334"/>
      <c r="NIC334"/>
      <c r="NID334"/>
      <c r="NIG334"/>
      <c r="NIH334"/>
      <c r="NIK334"/>
      <c r="NIL334"/>
      <c r="NIO334"/>
      <c r="NIP334"/>
      <c r="NIS334"/>
      <c r="NIT334"/>
      <c r="NIW334"/>
      <c r="NIX334"/>
      <c r="NJA334"/>
      <c r="NJB334"/>
      <c r="NJE334"/>
      <c r="NJF334"/>
      <c r="NJI334"/>
      <c r="NJJ334"/>
      <c r="NJM334"/>
      <c r="NJN334"/>
      <c r="NJQ334"/>
      <c r="NJR334"/>
      <c r="NJU334"/>
      <c r="NJV334"/>
      <c r="NJY334"/>
      <c r="NJZ334"/>
      <c r="NKC334"/>
      <c r="NKD334"/>
      <c r="NKG334"/>
      <c r="NKH334"/>
      <c r="NKK334"/>
      <c r="NKL334"/>
      <c r="NKO334"/>
      <c r="NKP334"/>
      <c r="NKS334"/>
      <c r="NKT334"/>
      <c r="NKW334"/>
      <c r="NKX334"/>
      <c r="NLA334"/>
      <c r="NLB334"/>
      <c r="NLE334"/>
      <c r="NLF334"/>
      <c r="NLI334"/>
      <c r="NLJ334"/>
      <c r="NLM334"/>
      <c r="NLN334"/>
      <c r="NLQ334"/>
      <c r="NLR334"/>
      <c r="NLU334"/>
      <c r="NLV334"/>
      <c r="NLY334"/>
      <c r="NLZ334"/>
      <c r="NMC334"/>
      <c r="NMD334"/>
      <c r="NMG334"/>
      <c r="NMH334"/>
      <c r="NMK334"/>
      <c r="NML334"/>
      <c r="NMO334"/>
      <c r="NMP334"/>
      <c r="NMS334"/>
      <c r="NMT334"/>
      <c r="NMW334"/>
      <c r="NMX334"/>
      <c r="NNA334"/>
      <c r="NNB334"/>
      <c r="NNE334"/>
      <c r="NNF334"/>
      <c r="NNI334"/>
      <c r="NNJ334"/>
      <c r="NNM334"/>
      <c r="NNN334"/>
      <c r="NNQ334"/>
      <c r="NNR334"/>
      <c r="NNU334"/>
      <c r="NNV334"/>
      <c r="NNY334"/>
      <c r="NNZ334"/>
      <c r="NOC334"/>
      <c r="NOD334"/>
      <c r="NOG334"/>
      <c r="NOH334"/>
      <c r="NOK334"/>
      <c r="NOL334"/>
      <c r="NOO334"/>
      <c r="NOP334"/>
      <c r="NOS334"/>
      <c r="NOT334"/>
      <c r="NOW334"/>
      <c r="NOX334"/>
      <c r="NPA334"/>
      <c r="NPB334"/>
      <c r="NPE334"/>
      <c r="NPF334"/>
      <c r="NPI334"/>
      <c r="NPJ334"/>
      <c r="NPM334"/>
      <c r="NPN334"/>
      <c r="NPQ334"/>
      <c r="NPR334"/>
      <c r="NPU334"/>
      <c r="NPV334"/>
      <c r="NPY334"/>
      <c r="NPZ334"/>
      <c r="NQC334"/>
      <c r="NQD334"/>
      <c r="NQG334"/>
      <c r="NQH334"/>
      <c r="NQK334"/>
      <c r="NQL334"/>
      <c r="NQO334"/>
      <c r="NQP334"/>
      <c r="NQS334"/>
      <c r="NQT334"/>
      <c r="NQW334"/>
      <c r="NQX334"/>
      <c r="NRA334"/>
      <c r="NRB334"/>
      <c r="NRE334"/>
      <c r="NRF334"/>
      <c r="NRI334"/>
      <c r="NRJ334"/>
      <c r="NRM334"/>
      <c r="NRN334"/>
      <c r="NRQ334"/>
      <c r="NRR334"/>
      <c r="NRU334"/>
      <c r="NRV334"/>
      <c r="NRY334"/>
      <c r="NRZ334"/>
      <c r="NSC334"/>
      <c r="NSD334"/>
      <c r="NSG334"/>
      <c r="NSH334"/>
      <c r="NSK334"/>
      <c r="NSL334"/>
      <c r="NSO334"/>
      <c r="NSP334"/>
      <c r="NSS334"/>
      <c r="NST334"/>
      <c r="NSW334"/>
      <c r="NSX334"/>
      <c r="NTA334"/>
      <c r="NTB334"/>
      <c r="NTE334"/>
      <c r="NTF334"/>
      <c r="NTI334"/>
      <c r="NTJ334"/>
      <c r="NTM334"/>
      <c r="NTN334"/>
      <c r="NTQ334"/>
      <c r="NTR334"/>
      <c r="NTU334"/>
      <c r="NTV334"/>
      <c r="NTY334"/>
      <c r="NTZ334"/>
      <c r="NUC334"/>
      <c r="NUD334"/>
      <c r="NUG334"/>
      <c r="NUH334"/>
      <c r="NUK334"/>
      <c r="NUL334"/>
      <c r="NUO334"/>
      <c r="NUP334"/>
      <c r="NUS334"/>
      <c r="NUT334"/>
      <c r="NUW334"/>
      <c r="NUX334"/>
      <c r="NVA334"/>
      <c r="NVB334"/>
      <c r="NVE334"/>
      <c r="NVF334"/>
      <c r="NVI334"/>
      <c r="NVJ334"/>
      <c r="NVM334"/>
      <c r="NVN334"/>
      <c r="NVQ334"/>
      <c r="NVR334"/>
      <c r="NVU334"/>
      <c r="NVV334"/>
      <c r="NVY334"/>
      <c r="NVZ334"/>
      <c r="NWC334"/>
      <c r="NWD334"/>
      <c r="NWG334"/>
      <c r="NWH334"/>
      <c r="NWK334"/>
      <c r="NWL334"/>
      <c r="NWO334"/>
      <c r="NWP334"/>
      <c r="NWS334"/>
      <c r="NWT334"/>
      <c r="NWW334"/>
      <c r="NWX334"/>
      <c r="NXA334"/>
      <c r="NXB334"/>
      <c r="NXE334"/>
      <c r="NXF334"/>
      <c r="NXI334"/>
      <c r="NXJ334"/>
      <c r="NXM334"/>
      <c r="NXN334"/>
      <c r="NXQ334"/>
      <c r="NXR334"/>
      <c r="NXU334"/>
      <c r="NXV334"/>
      <c r="NXY334"/>
      <c r="NXZ334"/>
      <c r="NYC334"/>
      <c r="NYD334"/>
      <c r="NYG334"/>
      <c r="NYH334"/>
      <c r="NYK334"/>
      <c r="NYL334"/>
      <c r="NYO334"/>
      <c r="NYP334"/>
      <c r="NYS334"/>
      <c r="NYT334"/>
      <c r="NYW334"/>
      <c r="NYX334"/>
      <c r="NZA334"/>
      <c r="NZB334"/>
      <c r="NZE334"/>
      <c r="NZF334"/>
      <c r="NZI334"/>
      <c r="NZJ334"/>
      <c r="NZM334"/>
      <c r="NZN334"/>
      <c r="NZQ334"/>
      <c r="NZR334"/>
      <c r="NZU334"/>
      <c r="NZV334"/>
      <c r="NZY334"/>
      <c r="NZZ334"/>
      <c r="OAC334"/>
      <c r="OAD334"/>
      <c r="OAG334"/>
      <c r="OAH334"/>
      <c r="OAK334"/>
      <c r="OAL334"/>
      <c r="OAO334"/>
      <c r="OAP334"/>
      <c r="OAS334"/>
      <c r="OAT334"/>
      <c r="OAW334"/>
      <c r="OAX334"/>
      <c r="OBA334"/>
      <c r="OBB334"/>
      <c r="OBE334"/>
      <c r="OBF334"/>
      <c r="OBI334"/>
      <c r="OBJ334"/>
      <c r="OBM334"/>
      <c r="OBN334"/>
      <c r="OBQ334"/>
      <c r="OBR334"/>
      <c r="OBU334"/>
      <c r="OBV334"/>
      <c r="OBY334"/>
      <c r="OBZ334"/>
      <c r="OCC334"/>
      <c r="OCD334"/>
      <c r="OCG334"/>
      <c r="OCH334"/>
      <c r="OCK334"/>
      <c r="OCL334"/>
      <c r="OCO334"/>
      <c r="OCP334"/>
      <c r="OCS334"/>
      <c r="OCT334"/>
      <c r="OCW334"/>
      <c r="OCX334"/>
      <c r="ODA334"/>
      <c r="ODB334"/>
      <c r="ODE334"/>
      <c r="ODF334"/>
      <c r="ODI334"/>
      <c r="ODJ334"/>
      <c r="ODM334"/>
      <c r="ODN334"/>
      <c r="ODQ334"/>
      <c r="ODR334"/>
      <c r="ODU334"/>
      <c r="ODV334"/>
      <c r="ODY334"/>
      <c r="ODZ334"/>
      <c r="OEC334"/>
      <c r="OED334"/>
      <c r="OEG334"/>
      <c r="OEH334"/>
      <c r="OEK334"/>
      <c r="OEL334"/>
      <c r="OEO334"/>
      <c r="OEP334"/>
      <c r="OES334"/>
      <c r="OET334"/>
      <c r="OEW334"/>
      <c r="OEX334"/>
      <c r="OFA334"/>
      <c r="OFB334"/>
      <c r="OFE334"/>
      <c r="OFF334"/>
      <c r="OFI334"/>
      <c r="OFJ334"/>
      <c r="OFM334"/>
      <c r="OFN334"/>
      <c r="OFQ334"/>
      <c r="OFR334"/>
      <c r="OFU334"/>
      <c r="OFV334"/>
      <c r="OFY334"/>
      <c r="OFZ334"/>
      <c r="OGC334"/>
      <c r="OGD334"/>
      <c r="OGG334"/>
      <c r="OGH334"/>
      <c r="OGK334"/>
      <c r="OGL334"/>
      <c r="OGO334"/>
      <c r="OGP334"/>
      <c r="OGS334"/>
      <c r="OGT334"/>
      <c r="OGW334"/>
      <c r="OGX334"/>
      <c r="OHA334"/>
      <c r="OHB334"/>
      <c r="OHE334"/>
      <c r="OHF334"/>
      <c r="OHI334"/>
      <c r="OHJ334"/>
      <c r="OHM334"/>
      <c r="OHN334"/>
      <c r="OHQ334"/>
      <c r="OHR334"/>
      <c r="OHU334"/>
      <c r="OHV334"/>
      <c r="OHY334"/>
      <c r="OHZ334"/>
      <c r="OIC334"/>
      <c r="OID334"/>
      <c r="OIG334"/>
      <c r="OIH334"/>
      <c r="OIK334"/>
      <c r="OIL334"/>
      <c r="OIO334"/>
      <c r="OIP334"/>
      <c r="OIS334"/>
      <c r="OIT334"/>
      <c r="OIW334"/>
      <c r="OIX334"/>
      <c r="OJA334"/>
      <c r="OJB334"/>
      <c r="OJE334"/>
      <c r="OJF334"/>
      <c r="OJI334"/>
      <c r="OJJ334"/>
      <c r="OJM334"/>
      <c r="OJN334"/>
      <c r="OJQ334"/>
      <c r="OJR334"/>
      <c r="OJU334"/>
      <c r="OJV334"/>
      <c r="OJY334"/>
      <c r="OJZ334"/>
      <c r="OKC334"/>
      <c r="OKD334"/>
      <c r="OKG334"/>
      <c r="OKH334"/>
      <c r="OKK334"/>
      <c r="OKL334"/>
      <c r="OKO334"/>
      <c r="OKP334"/>
      <c r="OKS334"/>
      <c r="OKT334"/>
      <c r="OKW334"/>
      <c r="OKX334"/>
      <c r="OLA334"/>
      <c r="OLB334"/>
      <c r="OLE334"/>
      <c r="OLF334"/>
      <c r="OLI334"/>
      <c r="OLJ334"/>
      <c r="OLM334"/>
      <c r="OLN334"/>
      <c r="OLQ334"/>
      <c r="OLR334"/>
      <c r="OLU334"/>
      <c r="OLV334"/>
      <c r="OLY334"/>
      <c r="OLZ334"/>
      <c r="OMC334"/>
      <c r="OMD334"/>
      <c r="OMG334"/>
      <c r="OMH334"/>
      <c r="OMK334"/>
      <c r="OML334"/>
      <c r="OMO334"/>
      <c r="OMP334"/>
      <c r="OMS334"/>
      <c r="OMT334"/>
      <c r="OMW334"/>
      <c r="OMX334"/>
      <c r="ONA334"/>
      <c r="ONB334"/>
      <c r="ONE334"/>
      <c r="ONF334"/>
      <c r="ONI334"/>
      <c r="ONJ334"/>
      <c r="ONM334"/>
      <c r="ONN334"/>
      <c r="ONQ334"/>
      <c r="ONR334"/>
      <c r="ONU334"/>
      <c r="ONV334"/>
      <c r="ONY334"/>
      <c r="ONZ334"/>
      <c r="OOC334"/>
      <c r="OOD334"/>
      <c r="OOG334"/>
      <c r="OOH334"/>
      <c r="OOK334"/>
      <c r="OOL334"/>
      <c r="OOO334"/>
      <c r="OOP334"/>
      <c r="OOS334"/>
      <c r="OOT334"/>
      <c r="OOW334"/>
      <c r="OOX334"/>
      <c r="OPA334"/>
      <c r="OPB334"/>
      <c r="OPE334"/>
      <c r="OPF334"/>
      <c r="OPI334"/>
      <c r="OPJ334"/>
      <c r="OPM334"/>
      <c r="OPN334"/>
      <c r="OPQ334"/>
      <c r="OPR334"/>
      <c r="OPU334"/>
      <c r="OPV334"/>
      <c r="OPY334"/>
      <c r="OPZ334"/>
      <c r="OQC334"/>
      <c r="OQD334"/>
      <c r="OQG334"/>
      <c r="OQH334"/>
      <c r="OQK334"/>
      <c r="OQL334"/>
      <c r="OQO334"/>
      <c r="OQP334"/>
      <c r="OQS334"/>
      <c r="OQT334"/>
      <c r="OQW334"/>
      <c r="OQX334"/>
      <c r="ORA334"/>
      <c r="ORB334"/>
      <c r="ORE334"/>
      <c r="ORF334"/>
      <c r="ORI334"/>
      <c r="ORJ334"/>
      <c r="ORM334"/>
      <c r="ORN334"/>
      <c r="ORQ334"/>
      <c r="ORR334"/>
      <c r="ORU334"/>
      <c r="ORV334"/>
      <c r="ORY334"/>
      <c r="ORZ334"/>
      <c r="OSC334"/>
      <c r="OSD334"/>
      <c r="OSG334"/>
      <c r="OSH334"/>
      <c r="OSK334"/>
      <c r="OSL334"/>
      <c r="OSO334"/>
      <c r="OSP334"/>
      <c r="OSS334"/>
      <c r="OST334"/>
      <c r="OSW334"/>
      <c r="OSX334"/>
      <c r="OTA334"/>
      <c r="OTB334"/>
      <c r="OTE334"/>
      <c r="OTF334"/>
      <c r="OTI334"/>
      <c r="OTJ334"/>
      <c r="OTM334"/>
      <c r="OTN334"/>
      <c r="OTQ334"/>
      <c r="OTR334"/>
      <c r="OTU334"/>
      <c r="OTV334"/>
      <c r="OTY334"/>
      <c r="OTZ334"/>
      <c r="OUC334"/>
      <c r="OUD334"/>
      <c r="OUG334"/>
      <c r="OUH334"/>
      <c r="OUK334"/>
      <c r="OUL334"/>
      <c r="OUO334"/>
      <c r="OUP334"/>
      <c r="OUS334"/>
      <c r="OUT334"/>
      <c r="OUW334"/>
      <c r="OUX334"/>
      <c r="OVA334"/>
      <c r="OVB334"/>
      <c r="OVE334"/>
      <c r="OVF334"/>
      <c r="OVI334"/>
      <c r="OVJ334"/>
      <c r="OVM334"/>
      <c r="OVN334"/>
      <c r="OVQ334"/>
      <c r="OVR334"/>
      <c r="OVU334"/>
      <c r="OVV334"/>
      <c r="OVY334"/>
      <c r="OVZ334"/>
      <c r="OWC334"/>
      <c r="OWD334"/>
      <c r="OWG334"/>
      <c r="OWH334"/>
      <c r="OWK334"/>
      <c r="OWL334"/>
      <c r="OWO334"/>
      <c r="OWP334"/>
      <c r="OWS334"/>
      <c r="OWT334"/>
      <c r="OWW334"/>
      <c r="OWX334"/>
      <c r="OXA334"/>
      <c r="OXB334"/>
      <c r="OXE334"/>
      <c r="OXF334"/>
      <c r="OXI334"/>
      <c r="OXJ334"/>
      <c r="OXM334"/>
      <c r="OXN334"/>
      <c r="OXQ334"/>
      <c r="OXR334"/>
      <c r="OXU334"/>
      <c r="OXV334"/>
      <c r="OXY334"/>
      <c r="OXZ334"/>
      <c r="OYC334"/>
      <c r="OYD334"/>
      <c r="OYG334"/>
      <c r="OYH334"/>
      <c r="OYK334"/>
      <c r="OYL334"/>
      <c r="OYO334"/>
      <c r="OYP334"/>
      <c r="OYS334"/>
      <c r="OYT334"/>
      <c r="OYW334"/>
      <c r="OYX334"/>
      <c r="OZA334"/>
      <c r="OZB334"/>
      <c r="OZE334"/>
      <c r="OZF334"/>
      <c r="OZI334"/>
      <c r="OZJ334"/>
      <c r="OZM334"/>
      <c r="OZN334"/>
      <c r="OZQ334"/>
      <c r="OZR334"/>
      <c r="OZU334"/>
      <c r="OZV334"/>
      <c r="OZY334"/>
      <c r="OZZ334"/>
      <c r="PAC334"/>
      <c r="PAD334"/>
      <c r="PAG334"/>
      <c r="PAH334"/>
      <c r="PAK334"/>
      <c r="PAL334"/>
      <c r="PAO334"/>
      <c r="PAP334"/>
      <c r="PAS334"/>
      <c r="PAT334"/>
      <c r="PAW334"/>
      <c r="PAX334"/>
      <c r="PBA334"/>
      <c r="PBB334"/>
      <c r="PBE334"/>
      <c r="PBF334"/>
      <c r="PBI334"/>
      <c r="PBJ334"/>
      <c r="PBM334"/>
      <c r="PBN334"/>
      <c r="PBQ334"/>
      <c r="PBR334"/>
      <c r="PBU334"/>
      <c r="PBV334"/>
      <c r="PBY334"/>
      <c r="PBZ334"/>
      <c r="PCC334"/>
      <c r="PCD334"/>
      <c r="PCG334"/>
      <c r="PCH334"/>
      <c r="PCK334"/>
      <c r="PCL334"/>
      <c r="PCO334"/>
      <c r="PCP334"/>
      <c r="PCS334"/>
      <c r="PCT334"/>
      <c r="PCW334"/>
      <c r="PCX334"/>
      <c r="PDA334"/>
      <c r="PDB334"/>
      <c r="PDE334"/>
      <c r="PDF334"/>
      <c r="PDI334"/>
      <c r="PDJ334"/>
      <c r="PDM334"/>
      <c r="PDN334"/>
      <c r="PDQ334"/>
      <c r="PDR334"/>
      <c r="PDU334"/>
      <c r="PDV334"/>
      <c r="PDY334"/>
      <c r="PDZ334"/>
      <c r="PEC334"/>
      <c r="PED334"/>
      <c r="PEG334"/>
      <c r="PEH334"/>
      <c r="PEK334"/>
      <c r="PEL334"/>
      <c r="PEO334"/>
      <c r="PEP334"/>
      <c r="PES334"/>
      <c r="PET334"/>
      <c r="PEW334"/>
      <c r="PEX334"/>
      <c r="PFA334"/>
      <c r="PFB334"/>
      <c r="PFE334"/>
      <c r="PFF334"/>
      <c r="PFI334"/>
      <c r="PFJ334"/>
      <c r="PFM334"/>
      <c r="PFN334"/>
      <c r="PFQ334"/>
      <c r="PFR334"/>
      <c r="PFU334"/>
      <c r="PFV334"/>
      <c r="PFY334"/>
      <c r="PFZ334"/>
      <c r="PGC334"/>
      <c r="PGD334"/>
      <c r="PGG334"/>
      <c r="PGH334"/>
      <c r="PGK334"/>
      <c r="PGL334"/>
      <c r="PGO334"/>
      <c r="PGP334"/>
      <c r="PGS334"/>
      <c r="PGT334"/>
      <c r="PGW334"/>
      <c r="PGX334"/>
      <c r="PHA334"/>
      <c r="PHB334"/>
      <c r="PHE334"/>
      <c r="PHF334"/>
      <c r="PHI334"/>
      <c r="PHJ334"/>
      <c r="PHM334"/>
      <c r="PHN334"/>
      <c r="PHQ334"/>
      <c r="PHR334"/>
      <c r="PHU334"/>
      <c r="PHV334"/>
      <c r="PHY334"/>
      <c r="PHZ334"/>
      <c r="PIC334"/>
      <c r="PID334"/>
      <c r="PIG334"/>
      <c r="PIH334"/>
      <c r="PIK334"/>
      <c r="PIL334"/>
      <c r="PIO334"/>
      <c r="PIP334"/>
      <c r="PIS334"/>
      <c r="PIT334"/>
      <c r="PIW334"/>
      <c r="PIX334"/>
      <c r="PJA334"/>
      <c r="PJB334"/>
      <c r="PJE334"/>
      <c r="PJF334"/>
      <c r="PJI334"/>
      <c r="PJJ334"/>
      <c r="PJM334"/>
      <c r="PJN334"/>
      <c r="PJQ334"/>
      <c r="PJR334"/>
      <c r="PJU334"/>
      <c r="PJV334"/>
      <c r="PJY334"/>
      <c r="PJZ334"/>
      <c r="PKC334"/>
      <c r="PKD334"/>
      <c r="PKG334"/>
      <c r="PKH334"/>
      <c r="PKK334"/>
      <c r="PKL334"/>
      <c r="PKO334"/>
      <c r="PKP334"/>
      <c r="PKS334"/>
      <c r="PKT334"/>
      <c r="PKW334"/>
      <c r="PKX334"/>
      <c r="PLA334"/>
      <c r="PLB334"/>
      <c r="PLE334"/>
      <c r="PLF334"/>
      <c r="PLI334"/>
      <c r="PLJ334"/>
      <c r="PLM334"/>
      <c r="PLN334"/>
      <c r="PLQ334"/>
      <c r="PLR334"/>
      <c r="PLU334"/>
      <c r="PLV334"/>
      <c r="PLY334"/>
      <c r="PLZ334"/>
      <c r="PMC334"/>
      <c r="PMD334"/>
      <c r="PMG334"/>
      <c r="PMH334"/>
      <c r="PMK334"/>
      <c r="PML334"/>
      <c r="PMO334"/>
      <c r="PMP334"/>
      <c r="PMS334"/>
      <c r="PMT334"/>
      <c r="PMW334"/>
      <c r="PMX334"/>
      <c r="PNA334"/>
      <c r="PNB334"/>
      <c r="PNE334"/>
      <c r="PNF334"/>
      <c r="PNI334"/>
      <c r="PNJ334"/>
      <c r="PNM334"/>
      <c r="PNN334"/>
      <c r="PNQ334"/>
      <c r="PNR334"/>
      <c r="PNU334"/>
      <c r="PNV334"/>
      <c r="PNY334"/>
      <c r="PNZ334"/>
      <c r="POC334"/>
      <c r="POD334"/>
      <c r="POG334"/>
      <c r="POH334"/>
      <c r="POK334"/>
      <c r="POL334"/>
      <c r="POO334"/>
      <c r="POP334"/>
      <c r="POS334"/>
      <c r="POT334"/>
      <c r="POW334"/>
      <c r="POX334"/>
      <c r="PPA334"/>
      <c r="PPB334"/>
      <c r="PPE334"/>
      <c r="PPF334"/>
      <c r="PPI334"/>
      <c r="PPJ334"/>
      <c r="PPM334"/>
      <c r="PPN334"/>
      <c r="PPQ334"/>
      <c r="PPR334"/>
      <c r="PPU334"/>
      <c r="PPV334"/>
      <c r="PPY334"/>
      <c r="PPZ334"/>
      <c r="PQC334"/>
      <c r="PQD334"/>
      <c r="PQG334"/>
      <c r="PQH334"/>
      <c r="PQK334"/>
      <c r="PQL334"/>
      <c r="PQO334"/>
      <c r="PQP334"/>
      <c r="PQS334"/>
      <c r="PQT334"/>
      <c r="PQW334"/>
      <c r="PQX334"/>
      <c r="PRA334"/>
      <c r="PRB334"/>
      <c r="PRE334"/>
      <c r="PRF334"/>
      <c r="PRI334"/>
      <c r="PRJ334"/>
      <c r="PRM334"/>
      <c r="PRN334"/>
      <c r="PRQ334"/>
      <c r="PRR334"/>
      <c r="PRU334"/>
      <c r="PRV334"/>
      <c r="PRY334"/>
      <c r="PRZ334"/>
      <c r="PSC334"/>
      <c r="PSD334"/>
      <c r="PSG334"/>
      <c r="PSH334"/>
      <c r="PSK334"/>
      <c r="PSL334"/>
      <c r="PSO334"/>
      <c r="PSP334"/>
      <c r="PSS334"/>
      <c r="PST334"/>
      <c r="PSW334"/>
      <c r="PSX334"/>
      <c r="PTA334"/>
      <c r="PTB334"/>
      <c r="PTE334"/>
      <c r="PTF334"/>
      <c r="PTI334"/>
      <c r="PTJ334"/>
      <c r="PTM334"/>
      <c r="PTN334"/>
      <c r="PTQ334"/>
      <c r="PTR334"/>
      <c r="PTU334"/>
      <c r="PTV334"/>
      <c r="PTY334"/>
      <c r="PTZ334"/>
      <c r="PUC334"/>
      <c r="PUD334"/>
      <c r="PUG334"/>
      <c r="PUH334"/>
      <c r="PUK334"/>
      <c r="PUL334"/>
      <c r="PUO334"/>
      <c r="PUP334"/>
      <c r="PUS334"/>
      <c r="PUT334"/>
      <c r="PUW334"/>
      <c r="PUX334"/>
      <c r="PVA334"/>
      <c r="PVB334"/>
      <c r="PVE334"/>
      <c r="PVF334"/>
      <c r="PVI334"/>
      <c r="PVJ334"/>
      <c r="PVM334"/>
      <c r="PVN334"/>
      <c r="PVQ334"/>
      <c r="PVR334"/>
      <c r="PVU334"/>
      <c r="PVV334"/>
      <c r="PVY334"/>
      <c r="PVZ334"/>
      <c r="PWC334"/>
      <c r="PWD334"/>
      <c r="PWG334"/>
      <c r="PWH334"/>
      <c r="PWK334"/>
      <c r="PWL334"/>
      <c r="PWO334"/>
      <c r="PWP334"/>
      <c r="PWS334"/>
      <c r="PWT334"/>
      <c r="PWW334"/>
      <c r="PWX334"/>
      <c r="PXA334"/>
      <c r="PXB334"/>
      <c r="PXE334"/>
      <c r="PXF334"/>
      <c r="PXI334"/>
      <c r="PXJ334"/>
      <c r="PXM334"/>
      <c r="PXN334"/>
      <c r="PXQ334"/>
      <c r="PXR334"/>
      <c r="PXU334"/>
      <c r="PXV334"/>
      <c r="PXY334"/>
      <c r="PXZ334"/>
      <c r="PYC334"/>
      <c r="PYD334"/>
      <c r="PYG334"/>
      <c r="PYH334"/>
      <c r="PYK334"/>
      <c r="PYL334"/>
      <c r="PYO334"/>
      <c r="PYP334"/>
      <c r="PYS334"/>
      <c r="PYT334"/>
      <c r="PYW334"/>
      <c r="PYX334"/>
      <c r="PZA334"/>
      <c r="PZB334"/>
      <c r="PZE334"/>
      <c r="PZF334"/>
      <c r="PZI334"/>
      <c r="PZJ334"/>
      <c r="PZM334"/>
      <c r="PZN334"/>
      <c r="PZQ334"/>
      <c r="PZR334"/>
      <c r="PZU334"/>
      <c r="PZV334"/>
      <c r="PZY334"/>
      <c r="PZZ334"/>
      <c r="QAC334"/>
      <c r="QAD334"/>
      <c r="QAG334"/>
      <c r="QAH334"/>
      <c r="QAK334"/>
      <c r="QAL334"/>
      <c r="QAO334"/>
      <c r="QAP334"/>
      <c r="QAS334"/>
      <c r="QAT334"/>
      <c r="QAW334"/>
      <c r="QAX334"/>
      <c r="QBA334"/>
      <c r="QBB334"/>
      <c r="QBE334"/>
      <c r="QBF334"/>
      <c r="QBI334"/>
      <c r="QBJ334"/>
      <c r="QBM334"/>
      <c r="QBN334"/>
      <c r="QBQ334"/>
      <c r="QBR334"/>
      <c r="QBU334"/>
      <c r="QBV334"/>
      <c r="QBY334"/>
      <c r="QBZ334"/>
      <c r="QCC334"/>
      <c r="QCD334"/>
      <c r="QCG334"/>
      <c r="QCH334"/>
      <c r="QCK334"/>
      <c r="QCL334"/>
      <c r="QCO334"/>
      <c r="QCP334"/>
      <c r="QCS334"/>
      <c r="QCT334"/>
      <c r="QCW334"/>
      <c r="QCX334"/>
      <c r="QDA334"/>
      <c r="QDB334"/>
      <c r="QDE334"/>
      <c r="QDF334"/>
      <c r="QDI334"/>
      <c r="QDJ334"/>
      <c r="QDM334"/>
      <c r="QDN334"/>
      <c r="QDQ334"/>
      <c r="QDR334"/>
      <c r="QDU334"/>
      <c r="QDV334"/>
      <c r="QDY334"/>
      <c r="QDZ334"/>
      <c r="QEC334"/>
      <c r="QED334"/>
      <c r="QEG334"/>
      <c r="QEH334"/>
      <c r="QEK334"/>
      <c r="QEL334"/>
      <c r="QEO334"/>
      <c r="QEP334"/>
      <c r="QES334"/>
      <c r="QET334"/>
      <c r="QEW334"/>
      <c r="QEX334"/>
      <c r="QFA334"/>
      <c r="QFB334"/>
      <c r="QFE334"/>
      <c r="QFF334"/>
      <c r="QFI334"/>
      <c r="QFJ334"/>
      <c r="QFM334"/>
      <c r="QFN334"/>
      <c r="QFQ334"/>
      <c r="QFR334"/>
      <c r="QFU334"/>
      <c r="QFV334"/>
      <c r="QFY334"/>
      <c r="QFZ334"/>
      <c r="QGC334"/>
      <c r="QGD334"/>
      <c r="QGG334"/>
      <c r="QGH334"/>
      <c r="QGK334"/>
      <c r="QGL334"/>
      <c r="QGO334"/>
      <c r="QGP334"/>
      <c r="QGS334"/>
      <c r="QGT334"/>
      <c r="QGW334"/>
      <c r="QGX334"/>
      <c r="QHA334"/>
      <c r="QHB334"/>
      <c r="QHE334"/>
      <c r="QHF334"/>
      <c r="QHI334"/>
      <c r="QHJ334"/>
      <c r="QHM334"/>
      <c r="QHN334"/>
      <c r="QHQ334"/>
      <c r="QHR334"/>
      <c r="QHU334"/>
      <c r="QHV334"/>
      <c r="QHY334"/>
      <c r="QHZ334"/>
      <c r="QIC334"/>
      <c r="QID334"/>
      <c r="QIG334"/>
      <c r="QIH334"/>
      <c r="QIK334"/>
      <c r="QIL334"/>
      <c r="QIO334"/>
      <c r="QIP334"/>
      <c r="QIS334"/>
      <c r="QIT334"/>
      <c r="QIW334"/>
      <c r="QIX334"/>
      <c r="QJA334"/>
      <c r="QJB334"/>
      <c r="QJE334"/>
      <c r="QJF334"/>
      <c r="QJI334"/>
      <c r="QJJ334"/>
      <c r="QJM334"/>
      <c r="QJN334"/>
      <c r="QJQ334"/>
      <c r="QJR334"/>
      <c r="QJU334"/>
      <c r="QJV334"/>
      <c r="QJY334"/>
      <c r="QJZ334"/>
      <c r="QKC334"/>
      <c r="QKD334"/>
      <c r="QKG334"/>
      <c r="QKH334"/>
      <c r="QKK334"/>
      <c r="QKL334"/>
      <c r="QKO334"/>
      <c r="QKP334"/>
      <c r="QKS334"/>
      <c r="QKT334"/>
      <c r="QKW334"/>
      <c r="QKX334"/>
      <c r="QLA334"/>
      <c r="QLB334"/>
      <c r="QLE334"/>
      <c r="QLF334"/>
      <c r="QLI334"/>
      <c r="QLJ334"/>
      <c r="QLM334"/>
      <c r="QLN334"/>
      <c r="QLQ334"/>
      <c r="QLR334"/>
      <c r="QLU334"/>
      <c r="QLV334"/>
      <c r="QLY334"/>
      <c r="QLZ334"/>
      <c r="QMC334"/>
      <c r="QMD334"/>
      <c r="QMG334"/>
      <c r="QMH334"/>
      <c r="QMK334"/>
      <c r="QML334"/>
      <c r="QMO334"/>
      <c r="QMP334"/>
      <c r="QMS334"/>
      <c r="QMT334"/>
      <c r="QMW334"/>
      <c r="QMX334"/>
      <c r="QNA334"/>
      <c r="QNB334"/>
      <c r="QNE334"/>
      <c r="QNF334"/>
      <c r="QNI334"/>
      <c r="QNJ334"/>
      <c r="QNM334"/>
      <c r="QNN334"/>
      <c r="QNQ334"/>
      <c r="QNR334"/>
      <c r="QNU334"/>
      <c r="QNV334"/>
      <c r="QNY334"/>
      <c r="QNZ334"/>
      <c r="QOC334"/>
      <c r="QOD334"/>
      <c r="QOG334"/>
      <c r="QOH334"/>
      <c r="QOK334"/>
      <c r="QOL334"/>
      <c r="QOO334"/>
      <c r="QOP334"/>
      <c r="QOS334"/>
      <c r="QOT334"/>
      <c r="QOW334"/>
      <c r="QOX334"/>
      <c r="QPA334"/>
      <c r="QPB334"/>
      <c r="QPE334"/>
      <c r="QPF334"/>
      <c r="QPI334"/>
      <c r="QPJ334"/>
      <c r="QPM334"/>
      <c r="QPN334"/>
      <c r="QPQ334"/>
      <c r="QPR334"/>
      <c r="QPU334"/>
      <c r="QPV334"/>
      <c r="QPY334"/>
      <c r="QPZ334"/>
      <c r="QQC334"/>
      <c r="QQD334"/>
      <c r="QQG334"/>
      <c r="QQH334"/>
      <c r="QQK334"/>
      <c r="QQL334"/>
      <c r="QQO334"/>
      <c r="QQP334"/>
      <c r="QQS334"/>
      <c r="QQT334"/>
      <c r="QQW334"/>
      <c r="QQX334"/>
      <c r="QRA334"/>
      <c r="QRB334"/>
      <c r="QRE334"/>
      <c r="QRF334"/>
      <c r="QRI334"/>
      <c r="QRJ334"/>
      <c r="QRM334"/>
      <c r="QRN334"/>
      <c r="QRQ334"/>
      <c r="QRR334"/>
      <c r="QRU334"/>
      <c r="QRV334"/>
      <c r="QRY334"/>
      <c r="QRZ334"/>
      <c r="QSC334"/>
      <c r="QSD334"/>
      <c r="QSG334"/>
      <c r="QSH334"/>
      <c r="QSK334"/>
      <c r="QSL334"/>
      <c r="QSO334"/>
      <c r="QSP334"/>
      <c r="QSS334"/>
      <c r="QST334"/>
      <c r="QSW334"/>
      <c r="QSX334"/>
      <c r="QTA334"/>
      <c r="QTB334"/>
      <c r="QTE334"/>
      <c r="QTF334"/>
      <c r="QTI334"/>
      <c r="QTJ334"/>
      <c r="QTM334"/>
      <c r="QTN334"/>
      <c r="QTQ334"/>
      <c r="QTR334"/>
      <c r="QTU334"/>
      <c r="QTV334"/>
      <c r="QTY334"/>
      <c r="QTZ334"/>
      <c r="QUC334"/>
      <c r="QUD334"/>
      <c r="QUG334"/>
      <c r="QUH334"/>
      <c r="QUK334"/>
      <c r="QUL334"/>
      <c r="QUO334"/>
      <c r="QUP334"/>
      <c r="QUS334"/>
      <c r="QUT334"/>
      <c r="QUW334"/>
      <c r="QUX334"/>
      <c r="QVA334"/>
      <c r="QVB334"/>
      <c r="QVE334"/>
      <c r="QVF334"/>
      <c r="QVI334"/>
      <c r="QVJ334"/>
      <c r="QVM334"/>
      <c r="QVN334"/>
      <c r="QVQ334"/>
      <c r="QVR334"/>
      <c r="QVU334"/>
      <c r="QVV334"/>
      <c r="QVY334"/>
      <c r="QVZ334"/>
      <c r="QWC334"/>
      <c r="QWD334"/>
      <c r="QWG334"/>
      <c r="QWH334"/>
      <c r="QWK334"/>
      <c r="QWL334"/>
      <c r="QWO334"/>
      <c r="QWP334"/>
      <c r="QWS334"/>
      <c r="QWT334"/>
      <c r="QWW334"/>
      <c r="QWX334"/>
      <c r="QXA334"/>
      <c r="QXB334"/>
      <c r="QXE334"/>
      <c r="QXF334"/>
      <c r="QXI334"/>
      <c r="QXJ334"/>
      <c r="QXM334"/>
      <c r="QXN334"/>
      <c r="QXQ334"/>
      <c r="QXR334"/>
      <c r="QXU334"/>
      <c r="QXV334"/>
      <c r="QXY334"/>
      <c r="QXZ334"/>
      <c r="QYC334"/>
      <c r="QYD334"/>
      <c r="QYG334"/>
      <c r="QYH334"/>
      <c r="QYK334"/>
      <c r="QYL334"/>
      <c r="QYO334"/>
      <c r="QYP334"/>
      <c r="QYS334"/>
      <c r="QYT334"/>
      <c r="QYW334"/>
      <c r="QYX334"/>
      <c r="QZA334"/>
      <c r="QZB334"/>
      <c r="QZE334"/>
      <c r="QZF334"/>
      <c r="QZI334"/>
      <c r="QZJ334"/>
      <c r="QZM334"/>
      <c r="QZN334"/>
      <c r="QZQ334"/>
      <c r="QZR334"/>
      <c r="QZU334"/>
      <c r="QZV334"/>
      <c r="QZY334"/>
      <c r="QZZ334"/>
      <c r="RAC334"/>
      <c r="RAD334"/>
      <c r="RAG334"/>
      <c r="RAH334"/>
      <c r="RAK334"/>
      <c r="RAL334"/>
      <c r="RAO334"/>
      <c r="RAP334"/>
      <c r="RAS334"/>
      <c r="RAT334"/>
      <c r="RAW334"/>
      <c r="RAX334"/>
      <c r="RBA334"/>
      <c r="RBB334"/>
      <c r="RBE334"/>
      <c r="RBF334"/>
      <c r="RBI334"/>
      <c r="RBJ334"/>
      <c r="RBM334"/>
      <c r="RBN334"/>
      <c r="RBQ334"/>
      <c r="RBR334"/>
      <c r="RBU334"/>
      <c r="RBV334"/>
      <c r="RBY334"/>
      <c r="RBZ334"/>
      <c r="RCC334"/>
      <c r="RCD334"/>
      <c r="RCG334"/>
      <c r="RCH334"/>
      <c r="RCK334"/>
      <c r="RCL334"/>
      <c r="RCO334"/>
      <c r="RCP334"/>
      <c r="RCS334"/>
      <c r="RCT334"/>
      <c r="RCW334"/>
      <c r="RCX334"/>
      <c r="RDA334"/>
      <c r="RDB334"/>
      <c r="RDE334"/>
      <c r="RDF334"/>
      <c r="RDI334"/>
      <c r="RDJ334"/>
      <c r="RDM334"/>
      <c r="RDN334"/>
      <c r="RDQ334"/>
      <c r="RDR334"/>
      <c r="RDU334"/>
      <c r="RDV334"/>
      <c r="RDY334"/>
      <c r="RDZ334"/>
      <c r="REC334"/>
      <c r="RED334"/>
      <c r="REG334"/>
      <c r="REH334"/>
      <c r="REK334"/>
      <c r="REL334"/>
      <c r="REO334"/>
      <c r="REP334"/>
      <c r="RES334"/>
      <c r="RET334"/>
      <c r="REW334"/>
      <c r="REX334"/>
      <c r="RFA334"/>
      <c r="RFB334"/>
      <c r="RFE334"/>
      <c r="RFF334"/>
      <c r="RFI334"/>
      <c r="RFJ334"/>
      <c r="RFM334"/>
      <c r="RFN334"/>
      <c r="RFQ334"/>
      <c r="RFR334"/>
      <c r="RFU334"/>
      <c r="RFV334"/>
      <c r="RFY334"/>
      <c r="RFZ334"/>
      <c r="RGC334"/>
      <c r="RGD334"/>
      <c r="RGG334"/>
      <c r="RGH334"/>
      <c r="RGK334"/>
      <c r="RGL334"/>
      <c r="RGO334"/>
      <c r="RGP334"/>
      <c r="RGS334"/>
      <c r="RGT334"/>
      <c r="RGW334"/>
      <c r="RGX334"/>
      <c r="RHA334"/>
      <c r="RHB334"/>
      <c r="RHE334"/>
      <c r="RHF334"/>
      <c r="RHI334"/>
      <c r="RHJ334"/>
      <c r="RHM334"/>
      <c r="RHN334"/>
      <c r="RHQ334"/>
      <c r="RHR334"/>
      <c r="RHU334"/>
      <c r="RHV334"/>
      <c r="RHY334"/>
      <c r="RHZ334"/>
      <c r="RIC334"/>
      <c r="RID334"/>
      <c r="RIG334"/>
      <c r="RIH334"/>
      <c r="RIK334"/>
      <c r="RIL334"/>
      <c r="RIO334"/>
      <c r="RIP334"/>
      <c r="RIS334"/>
      <c r="RIT334"/>
      <c r="RIW334"/>
      <c r="RIX334"/>
      <c r="RJA334"/>
      <c r="RJB334"/>
      <c r="RJE334"/>
      <c r="RJF334"/>
      <c r="RJI334"/>
      <c r="RJJ334"/>
      <c r="RJM334"/>
      <c r="RJN334"/>
      <c r="RJQ334"/>
      <c r="RJR334"/>
      <c r="RJU334"/>
      <c r="RJV334"/>
      <c r="RJY334"/>
      <c r="RJZ334"/>
      <c r="RKC334"/>
      <c r="RKD334"/>
      <c r="RKG334"/>
      <c r="RKH334"/>
      <c r="RKK334"/>
      <c r="RKL334"/>
      <c r="RKO334"/>
      <c r="RKP334"/>
      <c r="RKS334"/>
      <c r="RKT334"/>
      <c r="RKW334"/>
      <c r="RKX334"/>
      <c r="RLA334"/>
      <c r="RLB334"/>
      <c r="RLE334"/>
      <c r="RLF334"/>
      <c r="RLI334"/>
      <c r="RLJ334"/>
      <c r="RLM334"/>
      <c r="RLN334"/>
      <c r="RLQ334"/>
      <c r="RLR334"/>
      <c r="RLU334"/>
      <c r="RLV334"/>
      <c r="RLY334"/>
      <c r="RLZ334"/>
      <c r="RMC334"/>
      <c r="RMD334"/>
      <c r="RMG334"/>
      <c r="RMH334"/>
      <c r="RMK334"/>
      <c r="RML334"/>
      <c r="RMO334"/>
      <c r="RMP334"/>
      <c r="RMS334"/>
      <c r="RMT334"/>
      <c r="RMW334"/>
      <c r="RMX334"/>
      <c r="RNA334"/>
      <c r="RNB334"/>
      <c r="RNE334"/>
      <c r="RNF334"/>
      <c r="RNI334"/>
      <c r="RNJ334"/>
      <c r="RNM334"/>
      <c r="RNN334"/>
      <c r="RNQ334"/>
      <c r="RNR334"/>
      <c r="RNU334"/>
      <c r="RNV334"/>
      <c r="RNY334"/>
      <c r="RNZ334"/>
      <c r="ROC334"/>
      <c r="ROD334"/>
      <c r="ROG334"/>
      <c r="ROH334"/>
      <c r="ROK334"/>
      <c r="ROL334"/>
      <c r="ROO334"/>
      <c r="ROP334"/>
      <c r="ROS334"/>
      <c r="ROT334"/>
      <c r="ROW334"/>
      <c r="ROX334"/>
      <c r="RPA334"/>
      <c r="RPB334"/>
      <c r="RPE334"/>
      <c r="RPF334"/>
      <c r="RPI334"/>
      <c r="RPJ334"/>
      <c r="RPM334"/>
      <c r="RPN334"/>
      <c r="RPQ334"/>
      <c r="RPR334"/>
      <c r="RPU334"/>
      <c r="RPV334"/>
      <c r="RPY334"/>
      <c r="RPZ334"/>
      <c r="RQC334"/>
      <c r="RQD334"/>
      <c r="RQG334"/>
      <c r="RQH334"/>
      <c r="RQK334"/>
      <c r="RQL334"/>
      <c r="RQO334"/>
      <c r="RQP334"/>
      <c r="RQS334"/>
      <c r="RQT334"/>
      <c r="RQW334"/>
      <c r="RQX334"/>
      <c r="RRA334"/>
      <c r="RRB334"/>
      <c r="RRE334"/>
      <c r="RRF334"/>
      <c r="RRI334"/>
      <c r="RRJ334"/>
      <c r="RRM334"/>
      <c r="RRN334"/>
      <c r="RRQ334"/>
      <c r="RRR334"/>
      <c r="RRU334"/>
      <c r="RRV334"/>
      <c r="RRY334"/>
      <c r="RRZ334"/>
      <c r="RSC334"/>
      <c r="RSD334"/>
      <c r="RSG334"/>
      <c r="RSH334"/>
      <c r="RSK334"/>
      <c r="RSL334"/>
      <c r="RSO334"/>
      <c r="RSP334"/>
      <c r="RSS334"/>
      <c r="RST334"/>
      <c r="RSW334"/>
      <c r="RSX334"/>
      <c r="RTA334"/>
      <c r="RTB334"/>
      <c r="RTE334"/>
      <c r="RTF334"/>
      <c r="RTI334"/>
      <c r="RTJ334"/>
      <c r="RTM334"/>
      <c r="RTN334"/>
      <c r="RTQ334"/>
      <c r="RTR334"/>
      <c r="RTU334"/>
      <c r="RTV334"/>
      <c r="RTY334"/>
      <c r="RTZ334"/>
      <c r="RUC334"/>
      <c r="RUD334"/>
      <c r="RUG334"/>
      <c r="RUH334"/>
      <c r="RUK334"/>
      <c r="RUL334"/>
      <c r="RUO334"/>
      <c r="RUP334"/>
      <c r="RUS334"/>
      <c r="RUT334"/>
      <c r="RUW334"/>
      <c r="RUX334"/>
      <c r="RVA334"/>
      <c r="RVB334"/>
      <c r="RVE334"/>
      <c r="RVF334"/>
      <c r="RVI334"/>
      <c r="RVJ334"/>
      <c r="RVM334"/>
      <c r="RVN334"/>
      <c r="RVQ334"/>
      <c r="RVR334"/>
      <c r="RVU334"/>
      <c r="RVV334"/>
      <c r="RVY334"/>
      <c r="RVZ334"/>
      <c r="RWC334"/>
      <c r="RWD334"/>
      <c r="RWG334"/>
      <c r="RWH334"/>
      <c r="RWK334"/>
      <c r="RWL334"/>
      <c r="RWO334"/>
      <c r="RWP334"/>
      <c r="RWS334"/>
      <c r="RWT334"/>
      <c r="RWW334"/>
      <c r="RWX334"/>
      <c r="RXA334"/>
      <c r="RXB334"/>
      <c r="RXE334"/>
      <c r="RXF334"/>
      <c r="RXI334"/>
      <c r="RXJ334"/>
      <c r="RXM334"/>
      <c r="RXN334"/>
      <c r="RXQ334"/>
      <c r="RXR334"/>
      <c r="RXU334"/>
      <c r="RXV334"/>
      <c r="RXY334"/>
      <c r="RXZ334"/>
      <c r="RYC334"/>
      <c r="RYD334"/>
      <c r="RYG334"/>
      <c r="RYH334"/>
      <c r="RYK334"/>
      <c r="RYL334"/>
      <c r="RYO334"/>
      <c r="RYP334"/>
      <c r="RYS334"/>
      <c r="RYT334"/>
      <c r="RYW334"/>
      <c r="RYX334"/>
      <c r="RZA334"/>
      <c r="RZB334"/>
      <c r="RZE334"/>
      <c r="RZF334"/>
      <c r="RZI334"/>
      <c r="RZJ334"/>
      <c r="RZM334"/>
      <c r="RZN334"/>
      <c r="RZQ334"/>
      <c r="RZR334"/>
      <c r="RZU334"/>
      <c r="RZV334"/>
      <c r="RZY334"/>
      <c r="RZZ334"/>
      <c r="SAC334"/>
      <c r="SAD334"/>
      <c r="SAG334"/>
      <c r="SAH334"/>
      <c r="SAK334"/>
      <c r="SAL334"/>
      <c r="SAO334"/>
      <c r="SAP334"/>
      <c r="SAS334"/>
      <c r="SAT334"/>
      <c r="SAW334"/>
      <c r="SAX334"/>
      <c r="SBA334"/>
      <c r="SBB334"/>
      <c r="SBE334"/>
      <c r="SBF334"/>
      <c r="SBI334"/>
      <c r="SBJ334"/>
      <c r="SBM334"/>
      <c r="SBN334"/>
      <c r="SBQ334"/>
      <c r="SBR334"/>
      <c r="SBU334"/>
      <c r="SBV334"/>
      <c r="SBY334"/>
      <c r="SBZ334"/>
      <c r="SCC334"/>
      <c r="SCD334"/>
      <c r="SCG334"/>
      <c r="SCH334"/>
      <c r="SCK334"/>
      <c r="SCL334"/>
      <c r="SCO334"/>
      <c r="SCP334"/>
      <c r="SCS334"/>
      <c r="SCT334"/>
      <c r="SCW334"/>
      <c r="SCX334"/>
      <c r="SDA334"/>
      <c r="SDB334"/>
      <c r="SDE334"/>
      <c r="SDF334"/>
      <c r="SDI334"/>
      <c r="SDJ334"/>
      <c r="SDM334"/>
      <c r="SDN334"/>
      <c r="SDQ334"/>
      <c r="SDR334"/>
      <c r="SDU334"/>
      <c r="SDV334"/>
      <c r="SDY334"/>
      <c r="SDZ334"/>
      <c r="SEC334"/>
      <c r="SED334"/>
      <c r="SEG334"/>
      <c r="SEH334"/>
      <c r="SEK334"/>
      <c r="SEL334"/>
      <c r="SEO334"/>
      <c r="SEP334"/>
      <c r="SES334"/>
      <c r="SET334"/>
      <c r="SEW334"/>
      <c r="SEX334"/>
      <c r="SFA334"/>
      <c r="SFB334"/>
      <c r="SFE334"/>
      <c r="SFF334"/>
      <c r="SFI334"/>
      <c r="SFJ334"/>
      <c r="SFM334"/>
      <c r="SFN334"/>
      <c r="SFQ334"/>
      <c r="SFR334"/>
      <c r="SFU334"/>
      <c r="SFV334"/>
      <c r="SFY334"/>
      <c r="SFZ334"/>
      <c r="SGC334"/>
      <c r="SGD334"/>
      <c r="SGG334"/>
      <c r="SGH334"/>
      <c r="SGK334"/>
      <c r="SGL334"/>
      <c r="SGO334"/>
      <c r="SGP334"/>
      <c r="SGS334"/>
      <c r="SGT334"/>
      <c r="SGW334"/>
      <c r="SGX334"/>
      <c r="SHA334"/>
      <c r="SHB334"/>
      <c r="SHE334"/>
      <c r="SHF334"/>
      <c r="SHI334"/>
      <c r="SHJ334"/>
      <c r="SHM334"/>
      <c r="SHN334"/>
      <c r="SHQ334"/>
      <c r="SHR334"/>
      <c r="SHU334"/>
      <c r="SHV334"/>
      <c r="SHY334"/>
      <c r="SHZ334"/>
      <c r="SIC334"/>
      <c r="SID334"/>
      <c r="SIG334"/>
      <c r="SIH334"/>
      <c r="SIK334"/>
      <c r="SIL334"/>
      <c r="SIO334"/>
      <c r="SIP334"/>
      <c r="SIS334"/>
      <c r="SIT334"/>
      <c r="SIW334"/>
      <c r="SIX334"/>
      <c r="SJA334"/>
      <c r="SJB334"/>
      <c r="SJE334"/>
      <c r="SJF334"/>
      <c r="SJI334"/>
      <c r="SJJ334"/>
      <c r="SJM334"/>
      <c r="SJN334"/>
      <c r="SJQ334"/>
      <c r="SJR334"/>
      <c r="SJU334"/>
      <c r="SJV334"/>
      <c r="SJY334"/>
      <c r="SJZ334"/>
      <c r="SKC334"/>
      <c r="SKD334"/>
      <c r="SKG334"/>
      <c r="SKH334"/>
      <c r="SKK334"/>
      <c r="SKL334"/>
      <c r="SKO334"/>
      <c r="SKP334"/>
      <c r="SKS334"/>
      <c r="SKT334"/>
      <c r="SKW334"/>
      <c r="SKX334"/>
      <c r="SLA334"/>
      <c r="SLB334"/>
      <c r="SLE334"/>
      <c r="SLF334"/>
      <c r="SLI334"/>
      <c r="SLJ334"/>
      <c r="SLM334"/>
      <c r="SLN334"/>
      <c r="SLQ334"/>
      <c r="SLR334"/>
      <c r="SLU334"/>
      <c r="SLV334"/>
      <c r="SLY334"/>
      <c r="SLZ334"/>
      <c r="SMC334"/>
      <c r="SMD334"/>
      <c r="SMG334"/>
      <c r="SMH334"/>
      <c r="SMK334"/>
      <c r="SML334"/>
      <c r="SMO334"/>
      <c r="SMP334"/>
      <c r="SMS334"/>
      <c r="SMT334"/>
      <c r="SMW334"/>
      <c r="SMX334"/>
      <c r="SNA334"/>
      <c r="SNB334"/>
      <c r="SNE334"/>
      <c r="SNF334"/>
      <c r="SNI334"/>
      <c r="SNJ334"/>
      <c r="SNM334"/>
      <c r="SNN334"/>
      <c r="SNQ334"/>
      <c r="SNR334"/>
      <c r="SNU334"/>
      <c r="SNV334"/>
      <c r="SNY334"/>
      <c r="SNZ334"/>
      <c r="SOC334"/>
      <c r="SOD334"/>
      <c r="SOG334"/>
      <c r="SOH334"/>
      <c r="SOK334"/>
      <c r="SOL334"/>
      <c r="SOO334"/>
      <c r="SOP334"/>
      <c r="SOS334"/>
      <c r="SOT334"/>
      <c r="SOW334"/>
      <c r="SOX334"/>
      <c r="SPA334"/>
      <c r="SPB334"/>
      <c r="SPE334"/>
      <c r="SPF334"/>
      <c r="SPI334"/>
      <c r="SPJ334"/>
      <c r="SPM334"/>
      <c r="SPN334"/>
      <c r="SPQ334"/>
      <c r="SPR334"/>
      <c r="SPU334"/>
      <c r="SPV334"/>
      <c r="SPY334"/>
      <c r="SPZ334"/>
      <c r="SQC334"/>
      <c r="SQD334"/>
      <c r="SQG334"/>
      <c r="SQH334"/>
      <c r="SQK334"/>
      <c r="SQL334"/>
      <c r="SQO334"/>
      <c r="SQP334"/>
      <c r="SQS334"/>
      <c r="SQT334"/>
      <c r="SQW334"/>
      <c r="SQX334"/>
      <c r="SRA334"/>
      <c r="SRB334"/>
      <c r="SRE334"/>
      <c r="SRF334"/>
      <c r="SRI334"/>
      <c r="SRJ334"/>
      <c r="SRM334"/>
      <c r="SRN334"/>
      <c r="SRQ334"/>
      <c r="SRR334"/>
      <c r="SRU334"/>
      <c r="SRV334"/>
      <c r="SRY334"/>
      <c r="SRZ334"/>
      <c r="SSC334"/>
      <c r="SSD334"/>
      <c r="SSG334"/>
      <c r="SSH334"/>
      <c r="SSK334"/>
      <c r="SSL334"/>
      <c r="SSO334"/>
      <c r="SSP334"/>
      <c r="SSS334"/>
      <c r="SST334"/>
      <c r="SSW334"/>
      <c r="SSX334"/>
      <c r="STA334"/>
      <c r="STB334"/>
      <c r="STE334"/>
      <c r="STF334"/>
      <c r="STI334"/>
      <c r="STJ334"/>
      <c r="STM334"/>
      <c r="STN334"/>
      <c r="STQ334"/>
      <c r="STR334"/>
      <c r="STU334"/>
      <c r="STV334"/>
      <c r="STY334"/>
      <c r="STZ334"/>
      <c r="SUC334"/>
      <c r="SUD334"/>
      <c r="SUG334"/>
      <c r="SUH334"/>
      <c r="SUK334"/>
      <c r="SUL334"/>
      <c r="SUO334"/>
      <c r="SUP334"/>
      <c r="SUS334"/>
      <c r="SUT334"/>
      <c r="SUW334"/>
      <c r="SUX334"/>
      <c r="SVA334"/>
      <c r="SVB334"/>
      <c r="SVE334"/>
      <c r="SVF334"/>
      <c r="SVI334"/>
      <c r="SVJ334"/>
      <c r="SVM334"/>
      <c r="SVN334"/>
      <c r="SVQ334"/>
      <c r="SVR334"/>
      <c r="SVU334"/>
      <c r="SVV334"/>
      <c r="SVY334"/>
      <c r="SVZ334"/>
      <c r="SWC334"/>
      <c r="SWD334"/>
      <c r="SWG334"/>
      <c r="SWH334"/>
      <c r="SWK334"/>
      <c r="SWL334"/>
      <c r="SWO334"/>
      <c r="SWP334"/>
      <c r="SWS334"/>
      <c r="SWT334"/>
      <c r="SWW334"/>
      <c r="SWX334"/>
      <c r="SXA334"/>
      <c r="SXB334"/>
      <c r="SXE334"/>
      <c r="SXF334"/>
      <c r="SXI334"/>
      <c r="SXJ334"/>
      <c r="SXM334"/>
      <c r="SXN334"/>
      <c r="SXQ334"/>
      <c r="SXR334"/>
      <c r="SXU334"/>
      <c r="SXV334"/>
      <c r="SXY334"/>
      <c r="SXZ334"/>
      <c r="SYC334"/>
      <c r="SYD334"/>
      <c r="SYG334"/>
      <c r="SYH334"/>
      <c r="SYK334"/>
      <c r="SYL334"/>
      <c r="SYO334"/>
      <c r="SYP334"/>
      <c r="SYS334"/>
      <c r="SYT334"/>
      <c r="SYW334"/>
      <c r="SYX334"/>
      <c r="SZA334"/>
      <c r="SZB334"/>
      <c r="SZE334"/>
      <c r="SZF334"/>
      <c r="SZI334"/>
      <c r="SZJ334"/>
      <c r="SZM334"/>
      <c r="SZN334"/>
      <c r="SZQ334"/>
      <c r="SZR334"/>
      <c r="SZU334"/>
      <c r="SZV334"/>
      <c r="SZY334"/>
      <c r="SZZ334"/>
      <c r="TAC334"/>
      <c r="TAD334"/>
      <c r="TAG334"/>
      <c r="TAH334"/>
      <c r="TAK334"/>
      <c r="TAL334"/>
      <c r="TAO334"/>
      <c r="TAP334"/>
      <c r="TAS334"/>
      <c r="TAT334"/>
      <c r="TAW334"/>
      <c r="TAX334"/>
      <c r="TBA334"/>
      <c r="TBB334"/>
      <c r="TBE334"/>
      <c r="TBF334"/>
      <c r="TBI334"/>
      <c r="TBJ334"/>
      <c r="TBM334"/>
      <c r="TBN334"/>
      <c r="TBQ334"/>
      <c r="TBR334"/>
      <c r="TBU334"/>
      <c r="TBV334"/>
      <c r="TBY334"/>
      <c r="TBZ334"/>
      <c r="TCC334"/>
      <c r="TCD334"/>
      <c r="TCG334"/>
      <c r="TCH334"/>
      <c r="TCK334"/>
      <c r="TCL334"/>
      <c r="TCO334"/>
      <c r="TCP334"/>
      <c r="TCS334"/>
      <c r="TCT334"/>
      <c r="TCW334"/>
      <c r="TCX334"/>
      <c r="TDA334"/>
      <c r="TDB334"/>
      <c r="TDE334"/>
      <c r="TDF334"/>
      <c r="TDI334"/>
      <c r="TDJ334"/>
      <c r="TDM334"/>
      <c r="TDN334"/>
      <c r="TDQ334"/>
      <c r="TDR334"/>
      <c r="TDU334"/>
      <c r="TDV334"/>
      <c r="TDY334"/>
      <c r="TDZ334"/>
      <c r="TEC334"/>
      <c r="TED334"/>
      <c r="TEG334"/>
      <c r="TEH334"/>
      <c r="TEK334"/>
      <c r="TEL334"/>
      <c r="TEO334"/>
      <c r="TEP334"/>
      <c r="TES334"/>
      <c r="TET334"/>
      <c r="TEW334"/>
      <c r="TEX334"/>
      <c r="TFA334"/>
      <c r="TFB334"/>
      <c r="TFE334"/>
      <c r="TFF334"/>
      <c r="TFI334"/>
      <c r="TFJ334"/>
      <c r="TFM334"/>
      <c r="TFN334"/>
      <c r="TFQ334"/>
      <c r="TFR334"/>
      <c r="TFU334"/>
      <c r="TFV334"/>
      <c r="TFY334"/>
      <c r="TFZ334"/>
      <c r="TGC334"/>
      <c r="TGD334"/>
      <c r="TGG334"/>
      <c r="TGH334"/>
      <c r="TGK334"/>
      <c r="TGL334"/>
      <c r="TGO334"/>
      <c r="TGP334"/>
      <c r="TGS334"/>
      <c r="TGT334"/>
      <c r="TGW334"/>
      <c r="TGX334"/>
      <c r="THA334"/>
      <c r="THB334"/>
      <c r="THE334"/>
      <c r="THF334"/>
      <c r="THI334"/>
      <c r="THJ334"/>
      <c r="THM334"/>
      <c r="THN334"/>
      <c r="THQ334"/>
      <c r="THR334"/>
      <c r="THU334"/>
      <c r="THV334"/>
      <c r="THY334"/>
      <c r="THZ334"/>
      <c r="TIC334"/>
      <c r="TID334"/>
      <c r="TIG334"/>
      <c r="TIH334"/>
      <c r="TIK334"/>
      <c r="TIL334"/>
      <c r="TIO334"/>
      <c r="TIP334"/>
      <c r="TIS334"/>
      <c r="TIT334"/>
      <c r="TIW334"/>
      <c r="TIX334"/>
      <c r="TJA334"/>
      <c r="TJB334"/>
      <c r="TJE334"/>
      <c r="TJF334"/>
      <c r="TJI334"/>
      <c r="TJJ334"/>
      <c r="TJM334"/>
      <c r="TJN334"/>
      <c r="TJQ334"/>
      <c r="TJR334"/>
      <c r="TJU334"/>
      <c r="TJV334"/>
      <c r="TJY334"/>
      <c r="TJZ334"/>
      <c r="TKC334"/>
      <c r="TKD334"/>
      <c r="TKG334"/>
      <c r="TKH334"/>
      <c r="TKK334"/>
      <c r="TKL334"/>
      <c r="TKO334"/>
      <c r="TKP334"/>
      <c r="TKS334"/>
      <c r="TKT334"/>
      <c r="TKW334"/>
      <c r="TKX334"/>
      <c r="TLA334"/>
      <c r="TLB334"/>
      <c r="TLE334"/>
      <c r="TLF334"/>
      <c r="TLI334"/>
      <c r="TLJ334"/>
      <c r="TLM334"/>
      <c r="TLN334"/>
      <c r="TLQ334"/>
      <c r="TLR334"/>
      <c r="TLU334"/>
      <c r="TLV334"/>
      <c r="TLY334"/>
      <c r="TLZ334"/>
      <c r="TMC334"/>
      <c r="TMD334"/>
      <c r="TMG334"/>
      <c r="TMH334"/>
      <c r="TMK334"/>
      <c r="TML334"/>
      <c r="TMO334"/>
      <c r="TMP334"/>
      <c r="TMS334"/>
      <c r="TMT334"/>
      <c r="TMW334"/>
      <c r="TMX334"/>
      <c r="TNA334"/>
      <c r="TNB334"/>
      <c r="TNE334"/>
      <c r="TNF334"/>
      <c r="TNI334"/>
      <c r="TNJ334"/>
      <c r="TNM334"/>
      <c r="TNN334"/>
      <c r="TNQ334"/>
      <c r="TNR334"/>
      <c r="TNU334"/>
      <c r="TNV334"/>
      <c r="TNY334"/>
      <c r="TNZ334"/>
      <c r="TOC334"/>
      <c r="TOD334"/>
      <c r="TOG334"/>
      <c r="TOH334"/>
      <c r="TOK334"/>
      <c r="TOL334"/>
      <c r="TOO334"/>
      <c r="TOP334"/>
      <c r="TOS334"/>
      <c r="TOT334"/>
      <c r="TOW334"/>
      <c r="TOX334"/>
      <c r="TPA334"/>
      <c r="TPB334"/>
      <c r="TPE334"/>
      <c r="TPF334"/>
      <c r="TPI334"/>
      <c r="TPJ334"/>
      <c r="TPM334"/>
      <c r="TPN334"/>
      <c r="TPQ334"/>
      <c r="TPR334"/>
      <c r="TPU334"/>
      <c r="TPV334"/>
      <c r="TPY334"/>
      <c r="TPZ334"/>
      <c r="TQC334"/>
      <c r="TQD334"/>
      <c r="TQG334"/>
      <c r="TQH334"/>
      <c r="TQK334"/>
      <c r="TQL334"/>
      <c r="TQO334"/>
      <c r="TQP334"/>
      <c r="TQS334"/>
      <c r="TQT334"/>
      <c r="TQW334"/>
      <c r="TQX334"/>
      <c r="TRA334"/>
      <c r="TRB334"/>
      <c r="TRE334"/>
      <c r="TRF334"/>
      <c r="TRI334"/>
      <c r="TRJ334"/>
      <c r="TRM334"/>
      <c r="TRN334"/>
      <c r="TRQ334"/>
      <c r="TRR334"/>
      <c r="TRU334"/>
      <c r="TRV334"/>
      <c r="TRY334"/>
      <c r="TRZ334"/>
      <c r="TSC334"/>
      <c r="TSD334"/>
      <c r="TSG334"/>
      <c r="TSH334"/>
      <c r="TSK334"/>
      <c r="TSL334"/>
      <c r="TSO334"/>
      <c r="TSP334"/>
      <c r="TSS334"/>
      <c r="TST334"/>
      <c r="TSW334"/>
      <c r="TSX334"/>
      <c r="TTA334"/>
      <c r="TTB334"/>
      <c r="TTE334"/>
      <c r="TTF334"/>
      <c r="TTI334"/>
      <c r="TTJ334"/>
      <c r="TTM334"/>
      <c r="TTN334"/>
      <c r="TTQ334"/>
      <c r="TTR334"/>
      <c r="TTU334"/>
      <c r="TTV334"/>
      <c r="TTY334"/>
      <c r="TTZ334"/>
      <c r="TUC334"/>
      <c r="TUD334"/>
      <c r="TUG334"/>
      <c r="TUH334"/>
      <c r="TUK334"/>
      <c r="TUL334"/>
      <c r="TUO334"/>
      <c r="TUP334"/>
      <c r="TUS334"/>
      <c r="TUT334"/>
      <c r="TUW334"/>
      <c r="TUX334"/>
      <c r="TVA334"/>
      <c r="TVB334"/>
      <c r="TVE334"/>
      <c r="TVF334"/>
      <c r="TVI334"/>
      <c r="TVJ334"/>
      <c r="TVM334"/>
      <c r="TVN334"/>
      <c r="TVQ334"/>
      <c r="TVR334"/>
      <c r="TVU334"/>
      <c r="TVV334"/>
      <c r="TVY334"/>
      <c r="TVZ334"/>
      <c r="TWC334"/>
      <c r="TWD334"/>
      <c r="TWG334"/>
      <c r="TWH334"/>
      <c r="TWK334"/>
      <c r="TWL334"/>
      <c r="TWO334"/>
      <c r="TWP334"/>
      <c r="TWS334"/>
      <c r="TWT334"/>
      <c r="TWW334"/>
      <c r="TWX334"/>
      <c r="TXA334"/>
      <c r="TXB334"/>
      <c r="TXE334"/>
      <c r="TXF334"/>
      <c r="TXI334"/>
      <c r="TXJ334"/>
      <c r="TXM334"/>
      <c r="TXN334"/>
      <c r="TXQ334"/>
      <c r="TXR334"/>
      <c r="TXU334"/>
      <c r="TXV334"/>
      <c r="TXY334"/>
      <c r="TXZ334"/>
      <c r="TYC334"/>
      <c r="TYD334"/>
      <c r="TYG334"/>
      <c r="TYH334"/>
      <c r="TYK334"/>
      <c r="TYL334"/>
      <c r="TYO334"/>
      <c r="TYP334"/>
      <c r="TYS334"/>
      <c r="TYT334"/>
      <c r="TYW334"/>
      <c r="TYX334"/>
      <c r="TZA334"/>
      <c r="TZB334"/>
      <c r="TZE334"/>
      <c r="TZF334"/>
      <c r="TZI334"/>
      <c r="TZJ334"/>
      <c r="TZM334"/>
      <c r="TZN334"/>
      <c r="TZQ334"/>
      <c r="TZR334"/>
      <c r="TZU334"/>
      <c r="TZV334"/>
      <c r="TZY334"/>
      <c r="TZZ334"/>
      <c r="UAC334"/>
      <c r="UAD334"/>
      <c r="UAG334"/>
      <c r="UAH334"/>
      <c r="UAK334"/>
      <c r="UAL334"/>
      <c r="UAO334"/>
      <c r="UAP334"/>
      <c r="UAS334"/>
      <c r="UAT334"/>
      <c r="UAW334"/>
      <c r="UAX334"/>
      <c r="UBA334"/>
      <c r="UBB334"/>
      <c r="UBE334"/>
      <c r="UBF334"/>
      <c r="UBI334"/>
      <c r="UBJ334"/>
      <c r="UBM334"/>
      <c r="UBN334"/>
      <c r="UBQ334"/>
      <c r="UBR334"/>
      <c r="UBU334"/>
      <c r="UBV334"/>
      <c r="UBY334"/>
      <c r="UBZ334"/>
      <c r="UCC334"/>
      <c r="UCD334"/>
      <c r="UCG334"/>
      <c r="UCH334"/>
      <c r="UCK334"/>
      <c r="UCL334"/>
      <c r="UCO334"/>
      <c r="UCP334"/>
      <c r="UCS334"/>
      <c r="UCT334"/>
      <c r="UCW334"/>
      <c r="UCX334"/>
      <c r="UDA334"/>
      <c r="UDB334"/>
      <c r="UDE334"/>
      <c r="UDF334"/>
      <c r="UDI334"/>
      <c r="UDJ334"/>
      <c r="UDM334"/>
      <c r="UDN334"/>
      <c r="UDQ334"/>
      <c r="UDR334"/>
      <c r="UDU334"/>
      <c r="UDV334"/>
      <c r="UDY334"/>
      <c r="UDZ334"/>
      <c r="UEC334"/>
      <c r="UED334"/>
      <c r="UEG334"/>
      <c r="UEH334"/>
      <c r="UEK334"/>
      <c r="UEL334"/>
      <c r="UEO334"/>
      <c r="UEP334"/>
      <c r="UES334"/>
      <c r="UET334"/>
      <c r="UEW334"/>
      <c r="UEX334"/>
      <c r="UFA334"/>
      <c r="UFB334"/>
      <c r="UFE334"/>
      <c r="UFF334"/>
      <c r="UFI334"/>
      <c r="UFJ334"/>
      <c r="UFM334"/>
      <c r="UFN334"/>
      <c r="UFQ334"/>
      <c r="UFR334"/>
      <c r="UFU334"/>
      <c r="UFV334"/>
      <c r="UFY334"/>
      <c r="UFZ334"/>
      <c r="UGC334"/>
      <c r="UGD334"/>
      <c r="UGG334"/>
      <c r="UGH334"/>
      <c r="UGK334"/>
      <c r="UGL334"/>
      <c r="UGO334"/>
      <c r="UGP334"/>
      <c r="UGS334"/>
      <c r="UGT334"/>
      <c r="UGW334"/>
      <c r="UGX334"/>
      <c r="UHA334"/>
      <c r="UHB334"/>
      <c r="UHE334"/>
      <c r="UHF334"/>
      <c r="UHI334"/>
      <c r="UHJ334"/>
      <c r="UHM334"/>
      <c r="UHN334"/>
      <c r="UHQ334"/>
      <c r="UHR334"/>
      <c r="UHU334"/>
      <c r="UHV334"/>
      <c r="UHY334"/>
      <c r="UHZ334"/>
      <c r="UIC334"/>
      <c r="UID334"/>
      <c r="UIG334"/>
      <c r="UIH334"/>
      <c r="UIK334"/>
      <c r="UIL334"/>
      <c r="UIO334"/>
      <c r="UIP334"/>
      <c r="UIS334"/>
      <c r="UIT334"/>
      <c r="UIW334"/>
      <c r="UIX334"/>
      <c r="UJA334"/>
      <c r="UJB334"/>
      <c r="UJE334"/>
      <c r="UJF334"/>
      <c r="UJI334"/>
      <c r="UJJ334"/>
      <c r="UJM334"/>
      <c r="UJN334"/>
      <c r="UJQ334"/>
      <c r="UJR334"/>
      <c r="UJU334"/>
      <c r="UJV334"/>
      <c r="UJY334"/>
      <c r="UJZ334"/>
      <c r="UKC334"/>
      <c r="UKD334"/>
      <c r="UKG334"/>
      <c r="UKH334"/>
      <c r="UKK334"/>
      <c r="UKL334"/>
      <c r="UKO334"/>
      <c r="UKP334"/>
      <c r="UKS334"/>
      <c r="UKT334"/>
      <c r="UKW334"/>
      <c r="UKX334"/>
      <c r="ULA334"/>
      <c r="ULB334"/>
      <c r="ULE334"/>
      <c r="ULF334"/>
      <c r="ULI334"/>
      <c r="ULJ334"/>
      <c r="ULM334"/>
      <c r="ULN334"/>
      <c r="ULQ334"/>
      <c r="ULR334"/>
      <c r="ULU334"/>
      <c r="ULV334"/>
      <c r="ULY334"/>
      <c r="ULZ334"/>
      <c r="UMC334"/>
      <c r="UMD334"/>
      <c r="UMG334"/>
      <c r="UMH334"/>
      <c r="UMK334"/>
      <c r="UML334"/>
      <c r="UMO334"/>
      <c r="UMP334"/>
      <c r="UMS334"/>
      <c r="UMT334"/>
      <c r="UMW334"/>
      <c r="UMX334"/>
      <c r="UNA334"/>
      <c r="UNB334"/>
      <c r="UNE334"/>
      <c r="UNF334"/>
      <c r="UNI334"/>
      <c r="UNJ334"/>
      <c r="UNM334"/>
      <c r="UNN334"/>
      <c r="UNQ334"/>
      <c r="UNR334"/>
      <c r="UNU334"/>
      <c r="UNV334"/>
      <c r="UNY334"/>
      <c r="UNZ334"/>
      <c r="UOC334"/>
      <c r="UOD334"/>
      <c r="UOG334"/>
      <c r="UOH334"/>
      <c r="UOK334"/>
      <c r="UOL334"/>
      <c r="UOO334"/>
      <c r="UOP334"/>
      <c r="UOS334"/>
      <c r="UOT334"/>
      <c r="UOW334"/>
      <c r="UOX334"/>
      <c r="UPA334"/>
      <c r="UPB334"/>
      <c r="UPE334"/>
      <c r="UPF334"/>
      <c r="UPI334"/>
      <c r="UPJ334"/>
      <c r="UPM334"/>
      <c r="UPN334"/>
      <c r="UPQ334"/>
      <c r="UPR334"/>
      <c r="UPU334"/>
      <c r="UPV334"/>
      <c r="UPY334"/>
      <c r="UPZ334"/>
      <c r="UQC334"/>
      <c r="UQD334"/>
      <c r="UQG334"/>
      <c r="UQH334"/>
      <c r="UQK334"/>
      <c r="UQL334"/>
      <c r="UQO334"/>
      <c r="UQP334"/>
      <c r="UQS334"/>
      <c r="UQT334"/>
      <c r="UQW334"/>
      <c r="UQX334"/>
      <c r="URA334"/>
      <c r="URB334"/>
      <c r="URE334"/>
      <c r="URF334"/>
      <c r="URI334"/>
      <c r="URJ334"/>
      <c r="URM334"/>
      <c r="URN334"/>
      <c r="URQ334"/>
      <c r="URR334"/>
      <c r="URU334"/>
      <c r="URV334"/>
      <c r="URY334"/>
      <c r="URZ334"/>
      <c r="USC334"/>
      <c r="USD334"/>
      <c r="USG334"/>
      <c r="USH334"/>
      <c r="USK334"/>
      <c r="USL334"/>
      <c r="USO334"/>
      <c r="USP334"/>
      <c r="USS334"/>
      <c r="UST334"/>
      <c r="USW334"/>
      <c r="USX334"/>
      <c r="UTA334"/>
      <c r="UTB334"/>
      <c r="UTE334"/>
      <c r="UTF334"/>
      <c r="UTI334"/>
      <c r="UTJ334"/>
      <c r="UTM334"/>
      <c r="UTN334"/>
      <c r="UTQ334"/>
      <c r="UTR334"/>
      <c r="UTU334"/>
      <c r="UTV334"/>
      <c r="UTY334"/>
      <c r="UTZ334"/>
      <c r="UUC334"/>
      <c r="UUD334"/>
      <c r="UUG334"/>
      <c r="UUH334"/>
      <c r="UUK334"/>
      <c r="UUL334"/>
      <c r="UUO334"/>
      <c r="UUP334"/>
      <c r="UUS334"/>
      <c r="UUT334"/>
      <c r="UUW334"/>
      <c r="UUX334"/>
      <c r="UVA334"/>
      <c r="UVB334"/>
      <c r="UVE334"/>
      <c r="UVF334"/>
      <c r="UVI334"/>
      <c r="UVJ334"/>
      <c r="UVM334"/>
      <c r="UVN334"/>
      <c r="UVQ334"/>
      <c r="UVR334"/>
      <c r="UVU334"/>
      <c r="UVV334"/>
      <c r="UVY334"/>
      <c r="UVZ334"/>
      <c r="UWC334"/>
      <c r="UWD334"/>
      <c r="UWG334"/>
      <c r="UWH334"/>
      <c r="UWK334"/>
      <c r="UWL334"/>
      <c r="UWO334"/>
      <c r="UWP334"/>
      <c r="UWS334"/>
      <c r="UWT334"/>
      <c r="UWW334"/>
      <c r="UWX334"/>
      <c r="UXA334"/>
      <c r="UXB334"/>
      <c r="UXE334"/>
      <c r="UXF334"/>
      <c r="UXI334"/>
      <c r="UXJ334"/>
      <c r="UXM334"/>
      <c r="UXN334"/>
      <c r="UXQ334"/>
      <c r="UXR334"/>
      <c r="UXU334"/>
      <c r="UXV334"/>
      <c r="UXY334"/>
      <c r="UXZ334"/>
      <c r="UYC334"/>
      <c r="UYD334"/>
      <c r="UYG334"/>
      <c r="UYH334"/>
      <c r="UYK334"/>
      <c r="UYL334"/>
      <c r="UYO334"/>
      <c r="UYP334"/>
      <c r="UYS334"/>
      <c r="UYT334"/>
      <c r="UYW334"/>
      <c r="UYX334"/>
      <c r="UZA334"/>
      <c r="UZB334"/>
      <c r="UZE334"/>
      <c r="UZF334"/>
      <c r="UZI334"/>
      <c r="UZJ334"/>
      <c r="UZM334"/>
      <c r="UZN334"/>
      <c r="UZQ334"/>
      <c r="UZR334"/>
      <c r="UZU334"/>
      <c r="UZV334"/>
      <c r="UZY334"/>
      <c r="UZZ334"/>
      <c r="VAC334"/>
      <c r="VAD334"/>
      <c r="VAG334"/>
      <c r="VAH334"/>
      <c r="VAK334"/>
      <c r="VAL334"/>
      <c r="VAO334"/>
      <c r="VAP334"/>
      <c r="VAS334"/>
      <c r="VAT334"/>
      <c r="VAW334"/>
      <c r="VAX334"/>
      <c r="VBA334"/>
      <c r="VBB334"/>
      <c r="VBE334"/>
      <c r="VBF334"/>
      <c r="VBI334"/>
      <c r="VBJ334"/>
      <c r="VBM334"/>
      <c r="VBN334"/>
      <c r="VBQ334"/>
      <c r="VBR334"/>
      <c r="VBU334"/>
      <c r="VBV334"/>
      <c r="VBY334"/>
      <c r="VBZ334"/>
      <c r="VCC334"/>
      <c r="VCD334"/>
      <c r="VCG334"/>
      <c r="VCH334"/>
      <c r="VCK334"/>
      <c r="VCL334"/>
      <c r="VCO334"/>
      <c r="VCP334"/>
      <c r="VCS334"/>
      <c r="VCT334"/>
      <c r="VCW334"/>
      <c r="VCX334"/>
      <c r="VDA334"/>
      <c r="VDB334"/>
      <c r="VDE334"/>
      <c r="VDF334"/>
      <c r="VDI334"/>
      <c r="VDJ334"/>
      <c r="VDM334"/>
      <c r="VDN334"/>
      <c r="VDQ334"/>
      <c r="VDR334"/>
      <c r="VDU334"/>
      <c r="VDV334"/>
      <c r="VDY334"/>
      <c r="VDZ334"/>
      <c r="VEC334"/>
      <c r="VED334"/>
      <c r="VEG334"/>
      <c r="VEH334"/>
      <c r="VEK334"/>
      <c r="VEL334"/>
      <c r="VEO334"/>
      <c r="VEP334"/>
      <c r="VES334"/>
      <c r="VET334"/>
      <c r="VEW334"/>
      <c r="VEX334"/>
      <c r="VFA334"/>
      <c r="VFB334"/>
      <c r="VFE334"/>
      <c r="VFF334"/>
      <c r="VFI334"/>
      <c r="VFJ334"/>
      <c r="VFM334"/>
      <c r="VFN334"/>
      <c r="VFQ334"/>
      <c r="VFR334"/>
      <c r="VFU334"/>
      <c r="VFV334"/>
      <c r="VFY334"/>
      <c r="VFZ334"/>
      <c r="VGC334"/>
      <c r="VGD334"/>
      <c r="VGG334"/>
      <c r="VGH334"/>
      <c r="VGK334"/>
      <c r="VGL334"/>
      <c r="VGO334"/>
      <c r="VGP334"/>
      <c r="VGS334"/>
      <c r="VGT334"/>
      <c r="VGW334"/>
      <c r="VGX334"/>
      <c r="VHA334"/>
      <c r="VHB334"/>
      <c r="VHE334"/>
      <c r="VHF334"/>
      <c r="VHI334"/>
      <c r="VHJ334"/>
      <c r="VHM334"/>
      <c r="VHN334"/>
      <c r="VHQ334"/>
      <c r="VHR334"/>
      <c r="VHU334"/>
      <c r="VHV334"/>
      <c r="VHY334"/>
      <c r="VHZ334"/>
      <c r="VIC334"/>
      <c r="VID334"/>
      <c r="VIG334"/>
      <c r="VIH334"/>
      <c r="VIK334"/>
      <c r="VIL334"/>
      <c r="VIO334"/>
      <c r="VIP334"/>
      <c r="VIS334"/>
      <c r="VIT334"/>
      <c r="VIW334"/>
      <c r="VIX334"/>
      <c r="VJA334"/>
      <c r="VJB334"/>
      <c r="VJE334"/>
      <c r="VJF334"/>
      <c r="VJI334"/>
      <c r="VJJ334"/>
      <c r="VJM334"/>
      <c r="VJN334"/>
      <c r="VJQ334"/>
      <c r="VJR334"/>
      <c r="VJU334"/>
      <c r="VJV334"/>
      <c r="VJY334"/>
      <c r="VJZ334"/>
      <c r="VKC334"/>
      <c r="VKD334"/>
      <c r="VKG334"/>
      <c r="VKH334"/>
      <c r="VKK334"/>
      <c r="VKL334"/>
      <c r="VKO334"/>
      <c r="VKP334"/>
      <c r="VKS334"/>
      <c r="VKT334"/>
      <c r="VKW334"/>
      <c r="VKX334"/>
      <c r="VLA334"/>
      <c r="VLB334"/>
      <c r="VLE334"/>
      <c r="VLF334"/>
      <c r="VLI334"/>
      <c r="VLJ334"/>
      <c r="VLM334"/>
      <c r="VLN334"/>
      <c r="VLQ334"/>
      <c r="VLR334"/>
      <c r="VLU334"/>
      <c r="VLV334"/>
      <c r="VLY334"/>
      <c r="VLZ334"/>
      <c r="VMC334"/>
      <c r="VMD334"/>
      <c r="VMG334"/>
      <c r="VMH334"/>
      <c r="VMK334"/>
      <c r="VML334"/>
      <c r="VMO334"/>
      <c r="VMP334"/>
      <c r="VMS334"/>
      <c r="VMT334"/>
      <c r="VMW334"/>
      <c r="VMX334"/>
      <c r="VNA334"/>
      <c r="VNB334"/>
      <c r="VNE334"/>
      <c r="VNF334"/>
      <c r="VNI334"/>
      <c r="VNJ334"/>
      <c r="VNM334"/>
      <c r="VNN334"/>
      <c r="VNQ334"/>
      <c r="VNR334"/>
      <c r="VNU334"/>
      <c r="VNV334"/>
      <c r="VNY334"/>
      <c r="VNZ334"/>
      <c r="VOC334"/>
      <c r="VOD334"/>
      <c r="VOG334"/>
      <c r="VOH334"/>
      <c r="VOK334"/>
      <c r="VOL334"/>
      <c r="VOO334"/>
      <c r="VOP334"/>
      <c r="VOS334"/>
      <c r="VOT334"/>
      <c r="VOW334"/>
      <c r="VOX334"/>
      <c r="VPA334"/>
      <c r="VPB334"/>
      <c r="VPE334"/>
      <c r="VPF334"/>
      <c r="VPI334"/>
      <c r="VPJ334"/>
      <c r="VPM334"/>
      <c r="VPN334"/>
      <c r="VPQ334"/>
      <c r="VPR334"/>
      <c r="VPU334"/>
      <c r="VPV334"/>
      <c r="VPY334"/>
      <c r="VPZ334"/>
      <c r="VQC334"/>
      <c r="VQD334"/>
      <c r="VQG334"/>
      <c r="VQH334"/>
      <c r="VQK334"/>
      <c r="VQL334"/>
      <c r="VQO334"/>
      <c r="VQP334"/>
      <c r="VQS334"/>
      <c r="VQT334"/>
      <c r="VQW334"/>
      <c r="VQX334"/>
      <c r="VRA334"/>
      <c r="VRB334"/>
      <c r="VRE334"/>
      <c r="VRF334"/>
      <c r="VRI334"/>
      <c r="VRJ334"/>
      <c r="VRM334"/>
      <c r="VRN334"/>
      <c r="VRQ334"/>
      <c r="VRR334"/>
      <c r="VRU334"/>
      <c r="VRV334"/>
      <c r="VRY334"/>
      <c r="VRZ334"/>
      <c r="VSC334"/>
      <c r="VSD334"/>
      <c r="VSG334"/>
      <c r="VSH334"/>
      <c r="VSK334"/>
      <c r="VSL334"/>
      <c r="VSO334"/>
      <c r="VSP334"/>
      <c r="VSS334"/>
      <c r="VST334"/>
      <c r="VSW334"/>
      <c r="VSX334"/>
      <c r="VTA334"/>
      <c r="VTB334"/>
      <c r="VTE334"/>
      <c r="VTF334"/>
      <c r="VTI334"/>
      <c r="VTJ334"/>
      <c r="VTM334"/>
      <c r="VTN334"/>
      <c r="VTQ334"/>
      <c r="VTR334"/>
      <c r="VTU334"/>
      <c r="VTV334"/>
      <c r="VTY334"/>
      <c r="VTZ334"/>
      <c r="VUC334"/>
      <c r="VUD334"/>
      <c r="VUG334"/>
      <c r="VUH334"/>
      <c r="VUK334"/>
      <c r="VUL334"/>
      <c r="VUO334"/>
      <c r="VUP334"/>
      <c r="VUS334"/>
      <c r="VUT334"/>
      <c r="VUW334"/>
      <c r="VUX334"/>
      <c r="VVA334"/>
      <c r="VVB334"/>
      <c r="VVE334"/>
      <c r="VVF334"/>
      <c r="VVI334"/>
      <c r="VVJ334"/>
      <c r="VVM334"/>
      <c r="VVN334"/>
      <c r="VVQ334"/>
      <c r="VVR334"/>
      <c r="VVU334"/>
      <c r="VVV334"/>
      <c r="VVY334"/>
      <c r="VVZ334"/>
      <c r="VWC334"/>
      <c r="VWD334"/>
      <c r="VWG334"/>
      <c r="VWH334"/>
      <c r="VWK334"/>
      <c r="VWL334"/>
      <c r="VWO334"/>
      <c r="VWP334"/>
      <c r="VWS334"/>
      <c r="VWT334"/>
      <c r="VWW334"/>
      <c r="VWX334"/>
      <c r="VXA334"/>
      <c r="VXB334"/>
      <c r="VXE334"/>
      <c r="VXF334"/>
      <c r="VXI334"/>
      <c r="VXJ334"/>
      <c r="VXM334"/>
      <c r="VXN334"/>
      <c r="VXQ334"/>
      <c r="VXR334"/>
      <c r="VXU334"/>
      <c r="VXV334"/>
      <c r="VXY334"/>
      <c r="VXZ334"/>
      <c r="VYC334"/>
      <c r="VYD334"/>
      <c r="VYG334"/>
      <c r="VYH334"/>
      <c r="VYK334"/>
      <c r="VYL334"/>
      <c r="VYO334"/>
      <c r="VYP334"/>
      <c r="VYS334"/>
      <c r="VYT334"/>
      <c r="VYW334"/>
      <c r="VYX334"/>
      <c r="VZA334"/>
      <c r="VZB334"/>
      <c r="VZE334"/>
      <c r="VZF334"/>
      <c r="VZI334"/>
      <c r="VZJ334"/>
      <c r="VZM334"/>
      <c r="VZN334"/>
      <c r="VZQ334"/>
      <c r="VZR334"/>
      <c r="VZU334"/>
      <c r="VZV334"/>
      <c r="VZY334"/>
      <c r="VZZ334"/>
      <c r="WAC334"/>
      <c r="WAD334"/>
      <c r="WAG334"/>
      <c r="WAH334"/>
      <c r="WAK334"/>
      <c r="WAL334"/>
      <c r="WAO334"/>
      <c r="WAP334"/>
      <c r="WAS334"/>
      <c r="WAT334"/>
      <c r="WAW334"/>
      <c r="WAX334"/>
      <c r="WBA334"/>
      <c r="WBB334"/>
      <c r="WBE334"/>
      <c r="WBF334"/>
      <c r="WBI334"/>
      <c r="WBJ334"/>
      <c r="WBM334"/>
      <c r="WBN334"/>
      <c r="WBQ334"/>
      <c r="WBR334"/>
      <c r="WBU334"/>
      <c r="WBV334"/>
      <c r="WBY334"/>
      <c r="WBZ334"/>
      <c r="WCC334"/>
      <c r="WCD334"/>
      <c r="WCG334"/>
      <c r="WCH334"/>
      <c r="WCK334"/>
      <c r="WCL334"/>
      <c r="WCO334"/>
      <c r="WCP334"/>
      <c r="WCS334"/>
      <c r="WCT334"/>
      <c r="WCW334"/>
      <c r="WCX334"/>
      <c r="WDA334"/>
      <c r="WDB334"/>
      <c r="WDE334"/>
      <c r="WDF334"/>
      <c r="WDI334"/>
      <c r="WDJ334"/>
      <c r="WDM334"/>
      <c r="WDN334"/>
      <c r="WDQ334"/>
      <c r="WDR334"/>
      <c r="WDU334"/>
      <c r="WDV334"/>
      <c r="WDY334"/>
      <c r="WDZ334"/>
      <c r="WEC334"/>
      <c r="WED334"/>
      <c r="WEG334"/>
      <c r="WEH334"/>
      <c r="WEK334"/>
      <c r="WEL334"/>
      <c r="WEO334"/>
      <c r="WEP334"/>
      <c r="WES334"/>
      <c r="WET334"/>
      <c r="WEW334"/>
      <c r="WEX334"/>
      <c r="WFA334"/>
      <c r="WFB334"/>
      <c r="WFE334"/>
      <c r="WFF334"/>
      <c r="WFI334"/>
      <c r="WFJ334"/>
      <c r="WFM334"/>
      <c r="WFN334"/>
      <c r="WFQ334"/>
      <c r="WFR334"/>
      <c r="WFU334"/>
      <c r="WFV334"/>
      <c r="WFY334"/>
      <c r="WFZ334"/>
      <c r="WGC334"/>
      <c r="WGD334"/>
      <c r="WGG334"/>
      <c r="WGH334"/>
      <c r="WGK334"/>
      <c r="WGL334"/>
      <c r="WGO334"/>
      <c r="WGP334"/>
      <c r="WGS334"/>
      <c r="WGT334"/>
      <c r="WGW334"/>
      <c r="WGX334"/>
      <c r="WHA334"/>
      <c r="WHB334"/>
      <c r="WHE334"/>
      <c r="WHF334"/>
      <c r="WHI334"/>
      <c r="WHJ334"/>
      <c r="WHM334"/>
      <c r="WHN334"/>
      <c r="WHQ334"/>
      <c r="WHR334"/>
      <c r="WHU334"/>
      <c r="WHV334"/>
      <c r="WHY334"/>
      <c r="WHZ334"/>
      <c r="WIC334"/>
      <c r="WID334"/>
      <c r="WIG334"/>
      <c r="WIH334"/>
      <c r="WIK334"/>
      <c r="WIL334"/>
      <c r="WIO334"/>
      <c r="WIP334"/>
      <c r="WIS334"/>
      <c r="WIT334"/>
      <c r="WIW334"/>
      <c r="WIX334"/>
      <c r="WJA334"/>
      <c r="WJB334"/>
      <c r="WJE334"/>
      <c r="WJF334"/>
      <c r="WJI334"/>
      <c r="WJJ334"/>
      <c r="WJM334"/>
      <c r="WJN334"/>
      <c r="WJQ334"/>
      <c r="WJR334"/>
      <c r="WJU334"/>
      <c r="WJV334"/>
      <c r="WJY334"/>
      <c r="WJZ334"/>
      <c r="WKC334"/>
      <c r="WKD334"/>
      <c r="WKG334"/>
      <c r="WKH334"/>
      <c r="WKK334"/>
      <c r="WKL334"/>
      <c r="WKO334"/>
      <c r="WKP334"/>
      <c r="WKS334"/>
      <c r="WKT334"/>
      <c r="WKW334"/>
      <c r="WKX334"/>
      <c r="WLA334"/>
      <c r="WLB334"/>
      <c r="WLE334"/>
      <c r="WLF334"/>
      <c r="WLI334"/>
      <c r="WLJ334"/>
      <c r="WLM334"/>
      <c r="WLN334"/>
      <c r="WLQ334"/>
      <c r="WLR334"/>
      <c r="WLU334"/>
      <c r="WLV334"/>
      <c r="WLY334"/>
      <c r="WLZ334"/>
      <c r="WMC334"/>
      <c r="WMD334"/>
      <c r="WMG334"/>
      <c r="WMH334"/>
      <c r="WMK334"/>
      <c r="WML334"/>
      <c r="WMO334"/>
      <c r="WMP334"/>
      <c r="WMS334"/>
      <c r="WMT334"/>
      <c r="WMW334"/>
      <c r="WMX334"/>
      <c r="WNA334"/>
      <c r="WNB334"/>
      <c r="WNE334"/>
      <c r="WNF334"/>
      <c r="WNI334"/>
      <c r="WNJ334"/>
      <c r="WNM334"/>
      <c r="WNN334"/>
      <c r="WNQ334"/>
      <c r="WNR334"/>
      <c r="WNU334"/>
      <c r="WNV334"/>
      <c r="WNY334"/>
      <c r="WNZ334"/>
      <c r="WOC334"/>
      <c r="WOD334"/>
      <c r="WOG334"/>
      <c r="WOH334"/>
      <c r="WOK334"/>
      <c r="WOL334"/>
      <c r="WOO334"/>
      <c r="WOP334"/>
      <c r="WOS334"/>
      <c r="WOT334"/>
      <c r="WOW334"/>
      <c r="WOX334"/>
      <c r="WPA334"/>
      <c r="WPB334"/>
      <c r="WPE334"/>
      <c r="WPF334"/>
      <c r="WPI334"/>
      <c r="WPJ334"/>
      <c r="WPM334"/>
      <c r="WPN334"/>
      <c r="WPQ334"/>
      <c r="WPR334"/>
      <c r="WPU334"/>
      <c r="WPV334"/>
      <c r="WPY334"/>
      <c r="WPZ334"/>
      <c r="WQC334"/>
      <c r="WQD334"/>
      <c r="WQG334"/>
      <c r="WQH334"/>
      <c r="WQK334"/>
      <c r="WQL334"/>
      <c r="WQO334"/>
      <c r="WQP334"/>
      <c r="WQS334"/>
      <c r="WQT334"/>
      <c r="WQW334"/>
      <c r="WQX334"/>
      <c r="WRA334"/>
      <c r="WRB334"/>
      <c r="WRE334"/>
      <c r="WRF334"/>
      <c r="WRI334"/>
      <c r="WRJ334"/>
      <c r="WRM334"/>
      <c r="WRN334"/>
      <c r="WRQ334"/>
      <c r="WRR334"/>
      <c r="WRU334"/>
      <c r="WRV334"/>
      <c r="WRY334"/>
      <c r="WRZ334"/>
      <c r="WSC334"/>
      <c r="WSD334"/>
      <c r="WSG334"/>
      <c r="WSH334"/>
      <c r="WSK334"/>
      <c r="WSL334"/>
      <c r="WSO334"/>
      <c r="WSP334"/>
      <c r="WSS334"/>
      <c r="WST334"/>
      <c r="WSW334"/>
      <c r="WSX334"/>
      <c r="WTA334"/>
      <c r="WTB334"/>
      <c r="WTE334"/>
      <c r="WTF334"/>
      <c r="WTI334"/>
      <c r="WTJ334"/>
      <c r="WTM334"/>
      <c r="WTN334"/>
      <c r="WTQ334"/>
      <c r="WTR334"/>
      <c r="WTU334"/>
      <c r="WTV334"/>
      <c r="WTY334"/>
      <c r="WTZ334"/>
      <c r="WUC334"/>
      <c r="WUD334"/>
      <c r="WUG334"/>
      <c r="WUH334"/>
      <c r="WUK334"/>
      <c r="WUL334"/>
      <c r="WUO334"/>
      <c r="WUP334"/>
      <c r="WUS334"/>
      <c r="WUT334"/>
      <c r="WUW334"/>
      <c r="WUX334"/>
      <c r="WVA334"/>
      <c r="WVB334"/>
      <c r="WVE334"/>
      <c r="WVF334"/>
      <c r="WVI334"/>
      <c r="WVJ334"/>
      <c r="WVM334"/>
      <c r="WVN334"/>
      <c r="WVQ334"/>
      <c r="WVR334"/>
      <c r="WVU334"/>
      <c r="WVV334"/>
      <c r="WVY334"/>
      <c r="WVZ334"/>
      <c r="WWC334"/>
      <c r="WWD334"/>
      <c r="WWG334"/>
      <c r="WWH334"/>
      <c r="WWK334"/>
      <c r="WWL334"/>
      <c r="WWO334"/>
      <c r="WWP334"/>
      <c r="WWS334"/>
      <c r="WWT334"/>
      <c r="WWW334"/>
      <c r="WWX334"/>
      <c r="WXA334"/>
      <c r="WXB334"/>
      <c r="WXE334"/>
      <c r="WXF334"/>
      <c r="WXI334"/>
      <c r="WXJ334"/>
      <c r="WXM334"/>
      <c r="WXN334"/>
      <c r="WXQ334"/>
      <c r="WXR334"/>
      <c r="WXU334"/>
      <c r="WXV334"/>
      <c r="WXY334"/>
      <c r="WXZ334"/>
      <c r="WYC334"/>
      <c r="WYD334"/>
      <c r="WYG334"/>
      <c r="WYH334"/>
      <c r="WYK334"/>
      <c r="WYL334"/>
      <c r="WYO334"/>
      <c r="WYP334"/>
      <c r="WYS334"/>
      <c r="WYT334"/>
      <c r="WYW334"/>
      <c r="WYX334"/>
      <c r="WZA334"/>
      <c r="WZB334"/>
      <c r="WZE334"/>
      <c r="WZF334"/>
      <c r="WZI334"/>
      <c r="WZJ334"/>
      <c r="WZM334"/>
      <c r="WZN334"/>
      <c r="WZQ334"/>
      <c r="WZR334"/>
      <c r="WZU334"/>
      <c r="WZV334"/>
      <c r="WZY334"/>
      <c r="WZZ334"/>
      <c r="XAC334"/>
      <c r="XAD334"/>
      <c r="XAG334"/>
      <c r="XAH334"/>
      <c r="XAK334"/>
      <c r="XAL334"/>
      <c r="XAO334"/>
      <c r="XAP334"/>
      <c r="XAS334"/>
      <c r="XAT334"/>
      <c r="XAW334"/>
      <c r="XAX334"/>
      <c r="XBA334"/>
      <c r="XBB334"/>
      <c r="XBE334"/>
      <c r="XBF334"/>
      <c r="XBI334"/>
      <c r="XBJ334"/>
      <c r="XBM334"/>
      <c r="XBN334"/>
      <c r="XBQ334"/>
      <c r="XBR334"/>
      <c r="XBU334"/>
      <c r="XBV334"/>
      <c r="XBY334"/>
      <c r="XBZ334"/>
      <c r="XCC334"/>
      <c r="XCD334"/>
      <c r="XCG334"/>
      <c r="XCH334"/>
      <c r="XCK334"/>
      <c r="XCL334"/>
      <c r="XCO334"/>
      <c r="XCP334"/>
      <c r="XCS334"/>
      <c r="XCT334"/>
      <c r="XCW334"/>
      <c r="XCX334"/>
      <c r="XDA334"/>
      <c r="XDB334"/>
      <c r="XDE334"/>
      <c r="XDF334"/>
      <c r="XDI334"/>
      <c r="XDJ334"/>
      <c r="XDM334"/>
      <c r="XDN334"/>
      <c r="XDQ334"/>
      <c r="XDR334"/>
      <c r="XDU334"/>
      <c r="XDV334"/>
      <c r="XDY334"/>
      <c r="XDZ334"/>
      <c r="XEC334"/>
      <c r="XED334"/>
      <c r="XEG334"/>
      <c r="XEH334"/>
      <c r="XEK334"/>
      <c r="XEL334"/>
      <c r="XEO334"/>
      <c r="XEP334"/>
      <c r="XES334"/>
      <c r="XET334"/>
      <c r="XEW334"/>
      <c r="XEX334"/>
      <c r="XFA334"/>
      <c r="XFB334"/>
    </row>
    <row r="335" spans="1:1022 1025:2046 2049:3070 3073:4094 4097:5118 5121:6142 6145:7166 7169:8190 8193:9214 9217:10238 10241:11262 11265:12286 12289:13310 13313:14334 14337:15358 15361:16382" s="13" customFormat="1" outlineLevel="1" x14ac:dyDescent="0.3">
      <c r="A335" t="s">
        <v>1220</v>
      </c>
      <c r="B335" t="s">
        <v>168</v>
      </c>
      <c r="C335" s="13" t="s">
        <v>7</v>
      </c>
      <c r="D335" s="13" t="s">
        <v>1219</v>
      </c>
      <c r="E335" t="s">
        <v>5966</v>
      </c>
      <c r="F335"/>
      <c r="I335"/>
      <c r="J335"/>
      <c r="M335"/>
      <c r="N335"/>
      <c r="Q335"/>
      <c r="R335"/>
      <c r="U335"/>
      <c r="V335"/>
      <c r="Y335"/>
      <c r="Z335"/>
      <c r="AC335"/>
      <c r="AD335"/>
      <c r="AG335"/>
      <c r="AH335"/>
      <c r="AK335"/>
      <c r="AL335"/>
      <c r="AO335"/>
      <c r="AP335"/>
      <c r="AS335"/>
      <c r="AT335"/>
      <c r="AW335"/>
      <c r="AX335"/>
      <c r="BA335"/>
      <c r="BB335"/>
      <c r="BE335"/>
      <c r="BF335"/>
      <c r="BI335"/>
      <c r="BJ335"/>
      <c r="BM335"/>
      <c r="BN335"/>
      <c r="BQ335"/>
      <c r="BR335"/>
      <c r="BU335"/>
      <c r="BV335"/>
      <c r="BY335"/>
      <c r="BZ335"/>
      <c r="CC335"/>
      <c r="CD335"/>
      <c r="CG335"/>
      <c r="CH335"/>
      <c r="CK335"/>
      <c r="CL335"/>
      <c r="CO335"/>
      <c r="CP335"/>
      <c r="CS335"/>
      <c r="CT335"/>
      <c r="CW335"/>
      <c r="CX335"/>
      <c r="DA335"/>
      <c r="DB335"/>
      <c r="DE335"/>
      <c r="DF335"/>
      <c r="DI335"/>
      <c r="DJ335"/>
      <c r="DM335"/>
      <c r="DN335"/>
      <c r="DQ335"/>
      <c r="DR335"/>
      <c r="DU335"/>
      <c r="DV335"/>
      <c r="DY335"/>
      <c r="DZ335"/>
      <c r="EC335"/>
      <c r="ED335"/>
      <c r="EG335"/>
      <c r="EH335"/>
      <c r="EK335"/>
      <c r="EL335"/>
      <c r="EO335"/>
      <c r="EP335"/>
      <c r="ES335"/>
      <c r="ET335"/>
      <c r="EW335"/>
      <c r="EX335"/>
      <c r="FA335"/>
      <c r="FB335"/>
      <c r="FE335"/>
      <c r="FF335"/>
      <c r="FI335"/>
      <c r="FJ335"/>
      <c r="FM335"/>
      <c r="FN335"/>
      <c r="FQ335"/>
      <c r="FR335"/>
      <c r="FU335"/>
      <c r="FV335"/>
      <c r="FY335"/>
      <c r="FZ335"/>
      <c r="GC335"/>
      <c r="GD335"/>
      <c r="GG335"/>
      <c r="GH335"/>
      <c r="GK335"/>
      <c r="GL335"/>
      <c r="GO335"/>
      <c r="GP335"/>
      <c r="GS335"/>
      <c r="GT335"/>
      <c r="GW335"/>
      <c r="GX335"/>
      <c r="HA335"/>
      <c r="HB335"/>
      <c r="HE335"/>
      <c r="HF335"/>
      <c r="HI335"/>
      <c r="HJ335"/>
      <c r="HM335"/>
      <c r="HN335"/>
      <c r="HQ335"/>
      <c r="HR335"/>
      <c r="HU335"/>
      <c r="HV335"/>
      <c r="HY335"/>
      <c r="HZ335"/>
      <c r="IC335"/>
      <c r="ID335"/>
      <c r="IG335"/>
      <c r="IH335"/>
      <c r="IK335"/>
      <c r="IL335"/>
      <c r="IO335"/>
      <c r="IP335"/>
      <c r="IS335"/>
      <c r="IT335"/>
      <c r="IW335"/>
      <c r="IX335"/>
      <c r="JA335"/>
      <c r="JB335"/>
      <c r="JE335"/>
      <c r="JF335"/>
      <c r="JI335"/>
      <c r="JJ335"/>
      <c r="JM335"/>
      <c r="JN335"/>
      <c r="JQ335"/>
      <c r="JR335"/>
      <c r="JU335"/>
      <c r="JV335"/>
      <c r="JY335"/>
      <c r="JZ335"/>
      <c r="KC335"/>
      <c r="KD335"/>
      <c r="KG335"/>
      <c r="KH335"/>
      <c r="KK335"/>
      <c r="KL335"/>
      <c r="KO335"/>
      <c r="KP335"/>
      <c r="KS335"/>
      <c r="KT335"/>
      <c r="KW335"/>
      <c r="KX335"/>
      <c r="LA335"/>
      <c r="LB335"/>
      <c r="LE335"/>
      <c r="LF335"/>
      <c r="LI335"/>
      <c r="LJ335"/>
      <c r="LM335"/>
      <c r="LN335"/>
      <c r="LQ335"/>
      <c r="LR335"/>
      <c r="LU335"/>
      <c r="LV335"/>
      <c r="LY335"/>
      <c r="LZ335"/>
      <c r="MC335"/>
      <c r="MD335"/>
      <c r="MG335"/>
      <c r="MH335"/>
      <c r="MK335"/>
      <c r="ML335"/>
      <c r="MO335"/>
      <c r="MP335"/>
      <c r="MS335"/>
      <c r="MT335"/>
      <c r="MW335"/>
      <c r="MX335"/>
      <c r="NA335"/>
      <c r="NB335"/>
      <c r="NE335"/>
      <c r="NF335"/>
      <c r="NI335"/>
      <c r="NJ335"/>
      <c r="NM335"/>
      <c r="NN335"/>
      <c r="NQ335"/>
      <c r="NR335"/>
      <c r="NU335"/>
      <c r="NV335"/>
      <c r="NY335"/>
      <c r="NZ335"/>
      <c r="OC335"/>
      <c r="OD335"/>
      <c r="OG335"/>
      <c r="OH335"/>
      <c r="OK335"/>
      <c r="OL335"/>
      <c r="OO335"/>
      <c r="OP335"/>
      <c r="OS335"/>
      <c r="OT335"/>
      <c r="OW335"/>
      <c r="OX335"/>
      <c r="PA335"/>
      <c r="PB335"/>
      <c r="PE335"/>
      <c r="PF335"/>
      <c r="PI335"/>
      <c r="PJ335"/>
      <c r="PM335"/>
      <c r="PN335"/>
      <c r="PQ335"/>
      <c r="PR335"/>
      <c r="PU335"/>
      <c r="PV335"/>
      <c r="PY335"/>
      <c r="PZ335"/>
      <c r="QC335"/>
      <c r="QD335"/>
      <c r="QG335"/>
      <c r="QH335"/>
      <c r="QK335"/>
      <c r="QL335"/>
      <c r="QO335"/>
      <c r="QP335"/>
      <c r="QS335"/>
      <c r="QT335"/>
      <c r="QW335"/>
      <c r="QX335"/>
      <c r="RA335"/>
      <c r="RB335"/>
      <c r="RE335"/>
      <c r="RF335"/>
      <c r="RI335"/>
      <c r="RJ335"/>
      <c r="RM335"/>
      <c r="RN335"/>
      <c r="RQ335"/>
      <c r="RR335"/>
      <c r="RU335"/>
      <c r="RV335"/>
      <c r="RY335"/>
      <c r="RZ335"/>
      <c r="SC335"/>
      <c r="SD335"/>
      <c r="SG335"/>
      <c r="SH335"/>
      <c r="SK335"/>
      <c r="SL335"/>
      <c r="SO335"/>
      <c r="SP335"/>
      <c r="SS335"/>
      <c r="ST335"/>
      <c r="SW335"/>
      <c r="SX335"/>
      <c r="TA335"/>
      <c r="TB335"/>
      <c r="TE335"/>
      <c r="TF335"/>
      <c r="TI335"/>
      <c r="TJ335"/>
      <c r="TM335"/>
      <c r="TN335"/>
      <c r="TQ335"/>
      <c r="TR335"/>
      <c r="TU335"/>
      <c r="TV335"/>
      <c r="TY335"/>
      <c r="TZ335"/>
      <c r="UC335"/>
      <c r="UD335"/>
      <c r="UG335"/>
      <c r="UH335"/>
      <c r="UK335"/>
      <c r="UL335"/>
      <c r="UO335"/>
      <c r="UP335"/>
      <c r="US335"/>
      <c r="UT335"/>
      <c r="UW335"/>
      <c r="UX335"/>
      <c r="VA335"/>
      <c r="VB335"/>
      <c r="VE335"/>
      <c r="VF335"/>
      <c r="VI335"/>
      <c r="VJ335"/>
      <c r="VM335"/>
      <c r="VN335"/>
      <c r="VQ335"/>
      <c r="VR335"/>
      <c r="VU335"/>
      <c r="VV335"/>
      <c r="VY335"/>
      <c r="VZ335"/>
      <c r="WC335"/>
      <c r="WD335"/>
      <c r="WG335"/>
      <c r="WH335"/>
      <c r="WK335"/>
      <c r="WL335"/>
      <c r="WO335"/>
      <c r="WP335"/>
      <c r="WS335"/>
      <c r="WT335"/>
      <c r="WW335"/>
      <c r="WX335"/>
      <c r="XA335"/>
      <c r="XB335"/>
      <c r="XE335"/>
      <c r="XF335"/>
      <c r="XI335"/>
      <c r="XJ335"/>
      <c r="XM335"/>
      <c r="XN335"/>
      <c r="XQ335"/>
      <c r="XR335"/>
      <c r="XU335"/>
      <c r="XV335"/>
      <c r="XY335"/>
      <c r="XZ335"/>
      <c r="YC335"/>
      <c r="YD335"/>
      <c r="YG335"/>
      <c r="YH335"/>
      <c r="YK335"/>
      <c r="YL335"/>
      <c r="YO335"/>
      <c r="YP335"/>
      <c r="YS335"/>
      <c r="YT335"/>
      <c r="YW335"/>
      <c r="YX335"/>
      <c r="ZA335"/>
      <c r="ZB335"/>
      <c r="ZE335"/>
      <c r="ZF335"/>
      <c r="ZI335"/>
      <c r="ZJ335"/>
      <c r="ZM335"/>
      <c r="ZN335"/>
      <c r="ZQ335"/>
      <c r="ZR335"/>
      <c r="ZU335"/>
      <c r="ZV335"/>
      <c r="ZY335"/>
      <c r="ZZ335"/>
      <c r="AAC335"/>
      <c r="AAD335"/>
      <c r="AAG335"/>
      <c r="AAH335"/>
      <c r="AAK335"/>
      <c r="AAL335"/>
      <c r="AAO335"/>
      <c r="AAP335"/>
      <c r="AAS335"/>
      <c r="AAT335"/>
      <c r="AAW335"/>
      <c r="AAX335"/>
      <c r="ABA335"/>
      <c r="ABB335"/>
      <c r="ABE335"/>
      <c r="ABF335"/>
      <c r="ABI335"/>
      <c r="ABJ335"/>
      <c r="ABM335"/>
      <c r="ABN335"/>
      <c r="ABQ335"/>
      <c r="ABR335"/>
      <c r="ABU335"/>
      <c r="ABV335"/>
      <c r="ABY335"/>
      <c r="ABZ335"/>
      <c r="ACC335"/>
      <c r="ACD335"/>
      <c r="ACG335"/>
      <c r="ACH335"/>
      <c r="ACK335"/>
      <c r="ACL335"/>
      <c r="ACO335"/>
      <c r="ACP335"/>
      <c r="ACS335"/>
      <c r="ACT335"/>
      <c r="ACW335"/>
      <c r="ACX335"/>
      <c r="ADA335"/>
      <c r="ADB335"/>
      <c r="ADE335"/>
      <c r="ADF335"/>
      <c r="ADI335"/>
      <c r="ADJ335"/>
      <c r="ADM335"/>
      <c r="ADN335"/>
      <c r="ADQ335"/>
      <c r="ADR335"/>
      <c r="ADU335"/>
      <c r="ADV335"/>
      <c r="ADY335"/>
      <c r="ADZ335"/>
      <c r="AEC335"/>
      <c r="AED335"/>
      <c r="AEG335"/>
      <c r="AEH335"/>
      <c r="AEK335"/>
      <c r="AEL335"/>
      <c r="AEO335"/>
      <c r="AEP335"/>
      <c r="AES335"/>
      <c r="AET335"/>
      <c r="AEW335"/>
      <c r="AEX335"/>
      <c r="AFA335"/>
      <c r="AFB335"/>
      <c r="AFE335"/>
      <c r="AFF335"/>
      <c r="AFI335"/>
      <c r="AFJ335"/>
      <c r="AFM335"/>
      <c r="AFN335"/>
      <c r="AFQ335"/>
      <c r="AFR335"/>
      <c r="AFU335"/>
      <c r="AFV335"/>
      <c r="AFY335"/>
      <c r="AFZ335"/>
      <c r="AGC335"/>
      <c r="AGD335"/>
      <c r="AGG335"/>
      <c r="AGH335"/>
      <c r="AGK335"/>
      <c r="AGL335"/>
      <c r="AGO335"/>
      <c r="AGP335"/>
      <c r="AGS335"/>
      <c r="AGT335"/>
      <c r="AGW335"/>
      <c r="AGX335"/>
      <c r="AHA335"/>
      <c r="AHB335"/>
      <c r="AHE335"/>
      <c r="AHF335"/>
      <c r="AHI335"/>
      <c r="AHJ335"/>
      <c r="AHM335"/>
      <c r="AHN335"/>
      <c r="AHQ335"/>
      <c r="AHR335"/>
      <c r="AHU335"/>
      <c r="AHV335"/>
      <c r="AHY335"/>
      <c r="AHZ335"/>
      <c r="AIC335"/>
      <c r="AID335"/>
      <c r="AIG335"/>
      <c r="AIH335"/>
      <c r="AIK335"/>
      <c r="AIL335"/>
      <c r="AIO335"/>
      <c r="AIP335"/>
      <c r="AIS335"/>
      <c r="AIT335"/>
      <c r="AIW335"/>
      <c r="AIX335"/>
      <c r="AJA335"/>
      <c r="AJB335"/>
      <c r="AJE335"/>
      <c r="AJF335"/>
      <c r="AJI335"/>
      <c r="AJJ335"/>
      <c r="AJM335"/>
      <c r="AJN335"/>
      <c r="AJQ335"/>
      <c r="AJR335"/>
      <c r="AJU335"/>
      <c r="AJV335"/>
      <c r="AJY335"/>
      <c r="AJZ335"/>
      <c r="AKC335"/>
      <c r="AKD335"/>
      <c r="AKG335"/>
      <c r="AKH335"/>
      <c r="AKK335"/>
      <c r="AKL335"/>
      <c r="AKO335"/>
      <c r="AKP335"/>
      <c r="AKS335"/>
      <c r="AKT335"/>
      <c r="AKW335"/>
      <c r="AKX335"/>
      <c r="ALA335"/>
      <c r="ALB335"/>
      <c r="ALE335"/>
      <c r="ALF335"/>
      <c r="ALI335"/>
      <c r="ALJ335"/>
      <c r="ALM335"/>
      <c r="ALN335"/>
      <c r="ALQ335"/>
      <c r="ALR335"/>
      <c r="ALU335"/>
      <c r="ALV335"/>
      <c r="ALY335"/>
      <c r="ALZ335"/>
      <c r="AMC335"/>
      <c r="AMD335"/>
      <c r="AMG335"/>
      <c r="AMH335"/>
      <c r="AMK335"/>
      <c r="AML335"/>
      <c r="AMO335"/>
      <c r="AMP335"/>
      <c r="AMS335"/>
      <c r="AMT335"/>
      <c r="AMW335"/>
      <c r="AMX335"/>
      <c r="ANA335"/>
      <c r="ANB335"/>
      <c r="ANE335"/>
      <c r="ANF335"/>
      <c r="ANI335"/>
      <c r="ANJ335"/>
      <c r="ANM335"/>
      <c r="ANN335"/>
      <c r="ANQ335"/>
      <c r="ANR335"/>
      <c r="ANU335"/>
      <c r="ANV335"/>
      <c r="ANY335"/>
      <c r="ANZ335"/>
      <c r="AOC335"/>
      <c r="AOD335"/>
      <c r="AOG335"/>
      <c r="AOH335"/>
      <c r="AOK335"/>
      <c r="AOL335"/>
      <c r="AOO335"/>
      <c r="AOP335"/>
      <c r="AOS335"/>
      <c r="AOT335"/>
      <c r="AOW335"/>
      <c r="AOX335"/>
      <c r="APA335"/>
      <c r="APB335"/>
      <c r="APE335"/>
      <c r="APF335"/>
      <c r="API335"/>
      <c r="APJ335"/>
      <c r="APM335"/>
      <c r="APN335"/>
      <c r="APQ335"/>
      <c r="APR335"/>
      <c r="APU335"/>
      <c r="APV335"/>
      <c r="APY335"/>
      <c r="APZ335"/>
      <c r="AQC335"/>
      <c r="AQD335"/>
      <c r="AQG335"/>
      <c r="AQH335"/>
      <c r="AQK335"/>
      <c r="AQL335"/>
      <c r="AQO335"/>
      <c r="AQP335"/>
      <c r="AQS335"/>
      <c r="AQT335"/>
      <c r="AQW335"/>
      <c r="AQX335"/>
      <c r="ARA335"/>
      <c r="ARB335"/>
      <c r="ARE335"/>
      <c r="ARF335"/>
      <c r="ARI335"/>
      <c r="ARJ335"/>
      <c r="ARM335"/>
      <c r="ARN335"/>
      <c r="ARQ335"/>
      <c r="ARR335"/>
      <c r="ARU335"/>
      <c r="ARV335"/>
      <c r="ARY335"/>
      <c r="ARZ335"/>
      <c r="ASC335"/>
      <c r="ASD335"/>
      <c r="ASG335"/>
      <c r="ASH335"/>
      <c r="ASK335"/>
      <c r="ASL335"/>
      <c r="ASO335"/>
      <c r="ASP335"/>
      <c r="ASS335"/>
      <c r="AST335"/>
      <c r="ASW335"/>
      <c r="ASX335"/>
      <c r="ATA335"/>
      <c r="ATB335"/>
      <c r="ATE335"/>
      <c r="ATF335"/>
      <c r="ATI335"/>
      <c r="ATJ335"/>
      <c r="ATM335"/>
      <c r="ATN335"/>
      <c r="ATQ335"/>
      <c r="ATR335"/>
      <c r="ATU335"/>
      <c r="ATV335"/>
      <c r="ATY335"/>
      <c r="ATZ335"/>
      <c r="AUC335"/>
      <c r="AUD335"/>
      <c r="AUG335"/>
      <c r="AUH335"/>
      <c r="AUK335"/>
      <c r="AUL335"/>
      <c r="AUO335"/>
      <c r="AUP335"/>
      <c r="AUS335"/>
      <c r="AUT335"/>
      <c r="AUW335"/>
      <c r="AUX335"/>
      <c r="AVA335"/>
      <c r="AVB335"/>
      <c r="AVE335"/>
      <c r="AVF335"/>
      <c r="AVI335"/>
      <c r="AVJ335"/>
      <c r="AVM335"/>
      <c r="AVN335"/>
      <c r="AVQ335"/>
      <c r="AVR335"/>
      <c r="AVU335"/>
      <c r="AVV335"/>
      <c r="AVY335"/>
      <c r="AVZ335"/>
      <c r="AWC335"/>
      <c r="AWD335"/>
      <c r="AWG335"/>
      <c r="AWH335"/>
      <c r="AWK335"/>
      <c r="AWL335"/>
      <c r="AWO335"/>
      <c r="AWP335"/>
      <c r="AWS335"/>
      <c r="AWT335"/>
      <c r="AWW335"/>
      <c r="AWX335"/>
      <c r="AXA335"/>
      <c r="AXB335"/>
      <c r="AXE335"/>
      <c r="AXF335"/>
      <c r="AXI335"/>
      <c r="AXJ335"/>
      <c r="AXM335"/>
      <c r="AXN335"/>
      <c r="AXQ335"/>
      <c r="AXR335"/>
      <c r="AXU335"/>
      <c r="AXV335"/>
      <c r="AXY335"/>
      <c r="AXZ335"/>
      <c r="AYC335"/>
      <c r="AYD335"/>
      <c r="AYG335"/>
      <c r="AYH335"/>
      <c r="AYK335"/>
      <c r="AYL335"/>
      <c r="AYO335"/>
      <c r="AYP335"/>
      <c r="AYS335"/>
      <c r="AYT335"/>
      <c r="AYW335"/>
      <c r="AYX335"/>
      <c r="AZA335"/>
      <c r="AZB335"/>
      <c r="AZE335"/>
      <c r="AZF335"/>
      <c r="AZI335"/>
      <c r="AZJ335"/>
      <c r="AZM335"/>
      <c r="AZN335"/>
      <c r="AZQ335"/>
      <c r="AZR335"/>
      <c r="AZU335"/>
      <c r="AZV335"/>
      <c r="AZY335"/>
      <c r="AZZ335"/>
      <c r="BAC335"/>
      <c r="BAD335"/>
      <c r="BAG335"/>
      <c r="BAH335"/>
      <c r="BAK335"/>
      <c r="BAL335"/>
      <c r="BAO335"/>
      <c r="BAP335"/>
      <c r="BAS335"/>
      <c r="BAT335"/>
      <c r="BAW335"/>
      <c r="BAX335"/>
      <c r="BBA335"/>
      <c r="BBB335"/>
      <c r="BBE335"/>
      <c r="BBF335"/>
      <c r="BBI335"/>
      <c r="BBJ335"/>
      <c r="BBM335"/>
      <c r="BBN335"/>
      <c r="BBQ335"/>
      <c r="BBR335"/>
      <c r="BBU335"/>
      <c r="BBV335"/>
      <c r="BBY335"/>
      <c r="BBZ335"/>
      <c r="BCC335"/>
      <c r="BCD335"/>
      <c r="BCG335"/>
      <c r="BCH335"/>
      <c r="BCK335"/>
      <c r="BCL335"/>
      <c r="BCO335"/>
      <c r="BCP335"/>
      <c r="BCS335"/>
      <c r="BCT335"/>
      <c r="BCW335"/>
      <c r="BCX335"/>
      <c r="BDA335"/>
      <c r="BDB335"/>
      <c r="BDE335"/>
      <c r="BDF335"/>
      <c r="BDI335"/>
      <c r="BDJ335"/>
      <c r="BDM335"/>
      <c r="BDN335"/>
      <c r="BDQ335"/>
      <c r="BDR335"/>
      <c r="BDU335"/>
      <c r="BDV335"/>
      <c r="BDY335"/>
      <c r="BDZ335"/>
      <c r="BEC335"/>
      <c r="BED335"/>
      <c r="BEG335"/>
      <c r="BEH335"/>
      <c r="BEK335"/>
      <c r="BEL335"/>
      <c r="BEO335"/>
      <c r="BEP335"/>
      <c r="BES335"/>
      <c r="BET335"/>
      <c r="BEW335"/>
      <c r="BEX335"/>
      <c r="BFA335"/>
      <c r="BFB335"/>
      <c r="BFE335"/>
      <c r="BFF335"/>
      <c r="BFI335"/>
      <c r="BFJ335"/>
      <c r="BFM335"/>
      <c r="BFN335"/>
      <c r="BFQ335"/>
      <c r="BFR335"/>
      <c r="BFU335"/>
      <c r="BFV335"/>
      <c r="BFY335"/>
      <c r="BFZ335"/>
      <c r="BGC335"/>
      <c r="BGD335"/>
      <c r="BGG335"/>
      <c r="BGH335"/>
      <c r="BGK335"/>
      <c r="BGL335"/>
      <c r="BGO335"/>
      <c r="BGP335"/>
      <c r="BGS335"/>
      <c r="BGT335"/>
      <c r="BGW335"/>
      <c r="BGX335"/>
      <c r="BHA335"/>
      <c r="BHB335"/>
      <c r="BHE335"/>
      <c r="BHF335"/>
      <c r="BHI335"/>
      <c r="BHJ335"/>
      <c r="BHM335"/>
      <c r="BHN335"/>
      <c r="BHQ335"/>
      <c r="BHR335"/>
      <c r="BHU335"/>
      <c r="BHV335"/>
      <c r="BHY335"/>
      <c r="BHZ335"/>
      <c r="BIC335"/>
      <c r="BID335"/>
      <c r="BIG335"/>
      <c r="BIH335"/>
      <c r="BIK335"/>
      <c r="BIL335"/>
      <c r="BIO335"/>
      <c r="BIP335"/>
      <c r="BIS335"/>
      <c r="BIT335"/>
      <c r="BIW335"/>
      <c r="BIX335"/>
      <c r="BJA335"/>
      <c r="BJB335"/>
      <c r="BJE335"/>
      <c r="BJF335"/>
      <c r="BJI335"/>
      <c r="BJJ335"/>
      <c r="BJM335"/>
      <c r="BJN335"/>
      <c r="BJQ335"/>
      <c r="BJR335"/>
      <c r="BJU335"/>
      <c r="BJV335"/>
      <c r="BJY335"/>
      <c r="BJZ335"/>
      <c r="BKC335"/>
      <c r="BKD335"/>
      <c r="BKG335"/>
      <c r="BKH335"/>
      <c r="BKK335"/>
      <c r="BKL335"/>
      <c r="BKO335"/>
      <c r="BKP335"/>
      <c r="BKS335"/>
      <c r="BKT335"/>
      <c r="BKW335"/>
      <c r="BKX335"/>
      <c r="BLA335"/>
      <c r="BLB335"/>
      <c r="BLE335"/>
      <c r="BLF335"/>
      <c r="BLI335"/>
      <c r="BLJ335"/>
      <c r="BLM335"/>
      <c r="BLN335"/>
      <c r="BLQ335"/>
      <c r="BLR335"/>
      <c r="BLU335"/>
      <c r="BLV335"/>
      <c r="BLY335"/>
      <c r="BLZ335"/>
      <c r="BMC335"/>
      <c r="BMD335"/>
      <c r="BMG335"/>
      <c r="BMH335"/>
      <c r="BMK335"/>
      <c r="BML335"/>
      <c r="BMO335"/>
      <c r="BMP335"/>
      <c r="BMS335"/>
      <c r="BMT335"/>
      <c r="BMW335"/>
      <c r="BMX335"/>
      <c r="BNA335"/>
      <c r="BNB335"/>
      <c r="BNE335"/>
      <c r="BNF335"/>
      <c r="BNI335"/>
      <c r="BNJ335"/>
      <c r="BNM335"/>
      <c r="BNN335"/>
      <c r="BNQ335"/>
      <c r="BNR335"/>
      <c r="BNU335"/>
      <c r="BNV335"/>
      <c r="BNY335"/>
      <c r="BNZ335"/>
      <c r="BOC335"/>
      <c r="BOD335"/>
      <c r="BOG335"/>
      <c r="BOH335"/>
      <c r="BOK335"/>
      <c r="BOL335"/>
      <c r="BOO335"/>
      <c r="BOP335"/>
      <c r="BOS335"/>
      <c r="BOT335"/>
      <c r="BOW335"/>
      <c r="BOX335"/>
      <c r="BPA335"/>
      <c r="BPB335"/>
      <c r="BPE335"/>
      <c r="BPF335"/>
      <c r="BPI335"/>
      <c r="BPJ335"/>
      <c r="BPM335"/>
      <c r="BPN335"/>
      <c r="BPQ335"/>
      <c r="BPR335"/>
      <c r="BPU335"/>
      <c r="BPV335"/>
      <c r="BPY335"/>
      <c r="BPZ335"/>
      <c r="BQC335"/>
      <c r="BQD335"/>
      <c r="BQG335"/>
      <c r="BQH335"/>
      <c r="BQK335"/>
      <c r="BQL335"/>
      <c r="BQO335"/>
      <c r="BQP335"/>
      <c r="BQS335"/>
      <c r="BQT335"/>
      <c r="BQW335"/>
      <c r="BQX335"/>
      <c r="BRA335"/>
      <c r="BRB335"/>
      <c r="BRE335"/>
      <c r="BRF335"/>
      <c r="BRI335"/>
      <c r="BRJ335"/>
      <c r="BRM335"/>
      <c r="BRN335"/>
      <c r="BRQ335"/>
      <c r="BRR335"/>
      <c r="BRU335"/>
      <c r="BRV335"/>
      <c r="BRY335"/>
      <c r="BRZ335"/>
      <c r="BSC335"/>
      <c r="BSD335"/>
      <c r="BSG335"/>
      <c r="BSH335"/>
      <c r="BSK335"/>
      <c r="BSL335"/>
      <c r="BSO335"/>
      <c r="BSP335"/>
      <c r="BSS335"/>
      <c r="BST335"/>
      <c r="BSW335"/>
      <c r="BSX335"/>
      <c r="BTA335"/>
      <c r="BTB335"/>
      <c r="BTE335"/>
      <c r="BTF335"/>
      <c r="BTI335"/>
      <c r="BTJ335"/>
      <c r="BTM335"/>
      <c r="BTN335"/>
      <c r="BTQ335"/>
      <c r="BTR335"/>
      <c r="BTU335"/>
      <c r="BTV335"/>
      <c r="BTY335"/>
      <c r="BTZ335"/>
      <c r="BUC335"/>
      <c r="BUD335"/>
      <c r="BUG335"/>
      <c r="BUH335"/>
      <c r="BUK335"/>
      <c r="BUL335"/>
      <c r="BUO335"/>
      <c r="BUP335"/>
      <c r="BUS335"/>
      <c r="BUT335"/>
      <c r="BUW335"/>
      <c r="BUX335"/>
      <c r="BVA335"/>
      <c r="BVB335"/>
      <c r="BVE335"/>
      <c r="BVF335"/>
      <c r="BVI335"/>
      <c r="BVJ335"/>
      <c r="BVM335"/>
      <c r="BVN335"/>
      <c r="BVQ335"/>
      <c r="BVR335"/>
      <c r="BVU335"/>
      <c r="BVV335"/>
      <c r="BVY335"/>
      <c r="BVZ335"/>
      <c r="BWC335"/>
      <c r="BWD335"/>
      <c r="BWG335"/>
      <c r="BWH335"/>
      <c r="BWK335"/>
      <c r="BWL335"/>
      <c r="BWO335"/>
      <c r="BWP335"/>
      <c r="BWS335"/>
      <c r="BWT335"/>
      <c r="BWW335"/>
      <c r="BWX335"/>
      <c r="BXA335"/>
      <c r="BXB335"/>
      <c r="BXE335"/>
      <c r="BXF335"/>
      <c r="BXI335"/>
      <c r="BXJ335"/>
      <c r="BXM335"/>
      <c r="BXN335"/>
      <c r="BXQ335"/>
      <c r="BXR335"/>
      <c r="BXU335"/>
      <c r="BXV335"/>
      <c r="BXY335"/>
      <c r="BXZ335"/>
      <c r="BYC335"/>
      <c r="BYD335"/>
      <c r="BYG335"/>
      <c r="BYH335"/>
      <c r="BYK335"/>
      <c r="BYL335"/>
      <c r="BYO335"/>
      <c r="BYP335"/>
      <c r="BYS335"/>
      <c r="BYT335"/>
      <c r="BYW335"/>
      <c r="BYX335"/>
      <c r="BZA335"/>
      <c r="BZB335"/>
      <c r="BZE335"/>
      <c r="BZF335"/>
      <c r="BZI335"/>
      <c r="BZJ335"/>
      <c r="BZM335"/>
      <c r="BZN335"/>
      <c r="BZQ335"/>
      <c r="BZR335"/>
      <c r="BZU335"/>
      <c r="BZV335"/>
      <c r="BZY335"/>
      <c r="BZZ335"/>
      <c r="CAC335"/>
      <c r="CAD335"/>
      <c r="CAG335"/>
      <c r="CAH335"/>
      <c r="CAK335"/>
      <c r="CAL335"/>
      <c r="CAO335"/>
      <c r="CAP335"/>
      <c r="CAS335"/>
      <c r="CAT335"/>
      <c r="CAW335"/>
      <c r="CAX335"/>
      <c r="CBA335"/>
      <c r="CBB335"/>
      <c r="CBE335"/>
      <c r="CBF335"/>
      <c r="CBI335"/>
      <c r="CBJ335"/>
      <c r="CBM335"/>
      <c r="CBN335"/>
      <c r="CBQ335"/>
      <c r="CBR335"/>
      <c r="CBU335"/>
      <c r="CBV335"/>
      <c r="CBY335"/>
      <c r="CBZ335"/>
      <c r="CCC335"/>
      <c r="CCD335"/>
      <c r="CCG335"/>
      <c r="CCH335"/>
      <c r="CCK335"/>
      <c r="CCL335"/>
      <c r="CCO335"/>
      <c r="CCP335"/>
      <c r="CCS335"/>
      <c r="CCT335"/>
      <c r="CCW335"/>
      <c r="CCX335"/>
      <c r="CDA335"/>
      <c r="CDB335"/>
      <c r="CDE335"/>
      <c r="CDF335"/>
      <c r="CDI335"/>
      <c r="CDJ335"/>
      <c r="CDM335"/>
      <c r="CDN335"/>
      <c r="CDQ335"/>
      <c r="CDR335"/>
      <c r="CDU335"/>
      <c r="CDV335"/>
      <c r="CDY335"/>
      <c r="CDZ335"/>
      <c r="CEC335"/>
      <c r="CED335"/>
      <c r="CEG335"/>
      <c r="CEH335"/>
      <c r="CEK335"/>
      <c r="CEL335"/>
      <c r="CEO335"/>
      <c r="CEP335"/>
      <c r="CES335"/>
      <c r="CET335"/>
      <c r="CEW335"/>
      <c r="CEX335"/>
      <c r="CFA335"/>
      <c r="CFB335"/>
      <c r="CFE335"/>
      <c r="CFF335"/>
      <c r="CFI335"/>
      <c r="CFJ335"/>
      <c r="CFM335"/>
      <c r="CFN335"/>
      <c r="CFQ335"/>
      <c r="CFR335"/>
      <c r="CFU335"/>
      <c r="CFV335"/>
      <c r="CFY335"/>
      <c r="CFZ335"/>
      <c r="CGC335"/>
      <c r="CGD335"/>
      <c r="CGG335"/>
      <c r="CGH335"/>
      <c r="CGK335"/>
      <c r="CGL335"/>
      <c r="CGO335"/>
      <c r="CGP335"/>
      <c r="CGS335"/>
      <c r="CGT335"/>
      <c r="CGW335"/>
      <c r="CGX335"/>
      <c r="CHA335"/>
      <c r="CHB335"/>
      <c r="CHE335"/>
      <c r="CHF335"/>
      <c r="CHI335"/>
      <c r="CHJ335"/>
      <c r="CHM335"/>
      <c r="CHN335"/>
      <c r="CHQ335"/>
      <c r="CHR335"/>
      <c r="CHU335"/>
      <c r="CHV335"/>
      <c r="CHY335"/>
      <c r="CHZ335"/>
      <c r="CIC335"/>
      <c r="CID335"/>
      <c r="CIG335"/>
      <c r="CIH335"/>
      <c r="CIK335"/>
      <c r="CIL335"/>
      <c r="CIO335"/>
      <c r="CIP335"/>
      <c r="CIS335"/>
      <c r="CIT335"/>
      <c r="CIW335"/>
      <c r="CIX335"/>
      <c r="CJA335"/>
      <c r="CJB335"/>
      <c r="CJE335"/>
      <c r="CJF335"/>
      <c r="CJI335"/>
      <c r="CJJ335"/>
      <c r="CJM335"/>
      <c r="CJN335"/>
      <c r="CJQ335"/>
      <c r="CJR335"/>
      <c r="CJU335"/>
      <c r="CJV335"/>
      <c r="CJY335"/>
      <c r="CJZ335"/>
      <c r="CKC335"/>
      <c r="CKD335"/>
      <c r="CKG335"/>
      <c r="CKH335"/>
      <c r="CKK335"/>
      <c r="CKL335"/>
      <c r="CKO335"/>
      <c r="CKP335"/>
      <c r="CKS335"/>
      <c r="CKT335"/>
      <c r="CKW335"/>
      <c r="CKX335"/>
      <c r="CLA335"/>
      <c r="CLB335"/>
      <c r="CLE335"/>
      <c r="CLF335"/>
      <c r="CLI335"/>
      <c r="CLJ335"/>
      <c r="CLM335"/>
      <c r="CLN335"/>
      <c r="CLQ335"/>
      <c r="CLR335"/>
      <c r="CLU335"/>
      <c r="CLV335"/>
      <c r="CLY335"/>
      <c r="CLZ335"/>
      <c r="CMC335"/>
      <c r="CMD335"/>
      <c r="CMG335"/>
      <c r="CMH335"/>
      <c r="CMK335"/>
      <c r="CML335"/>
      <c r="CMO335"/>
      <c r="CMP335"/>
      <c r="CMS335"/>
      <c r="CMT335"/>
      <c r="CMW335"/>
      <c r="CMX335"/>
      <c r="CNA335"/>
      <c r="CNB335"/>
      <c r="CNE335"/>
      <c r="CNF335"/>
      <c r="CNI335"/>
      <c r="CNJ335"/>
      <c r="CNM335"/>
      <c r="CNN335"/>
      <c r="CNQ335"/>
      <c r="CNR335"/>
      <c r="CNU335"/>
      <c r="CNV335"/>
      <c r="CNY335"/>
      <c r="CNZ335"/>
      <c r="COC335"/>
      <c r="COD335"/>
      <c r="COG335"/>
      <c r="COH335"/>
      <c r="COK335"/>
      <c r="COL335"/>
      <c r="COO335"/>
      <c r="COP335"/>
      <c r="COS335"/>
      <c r="COT335"/>
      <c r="COW335"/>
      <c r="COX335"/>
      <c r="CPA335"/>
      <c r="CPB335"/>
      <c r="CPE335"/>
      <c r="CPF335"/>
      <c r="CPI335"/>
      <c r="CPJ335"/>
      <c r="CPM335"/>
      <c r="CPN335"/>
      <c r="CPQ335"/>
      <c r="CPR335"/>
      <c r="CPU335"/>
      <c r="CPV335"/>
      <c r="CPY335"/>
      <c r="CPZ335"/>
      <c r="CQC335"/>
      <c r="CQD335"/>
      <c r="CQG335"/>
      <c r="CQH335"/>
      <c r="CQK335"/>
      <c r="CQL335"/>
      <c r="CQO335"/>
      <c r="CQP335"/>
      <c r="CQS335"/>
      <c r="CQT335"/>
      <c r="CQW335"/>
      <c r="CQX335"/>
      <c r="CRA335"/>
      <c r="CRB335"/>
      <c r="CRE335"/>
      <c r="CRF335"/>
      <c r="CRI335"/>
      <c r="CRJ335"/>
      <c r="CRM335"/>
      <c r="CRN335"/>
      <c r="CRQ335"/>
      <c r="CRR335"/>
      <c r="CRU335"/>
      <c r="CRV335"/>
      <c r="CRY335"/>
      <c r="CRZ335"/>
      <c r="CSC335"/>
      <c r="CSD335"/>
      <c r="CSG335"/>
      <c r="CSH335"/>
      <c r="CSK335"/>
      <c r="CSL335"/>
      <c r="CSO335"/>
      <c r="CSP335"/>
      <c r="CSS335"/>
      <c r="CST335"/>
      <c r="CSW335"/>
      <c r="CSX335"/>
      <c r="CTA335"/>
      <c r="CTB335"/>
      <c r="CTE335"/>
      <c r="CTF335"/>
      <c r="CTI335"/>
      <c r="CTJ335"/>
      <c r="CTM335"/>
      <c r="CTN335"/>
      <c r="CTQ335"/>
      <c r="CTR335"/>
      <c r="CTU335"/>
      <c r="CTV335"/>
      <c r="CTY335"/>
      <c r="CTZ335"/>
      <c r="CUC335"/>
      <c r="CUD335"/>
      <c r="CUG335"/>
      <c r="CUH335"/>
      <c r="CUK335"/>
      <c r="CUL335"/>
      <c r="CUO335"/>
      <c r="CUP335"/>
      <c r="CUS335"/>
      <c r="CUT335"/>
      <c r="CUW335"/>
      <c r="CUX335"/>
      <c r="CVA335"/>
      <c r="CVB335"/>
      <c r="CVE335"/>
      <c r="CVF335"/>
      <c r="CVI335"/>
      <c r="CVJ335"/>
      <c r="CVM335"/>
      <c r="CVN335"/>
      <c r="CVQ335"/>
      <c r="CVR335"/>
      <c r="CVU335"/>
      <c r="CVV335"/>
      <c r="CVY335"/>
      <c r="CVZ335"/>
      <c r="CWC335"/>
      <c r="CWD335"/>
      <c r="CWG335"/>
      <c r="CWH335"/>
      <c r="CWK335"/>
      <c r="CWL335"/>
      <c r="CWO335"/>
      <c r="CWP335"/>
      <c r="CWS335"/>
      <c r="CWT335"/>
      <c r="CWW335"/>
      <c r="CWX335"/>
      <c r="CXA335"/>
      <c r="CXB335"/>
      <c r="CXE335"/>
      <c r="CXF335"/>
      <c r="CXI335"/>
      <c r="CXJ335"/>
      <c r="CXM335"/>
      <c r="CXN335"/>
      <c r="CXQ335"/>
      <c r="CXR335"/>
      <c r="CXU335"/>
      <c r="CXV335"/>
      <c r="CXY335"/>
      <c r="CXZ335"/>
      <c r="CYC335"/>
      <c r="CYD335"/>
      <c r="CYG335"/>
      <c r="CYH335"/>
      <c r="CYK335"/>
      <c r="CYL335"/>
      <c r="CYO335"/>
      <c r="CYP335"/>
      <c r="CYS335"/>
      <c r="CYT335"/>
      <c r="CYW335"/>
      <c r="CYX335"/>
      <c r="CZA335"/>
      <c r="CZB335"/>
      <c r="CZE335"/>
      <c r="CZF335"/>
      <c r="CZI335"/>
      <c r="CZJ335"/>
      <c r="CZM335"/>
      <c r="CZN335"/>
      <c r="CZQ335"/>
      <c r="CZR335"/>
      <c r="CZU335"/>
      <c r="CZV335"/>
      <c r="CZY335"/>
      <c r="CZZ335"/>
      <c r="DAC335"/>
      <c r="DAD335"/>
      <c r="DAG335"/>
      <c r="DAH335"/>
      <c r="DAK335"/>
      <c r="DAL335"/>
      <c r="DAO335"/>
      <c r="DAP335"/>
      <c r="DAS335"/>
      <c r="DAT335"/>
      <c r="DAW335"/>
      <c r="DAX335"/>
      <c r="DBA335"/>
      <c r="DBB335"/>
      <c r="DBE335"/>
      <c r="DBF335"/>
      <c r="DBI335"/>
      <c r="DBJ335"/>
      <c r="DBM335"/>
      <c r="DBN335"/>
      <c r="DBQ335"/>
      <c r="DBR335"/>
      <c r="DBU335"/>
      <c r="DBV335"/>
      <c r="DBY335"/>
      <c r="DBZ335"/>
      <c r="DCC335"/>
      <c r="DCD335"/>
      <c r="DCG335"/>
      <c r="DCH335"/>
      <c r="DCK335"/>
      <c r="DCL335"/>
      <c r="DCO335"/>
      <c r="DCP335"/>
      <c r="DCS335"/>
      <c r="DCT335"/>
      <c r="DCW335"/>
      <c r="DCX335"/>
      <c r="DDA335"/>
      <c r="DDB335"/>
      <c r="DDE335"/>
      <c r="DDF335"/>
      <c r="DDI335"/>
      <c r="DDJ335"/>
      <c r="DDM335"/>
      <c r="DDN335"/>
      <c r="DDQ335"/>
      <c r="DDR335"/>
      <c r="DDU335"/>
      <c r="DDV335"/>
      <c r="DDY335"/>
      <c r="DDZ335"/>
      <c r="DEC335"/>
      <c r="DED335"/>
      <c r="DEG335"/>
      <c r="DEH335"/>
      <c r="DEK335"/>
      <c r="DEL335"/>
      <c r="DEO335"/>
      <c r="DEP335"/>
      <c r="DES335"/>
      <c r="DET335"/>
      <c r="DEW335"/>
      <c r="DEX335"/>
      <c r="DFA335"/>
      <c r="DFB335"/>
      <c r="DFE335"/>
      <c r="DFF335"/>
      <c r="DFI335"/>
      <c r="DFJ335"/>
      <c r="DFM335"/>
      <c r="DFN335"/>
      <c r="DFQ335"/>
      <c r="DFR335"/>
      <c r="DFU335"/>
      <c r="DFV335"/>
      <c r="DFY335"/>
      <c r="DFZ335"/>
      <c r="DGC335"/>
      <c r="DGD335"/>
      <c r="DGG335"/>
      <c r="DGH335"/>
      <c r="DGK335"/>
      <c r="DGL335"/>
      <c r="DGO335"/>
      <c r="DGP335"/>
      <c r="DGS335"/>
      <c r="DGT335"/>
      <c r="DGW335"/>
      <c r="DGX335"/>
      <c r="DHA335"/>
      <c r="DHB335"/>
      <c r="DHE335"/>
      <c r="DHF335"/>
      <c r="DHI335"/>
      <c r="DHJ335"/>
      <c r="DHM335"/>
      <c r="DHN335"/>
      <c r="DHQ335"/>
      <c r="DHR335"/>
      <c r="DHU335"/>
      <c r="DHV335"/>
      <c r="DHY335"/>
      <c r="DHZ335"/>
      <c r="DIC335"/>
      <c r="DID335"/>
      <c r="DIG335"/>
      <c r="DIH335"/>
      <c r="DIK335"/>
      <c r="DIL335"/>
      <c r="DIO335"/>
      <c r="DIP335"/>
      <c r="DIS335"/>
      <c r="DIT335"/>
      <c r="DIW335"/>
      <c r="DIX335"/>
      <c r="DJA335"/>
      <c r="DJB335"/>
      <c r="DJE335"/>
      <c r="DJF335"/>
      <c r="DJI335"/>
      <c r="DJJ335"/>
      <c r="DJM335"/>
      <c r="DJN335"/>
      <c r="DJQ335"/>
      <c r="DJR335"/>
      <c r="DJU335"/>
      <c r="DJV335"/>
      <c r="DJY335"/>
      <c r="DJZ335"/>
      <c r="DKC335"/>
      <c r="DKD335"/>
      <c r="DKG335"/>
      <c r="DKH335"/>
      <c r="DKK335"/>
      <c r="DKL335"/>
      <c r="DKO335"/>
      <c r="DKP335"/>
      <c r="DKS335"/>
      <c r="DKT335"/>
      <c r="DKW335"/>
      <c r="DKX335"/>
      <c r="DLA335"/>
      <c r="DLB335"/>
      <c r="DLE335"/>
      <c r="DLF335"/>
      <c r="DLI335"/>
      <c r="DLJ335"/>
      <c r="DLM335"/>
      <c r="DLN335"/>
      <c r="DLQ335"/>
      <c r="DLR335"/>
      <c r="DLU335"/>
      <c r="DLV335"/>
      <c r="DLY335"/>
      <c r="DLZ335"/>
      <c r="DMC335"/>
      <c r="DMD335"/>
      <c r="DMG335"/>
      <c r="DMH335"/>
      <c r="DMK335"/>
      <c r="DML335"/>
      <c r="DMO335"/>
      <c r="DMP335"/>
      <c r="DMS335"/>
      <c r="DMT335"/>
      <c r="DMW335"/>
      <c r="DMX335"/>
      <c r="DNA335"/>
      <c r="DNB335"/>
      <c r="DNE335"/>
      <c r="DNF335"/>
      <c r="DNI335"/>
      <c r="DNJ335"/>
      <c r="DNM335"/>
      <c r="DNN335"/>
      <c r="DNQ335"/>
      <c r="DNR335"/>
      <c r="DNU335"/>
      <c r="DNV335"/>
      <c r="DNY335"/>
      <c r="DNZ335"/>
      <c r="DOC335"/>
      <c r="DOD335"/>
      <c r="DOG335"/>
      <c r="DOH335"/>
      <c r="DOK335"/>
      <c r="DOL335"/>
      <c r="DOO335"/>
      <c r="DOP335"/>
      <c r="DOS335"/>
      <c r="DOT335"/>
      <c r="DOW335"/>
      <c r="DOX335"/>
      <c r="DPA335"/>
      <c r="DPB335"/>
      <c r="DPE335"/>
      <c r="DPF335"/>
      <c r="DPI335"/>
      <c r="DPJ335"/>
      <c r="DPM335"/>
      <c r="DPN335"/>
      <c r="DPQ335"/>
      <c r="DPR335"/>
      <c r="DPU335"/>
      <c r="DPV335"/>
      <c r="DPY335"/>
      <c r="DPZ335"/>
      <c r="DQC335"/>
      <c r="DQD335"/>
      <c r="DQG335"/>
      <c r="DQH335"/>
      <c r="DQK335"/>
      <c r="DQL335"/>
      <c r="DQO335"/>
      <c r="DQP335"/>
      <c r="DQS335"/>
      <c r="DQT335"/>
      <c r="DQW335"/>
      <c r="DQX335"/>
      <c r="DRA335"/>
      <c r="DRB335"/>
      <c r="DRE335"/>
      <c r="DRF335"/>
      <c r="DRI335"/>
      <c r="DRJ335"/>
      <c r="DRM335"/>
      <c r="DRN335"/>
      <c r="DRQ335"/>
      <c r="DRR335"/>
      <c r="DRU335"/>
      <c r="DRV335"/>
      <c r="DRY335"/>
      <c r="DRZ335"/>
      <c r="DSC335"/>
      <c r="DSD335"/>
      <c r="DSG335"/>
      <c r="DSH335"/>
      <c r="DSK335"/>
      <c r="DSL335"/>
      <c r="DSO335"/>
      <c r="DSP335"/>
      <c r="DSS335"/>
      <c r="DST335"/>
      <c r="DSW335"/>
      <c r="DSX335"/>
      <c r="DTA335"/>
      <c r="DTB335"/>
      <c r="DTE335"/>
      <c r="DTF335"/>
      <c r="DTI335"/>
      <c r="DTJ335"/>
      <c r="DTM335"/>
      <c r="DTN335"/>
      <c r="DTQ335"/>
      <c r="DTR335"/>
      <c r="DTU335"/>
      <c r="DTV335"/>
      <c r="DTY335"/>
      <c r="DTZ335"/>
      <c r="DUC335"/>
      <c r="DUD335"/>
      <c r="DUG335"/>
      <c r="DUH335"/>
      <c r="DUK335"/>
      <c r="DUL335"/>
      <c r="DUO335"/>
      <c r="DUP335"/>
      <c r="DUS335"/>
      <c r="DUT335"/>
      <c r="DUW335"/>
      <c r="DUX335"/>
      <c r="DVA335"/>
      <c r="DVB335"/>
      <c r="DVE335"/>
      <c r="DVF335"/>
      <c r="DVI335"/>
      <c r="DVJ335"/>
      <c r="DVM335"/>
      <c r="DVN335"/>
      <c r="DVQ335"/>
      <c r="DVR335"/>
      <c r="DVU335"/>
      <c r="DVV335"/>
      <c r="DVY335"/>
      <c r="DVZ335"/>
      <c r="DWC335"/>
      <c r="DWD335"/>
      <c r="DWG335"/>
      <c r="DWH335"/>
      <c r="DWK335"/>
      <c r="DWL335"/>
      <c r="DWO335"/>
      <c r="DWP335"/>
      <c r="DWS335"/>
      <c r="DWT335"/>
      <c r="DWW335"/>
      <c r="DWX335"/>
      <c r="DXA335"/>
      <c r="DXB335"/>
      <c r="DXE335"/>
      <c r="DXF335"/>
      <c r="DXI335"/>
      <c r="DXJ335"/>
      <c r="DXM335"/>
      <c r="DXN335"/>
      <c r="DXQ335"/>
      <c r="DXR335"/>
      <c r="DXU335"/>
      <c r="DXV335"/>
      <c r="DXY335"/>
      <c r="DXZ335"/>
      <c r="DYC335"/>
      <c r="DYD335"/>
      <c r="DYG335"/>
      <c r="DYH335"/>
      <c r="DYK335"/>
      <c r="DYL335"/>
      <c r="DYO335"/>
      <c r="DYP335"/>
      <c r="DYS335"/>
      <c r="DYT335"/>
      <c r="DYW335"/>
      <c r="DYX335"/>
      <c r="DZA335"/>
      <c r="DZB335"/>
      <c r="DZE335"/>
      <c r="DZF335"/>
      <c r="DZI335"/>
      <c r="DZJ335"/>
      <c r="DZM335"/>
      <c r="DZN335"/>
      <c r="DZQ335"/>
      <c r="DZR335"/>
      <c r="DZU335"/>
      <c r="DZV335"/>
      <c r="DZY335"/>
      <c r="DZZ335"/>
      <c r="EAC335"/>
      <c r="EAD335"/>
      <c r="EAG335"/>
      <c r="EAH335"/>
      <c r="EAK335"/>
      <c r="EAL335"/>
      <c r="EAO335"/>
      <c r="EAP335"/>
      <c r="EAS335"/>
      <c r="EAT335"/>
      <c r="EAW335"/>
      <c r="EAX335"/>
      <c r="EBA335"/>
      <c r="EBB335"/>
      <c r="EBE335"/>
      <c r="EBF335"/>
      <c r="EBI335"/>
      <c r="EBJ335"/>
      <c r="EBM335"/>
      <c r="EBN335"/>
      <c r="EBQ335"/>
      <c r="EBR335"/>
      <c r="EBU335"/>
      <c r="EBV335"/>
      <c r="EBY335"/>
      <c r="EBZ335"/>
      <c r="ECC335"/>
      <c r="ECD335"/>
      <c r="ECG335"/>
      <c r="ECH335"/>
      <c r="ECK335"/>
      <c r="ECL335"/>
      <c r="ECO335"/>
      <c r="ECP335"/>
      <c r="ECS335"/>
      <c r="ECT335"/>
      <c r="ECW335"/>
      <c r="ECX335"/>
      <c r="EDA335"/>
      <c r="EDB335"/>
      <c r="EDE335"/>
      <c r="EDF335"/>
      <c r="EDI335"/>
      <c r="EDJ335"/>
      <c r="EDM335"/>
      <c r="EDN335"/>
      <c r="EDQ335"/>
      <c r="EDR335"/>
      <c r="EDU335"/>
      <c r="EDV335"/>
      <c r="EDY335"/>
      <c r="EDZ335"/>
      <c r="EEC335"/>
      <c r="EED335"/>
      <c r="EEG335"/>
      <c r="EEH335"/>
      <c r="EEK335"/>
      <c r="EEL335"/>
      <c r="EEO335"/>
      <c r="EEP335"/>
      <c r="EES335"/>
      <c r="EET335"/>
      <c r="EEW335"/>
      <c r="EEX335"/>
      <c r="EFA335"/>
      <c r="EFB335"/>
      <c r="EFE335"/>
      <c r="EFF335"/>
      <c r="EFI335"/>
      <c r="EFJ335"/>
      <c r="EFM335"/>
      <c r="EFN335"/>
      <c r="EFQ335"/>
      <c r="EFR335"/>
      <c r="EFU335"/>
      <c r="EFV335"/>
      <c r="EFY335"/>
      <c r="EFZ335"/>
      <c r="EGC335"/>
      <c r="EGD335"/>
      <c r="EGG335"/>
      <c r="EGH335"/>
      <c r="EGK335"/>
      <c r="EGL335"/>
      <c r="EGO335"/>
      <c r="EGP335"/>
      <c r="EGS335"/>
      <c r="EGT335"/>
      <c r="EGW335"/>
      <c r="EGX335"/>
      <c r="EHA335"/>
      <c r="EHB335"/>
      <c r="EHE335"/>
      <c r="EHF335"/>
      <c r="EHI335"/>
      <c r="EHJ335"/>
      <c r="EHM335"/>
      <c r="EHN335"/>
      <c r="EHQ335"/>
      <c r="EHR335"/>
      <c r="EHU335"/>
      <c r="EHV335"/>
      <c r="EHY335"/>
      <c r="EHZ335"/>
      <c r="EIC335"/>
      <c r="EID335"/>
      <c r="EIG335"/>
      <c r="EIH335"/>
      <c r="EIK335"/>
      <c r="EIL335"/>
      <c r="EIO335"/>
      <c r="EIP335"/>
      <c r="EIS335"/>
      <c r="EIT335"/>
      <c r="EIW335"/>
      <c r="EIX335"/>
      <c r="EJA335"/>
      <c r="EJB335"/>
      <c r="EJE335"/>
      <c r="EJF335"/>
      <c r="EJI335"/>
      <c r="EJJ335"/>
      <c r="EJM335"/>
      <c r="EJN335"/>
      <c r="EJQ335"/>
      <c r="EJR335"/>
      <c r="EJU335"/>
      <c r="EJV335"/>
      <c r="EJY335"/>
      <c r="EJZ335"/>
      <c r="EKC335"/>
      <c r="EKD335"/>
      <c r="EKG335"/>
      <c r="EKH335"/>
      <c r="EKK335"/>
      <c r="EKL335"/>
      <c r="EKO335"/>
      <c r="EKP335"/>
      <c r="EKS335"/>
      <c r="EKT335"/>
      <c r="EKW335"/>
      <c r="EKX335"/>
      <c r="ELA335"/>
      <c r="ELB335"/>
      <c r="ELE335"/>
      <c r="ELF335"/>
      <c r="ELI335"/>
      <c r="ELJ335"/>
      <c r="ELM335"/>
      <c r="ELN335"/>
      <c r="ELQ335"/>
      <c r="ELR335"/>
      <c r="ELU335"/>
      <c r="ELV335"/>
      <c r="ELY335"/>
      <c r="ELZ335"/>
      <c r="EMC335"/>
      <c r="EMD335"/>
      <c r="EMG335"/>
      <c r="EMH335"/>
      <c r="EMK335"/>
      <c r="EML335"/>
      <c r="EMO335"/>
      <c r="EMP335"/>
      <c r="EMS335"/>
      <c r="EMT335"/>
      <c r="EMW335"/>
      <c r="EMX335"/>
      <c r="ENA335"/>
      <c r="ENB335"/>
      <c r="ENE335"/>
      <c r="ENF335"/>
      <c r="ENI335"/>
      <c r="ENJ335"/>
      <c r="ENM335"/>
      <c r="ENN335"/>
      <c r="ENQ335"/>
      <c r="ENR335"/>
      <c r="ENU335"/>
      <c r="ENV335"/>
      <c r="ENY335"/>
      <c r="ENZ335"/>
      <c r="EOC335"/>
      <c r="EOD335"/>
      <c r="EOG335"/>
      <c r="EOH335"/>
      <c r="EOK335"/>
      <c r="EOL335"/>
      <c r="EOO335"/>
      <c r="EOP335"/>
      <c r="EOS335"/>
      <c r="EOT335"/>
      <c r="EOW335"/>
      <c r="EOX335"/>
      <c r="EPA335"/>
      <c r="EPB335"/>
      <c r="EPE335"/>
      <c r="EPF335"/>
      <c r="EPI335"/>
      <c r="EPJ335"/>
      <c r="EPM335"/>
      <c r="EPN335"/>
      <c r="EPQ335"/>
      <c r="EPR335"/>
      <c r="EPU335"/>
      <c r="EPV335"/>
      <c r="EPY335"/>
      <c r="EPZ335"/>
      <c r="EQC335"/>
      <c r="EQD335"/>
      <c r="EQG335"/>
      <c r="EQH335"/>
      <c r="EQK335"/>
      <c r="EQL335"/>
      <c r="EQO335"/>
      <c r="EQP335"/>
      <c r="EQS335"/>
      <c r="EQT335"/>
      <c r="EQW335"/>
      <c r="EQX335"/>
      <c r="ERA335"/>
      <c r="ERB335"/>
      <c r="ERE335"/>
      <c r="ERF335"/>
      <c r="ERI335"/>
      <c r="ERJ335"/>
      <c r="ERM335"/>
      <c r="ERN335"/>
      <c r="ERQ335"/>
      <c r="ERR335"/>
      <c r="ERU335"/>
      <c r="ERV335"/>
      <c r="ERY335"/>
      <c r="ERZ335"/>
      <c r="ESC335"/>
      <c r="ESD335"/>
      <c r="ESG335"/>
      <c r="ESH335"/>
      <c r="ESK335"/>
      <c r="ESL335"/>
      <c r="ESO335"/>
      <c r="ESP335"/>
      <c r="ESS335"/>
      <c r="EST335"/>
      <c r="ESW335"/>
      <c r="ESX335"/>
      <c r="ETA335"/>
      <c r="ETB335"/>
      <c r="ETE335"/>
      <c r="ETF335"/>
      <c r="ETI335"/>
      <c r="ETJ335"/>
      <c r="ETM335"/>
      <c r="ETN335"/>
      <c r="ETQ335"/>
      <c r="ETR335"/>
      <c r="ETU335"/>
      <c r="ETV335"/>
      <c r="ETY335"/>
      <c r="ETZ335"/>
      <c r="EUC335"/>
      <c r="EUD335"/>
      <c r="EUG335"/>
      <c r="EUH335"/>
      <c r="EUK335"/>
      <c r="EUL335"/>
      <c r="EUO335"/>
      <c r="EUP335"/>
      <c r="EUS335"/>
      <c r="EUT335"/>
      <c r="EUW335"/>
      <c r="EUX335"/>
      <c r="EVA335"/>
      <c r="EVB335"/>
      <c r="EVE335"/>
      <c r="EVF335"/>
      <c r="EVI335"/>
      <c r="EVJ335"/>
      <c r="EVM335"/>
      <c r="EVN335"/>
      <c r="EVQ335"/>
      <c r="EVR335"/>
      <c r="EVU335"/>
      <c r="EVV335"/>
      <c r="EVY335"/>
      <c r="EVZ335"/>
      <c r="EWC335"/>
      <c r="EWD335"/>
      <c r="EWG335"/>
      <c r="EWH335"/>
      <c r="EWK335"/>
      <c r="EWL335"/>
      <c r="EWO335"/>
      <c r="EWP335"/>
      <c r="EWS335"/>
      <c r="EWT335"/>
      <c r="EWW335"/>
      <c r="EWX335"/>
      <c r="EXA335"/>
      <c r="EXB335"/>
      <c r="EXE335"/>
      <c r="EXF335"/>
      <c r="EXI335"/>
      <c r="EXJ335"/>
      <c r="EXM335"/>
      <c r="EXN335"/>
      <c r="EXQ335"/>
      <c r="EXR335"/>
      <c r="EXU335"/>
      <c r="EXV335"/>
      <c r="EXY335"/>
      <c r="EXZ335"/>
      <c r="EYC335"/>
      <c r="EYD335"/>
      <c r="EYG335"/>
      <c r="EYH335"/>
      <c r="EYK335"/>
      <c r="EYL335"/>
      <c r="EYO335"/>
      <c r="EYP335"/>
      <c r="EYS335"/>
      <c r="EYT335"/>
      <c r="EYW335"/>
      <c r="EYX335"/>
      <c r="EZA335"/>
      <c r="EZB335"/>
      <c r="EZE335"/>
      <c r="EZF335"/>
      <c r="EZI335"/>
      <c r="EZJ335"/>
      <c r="EZM335"/>
      <c r="EZN335"/>
      <c r="EZQ335"/>
      <c r="EZR335"/>
      <c r="EZU335"/>
      <c r="EZV335"/>
      <c r="EZY335"/>
      <c r="EZZ335"/>
      <c r="FAC335"/>
      <c r="FAD335"/>
      <c r="FAG335"/>
      <c r="FAH335"/>
      <c r="FAK335"/>
      <c r="FAL335"/>
      <c r="FAO335"/>
      <c r="FAP335"/>
      <c r="FAS335"/>
      <c r="FAT335"/>
      <c r="FAW335"/>
      <c r="FAX335"/>
      <c r="FBA335"/>
      <c r="FBB335"/>
      <c r="FBE335"/>
      <c r="FBF335"/>
      <c r="FBI335"/>
      <c r="FBJ335"/>
      <c r="FBM335"/>
      <c r="FBN335"/>
      <c r="FBQ335"/>
      <c r="FBR335"/>
      <c r="FBU335"/>
      <c r="FBV335"/>
      <c r="FBY335"/>
      <c r="FBZ335"/>
      <c r="FCC335"/>
      <c r="FCD335"/>
      <c r="FCG335"/>
      <c r="FCH335"/>
      <c r="FCK335"/>
      <c r="FCL335"/>
      <c r="FCO335"/>
      <c r="FCP335"/>
      <c r="FCS335"/>
      <c r="FCT335"/>
      <c r="FCW335"/>
      <c r="FCX335"/>
      <c r="FDA335"/>
      <c r="FDB335"/>
      <c r="FDE335"/>
      <c r="FDF335"/>
      <c r="FDI335"/>
      <c r="FDJ335"/>
      <c r="FDM335"/>
      <c r="FDN335"/>
      <c r="FDQ335"/>
      <c r="FDR335"/>
      <c r="FDU335"/>
      <c r="FDV335"/>
      <c r="FDY335"/>
      <c r="FDZ335"/>
      <c r="FEC335"/>
      <c r="FED335"/>
      <c r="FEG335"/>
      <c r="FEH335"/>
      <c r="FEK335"/>
      <c r="FEL335"/>
      <c r="FEO335"/>
      <c r="FEP335"/>
      <c r="FES335"/>
      <c r="FET335"/>
      <c r="FEW335"/>
      <c r="FEX335"/>
      <c r="FFA335"/>
      <c r="FFB335"/>
      <c r="FFE335"/>
      <c r="FFF335"/>
      <c r="FFI335"/>
      <c r="FFJ335"/>
      <c r="FFM335"/>
      <c r="FFN335"/>
      <c r="FFQ335"/>
      <c r="FFR335"/>
      <c r="FFU335"/>
      <c r="FFV335"/>
      <c r="FFY335"/>
      <c r="FFZ335"/>
      <c r="FGC335"/>
      <c r="FGD335"/>
      <c r="FGG335"/>
      <c r="FGH335"/>
      <c r="FGK335"/>
      <c r="FGL335"/>
      <c r="FGO335"/>
      <c r="FGP335"/>
      <c r="FGS335"/>
      <c r="FGT335"/>
      <c r="FGW335"/>
      <c r="FGX335"/>
      <c r="FHA335"/>
      <c r="FHB335"/>
      <c r="FHE335"/>
      <c r="FHF335"/>
      <c r="FHI335"/>
      <c r="FHJ335"/>
      <c r="FHM335"/>
      <c r="FHN335"/>
      <c r="FHQ335"/>
      <c r="FHR335"/>
      <c r="FHU335"/>
      <c r="FHV335"/>
      <c r="FHY335"/>
      <c r="FHZ335"/>
      <c r="FIC335"/>
      <c r="FID335"/>
      <c r="FIG335"/>
      <c r="FIH335"/>
      <c r="FIK335"/>
      <c r="FIL335"/>
      <c r="FIO335"/>
      <c r="FIP335"/>
      <c r="FIS335"/>
      <c r="FIT335"/>
      <c r="FIW335"/>
      <c r="FIX335"/>
      <c r="FJA335"/>
      <c r="FJB335"/>
      <c r="FJE335"/>
      <c r="FJF335"/>
      <c r="FJI335"/>
      <c r="FJJ335"/>
      <c r="FJM335"/>
      <c r="FJN335"/>
      <c r="FJQ335"/>
      <c r="FJR335"/>
      <c r="FJU335"/>
      <c r="FJV335"/>
      <c r="FJY335"/>
      <c r="FJZ335"/>
      <c r="FKC335"/>
      <c r="FKD335"/>
      <c r="FKG335"/>
      <c r="FKH335"/>
      <c r="FKK335"/>
      <c r="FKL335"/>
      <c r="FKO335"/>
      <c r="FKP335"/>
      <c r="FKS335"/>
      <c r="FKT335"/>
      <c r="FKW335"/>
      <c r="FKX335"/>
      <c r="FLA335"/>
      <c r="FLB335"/>
      <c r="FLE335"/>
      <c r="FLF335"/>
      <c r="FLI335"/>
      <c r="FLJ335"/>
      <c r="FLM335"/>
      <c r="FLN335"/>
      <c r="FLQ335"/>
      <c r="FLR335"/>
      <c r="FLU335"/>
      <c r="FLV335"/>
      <c r="FLY335"/>
      <c r="FLZ335"/>
      <c r="FMC335"/>
      <c r="FMD335"/>
      <c r="FMG335"/>
      <c r="FMH335"/>
      <c r="FMK335"/>
      <c r="FML335"/>
      <c r="FMO335"/>
      <c r="FMP335"/>
      <c r="FMS335"/>
      <c r="FMT335"/>
      <c r="FMW335"/>
      <c r="FMX335"/>
      <c r="FNA335"/>
      <c r="FNB335"/>
      <c r="FNE335"/>
      <c r="FNF335"/>
      <c r="FNI335"/>
      <c r="FNJ335"/>
      <c r="FNM335"/>
      <c r="FNN335"/>
      <c r="FNQ335"/>
      <c r="FNR335"/>
      <c r="FNU335"/>
      <c r="FNV335"/>
      <c r="FNY335"/>
      <c r="FNZ335"/>
      <c r="FOC335"/>
      <c r="FOD335"/>
      <c r="FOG335"/>
      <c r="FOH335"/>
      <c r="FOK335"/>
      <c r="FOL335"/>
      <c r="FOO335"/>
      <c r="FOP335"/>
      <c r="FOS335"/>
      <c r="FOT335"/>
      <c r="FOW335"/>
      <c r="FOX335"/>
      <c r="FPA335"/>
      <c r="FPB335"/>
      <c r="FPE335"/>
      <c r="FPF335"/>
      <c r="FPI335"/>
      <c r="FPJ335"/>
      <c r="FPM335"/>
      <c r="FPN335"/>
      <c r="FPQ335"/>
      <c r="FPR335"/>
      <c r="FPU335"/>
      <c r="FPV335"/>
      <c r="FPY335"/>
      <c r="FPZ335"/>
      <c r="FQC335"/>
      <c r="FQD335"/>
      <c r="FQG335"/>
      <c r="FQH335"/>
      <c r="FQK335"/>
      <c r="FQL335"/>
      <c r="FQO335"/>
      <c r="FQP335"/>
      <c r="FQS335"/>
      <c r="FQT335"/>
      <c r="FQW335"/>
      <c r="FQX335"/>
      <c r="FRA335"/>
      <c r="FRB335"/>
      <c r="FRE335"/>
      <c r="FRF335"/>
      <c r="FRI335"/>
      <c r="FRJ335"/>
      <c r="FRM335"/>
      <c r="FRN335"/>
      <c r="FRQ335"/>
      <c r="FRR335"/>
      <c r="FRU335"/>
      <c r="FRV335"/>
      <c r="FRY335"/>
      <c r="FRZ335"/>
      <c r="FSC335"/>
      <c r="FSD335"/>
      <c r="FSG335"/>
      <c r="FSH335"/>
      <c r="FSK335"/>
      <c r="FSL335"/>
      <c r="FSO335"/>
      <c r="FSP335"/>
      <c r="FSS335"/>
      <c r="FST335"/>
      <c r="FSW335"/>
      <c r="FSX335"/>
      <c r="FTA335"/>
      <c r="FTB335"/>
      <c r="FTE335"/>
      <c r="FTF335"/>
      <c r="FTI335"/>
      <c r="FTJ335"/>
      <c r="FTM335"/>
      <c r="FTN335"/>
      <c r="FTQ335"/>
      <c r="FTR335"/>
      <c r="FTU335"/>
      <c r="FTV335"/>
      <c r="FTY335"/>
      <c r="FTZ335"/>
      <c r="FUC335"/>
      <c r="FUD335"/>
      <c r="FUG335"/>
      <c r="FUH335"/>
      <c r="FUK335"/>
      <c r="FUL335"/>
      <c r="FUO335"/>
      <c r="FUP335"/>
      <c r="FUS335"/>
      <c r="FUT335"/>
      <c r="FUW335"/>
      <c r="FUX335"/>
      <c r="FVA335"/>
      <c r="FVB335"/>
      <c r="FVE335"/>
      <c r="FVF335"/>
      <c r="FVI335"/>
      <c r="FVJ335"/>
      <c r="FVM335"/>
      <c r="FVN335"/>
      <c r="FVQ335"/>
      <c r="FVR335"/>
      <c r="FVU335"/>
      <c r="FVV335"/>
      <c r="FVY335"/>
      <c r="FVZ335"/>
      <c r="FWC335"/>
      <c r="FWD335"/>
      <c r="FWG335"/>
      <c r="FWH335"/>
      <c r="FWK335"/>
      <c r="FWL335"/>
      <c r="FWO335"/>
      <c r="FWP335"/>
      <c r="FWS335"/>
      <c r="FWT335"/>
      <c r="FWW335"/>
      <c r="FWX335"/>
      <c r="FXA335"/>
      <c r="FXB335"/>
      <c r="FXE335"/>
      <c r="FXF335"/>
      <c r="FXI335"/>
      <c r="FXJ335"/>
      <c r="FXM335"/>
      <c r="FXN335"/>
      <c r="FXQ335"/>
      <c r="FXR335"/>
      <c r="FXU335"/>
      <c r="FXV335"/>
      <c r="FXY335"/>
      <c r="FXZ335"/>
      <c r="FYC335"/>
      <c r="FYD335"/>
      <c r="FYG335"/>
      <c r="FYH335"/>
      <c r="FYK335"/>
      <c r="FYL335"/>
      <c r="FYO335"/>
      <c r="FYP335"/>
      <c r="FYS335"/>
      <c r="FYT335"/>
      <c r="FYW335"/>
      <c r="FYX335"/>
      <c r="FZA335"/>
      <c r="FZB335"/>
      <c r="FZE335"/>
      <c r="FZF335"/>
      <c r="FZI335"/>
      <c r="FZJ335"/>
      <c r="FZM335"/>
      <c r="FZN335"/>
      <c r="FZQ335"/>
      <c r="FZR335"/>
      <c r="FZU335"/>
      <c r="FZV335"/>
      <c r="FZY335"/>
      <c r="FZZ335"/>
      <c r="GAC335"/>
      <c r="GAD335"/>
      <c r="GAG335"/>
      <c r="GAH335"/>
      <c r="GAK335"/>
      <c r="GAL335"/>
      <c r="GAO335"/>
      <c r="GAP335"/>
      <c r="GAS335"/>
      <c r="GAT335"/>
      <c r="GAW335"/>
      <c r="GAX335"/>
      <c r="GBA335"/>
      <c r="GBB335"/>
      <c r="GBE335"/>
      <c r="GBF335"/>
      <c r="GBI335"/>
      <c r="GBJ335"/>
      <c r="GBM335"/>
      <c r="GBN335"/>
      <c r="GBQ335"/>
      <c r="GBR335"/>
      <c r="GBU335"/>
      <c r="GBV335"/>
      <c r="GBY335"/>
      <c r="GBZ335"/>
      <c r="GCC335"/>
      <c r="GCD335"/>
      <c r="GCG335"/>
      <c r="GCH335"/>
      <c r="GCK335"/>
      <c r="GCL335"/>
      <c r="GCO335"/>
      <c r="GCP335"/>
      <c r="GCS335"/>
      <c r="GCT335"/>
      <c r="GCW335"/>
      <c r="GCX335"/>
      <c r="GDA335"/>
      <c r="GDB335"/>
      <c r="GDE335"/>
      <c r="GDF335"/>
      <c r="GDI335"/>
      <c r="GDJ335"/>
      <c r="GDM335"/>
      <c r="GDN335"/>
      <c r="GDQ335"/>
      <c r="GDR335"/>
      <c r="GDU335"/>
      <c r="GDV335"/>
      <c r="GDY335"/>
      <c r="GDZ335"/>
      <c r="GEC335"/>
      <c r="GED335"/>
      <c r="GEG335"/>
      <c r="GEH335"/>
      <c r="GEK335"/>
      <c r="GEL335"/>
      <c r="GEO335"/>
      <c r="GEP335"/>
      <c r="GES335"/>
      <c r="GET335"/>
      <c r="GEW335"/>
      <c r="GEX335"/>
      <c r="GFA335"/>
      <c r="GFB335"/>
      <c r="GFE335"/>
      <c r="GFF335"/>
      <c r="GFI335"/>
      <c r="GFJ335"/>
      <c r="GFM335"/>
      <c r="GFN335"/>
      <c r="GFQ335"/>
      <c r="GFR335"/>
      <c r="GFU335"/>
      <c r="GFV335"/>
      <c r="GFY335"/>
      <c r="GFZ335"/>
      <c r="GGC335"/>
      <c r="GGD335"/>
      <c r="GGG335"/>
      <c r="GGH335"/>
      <c r="GGK335"/>
      <c r="GGL335"/>
      <c r="GGO335"/>
      <c r="GGP335"/>
      <c r="GGS335"/>
      <c r="GGT335"/>
      <c r="GGW335"/>
      <c r="GGX335"/>
      <c r="GHA335"/>
      <c r="GHB335"/>
      <c r="GHE335"/>
      <c r="GHF335"/>
      <c r="GHI335"/>
      <c r="GHJ335"/>
      <c r="GHM335"/>
      <c r="GHN335"/>
      <c r="GHQ335"/>
      <c r="GHR335"/>
      <c r="GHU335"/>
      <c r="GHV335"/>
      <c r="GHY335"/>
      <c r="GHZ335"/>
      <c r="GIC335"/>
      <c r="GID335"/>
      <c r="GIG335"/>
      <c r="GIH335"/>
      <c r="GIK335"/>
      <c r="GIL335"/>
      <c r="GIO335"/>
      <c r="GIP335"/>
      <c r="GIS335"/>
      <c r="GIT335"/>
      <c r="GIW335"/>
      <c r="GIX335"/>
      <c r="GJA335"/>
      <c r="GJB335"/>
      <c r="GJE335"/>
      <c r="GJF335"/>
      <c r="GJI335"/>
      <c r="GJJ335"/>
      <c r="GJM335"/>
      <c r="GJN335"/>
      <c r="GJQ335"/>
      <c r="GJR335"/>
      <c r="GJU335"/>
      <c r="GJV335"/>
      <c r="GJY335"/>
      <c r="GJZ335"/>
      <c r="GKC335"/>
      <c r="GKD335"/>
      <c r="GKG335"/>
      <c r="GKH335"/>
      <c r="GKK335"/>
      <c r="GKL335"/>
      <c r="GKO335"/>
      <c r="GKP335"/>
      <c r="GKS335"/>
      <c r="GKT335"/>
      <c r="GKW335"/>
      <c r="GKX335"/>
      <c r="GLA335"/>
      <c r="GLB335"/>
      <c r="GLE335"/>
      <c r="GLF335"/>
      <c r="GLI335"/>
      <c r="GLJ335"/>
      <c r="GLM335"/>
      <c r="GLN335"/>
      <c r="GLQ335"/>
      <c r="GLR335"/>
      <c r="GLU335"/>
      <c r="GLV335"/>
      <c r="GLY335"/>
      <c r="GLZ335"/>
      <c r="GMC335"/>
      <c r="GMD335"/>
      <c r="GMG335"/>
      <c r="GMH335"/>
      <c r="GMK335"/>
      <c r="GML335"/>
      <c r="GMO335"/>
      <c r="GMP335"/>
      <c r="GMS335"/>
      <c r="GMT335"/>
      <c r="GMW335"/>
      <c r="GMX335"/>
      <c r="GNA335"/>
      <c r="GNB335"/>
      <c r="GNE335"/>
      <c r="GNF335"/>
      <c r="GNI335"/>
      <c r="GNJ335"/>
      <c r="GNM335"/>
      <c r="GNN335"/>
      <c r="GNQ335"/>
      <c r="GNR335"/>
      <c r="GNU335"/>
      <c r="GNV335"/>
      <c r="GNY335"/>
      <c r="GNZ335"/>
      <c r="GOC335"/>
      <c r="GOD335"/>
      <c r="GOG335"/>
      <c r="GOH335"/>
      <c r="GOK335"/>
      <c r="GOL335"/>
      <c r="GOO335"/>
      <c r="GOP335"/>
      <c r="GOS335"/>
      <c r="GOT335"/>
      <c r="GOW335"/>
      <c r="GOX335"/>
      <c r="GPA335"/>
      <c r="GPB335"/>
      <c r="GPE335"/>
      <c r="GPF335"/>
      <c r="GPI335"/>
      <c r="GPJ335"/>
      <c r="GPM335"/>
      <c r="GPN335"/>
      <c r="GPQ335"/>
      <c r="GPR335"/>
      <c r="GPU335"/>
      <c r="GPV335"/>
      <c r="GPY335"/>
      <c r="GPZ335"/>
      <c r="GQC335"/>
      <c r="GQD335"/>
      <c r="GQG335"/>
      <c r="GQH335"/>
      <c r="GQK335"/>
      <c r="GQL335"/>
      <c r="GQO335"/>
      <c r="GQP335"/>
      <c r="GQS335"/>
      <c r="GQT335"/>
      <c r="GQW335"/>
      <c r="GQX335"/>
      <c r="GRA335"/>
      <c r="GRB335"/>
      <c r="GRE335"/>
      <c r="GRF335"/>
      <c r="GRI335"/>
      <c r="GRJ335"/>
      <c r="GRM335"/>
      <c r="GRN335"/>
      <c r="GRQ335"/>
      <c r="GRR335"/>
      <c r="GRU335"/>
      <c r="GRV335"/>
      <c r="GRY335"/>
      <c r="GRZ335"/>
      <c r="GSC335"/>
      <c r="GSD335"/>
      <c r="GSG335"/>
      <c r="GSH335"/>
      <c r="GSK335"/>
      <c r="GSL335"/>
      <c r="GSO335"/>
      <c r="GSP335"/>
      <c r="GSS335"/>
      <c r="GST335"/>
      <c r="GSW335"/>
      <c r="GSX335"/>
      <c r="GTA335"/>
      <c r="GTB335"/>
      <c r="GTE335"/>
      <c r="GTF335"/>
      <c r="GTI335"/>
      <c r="GTJ335"/>
      <c r="GTM335"/>
      <c r="GTN335"/>
      <c r="GTQ335"/>
      <c r="GTR335"/>
      <c r="GTU335"/>
      <c r="GTV335"/>
      <c r="GTY335"/>
      <c r="GTZ335"/>
      <c r="GUC335"/>
      <c r="GUD335"/>
      <c r="GUG335"/>
      <c r="GUH335"/>
      <c r="GUK335"/>
      <c r="GUL335"/>
      <c r="GUO335"/>
      <c r="GUP335"/>
      <c r="GUS335"/>
      <c r="GUT335"/>
      <c r="GUW335"/>
      <c r="GUX335"/>
      <c r="GVA335"/>
      <c r="GVB335"/>
      <c r="GVE335"/>
      <c r="GVF335"/>
      <c r="GVI335"/>
      <c r="GVJ335"/>
      <c r="GVM335"/>
      <c r="GVN335"/>
      <c r="GVQ335"/>
      <c r="GVR335"/>
      <c r="GVU335"/>
      <c r="GVV335"/>
      <c r="GVY335"/>
      <c r="GVZ335"/>
      <c r="GWC335"/>
      <c r="GWD335"/>
      <c r="GWG335"/>
      <c r="GWH335"/>
      <c r="GWK335"/>
      <c r="GWL335"/>
      <c r="GWO335"/>
      <c r="GWP335"/>
      <c r="GWS335"/>
      <c r="GWT335"/>
      <c r="GWW335"/>
      <c r="GWX335"/>
      <c r="GXA335"/>
      <c r="GXB335"/>
      <c r="GXE335"/>
      <c r="GXF335"/>
      <c r="GXI335"/>
      <c r="GXJ335"/>
      <c r="GXM335"/>
      <c r="GXN335"/>
      <c r="GXQ335"/>
      <c r="GXR335"/>
      <c r="GXU335"/>
      <c r="GXV335"/>
      <c r="GXY335"/>
      <c r="GXZ335"/>
      <c r="GYC335"/>
      <c r="GYD335"/>
      <c r="GYG335"/>
      <c r="GYH335"/>
      <c r="GYK335"/>
      <c r="GYL335"/>
      <c r="GYO335"/>
      <c r="GYP335"/>
      <c r="GYS335"/>
      <c r="GYT335"/>
      <c r="GYW335"/>
      <c r="GYX335"/>
      <c r="GZA335"/>
      <c r="GZB335"/>
      <c r="GZE335"/>
      <c r="GZF335"/>
      <c r="GZI335"/>
      <c r="GZJ335"/>
      <c r="GZM335"/>
      <c r="GZN335"/>
      <c r="GZQ335"/>
      <c r="GZR335"/>
      <c r="GZU335"/>
      <c r="GZV335"/>
      <c r="GZY335"/>
      <c r="GZZ335"/>
      <c r="HAC335"/>
      <c r="HAD335"/>
      <c r="HAG335"/>
      <c r="HAH335"/>
      <c r="HAK335"/>
      <c r="HAL335"/>
      <c r="HAO335"/>
      <c r="HAP335"/>
      <c r="HAS335"/>
      <c r="HAT335"/>
      <c r="HAW335"/>
      <c r="HAX335"/>
      <c r="HBA335"/>
      <c r="HBB335"/>
      <c r="HBE335"/>
      <c r="HBF335"/>
      <c r="HBI335"/>
      <c r="HBJ335"/>
      <c r="HBM335"/>
      <c r="HBN335"/>
      <c r="HBQ335"/>
      <c r="HBR335"/>
      <c r="HBU335"/>
      <c r="HBV335"/>
      <c r="HBY335"/>
      <c r="HBZ335"/>
      <c r="HCC335"/>
      <c r="HCD335"/>
      <c r="HCG335"/>
      <c r="HCH335"/>
      <c r="HCK335"/>
      <c r="HCL335"/>
      <c r="HCO335"/>
      <c r="HCP335"/>
      <c r="HCS335"/>
      <c r="HCT335"/>
      <c r="HCW335"/>
      <c r="HCX335"/>
      <c r="HDA335"/>
      <c r="HDB335"/>
      <c r="HDE335"/>
      <c r="HDF335"/>
      <c r="HDI335"/>
      <c r="HDJ335"/>
      <c r="HDM335"/>
      <c r="HDN335"/>
      <c r="HDQ335"/>
      <c r="HDR335"/>
      <c r="HDU335"/>
      <c r="HDV335"/>
      <c r="HDY335"/>
      <c r="HDZ335"/>
      <c r="HEC335"/>
      <c r="HED335"/>
      <c r="HEG335"/>
      <c r="HEH335"/>
      <c r="HEK335"/>
      <c r="HEL335"/>
      <c r="HEO335"/>
      <c r="HEP335"/>
      <c r="HES335"/>
      <c r="HET335"/>
      <c r="HEW335"/>
      <c r="HEX335"/>
      <c r="HFA335"/>
      <c r="HFB335"/>
      <c r="HFE335"/>
      <c r="HFF335"/>
      <c r="HFI335"/>
      <c r="HFJ335"/>
      <c r="HFM335"/>
      <c r="HFN335"/>
      <c r="HFQ335"/>
      <c r="HFR335"/>
      <c r="HFU335"/>
      <c r="HFV335"/>
      <c r="HFY335"/>
      <c r="HFZ335"/>
      <c r="HGC335"/>
      <c r="HGD335"/>
      <c r="HGG335"/>
      <c r="HGH335"/>
      <c r="HGK335"/>
      <c r="HGL335"/>
      <c r="HGO335"/>
      <c r="HGP335"/>
      <c r="HGS335"/>
      <c r="HGT335"/>
      <c r="HGW335"/>
      <c r="HGX335"/>
      <c r="HHA335"/>
      <c r="HHB335"/>
      <c r="HHE335"/>
      <c r="HHF335"/>
      <c r="HHI335"/>
      <c r="HHJ335"/>
      <c r="HHM335"/>
      <c r="HHN335"/>
      <c r="HHQ335"/>
      <c r="HHR335"/>
      <c r="HHU335"/>
      <c r="HHV335"/>
      <c r="HHY335"/>
      <c r="HHZ335"/>
      <c r="HIC335"/>
      <c r="HID335"/>
      <c r="HIG335"/>
      <c r="HIH335"/>
      <c r="HIK335"/>
      <c r="HIL335"/>
      <c r="HIO335"/>
      <c r="HIP335"/>
      <c r="HIS335"/>
      <c r="HIT335"/>
      <c r="HIW335"/>
      <c r="HIX335"/>
      <c r="HJA335"/>
      <c r="HJB335"/>
      <c r="HJE335"/>
      <c r="HJF335"/>
      <c r="HJI335"/>
      <c r="HJJ335"/>
      <c r="HJM335"/>
      <c r="HJN335"/>
      <c r="HJQ335"/>
      <c r="HJR335"/>
      <c r="HJU335"/>
      <c r="HJV335"/>
      <c r="HJY335"/>
      <c r="HJZ335"/>
      <c r="HKC335"/>
      <c r="HKD335"/>
      <c r="HKG335"/>
      <c r="HKH335"/>
      <c r="HKK335"/>
      <c r="HKL335"/>
      <c r="HKO335"/>
      <c r="HKP335"/>
      <c r="HKS335"/>
      <c r="HKT335"/>
      <c r="HKW335"/>
      <c r="HKX335"/>
      <c r="HLA335"/>
      <c r="HLB335"/>
      <c r="HLE335"/>
      <c r="HLF335"/>
      <c r="HLI335"/>
      <c r="HLJ335"/>
      <c r="HLM335"/>
      <c r="HLN335"/>
      <c r="HLQ335"/>
      <c r="HLR335"/>
      <c r="HLU335"/>
      <c r="HLV335"/>
      <c r="HLY335"/>
      <c r="HLZ335"/>
      <c r="HMC335"/>
      <c r="HMD335"/>
      <c r="HMG335"/>
      <c r="HMH335"/>
      <c r="HMK335"/>
      <c r="HML335"/>
      <c r="HMO335"/>
      <c r="HMP335"/>
      <c r="HMS335"/>
      <c r="HMT335"/>
      <c r="HMW335"/>
      <c r="HMX335"/>
      <c r="HNA335"/>
      <c r="HNB335"/>
      <c r="HNE335"/>
      <c r="HNF335"/>
      <c r="HNI335"/>
      <c r="HNJ335"/>
      <c r="HNM335"/>
      <c r="HNN335"/>
      <c r="HNQ335"/>
      <c r="HNR335"/>
      <c r="HNU335"/>
      <c r="HNV335"/>
      <c r="HNY335"/>
      <c r="HNZ335"/>
      <c r="HOC335"/>
      <c r="HOD335"/>
      <c r="HOG335"/>
      <c r="HOH335"/>
      <c r="HOK335"/>
      <c r="HOL335"/>
      <c r="HOO335"/>
      <c r="HOP335"/>
      <c r="HOS335"/>
      <c r="HOT335"/>
      <c r="HOW335"/>
      <c r="HOX335"/>
      <c r="HPA335"/>
      <c r="HPB335"/>
      <c r="HPE335"/>
      <c r="HPF335"/>
      <c r="HPI335"/>
      <c r="HPJ335"/>
      <c r="HPM335"/>
      <c r="HPN335"/>
      <c r="HPQ335"/>
      <c r="HPR335"/>
      <c r="HPU335"/>
      <c r="HPV335"/>
      <c r="HPY335"/>
      <c r="HPZ335"/>
      <c r="HQC335"/>
      <c r="HQD335"/>
      <c r="HQG335"/>
      <c r="HQH335"/>
      <c r="HQK335"/>
      <c r="HQL335"/>
      <c r="HQO335"/>
      <c r="HQP335"/>
      <c r="HQS335"/>
      <c r="HQT335"/>
      <c r="HQW335"/>
      <c r="HQX335"/>
      <c r="HRA335"/>
      <c r="HRB335"/>
      <c r="HRE335"/>
      <c r="HRF335"/>
      <c r="HRI335"/>
      <c r="HRJ335"/>
      <c r="HRM335"/>
      <c r="HRN335"/>
      <c r="HRQ335"/>
      <c r="HRR335"/>
      <c r="HRU335"/>
      <c r="HRV335"/>
      <c r="HRY335"/>
      <c r="HRZ335"/>
      <c r="HSC335"/>
      <c r="HSD335"/>
      <c r="HSG335"/>
      <c r="HSH335"/>
      <c r="HSK335"/>
      <c r="HSL335"/>
      <c r="HSO335"/>
      <c r="HSP335"/>
      <c r="HSS335"/>
      <c r="HST335"/>
      <c r="HSW335"/>
      <c r="HSX335"/>
      <c r="HTA335"/>
      <c r="HTB335"/>
      <c r="HTE335"/>
      <c r="HTF335"/>
      <c r="HTI335"/>
      <c r="HTJ335"/>
      <c r="HTM335"/>
      <c r="HTN335"/>
      <c r="HTQ335"/>
      <c r="HTR335"/>
      <c r="HTU335"/>
      <c r="HTV335"/>
      <c r="HTY335"/>
      <c r="HTZ335"/>
      <c r="HUC335"/>
      <c r="HUD335"/>
      <c r="HUG335"/>
      <c r="HUH335"/>
      <c r="HUK335"/>
      <c r="HUL335"/>
      <c r="HUO335"/>
      <c r="HUP335"/>
      <c r="HUS335"/>
      <c r="HUT335"/>
      <c r="HUW335"/>
      <c r="HUX335"/>
      <c r="HVA335"/>
      <c r="HVB335"/>
      <c r="HVE335"/>
      <c r="HVF335"/>
      <c r="HVI335"/>
      <c r="HVJ335"/>
      <c r="HVM335"/>
      <c r="HVN335"/>
      <c r="HVQ335"/>
      <c r="HVR335"/>
      <c r="HVU335"/>
      <c r="HVV335"/>
      <c r="HVY335"/>
      <c r="HVZ335"/>
      <c r="HWC335"/>
      <c r="HWD335"/>
      <c r="HWG335"/>
      <c r="HWH335"/>
      <c r="HWK335"/>
      <c r="HWL335"/>
      <c r="HWO335"/>
      <c r="HWP335"/>
      <c r="HWS335"/>
      <c r="HWT335"/>
      <c r="HWW335"/>
      <c r="HWX335"/>
      <c r="HXA335"/>
      <c r="HXB335"/>
      <c r="HXE335"/>
      <c r="HXF335"/>
      <c r="HXI335"/>
      <c r="HXJ335"/>
      <c r="HXM335"/>
      <c r="HXN335"/>
      <c r="HXQ335"/>
      <c r="HXR335"/>
      <c r="HXU335"/>
      <c r="HXV335"/>
      <c r="HXY335"/>
      <c r="HXZ335"/>
      <c r="HYC335"/>
      <c r="HYD335"/>
      <c r="HYG335"/>
      <c r="HYH335"/>
      <c r="HYK335"/>
      <c r="HYL335"/>
      <c r="HYO335"/>
      <c r="HYP335"/>
      <c r="HYS335"/>
      <c r="HYT335"/>
      <c r="HYW335"/>
      <c r="HYX335"/>
      <c r="HZA335"/>
      <c r="HZB335"/>
      <c r="HZE335"/>
      <c r="HZF335"/>
      <c r="HZI335"/>
      <c r="HZJ335"/>
      <c r="HZM335"/>
      <c r="HZN335"/>
      <c r="HZQ335"/>
      <c r="HZR335"/>
      <c r="HZU335"/>
      <c r="HZV335"/>
      <c r="HZY335"/>
      <c r="HZZ335"/>
      <c r="IAC335"/>
      <c r="IAD335"/>
      <c r="IAG335"/>
      <c r="IAH335"/>
      <c r="IAK335"/>
      <c r="IAL335"/>
      <c r="IAO335"/>
      <c r="IAP335"/>
      <c r="IAS335"/>
      <c r="IAT335"/>
      <c r="IAW335"/>
      <c r="IAX335"/>
      <c r="IBA335"/>
      <c r="IBB335"/>
      <c r="IBE335"/>
      <c r="IBF335"/>
      <c r="IBI335"/>
      <c r="IBJ335"/>
      <c r="IBM335"/>
      <c r="IBN335"/>
      <c r="IBQ335"/>
      <c r="IBR335"/>
      <c r="IBU335"/>
      <c r="IBV335"/>
      <c r="IBY335"/>
      <c r="IBZ335"/>
      <c r="ICC335"/>
      <c r="ICD335"/>
      <c r="ICG335"/>
      <c r="ICH335"/>
      <c r="ICK335"/>
      <c r="ICL335"/>
      <c r="ICO335"/>
      <c r="ICP335"/>
      <c r="ICS335"/>
      <c r="ICT335"/>
      <c r="ICW335"/>
      <c r="ICX335"/>
      <c r="IDA335"/>
      <c r="IDB335"/>
      <c r="IDE335"/>
      <c r="IDF335"/>
      <c r="IDI335"/>
      <c r="IDJ335"/>
      <c r="IDM335"/>
      <c r="IDN335"/>
      <c r="IDQ335"/>
      <c r="IDR335"/>
      <c r="IDU335"/>
      <c r="IDV335"/>
      <c r="IDY335"/>
      <c r="IDZ335"/>
      <c r="IEC335"/>
      <c r="IED335"/>
      <c r="IEG335"/>
      <c r="IEH335"/>
      <c r="IEK335"/>
      <c r="IEL335"/>
      <c r="IEO335"/>
      <c r="IEP335"/>
      <c r="IES335"/>
      <c r="IET335"/>
      <c r="IEW335"/>
      <c r="IEX335"/>
      <c r="IFA335"/>
      <c r="IFB335"/>
      <c r="IFE335"/>
      <c r="IFF335"/>
      <c r="IFI335"/>
      <c r="IFJ335"/>
      <c r="IFM335"/>
      <c r="IFN335"/>
      <c r="IFQ335"/>
      <c r="IFR335"/>
      <c r="IFU335"/>
      <c r="IFV335"/>
      <c r="IFY335"/>
      <c r="IFZ335"/>
      <c r="IGC335"/>
      <c r="IGD335"/>
      <c r="IGG335"/>
      <c r="IGH335"/>
      <c r="IGK335"/>
      <c r="IGL335"/>
      <c r="IGO335"/>
      <c r="IGP335"/>
      <c r="IGS335"/>
      <c r="IGT335"/>
      <c r="IGW335"/>
      <c r="IGX335"/>
      <c r="IHA335"/>
      <c r="IHB335"/>
      <c r="IHE335"/>
      <c r="IHF335"/>
      <c r="IHI335"/>
      <c r="IHJ335"/>
      <c r="IHM335"/>
      <c r="IHN335"/>
      <c r="IHQ335"/>
      <c r="IHR335"/>
      <c r="IHU335"/>
      <c r="IHV335"/>
      <c r="IHY335"/>
      <c r="IHZ335"/>
      <c r="IIC335"/>
      <c r="IID335"/>
      <c r="IIG335"/>
      <c r="IIH335"/>
      <c r="IIK335"/>
      <c r="IIL335"/>
      <c r="IIO335"/>
      <c r="IIP335"/>
      <c r="IIS335"/>
      <c r="IIT335"/>
      <c r="IIW335"/>
      <c r="IIX335"/>
      <c r="IJA335"/>
      <c r="IJB335"/>
      <c r="IJE335"/>
      <c r="IJF335"/>
      <c r="IJI335"/>
      <c r="IJJ335"/>
      <c r="IJM335"/>
      <c r="IJN335"/>
      <c r="IJQ335"/>
      <c r="IJR335"/>
      <c r="IJU335"/>
      <c r="IJV335"/>
      <c r="IJY335"/>
      <c r="IJZ335"/>
      <c r="IKC335"/>
      <c r="IKD335"/>
      <c r="IKG335"/>
      <c r="IKH335"/>
      <c r="IKK335"/>
      <c r="IKL335"/>
      <c r="IKO335"/>
      <c r="IKP335"/>
      <c r="IKS335"/>
      <c r="IKT335"/>
      <c r="IKW335"/>
      <c r="IKX335"/>
      <c r="ILA335"/>
      <c r="ILB335"/>
      <c r="ILE335"/>
      <c r="ILF335"/>
      <c r="ILI335"/>
      <c r="ILJ335"/>
      <c r="ILM335"/>
      <c r="ILN335"/>
      <c r="ILQ335"/>
      <c r="ILR335"/>
      <c r="ILU335"/>
      <c r="ILV335"/>
      <c r="ILY335"/>
      <c r="ILZ335"/>
      <c r="IMC335"/>
      <c r="IMD335"/>
      <c r="IMG335"/>
      <c r="IMH335"/>
      <c r="IMK335"/>
      <c r="IML335"/>
      <c r="IMO335"/>
      <c r="IMP335"/>
      <c r="IMS335"/>
      <c r="IMT335"/>
      <c r="IMW335"/>
      <c r="IMX335"/>
      <c r="INA335"/>
      <c r="INB335"/>
      <c r="INE335"/>
      <c r="INF335"/>
      <c r="INI335"/>
      <c r="INJ335"/>
      <c r="INM335"/>
      <c r="INN335"/>
      <c r="INQ335"/>
      <c r="INR335"/>
      <c r="INU335"/>
      <c r="INV335"/>
      <c r="INY335"/>
      <c r="INZ335"/>
      <c r="IOC335"/>
      <c r="IOD335"/>
      <c r="IOG335"/>
      <c r="IOH335"/>
      <c r="IOK335"/>
      <c r="IOL335"/>
      <c r="IOO335"/>
      <c r="IOP335"/>
      <c r="IOS335"/>
      <c r="IOT335"/>
      <c r="IOW335"/>
      <c r="IOX335"/>
      <c r="IPA335"/>
      <c r="IPB335"/>
      <c r="IPE335"/>
      <c r="IPF335"/>
      <c r="IPI335"/>
      <c r="IPJ335"/>
      <c r="IPM335"/>
      <c r="IPN335"/>
      <c r="IPQ335"/>
      <c r="IPR335"/>
      <c r="IPU335"/>
      <c r="IPV335"/>
      <c r="IPY335"/>
      <c r="IPZ335"/>
      <c r="IQC335"/>
      <c r="IQD335"/>
      <c r="IQG335"/>
      <c r="IQH335"/>
      <c r="IQK335"/>
      <c r="IQL335"/>
      <c r="IQO335"/>
      <c r="IQP335"/>
      <c r="IQS335"/>
      <c r="IQT335"/>
      <c r="IQW335"/>
      <c r="IQX335"/>
      <c r="IRA335"/>
      <c r="IRB335"/>
      <c r="IRE335"/>
      <c r="IRF335"/>
      <c r="IRI335"/>
      <c r="IRJ335"/>
      <c r="IRM335"/>
      <c r="IRN335"/>
      <c r="IRQ335"/>
      <c r="IRR335"/>
      <c r="IRU335"/>
      <c r="IRV335"/>
      <c r="IRY335"/>
      <c r="IRZ335"/>
      <c r="ISC335"/>
      <c r="ISD335"/>
      <c r="ISG335"/>
      <c r="ISH335"/>
      <c r="ISK335"/>
      <c r="ISL335"/>
      <c r="ISO335"/>
      <c r="ISP335"/>
      <c r="ISS335"/>
      <c r="IST335"/>
      <c r="ISW335"/>
      <c r="ISX335"/>
      <c r="ITA335"/>
      <c r="ITB335"/>
      <c r="ITE335"/>
      <c r="ITF335"/>
      <c r="ITI335"/>
      <c r="ITJ335"/>
      <c r="ITM335"/>
      <c r="ITN335"/>
      <c r="ITQ335"/>
      <c r="ITR335"/>
      <c r="ITU335"/>
      <c r="ITV335"/>
      <c r="ITY335"/>
      <c r="ITZ335"/>
      <c r="IUC335"/>
      <c r="IUD335"/>
      <c r="IUG335"/>
      <c r="IUH335"/>
      <c r="IUK335"/>
      <c r="IUL335"/>
      <c r="IUO335"/>
      <c r="IUP335"/>
      <c r="IUS335"/>
      <c r="IUT335"/>
      <c r="IUW335"/>
      <c r="IUX335"/>
      <c r="IVA335"/>
      <c r="IVB335"/>
      <c r="IVE335"/>
      <c r="IVF335"/>
      <c r="IVI335"/>
      <c r="IVJ335"/>
      <c r="IVM335"/>
      <c r="IVN335"/>
      <c r="IVQ335"/>
      <c r="IVR335"/>
      <c r="IVU335"/>
      <c r="IVV335"/>
      <c r="IVY335"/>
      <c r="IVZ335"/>
      <c r="IWC335"/>
      <c r="IWD335"/>
      <c r="IWG335"/>
      <c r="IWH335"/>
      <c r="IWK335"/>
      <c r="IWL335"/>
      <c r="IWO335"/>
      <c r="IWP335"/>
      <c r="IWS335"/>
      <c r="IWT335"/>
      <c r="IWW335"/>
      <c r="IWX335"/>
      <c r="IXA335"/>
      <c r="IXB335"/>
      <c r="IXE335"/>
      <c r="IXF335"/>
      <c r="IXI335"/>
      <c r="IXJ335"/>
      <c r="IXM335"/>
      <c r="IXN335"/>
      <c r="IXQ335"/>
      <c r="IXR335"/>
      <c r="IXU335"/>
      <c r="IXV335"/>
      <c r="IXY335"/>
      <c r="IXZ335"/>
      <c r="IYC335"/>
      <c r="IYD335"/>
      <c r="IYG335"/>
      <c r="IYH335"/>
      <c r="IYK335"/>
      <c r="IYL335"/>
      <c r="IYO335"/>
      <c r="IYP335"/>
      <c r="IYS335"/>
      <c r="IYT335"/>
      <c r="IYW335"/>
      <c r="IYX335"/>
      <c r="IZA335"/>
      <c r="IZB335"/>
      <c r="IZE335"/>
      <c r="IZF335"/>
      <c r="IZI335"/>
      <c r="IZJ335"/>
      <c r="IZM335"/>
      <c r="IZN335"/>
      <c r="IZQ335"/>
      <c r="IZR335"/>
      <c r="IZU335"/>
      <c r="IZV335"/>
      <c r="IZY335"/>
      <c r="IZZ335"/>
      <c r="JAC335"/>
      <c r="JAD335"/>
      <c r="JAG335"/>
      <c r="JAH335"/>
      <c r="JAK335"/>
      <c r="JAL335"/>
      <c r="JAO335"/>
      <c r="JAP335"/>
      <c r="JAS335"/>
      <c r="JAT335"/>
      <c r="JAW335"/>
      <c r="JAX335"/>
      <c r="JBA335"/>
      <c r="JBB335"/>
      <c r="JBE335"/>
      <c r="JBF335"/>
      <c r="JBI335"/>
      <c r="JBJ335"/>
      <c r="JBM335"/>
      <c r="JBN335"/>
      <c r="JBQ335"/>
      <c r="JBR335"/>
      <c r="JBU335"/>
      <c r="JBV335"/>
      <c r="JBY335"/>
      <c r="JBZ335"/>
      <c r="JCC335"/>
      <c r="JCD335"/>
      <c r="JCG335"/>
      <c r="JCH335"/>
      <c r="JCK335"/>
      <c r="JCL335"/>
      <c r="JCO335"/>
      <c r="JCP335"/>
      <c r="JCS335"/>
      <c r="JCT335"/>
      <c r="JCW335"/>
      <c r="JCX335"/>
      <c r="JDA335"/>
      <c r="JDB335"/>
      <c r="JDE335"/>
      <c r="JDF335"/>
      <c r="JDI335"/>
      <c r="JDJ335"/>
      <c r="JDM335"/>
      <c r="JDN335"/>
      <c r="JDQ335"/>
      <c r="JDR335"/>
      <c r="JDU335"/>
      <c r="JDV335"/>
      <c r="JDY335"/>
      <c r="JDZ335"/>
      <c r="JEC335"/>
      <c r="JED335"/>
      <c r="JEG335"/>
      <c r="JEH335"/>
      <c r="JEK335"/>
      <c r="JEL335"/>
      <c r="JEO335"/>
      <c r="JEP335"/>
      <c r="JES335"/>
      <c r="JET335"/>
      <c r="JEW335"/>
      <c r="JEX335"/>
      <c r="JFA335"/>
      <c r="JFB335"/>
      <c r="JFE335"/>
      <c r="JFF335"/>
      <c r="JFI335"/>
      <c r="JFJ335"/>
      <c r="JFM335"/>
      <c r="JFN335"/>
      <c r="JFQ335"/>
      <c r="JFR335"/>
      <c r="JFU335"/>
      <c r="JFV335"/>
      <c r="JFY335"/>
      <c r="JFZ335"/>
      <c r="JGC335"/>
      <c r="JGD335"/>
      <c r="JGG335"/>
      <c r="JGH335"/>
      <c r="JGK335"/>
      <c r="JGL335"/>
      <c r="JGO335"/>
      <c r="JGP335"/>
      <c r="JGS335"/>
      <c r="JGT335"/>
      <c r="JGW335"/>
      <c r="JGX335"/>
      <c r="JHA335"/>
      <c r="JHB335"/>
      <c r="JHE335"/>
      <c r="JHF335"/>
      <c r="JHI335"/>
      <c r="JHJ335"/>
      <c r="JHM335"/>
      <c r="JHN335"/>
      <c r="JHQ335"/>
      <c r="JHR335"/>
      <c r="JHU335"/>
      <c r="JHV335"/>
      <c r="JHY335"/>
      <c r="JHZ335"/>
      <c r="JIC335"/>
      <c r="JID335"/>
      <c r="JIG335"/>
      <c r="JIH335"/>
      <c r="JIK335"/>
      <c r="JIL335"/>
      <c r="JIO335"/>
      <c r="JIP335"/>
      <c r="JIS335"/>
      <c r="JIT335"/>
      <c r="JIW335"/>
      <c r="JIX335"/>
      <c r="JJA335"/>
      <c r="JJB335"/>
      <c r="JJE335"/>
      <c r="JJF335"/>
      <c r="JJI335"/>
      <c r="JJJ335"/>
      <c r="JJM335"/>
      <c r="JJN335"/>
      <c r="JJQ335"/>
      <c r="JJR335"/>
      <c r="JJU335"/>
      <c r="JJV335"/>
      <c r="JJY335"/>
      <c r="JJZ335"/>
      <c r="JKC335"/>
      <c r="JKD335"/>
      <c r="JKG335"/>
      <c r="JKH335"/>
      <c r="JKK335"/>
      <c r="JKL335"/>
      <c r="JKO335"/>
      <c r="JKP335"/>
      <c r="JKS335"/>
      <c r="JKT335"/>
      <c r="JKW335"/>
      <c r="JKX335"/>
      <c r="JLA335"/>
      <c r="JLB335"/>
      <c r="JLE335"/>
      <c r="JLF335"/>
      <c r="JLI335"/>
      <c r="JLJ335"/>
      <c r="JLM335"/>
      <c r="JLN335"/>
      <c r="JLQ335"/>
      <c r="JLR335"/>
      <c r="JLU335"/>
      <c r="JLV335"/>
      <c r="JLY335"/>
      <c r="JLZ335"/>
      <c r="JMC335"/>
      <c r="JMD335"/>
      <c r="JMG335"/>
      <c r="JMH335"/>
      <c r="JMK335"/>
      <c r="JML335"/>
      <c r="JMO335"/>
      <c r="JMP335"/>
      <c r="JMS335"/>
      <c r="JMT335"/>
      <c r="JMW335"/>
      <c r="JMX335"/>
      <c r="JNA335"/>
      <c r="JNB335"/>
      <c r="JNE335"/>
      <c r="JNF335"/>
      <c r="JNI335"/>
      <c r="JNJ335"/>
      <c r="JNM335"/>
      <c r="JNN335"/>
      <c r="JNQ335"/>
      <c r="JNR335"/>
      <c r="JNU335"/>
      <c r="JNV335"/>
      <c r="JNY335"/>
      <c r="JNZ335"/>
      <c r="JOC335"/>
      <c r="JOD335"/>
      <c r="JOG335"/>
      <c r="JOH335"/>
      <c r="JOK335"/>
      <c r="JOL335"/>
      <c r="JOO335"/>
      <c r="JOP335"/>
      <c r="JOS335"/>
      <c r="JOT335"/>
      <c r="JOW335"/>
      <c r="JOX335"/>
      <c r="JPA335"/>
      <c r="JPB335"/>
      <c r="JPE335"/>
      <c r="JPF335"/>
      <c r="JPI335"/>
      <c r="JPJ335"/>
      <c r="JPM335"/>
      <c r="JPN335"/>
      <c r="JPQ335"/>
      <c r="JPR335"/>
      <c r="JPU335"/>
      <c r="JPV335"/>
      <c r="JPY335"/>
      <c r="JPZ335"/>
      <c r="JQC335"/>
      <c r="JQD335"/>
      <c r="JQG335"/>
      <c r="JQH335"/>
      <c r="JQK335"/>
      <c r="JQL335"/>
      <c r="JQO335"/>
      <c r="JQP335"/>
      <c r="JQS335"/>
      <c r="JQT335"/>
      <c r="JQW335"/>
      <c r="JQX335"/>
      <c r="JRA335"/>
      <c r="JRB335"/>
      <c r="JRE335"/>
      <c r="JRF335"/>
      <c r="JRI335"/>
      <c r="JRJ335"/>
      <c r="JRM335"/>
      <c r="JRN335"/>
      <c r="JRQ335"/>
      <c r="JRR335"/>
      <c r="JRU335"/>
      <c r="JRV335"/>
      <c r="JRY335"/>
      <c r="JRZ335"/>
      <c r="JSC335"/>
      <c r="JSD335"/>
      <c r="JSG335"/>
      <c r="JSH335"/>
      <c r="JSK335"/>
      <c r="JSL335"/>
      <c r="JSO335"/>
      <c r="JSP335"/>
      <c r="JSS335"/>
      <c r="JST335"/>
      <c r="JSW335"/>
      <c r="JSX335"/>
      <c r="JTA335"/>
      <c r="JTB335"/>
      <c r="JTE335"/>
      <c r="JTF335"/>
      <c r="JTI335"/>
      <c r="JTJ335"/>
      <c r="JTM335"/>
      <c r="JTN335"/>
      <c r="JTQ335"/>
      <c r="JTR335"/>
      <c r="JTU335"/>
      <c r="JTV335"/>
      <c r="JTY335"/>
      <c r="JTZ335"/>
      <c r="JUC335"/>
      <c r="JUD335"/>
      <c r="JUG335"/>
      <c r="JUH335"/>
      <c r="JUK335"/>
      <c r="JUL335"/>
      <c r="JUO335"/>
      <c r="JUP335"/>
      <c r="JUS335"/>
      <c r="JUT335"/>
      <c r="JUW335"/>
      <c r="JUX335"/>
      <c r="JVA335"/>
      <c r="JVB335"/>
      <c r="JVE335"/>
      <c r="JVF335"/>
      <c r="JVI335"/>
      <c r="JVJ335"/>
      <c r="JVM335"/>
      <c r="JVN335"/>
      <c r="JVQ335"/>
      <c r="JVR335"/>
      <c r="JVU335"/>
      <c r="JVV335"/>
      <c r="JVY335"/>
      <c r="JVZ335"/>
      <c r="JWC335"/>
      <c r="JWD335"/>
      <c r="JWG335"/>
      <c r="JWH335"/>
      <c r="JWK335"/>
      <c r="JWL335"/>
      <c r="JWO335"/>
      <c r="JWP335"/>
      <c r="JWS335"/>
      <c r="JWT335"/>
      <c r="JWW335"/>
      <c r="JWX335"/>
      <c r="JXA335"/>
      <c r="JXB335"/>
      <c r="JXE335"/>
      <c r="JXF335"/>
      <c r="JXI335"/>
      <c r="JXJ335"/>
      <c r="JXM335"/>
      <c r="JXN335"/>
      <c r="JXQ335"/>
      <c r="JXR335"/>
      <c r="JXU335"/>
      <c r="JXV335"/>
      <c r="JXY335"/>
      <c r="JXZ335"/>
      <c r="JYC335"/>
      <c r="JYD335"/>
      <c r="JYG335"/>
      <c r="JYH335"/>
      <c r="JYK335"/>
      <c r="JYL335"/>
      <c r="JYO335"/>
      <c r="JYP335"/>
      <c r="JYS335"/>
      <c r="JYT335"/>
      <c r="JYW335"/>
      <c r="JYX335"/>
      <c r="JZA335"/>
      <c r="JZB335"/>
      <c r="JZE335"/>
      <c r="JZF335"/>
      <c r="JZI335"/>
      <c r="JZJ335"/>
      <c r="JZM335"/>
      <c r="JZN335"/>
      <c r="JZQ335"/>
      <c r="JZR335"/>
      <c r="JZU335"/>
      <c r="JZV335"/>
      <c r="JZY335"/>
      <c r="JZZ335"/>
      <c r="KAC335"/>
      <c r="KAD335"/>
      <c r="KAG335"/>
      <c r="KAH335"/>
      <c r="KAK335"/>
      <c r="KAL335"/>
      <c r="KAO335"/>
      <c r="KAP335"/>
      <c r="KAS335"/>
      <c r="KAT335"/>
      <c r="KAW335"/>
      <c r="KAX335"/>
      <c r="KBA335"/>
      <c r="KBB335"/>
      <c r="KBE335"/>
      <c r="KBF335"/>
      <c r="KBI335"/>
      <c r="KBJ335"/>
      <c r="KBM335"/>
      <c r="KBN335"/>
      <c r="KBQ335"/>
      <c r="KBR335"/>
      <c r="KBU335"/>
      <c r="KBV335"/>
      <c r="KBY335"/>
      <c r="KBZ335"/>
      <c r="KCC335"/>
      <c r="KCD335"/>
      <c r="KCG335"/>
      <c r="KCH335"/>
      <c r="KCK335"/>
      <c r="KCL335"/>
      <c r="KCO335"/>
      <c r="KCP335"/>
      <c r="KCS335"/>
      <c r="KCT335"/>
      <c r="KCW335"/>
      <c r="KCX335"/>
      <c r="KDA335"/>
      <c r="KDB335"/>
      <c r="KDE335"/>
      <c r="KDF335"/>
      <c r="KDI335"/>
      <c r="KDJ335"/>
      <c r="KDM335"/>
      <c r="KDN335"/>
      <c r="KDQ335"/>
      <c r="KDR335"/>
      <c r="KDU335"/>
      <c r="KDV335"/>
      <c r="KDY335"/>
      <c r="KDZ335"/>
      <c r="KEC335"/>
      <c r="KED335"/>
      <c r="KEG335"/>
      <c r="KEH335"/>
      <c r="KEK335"/>
      <c r="KEL335"/>
      <c r="KEO335"/>
      <c r="KEP335"/>
      <c r="KES335"/>
      <c r="KET335"/>
      <c r="KEW335"/>
      <c r="KEX335"/>
      <c r="KFA335"/>
      <c r="KFB335"/>
      <c r="KFE335"/>
      <c r="KFF335"/>
      <c r="KFI335"/>
      <c r="KFJ335"/>
      <c r="KFM335"/>
      <c r="KFN335"/>
      <c r="KFQ335"/>
      <c r="KFR335"/>
      <c r="KFU335"/>
      <c r="KFV335"/>
      <c r="KFY335"/>
      <c r="KFZ335"/>
      <c r="KGC335"/>
      <c r="KGD335"/>
      <c r="KGG335"/>
      <c r="KGH335"/>
      <c r="KGK335"/>
      <c r="KGL335"/>
      <c r="KGO335"/>
      <c r="KGP335"/>
      <c r="KGS335"/>
      <c r="KGT335"/>
      <c r="KGW335"/>
      <c r="KGX335"/>
      <c r="KHA335"/>
      <c r="KHB335"/>
      <c r="KHE335"/>
      <c r="KHF335"/>
      <c r="KHI335"/>
      <c r="KHJ335"/>
      <c r="KHM335"/>
      <c r="KHN335"/>
      <c r="KHQ335"/>
      <c r="KHR335"/>
      <c r="KHU335"/>
      <c r="KHV335"/>
      <c r="KHY335"/>
      <c r="KHZ335"/>
      <c r="KIC335"/>
      <c r="KID335"/>
      <c r="KIG335"/>
      <c r="KIH335"/>
      <c r="KIK335"/>
      <c r="KIL335"/>
      <c r="KIO335"/>
      <c r="KIP335"/>
      <c r="KIS335"/>
      <c r="KIT335"/>
      <c r="KIW335"/>
      <c r="KIX335"/>
      <c r="KJA335"/>
      <c r="KJB335"/>
      <c r="KJE335"/>
      <c r="KJF335"/>
      <c r="KJI335"/>
      <c r="KJJ335"/>
      <c r="KJM335"/>
      <c r="KJN335"/>
      <c r="KJQ335"/>
      <c r="KJR335"/>
      <c r="KJU335"/>
      <c r="KJV335"/>
      <c r="KJY335"/>
      <c r="KJZ335"/>
      <c r="KKC335"/>
      <c r="KKD335"/>
      <c r="KKG335"/>
      <c r="KKH335"/>
      <c r="KKK335"/>
      <c r="KKL335"/>
      <c r="KKO335"/>
      <c r="KKP335"/>
      <c r="KKS335"/>
      <c r="KKT335"/>
      <c r="KKW335"/>
      <c r="KKX335"/>
      <c r="KLA335"/>
      <c r="KLB335"/>
      <c r="KLE335"/>
      <c r="KLF335"/>
      <c r="KLI335"/>
      <c r="KLJ335"/>
      <c r="KLM335"/>
      <c r="KLN335"/>
      <c r="KLQ335"/>
      <c r="KLR335"/>
      <c r="KLU335"/>
      <c r="KLV335"/>
      <c r="KLY335"/>
      <c r="KLZ335"/>
      <c r="KMC335"/>
      <c r="KMD335"/>
      <c r="KMG335"/>
      <c r="KMH335"/>
      <c r="KMK335"/>
      <c r="KML335"/>
      <c r="KMO335"/>
      <c r="KMP335"/>
      <c r="KMS335"/>
      <c r="KMT335"/>
      <c r="KMW335"/>
      <c r="KMX335"/>
      <c r="KNA335"/>
      <c r="KNB335"/>
      <c r="KNE335"/>
      <c r="KNF335"/>
      <c r="KNI335"/>
      <c r="KNJ335"/>
      <c r="KNM335"/>
      <c r="KNN335"/>
      <c r="KNQ335"/>
      <c r="KNR335"/>
      <c r="KNU335"/>
      <c r="KNV335"/>
      <c r="KNY335"/>
      <c r="KNZ335"/>
      <c r="KOC335"/>
      <c r="KOD335"/>
      <c r="KOG335"/>
      <c r="KOH335"/>
      <c r="KOK335"/>
      <c r="KOL335"/>
      <c r="KOO335"/>
      <c r="KOP335"/>
      <c r="KOS335"/>
      <c r="KOT335"/>
      <c r="KOW335"/>
      <c r="KOX335"/>
      <c r="KPA335"/>
      <c r="KPB335"/>
      <c r="KPE335"/>
      <c r="KPF335"/>
      <c r="KPI335"/>
      <c r="KPJ335"/>
      <c r="KPM335"/>
      <c r="KPN335"/>
      <c r="KPQ335"/>
      <c r="KPR335"/>
      <c r="KPU335"/>
      <c r="KPV335"/>
      <c r="KPY335"/>
      <c r="KPZ335"/>
      <c r="KQC335"/>
      <c r="KQD335"/>
      <c r="KQG335"/>
      <c r="KQH335"/>
      <c r="KQK335"/>
      <c r="KQL335"/>
      <c r="KQO335"/>
      <c r="KQP335"/>
      <c r="KQS335"/>
      <c r="KQT335"/>
      <c r="KQW335"/>
      <c r="KQX335"/>
      <c r="KRA335"/>
      <c r="KRB335"/>
      <c r="KRE335"/>
      <c r="KRF335"/>
      <c r="KRI335"/>
      <c r="KRJ335"/>
      <c r="KRM335"/>
      <c r="KRN335"/>
      <c r="KRQ335"/>
      <c r="KRR335"/>
      <c r="KRU335"/>
      <c r="KRV335"/>
      <c r="KRY335"/>
      <c r="KRZ335"/>
      <c r="KSC335"/>
      <c r="KSD335"/>
      <c r="KSG335"/>
      <c r="KSH335"/>
      <c r="KSK335"/>
      <c r="KSL335"/>
      <c r="KSO335"/>
      <c r="KSP335"/>
      <c r="KSS335"/>
      <c r="KST335"/>
      <c r="KSW335"/>
      <c r="KSX335"/>
      <c r="KTA335"/>
      <c r="KTB335"/>
      <c r="KTE335"/>
      <c r="KTF335"/>
      <c r="KTI335"/>
      <c r="KTJ335"/>
      <c r="KTM335"/>
      <c r="KTN335"/>
      <c r="KTQ335"/>
      <c r="KTR335"/>
      <c r="KTU335"/>
      <c r="KTV335"/>
      <c r="KTY335"/>
      <c r="KTZ335"/>
      <c r="KUC335"/>
      <c r="KUD335"/>
      <c r="KUG335"/>
      <c r="KUH335"/>
      <c r="KUK335"/>
      <c r="KUL335"/>
      <c r="KUO335"/>
      <c r="KUP335"/>
      <c r="KUS335"/>
      <c r="KUT335"/>
      <c r="KUW335"/>
      <c r="KUX335"/>
      <c r="KVA335"/>
      <c r="KVB335"/>
      <c r="KVE335"/>
      <c r="KVF335"/>
      <c r="KVI335"/>
      <c r="KVJ335"/>
      <c r="KVM335"/>
      <c r="KVN335"/>
      <c r="KVQ335"/>
      <c r="KVR335"/>
      <c r="KVU335"/>
      <c r="KVV335"/>
      <c r="KVY335"/>
      <c r="KVZ335"/>
      <c r="KWC335"/>
      <c r="KWD335"/>
      <c r="KWG335"/>
      <c r="KWH335"/>
      <c r="KWK335"/>
      <c r="KWL335"/>
      <c r="KWO335"/>
      <c r="KWP335"/>
      <c r="KWS335"/>
      <c r="KWT335"/>
      <c r="KWW335"/>
      <c r="KWX335"/>
      <c r="KXA335"/>
      <c r="KXB335"/>
      <c r="KXE335"/>
      <c r="KXF335"/>
      <c r="KXI335"/>
      <c r="KXJ335"/>
      <c r="KXM335"/>
      <c r="KXN335"/>
      <c r="KXQ335"/>
      <c r="KXR335"/>
      <c r="KXU335"/>
      <c r="KXV335"/>
      <c r="KXY335"/>
      <c r="KXZ335"/>
      <c r="KYC335"/>
      <c r="KYD335"/>
      <c r="KYG335"/>
      <c r="KYH335"/>
      <c r="KYK335"/>
      <c r="KYL335"/>
      <c r="KYO335"/>
      <c r="KYP335"/>
      <c r="KYS335"/>
      <c r="KYT335"/>
      <c r="KYW335"/>
      <c r="KYX335"/>
      <c r="KZA335"/>
      <c r="KZB335"/>
      <c r="KZE335"/>
      <c r="KZF335"/>
      <c r="KZI335"/>
      <c r="KZJ335"/>
      <c r="KZM335"/>
      <c r="KZN335"/>
      <c r="KZQ335"/>
      <c r="KZR335"/>
      <c r="KZU335"/>
      <c r="KZV335"/>
      <c r="KZY335"/>
      <c r="KZZ335"/>
      <c r="LAC335"/>
      <c r="LAD335"/>
      <c r="LAG335"/>
      <c r="LAH335"/>
      <c r="LAK335"/>
      <c r="LAL335"/>
      <c r="LAO335"/>
      <c r="LAP335"/>
      <c r="LAS335"/>
      <c r="LAT335"/>
      <c r="LAW335"/>
      <c r="LAX335"/>
      <c r="LBA335"/>
      <c r="LBB335"/>
      <c r="LBE335"/>
      <c r="LBF335"/>
      <c r="LBI335"/>
      <c r="LBJ335"/>
      <c r="LBM335"/>
      <c r="LBN335"/>
      <c r="LBQ335"/>
      <c r="LBR335"/>
      <c r="LBU335"/>
      <c r="LBV335"/>
      <c r="LBY335"/>
      <c r="LBZ335"/>
      <c r="LCC335"/>
      <c r="LCD335"/>
      <c r="LCG335"/>
      <c r="LCH335"/>
      <c r="LCK335"/>
      <c r="LCL335"/>
      <c r="LCO335"/>
      <c r="LCP335"/>
      <c r="LCS335"/>
      <c r="LCT335"/>
      <c r="LCW335"/>
      <c r="LCX335"/>
      <c r="LDA335"/>
      <c r="LDB335"/>
      <c r="LDE335"/>
      <c r="LDF335"/>
      <c r="LDI335"/>
      <c r="LDJ335"/>
      <c r="LDM335"/>
      <c r="LDN335"/>
      <c r="LDQ335"/>
      <c r="LDR335"/>
      <c r="LDU335"/>
      <c r="LDV335"/>
      <c r="LDY335"/>
      <c r="LDZ335"/>
      <c r="LEC335"/>
      <c r="LED335"/>
      <c r="LEG335"/>
      <c r="LEH335"/>
      <c r="LEK335"/>
      <c r="LEL335"/>
      <c r="LEO335"/>
      <c r="LEP335"/>
      <c r="LES335"/>
      <c r="LET335"/>
      <c r="LEW335"/>
      <c r="LEX335"/>
      <c r="LFA335"/>
      <c r="LFB335"/>
      <c r="LFE335"/>
      <c r="LFF335"/>
      <c r="LFI335"/>
      <c r="LFJ335"/>
      <c r="LFM335"/>
      <c r="LFN335"/>
      <c r="LFQ335"/>
      <c r="LFR335"/>
      <c r="LFU335"/>
      <c r="LFV335"/>
      <c r="LFY335"/>
      <c r="LFZ335"/>
      <c r="LGC335"/>
      <c r="LGD335"/>
      <c r="LGG335"/>
      <c r="LGH335"/>
      <c r="LGK335"/>
      <c r="LGL335"/>
      <c r="LGO335"/>
      <c r="LGP335"/>
      <c r="LGS335"/>
      <c r="LGT335"/>
      <c r="LGW335"/>
      <c r="LGX335"/>
      <c r="LHA335"/>
      <c r="LHB335"/>
      <c r="LHE335"/>
      <c r="LHF335"/>
      <c r="LHI335"/>
      <c r="LHJ335"/>
      <c r="LHM335"/>
      <c r="LHN335"/>
      <c r="LHQ335"/>
      <c r="LHR335"/>
      <c r="LHU335"/>
      <c r="LHV335"/>
      <c r="LHY335"/>
      <c r="LHZ335"/>
      <c r="LIC335"/>
      <c r="LID335"/>
      <c r="LIG335"/>
      <c r="LIH335"/>
      <c r="LIK335"/>
      <c r="LIL335"/>
      <c r="LIO335"/>
      <c r="LIP335"/>
      <c r="LIS335"/>
      <c r="LIT335"/>
      <c r="LIW335"/>
      <c r="LIX335"/>
      <c r="LJA335"/>
      <c r="LJB335"/>
      <c r="LJE335"/>
      <c r="LJF335"/>
      <c r="LJI335"/>
      <c r="LJJ335"/>
      <c r="LJM335"/>
      <c r="LJN335"/>
      <c r="LJQ335"/>
      <c r="LJR335"/>
      <c r="LJU335"/>
      <c r="LJV335"/>
      <c r="LJY335"/>
      <c r="LJZ335"/>
      <c r="LKC335"/>
      <c r="LKD335"/>
      <c r="LKG335"/>
      <c r="LKH335"/>
      <c r="LKK335"/>
      <c r="LKL335"/>
      <c r="LKO335"/>
      <c r="LKP335"/>
      <c r="LKS335"/>
      <c r="LKT335"/>
      <c r="LKW335"/>
      <c r="LKX335"/>
      <c r="LLA335"/>
      <c r="LLB335"/>
      <c r="LLE335"/>
      <c r="LLF335"/>
      <c r="LLI335"/>
      <c r="LLJ335"/>
      <c r="LLM335"/>
      <c r="LLN335"/>
      <c r="LLQ335"/>
      <c r="LLR335"/>
      <c r="LLU335"/>
      <c r="LLV335"/>
      <c r="LLY335"/>
      <c r="LLZ335"/>
      <c r="LMC335"/>
      <c r="LMD335"/>
      <c r="LMG335"/>
      <c r="LMH335"/>
      <c r="LMK335"/>
      <c r="LML335"/>
      <c r="LMO335"/>
      <c r="LMP335"/>
      <c r="LMS335"/>
      <c r="LMT335"/>
      <c r="LMW335"/>
      <c r="LMX335"/>
      <c r="LNA335"/>
      <c r="LNB335"/>
      <c r="LNE335"/>
      <c r="LNF335"/>
      <c r="LNI335"/>
      <c r="LNJ335"/>
      <c r="LNM335"/>
      <c r="LNN335"/>
      <c r="LNQ335"/>
      <c r="LNR335"/>
      <c r="LNU335"/>
      <c r="LNV335"/>
      <c r="LNY335"/>
      <c r="LNZ335"/>
      <c r="LOC335"/>
      <c r="LOD335"/>
      <c r="LOG335"/>
      <c r="LOH335"/>
      <c r="LOK335"/>
      <c r="LOL335"/>
      <c r="LOO335"/>
      <c r="LOP335"/>
      <c r="LOS335"/>
      <c r="LOT335"/>
      <c r="LOW335"/>
      <c r="LOX335"/>
      <c r="LPA335"/>
      <c r="LPB335"/>
      <c r="LPE335"/>
      <c r="LPF335"/>
      <c r="LPI335"/>
      <c r="LPJ335"/>
      <c r="LPM335"/>
      <c r="LPN335"/>
      <c r="LPQ335"/>
      <c r="LPR335"/>
      <c r="LPU335"/>
      <c r="LPV335"/>
      <c r="LPY335"/>
      <c r="LPZ335"/>
      <c r="LQC335"/>
      <c r="LQD335"/>
      <c r="LQG335"/>
      <c r="LQH335"/>
      <c r="LQK335"/>
      <c r="LQL335"/>
      <c r="LQO335"/>
      <c r="LQP335"/>
      <c r="LQS335"/>
      <c r="LQT335"/>
      <c r="LQW335"/>
      <c r="LQX335"/>
      <c r="LRA335"/>
      <c r="LRB335"/>
      <c r="LRE335"/>
      <c r="LRF335"/>
      <c r="LRI335"/>
      <c r="LRJ335"/>
      <c r="LRM335"/>
      <c r="LRN335"/>
      <c r="LRQ335"/>
      <c r="LRR335"/>
      <c r="LRU335"/>
      <c r="LRV335"/>
      <c r="LRY335"/>
      <c r="LRZ335"/>
      <c r="LSC335"/>
      <c r="LSD335"/>
      <c r="LSG335"/>
      <c r="LSH335"/>
      <c r="LSK335"/>
      <c r="LSL335"/>
      <c r="LSO335"/>
      <c r="LSP335"/>
      <c r="LSS335"/>
      <c r="LST335"/>
      <c r="LSW335"/>
      <c r="LSX335"/>
      <c r="LTA335"/>
      <c r="LTB335"/>
      <c r="LTE335"/>
      <c r="LTF335"/>
      <c r="LTI335"/>
      <c r="LTJ335"/>
      <c r="LTM335"/>
      <c r="LTN335"/>
      <c r="LTQ335"/>
      <c r="LTR335"/>
      <c r="LTU335"/>
      <c r="LTV335"/>
      <c r="LTY335"/>
      <c r="LTZ335"/>
      <c r="LUC335"/>
      <c r="LUD335"/>
      <c r="LUG335"/>
      <c r="LUH335"/>
      <c r="LUK335"/>
      <c r="LUL335"/>
      <c r="LUO335"/>
      <c r="LUP335"/>
      <c r="LUS335"/>
      <c r="LUT335"/>
      <c r="LUW335"/>
      <c r="LUX335"/>
      <c r="LVA335"/>
      <c r="LVB335"/>
      <c r="LVE335"/>
      <c r="LVF335"/>
      <c r="LVI335"/>
      <c r="LVJ335"/>
      <c r="LVM335"/>
      <c r="LVN335"/>
      <c r="LVQ335"/>
      <c r="LVR335"/>
      <c r="LVU335"/>
      <c r="LVV335"/>
      <c r="LVY335"/>
      <c r="LVZ335"/>
      <c r="LWC335"/>
      <c r="LWD335"/>
      <c r="LWG335"/>
      <c r="LWH335"/>
      <c r="LWK335"/>
      <c r="LWL335"/>
      <c r="LWO335"/>
      <c r="LWP335"/>
      <c r="LWS335"/>
      <c r="LWT335"/>
      <c r="LWW335"/>
      <c r="LWX335"/>
      <c r="LXA335"/>
      <c r="LXB335"/>
      <c r="LXE335"/>
      <c r="LXF335"/>
      <c r="LXI335"/>
      <c r="LXJ335"/>
      <c r="LXM335"/>
      <c r="LXN335"/>
      <c r="LXQ335"/>
      <c r="LXR335"/>
      <c r="LXU335"/>
      <c r="LXV335"/>
      <c r="LXY335"/>
      <c r="LXZ335"/>
      <c r="LYC335"/>
      <c r="LYD335"/>
      <c r="LYG335"/>
      <c r="LYH335"/>
      <c r="LYK335"/>
      <c r="LYL335"/>
      <c r="LYO335"/>
      <c r="LYP335"/>
      <c r="LYS335"/>
      <c r="LYT335"/>
      <c r="LYW335"/>
      <c r="LYX335"/>
      <c r="LZA335"/>
      <c r="LZB335"/>
      <c r="LZE335"/>
      <c r="LZF335"/>
      <c r="LZI335"/>
      <c r="LZJ335"/>
      <c r="LZM335"/>
      <c r="LZN335"/>
      <c r="LZQ335"/>
      <c r="LZR335"/>
      <c r="LZU335"/>
      <c r="LZV335"/>
      <c r="LZY335"/>
      <c r="LZZ335"/>
      <c r="MAC335"/>
      <c r="MAD335"/>
      <c r="MAG335"/>
      <c r="MAH335"/>
      <c r="MAK335"/>
      <c r="MAL335"/>
      <c r="MAO335"/>
      <c r="MAP335"/>
      <c r="MAS335"/>
      <c r="MAT335"/>
      <c r="MAW335"/>
      <c r="MAX335"/>
      <c r="MBA335"/>
      <c r="MBB335"/>
      <c r="MBE335"/>
      <c r="MBF335"/>
      <c r="MBI335"/>
      <c r="MBJ335"/>
      <c r="MBM335"/>
      <c r="MBN335"/>
      <c r="MBQ335"/>
      <c r="MBR335"/>
      <c r="MBU335"/>
      <c r="MBV335"/>
      <c r="MBY335"/>
      <c r="MBZ335"/>
      <c r="MCC335"/>
      <c r="MCD335"/>
      <c r="MCG335"/>
      <c r="MCH335"/>
      <c r="MCK335"/>
      <c r="MCL335"/>
      <c r="MCO335"/>
      <c r="MCP335"/>
      <c r="MCS335"/>
      <c r="MCT335"/>
      <c r="MCW335"/>
      <c r="MCX335"/>
      <c r="MDA335"/>
      <c r="MDB335"/>
      <c r="MDE335"/>
      <c r="MDF335"/>
      <c r="MDI335"/>
      <c r="MDJ335"/>
      <c r="MDM335"/>
      <c r="MDN335"/>
      <c r="MDQ335"/>
      <c r="MDR335"/>
      <c r="MDU335"/>
      <c r="MDV335"/>
      <c r="MDY335"/>
      <c r="MDZ335"/>
      <c r="MEC335"/>
      <c r="MED335"/>
      <c r="MEG335"/>
      <c r="MEH335"/>
      <c r="MEK335"/>
      <c r="MEL335"/>
      <c r="MEO335"/>
      <c r="MEP335"/>
      <c r="MES335"/>
      <c r="MET335"/>
      <c r="MEW335"/>
      <c r="MEX335"/>
      <c r="MFA335"/>
      <c r="MFB335"/>
      <c r="MFE335"/>
      <c r="MFF335"/>
      <c r="MFI335"/>
      <c r="MFJ335"/>
      <c r="MFM335"/>
      <c r="MFN335"/>
      <c r="MFQ335"/>
      <c r="MFR335"/>
      <c r="MFU335"/>
      <c r="MFV335"/>
      <c r="MFY335"/>
      <c r="MFZ335"/>
      <c r="MGC335"/>
      <c r="MGD335"/>
      <c r="MGG335"/>
      <c r="MGH335"/>
      <c r="MGK335"/>
      <c r="MGL335"/>
      <c r="MGO335"/>
      <c r="MGP335"/>
      <c r="MGS335"/>
      <c r="MGT335"/>
      <c r="MGW335"/>
      <c r="MGX335"/>
      <c r="MHA335"/>
      <c r="MHB335"/>
      <c r="MHE335"/>
      <c r="MHF335"/>
      <c r="MHI335"/>
      <c r="MHJ335"/>
      <c r="MHM335"/>
      <c r="MHN335"/>
      <c r="MHQ335"/>
      <c r="MHR335"/>
      <c r="MHU335"/>
      <c r="MHV335"/>
      <c r="MHY335"/>
      <c r="MHZ335"/>
      <c r="MIC335"/>
      <c r="MID335"/>
      <c r="MIG335"/>
      <c r="MIH335"/>
      <c r="MIK335"/>
      <c r="MIL335"/>
      <c r="MIO335"/>
      <c r="MIP335"/>
      <c r="MIS335"/>
      <c r="MIT335"/>
      <c r="MIW335"/>
      <c r="MIX335"/>
      <c r="MJA335"/>
      <c r="MJB335"/>
      <c r="MJE335"/>
      <c r="MJF335"/>
      <c r="MJI335"/>
      <c r="MJJ335"/>
      <c r="MJM335"/>
      <c r="MJN335"/>
      <c r="MJQ335"/>
      <c r="MJR335"/>
      <c r="MJU335"/>
      <c r="MJV335"/>
      <c r="MJY335"/>
      <c r="MJZ335"/>
      <c r="MKC335"/>
      <c r="MKD335"/>
      <c r="MKG335"/>
      <c r="MKH335"/>
      <c r="MKK335"/>
      <c r="MKL335"/>
      <c r="MKO335"/>
      <c r="MKP335"/>
      <c r="MKS335"/>
      <c r="MKT335"/>
      <c r="MKW335"/>
      <c r="MKX335"/>
      <c r="MLA335"/>
      <c r="MLB335"/>
      <c r="MLE335"/>
      <c r="MLF335"/>
      <c r="MLI335"/>
      <c r="MLJ335"/>
      <c r="MLM335"/>
      <c r="MLN335"/>
      <c r="MLQ335"/>
      <c r="MLR335"/>
      <c r="MLU335"/>
      <c r="MLV335"/>
      <c r="MLY335"/>
      <c r="MLZ335"/>
      <c r="MMC335"/>
      <c r="MMD335"/>
      <c r="MMG335"/>
      <c r="MMH335"/>
      <c r="MMK335"/>
      <c r="MML335"/>
      <c r="MMO335"/>
      <c r="MMP335"/>
      <c r="MMS335"/>
      <c r="MMT335"/>
      <c r="MMW335"/>
      <c r="MMX335"/>
      <c r="MNA335"/>
      <c r="MNB335"/>
      <c r="MNE335"/>
      <c r="MNF335"/>
      <c r="MNI335"/>
      <c r="MNJ335"/>
      <c r="MNM335"/>
      <c r="MNN335"/>
      <c r="MNQ335"/>
      <c r="MNR335"/>
      <c r="MNU335"/>
      <c r="MNV335"/>
      <c r="MNY335"/>
      <c r="MNZ335"/>
      <c r="MOC335"/>
      <c r="MOD335"/>
      <c r="MOG335"/>
      <c r="MOH335"/>
      <c r="MOK335"/>
      <c r="MOL335"/>
      <c r="MOO335"/>
      <c r="MOP335"/>
      <c r="MOS335"/>
      <c r="MOT335"/>
      <c r="MOW335"/>
      <c r="MOX335"/>
      <c r="MPA335"/>
      <c r="MPB335"/>
      <c r="MPE335"/>
      <c r="MPF335"/>
      <c r="MPI335"/>
      <c r="MPJ335"/>
      <c r="MPM335"/>
      <c r="MPN335"/>
      <c r="MPQ335"/>
      <c r="MPR335"/>
      <c r="MPU335"/>
      <c r="MPV335"/>
      <c r="MPY335"/>
      <c r="MPZ335"/>
      <c r="MQC335"/>
      <c r="MQD335"/>
      <c r="MQG335"/>
      <c r="MQH335"/>
      <c r="MQK335"/>
      <c r="MQL335"/>
      <c r="MQO335"/>
      <c r="MQP335"/>
      <c r="MQS335"/>
      <c r="MQT335"/>
      <c r="MQW335"/>
      <c r="MQX335"/>
      <c r="MRA335"/>
      <c r="MRB335"/>
      <c r="MRE335"/>
      <c r="MRF335"/>
      <c r="MRI335"/>
      <c r="MRJ335"/>
      <c r="MRM335"/>
      <c r="MRN335"/>
      <c r="MRQ335"/>
      <c r="MRR335"/>
      <c r="MRU335"/>
      <c r="MRV335"/>
      <c r="MRY335"/>
      <c r="MRZ335"/>
      <c r="MSC335"/>
      <c r="MSD335"/>
      <c r="MSG335"/>
      <c r="MSH335"/>
      <c r="MSK335"/>
      <c r="MSL335"/>
      <c r="MSO335"/>
      <c r="MSP335"/>
      <c r="MSS335"/>
      <c r="MST335"/>
      <c r="MSW335"/>
      <c r="MSX335"/>
      <c r="MTA335"/>
      <c r="MTB335"/>
      <c r="MTE335"/>
      <c r="MTF335"/>
      <c r="MTI335"/>
      <c r="MTJ335"/>
      <c r="MTM335"/>
      <c r="MTN335"/>
      <c r="MTQ335"/>
      <c r="MTR335"/>
      <c r="MTU335"/>
      <c r="MTV335"/>
      <c r="MTY335"/>
      <c r="MTZ335"/>
      <c r="MUC335"/>
      <c r="MUD335"/>
      <c r="MUG335"/>
      <c r="MUH335"/>
      <c r="MUK335"/>
      <c r="MUL335"/>
      <c r="MUO335"/>
      <c r="MUP335"/>
      <c r="MUS335"/>
      <c r="MUT335"/>
      <c r="MUW335"/>
      <c r="MUX335"/>
      <c r="MVA335"/>
      <c r="MVB335"/>
      <c r="MVE335"/>
      <c r="MVF335"/>
      <c r="MVI335"/>
      <c r="MVJ335"/>
      <c r="MVM335"/>
      <c r="MVN335"/>
      <c r="MVQ335"/>
      <c r="MVR335"/>
      <c r="MVU335"/>
      <c r="MVV335"/>
      <c r="MVY335"/>
      <c r="MVZ335"/>
      <c r="MWC335"/>
      <c r="MWD335"/>
      <c r="MWG335"/>
      <c r="MWH335"/>
      <c r="MWK335"/>
      <c r="MWL335"/>
      <c r="MWO335"/>
      <c r="MWP335"/>
      <c r="MWS335"/>
      <c r="MWT335"/>
      <c r="MWW335"/>
      <c r="MWX335"/>
      <c r="MXA335"/>
      <c r="MXB335"/>
      <c r="MXE335"/>
      <c r="MXF335"/>
      <c r="MXI335"/>
      <c r="MXJ335"/>
      <c r="MXM335"/>
      <c r="MXN335"/>
      <c r="MXQ335"/>
      <c r="MXR335"/>
      <c r="MXU335"/>
      <c r="MXV335"/>
      <c r="MXY335"/>
      <c r="MXZ335"/>
      <c r="MYC335"/>
      <c r="MYD335"/>
      <c r="MYG335"/>
      <c r="MYH335"/>
      <c r="MYK335"/>
      <c r="MYL335"/>
      <c r="MYO335"/>
      <c r="MYP335"/>
      <c r="MYS335"/>
      <c r="MYT335"/>
      <c r="MYW335"/>
      <c r="MYX335"/>
      <c r="MZA335"/>
      <c r="MZB335"/>
      <c r="MZE335"/>
      <c r="MZF335"/>
      <c r="MZI335"/>
      <c r="MZJ335"/>
      <c r="MZM335"/>
      <c r="MZN335"/>
      <c r="MZQ335"/>
      <c r="MZR335"/>
      <c r="MZU335"/>
      <c r="MZV335"/>
      <c r="MZY335"/>
      <c r="MZZ335"/>
      <c r="NAC335"/>
      <c r="NAD335"/>
      <c r="NAG335"/>
      <c r="NAH335"/>
      <c r="NAK335"/>
      <c r="NAL335"/>
      <c r="NAO335"/>
      <c r="NAP335"/>
      <c r="NAS335"/>
      <c r="NAT335"/>
      <c r="NAW335"/>
      <c r="NAX335"/>
      <c r="NBA335"/>
      <c r="NBB335"/>
      <c r="NBE335"/>
      <c r="NBF335"/>
      <c r="NBI335"/>
      <c r="NBJ335"/>
      <c r="NBM335"/>
      <c r="NBN335"/>
      <c r="NBQ335"/>
      <c r="NBR335"/>
      <c r="NBU335"/>
      <c r="NBV335"/>
      <c r="NBY335"/>
      <c r="NBZ335"/>
      <c r="NCC335"/>
      <c r="NCD335"/>
      <c r="NCG335"/>
      <c r="NCH335"/>
      <c r="NCK335"/>
      <c r="NCL335"/>
      <c r="NCO335"/>
      <c r="NCP335"/>
      <c r="NCS335"/>
      <c r="NCT335"/>
      <c r="NCW335"/>
      <c r="NCX335"/>
      <c r="NDA335"/>
      <c r="NDB335"/>
      <c r="NDE335"/>
      <c r="NDF335"/>
      <c r="NDI335"/>
      <c r="NDJ335"/>
      <c r="NDM335"/>
      <c r="NDN335"/>
      <c r="NDQ335"/>
      <c r="NDR335"/>
      <c r="NDU335"/>
      <c r="NDV335"/>
      <c r="NDY335"/>
      <c r="NDZ335"/>
      <c r="NEC335"/>
      <c r="NED335"/>
      <c r="NEG335"/>
      <c r="NEH335"/>
      <c r="NEK335"/>
      <c r="NEL335"/>
      <c r="NEO335"/>
      <c r="NEP335"/>
      <c r="NES335"/>
      <c r="NET335"/>
      <c r="NEW335"/>
      <c r="NEX335"/>
      <c r="NFA335"/>
      <c r="NFB335"/>
      <c r="NFE335"/>
      <c r="NFF335"/>
      <c r="NFI335"/>
      <c r="NFJ335"/>
      <c r="NFM335"/>
      <c r="NFN335"/>
      <c r="NFQ335"/>
      <c r="NFR335"/>
      <c r="NFU335"/>
      <c r="NFV335"/>
      <c r="NFY335"/>
      <c r="NFZ335"/>
      <c r="NGC335"/>
      <c r="NGD335"/>
      <c r="NGG335"/>
      <c r="NGH335"/>
      <c r="NGK335"/>
      <c r="NGL335"/>
      <c r="NGO335"/>
      <c r="NGP335"/>
      <c r="NGS335"/>
      <c r="NGT335"/>
      <c r="NGW335"/>
      <c r="NGX335"/>
      <c r="NHA335"/>
      <c r="NHB335"/>
      <c r="NHE335"/>
      <c r="NHF335"/>
      <c r="NHI335"/>
      <c r="NHJ335"/>
      <c r="NHM335"/>
      <c r="NHN335"/>
      <c r="NHQ335"/>
      <c r="NHR335"/>
      <c r="NHU335"/>
      <c r="NHV335"/>
      <c r="NHY335"/>
      <c r="NHZ335"/>
      <c r="NIC335"/>
      <c r="NID335"/>
      <c r="NIG335"/>
      <c r="NIH335"/>
      <c r="NIK335"/>
      <c r="NIL335"/>
      <c r="NIO335"/>
      <c r="NIP335"/>
      <c r="NIS335"/>
      <c r="NIT335"/>
      <c r="NIW335"/>
      <c r="NIX335"/>
      <c r="NJA335"/>
      <c r="NJB335"/>
      <c r="NJE335"/>
      <c r="NJF335"/>
      <c r="NJI335"/>
      <c r="NJJ335"/>
      <c r="NJM335"/>
      <c r="NJN335"/>
      <c r="NJQ335"/>
      <c r="NJR335"/>
      <c r="NJU335"/>
      <c r="NJV335"/>
      <c r="NJY335"/>
      <c r="NJZ335"/>
      <c r="NKC335"/>
      <c r="NKD335"/>
      <c r="NKG335"/>
      <c r="NKH335"/>
      <c r="NKK335"/>
      <c r="NKL335"/>
      <c r="NKO335"/>
      <c r="NKP335"/>
      <c r="NKS335"/>
      <c r="NKT335"/>
      <c r="NKW335"/>
      <c r="NKX335"/>
      <c r="NLA335"/>
      <c r="NLB335"/>
      <c r="NLE335"/>
      <c r="NLF335"/>
      <c r="NLI335"/>
      <c r="NLJ335"/>
      <c r="NLM335"/>
      <c r="NLN335"/>
      <c r="NLQ335"/>
      <c r="NLR335"/>
      <c r="NLU335"/>
      <c r="NLV335"/>
      <c r="NLY335"/>
      <c r="NLZ335"/>
      <c r="NMC335"/>
      <c r="NMD335"/>
      <c r="NMG335"/>
      <c r="NMH335"/>
      <c r="NMK335"/>
      <c r="NML335"/>
      <c r="NMO335"/>
      <c r="NMP335"/>
      <c r="NMS335"/>
      <c r="NMT335"/>
      <c r="NMW335"/>
      <c r="NMX335"/>
      <c r="NNA335"/>
      <c r="NNB335"/>
      <c r="NNE335"/>
      <c r="NNF335"/>
      <c r="NNI335"/>
      <c r="NNJ335"/>
      <c r="NNM335"/>
      <c r="NNN335"/>
      <c r="NNQ335"/>
      <c r="NNR335"/>
      <c r="NNU335"/>
      <c r="NNV335"/>
      <c r="NNY335"/>
      <c r="NNZ335"/>
      <c r="NOC335"/>
      <c r="NOD335"/>
      <c r="NOG335"/>
      <c r="NOH335"/>
      <c r="NOK335"/>
      <c r="NOL335"/>
      <c r="NOO335"/>
      <c r="NOP335"/>
      <c r="NOS335"/>
      <c r="NOT335"/>
      <c r="NOW335"/>
      <c r="NOX335"/>
      <c r="NPA335"/>
      <c r="NPB335"/>
      <c r="NPE335"/>
      <c r="NPF335"/>
      <c r="NPI335"/>
      <c r="NPJ335"/>
      <c r="NPM335"/>
      <c r="NPN335"/>
      <c r="NPQ335"/>
      <c r="NPR335"/>
      <c r="NPU335"/>
      <c r="NPV335"/>
      <c r="NPY335"/>
      <c r="NPZ335"/>
      <c r="NQC335"/>
      <c r="NQD335"/>
      <c r="NQG335"/>
      <c r="NQH335"/>
      <c r="NQK335"/>
      <c r="NQL335"/>
      <c r="NQO335"/>
      <c r="NQP335"/>
      <c r="NQS335"/>
      <c r="NQT335"/>
      <c r="NQW335"/>
      <c r="NQX335"/>
      <c r="NRA335"/>
      <c r="NRB335"/>
      <c r="NRE335"/>
      <c r="NRF335"/>
      <c r="NRI335"/>
      <c r="NRJ335"/>
      <c r="NRM335"/>
      <c r="NRN335"/>
      <c r="NRQ335"/>
      <c r="NRR335"/>
      <c r="NRU335"/>
      <c r="NRV335"/>
      <c r="NRY335"/>
      <c r="NRZ335"/>
      <c r="NSC335"/>
      <c r="NSD335"/>
      <c r="NSG335"/>
      <c r="NSH335"/>
      <c r="NSK335"/>
      <c r="NSL335"/>
      <c r="NSO335"/>
      <c r="NSP335"/>
      <c r="NSS335"/>
      <c r="NST335"/>
      <c r="NSW335"/>
      <c r="NSX335"/>
      <c r="NTA335"/>
      <c r="NTB335"/>
      <c r="NTE335"/>
      <c r="NTF335"/>
      <c r="NTI335"/>
      <c r="NTJ335"/>
      <c r="NTM335"/>
      <c r="NTN335"/>
      <c r="NTQ335"/>
      <c r="NTR335"/>
      <c r="NTU335"/>
      <c r="NTV335"/>
      <c r="NTY335"/>
      <c r="NTZ335"/>
      <c r="NUC335"/>
      <c r="NUD335"/>
      <c r="NUG335"/>
      <c r="NUH335"/>
      <c r="NUK335"/>
      <c r="NUL335"/>
      <c r="NUO335"/>
      <c r="NUP335"/>
      <c r="NUS335"/>
      <c r="NUT335"/>
      <c r="NUW335"/>
      <c r="NUX335"/>
      <c r="NVA335"/>
      <c r="NVB335"/>
      <c r="NVE335"/>
      <c r="NVF335"/>
      <c r="NVI335"/>
      <c r="NVJ335"/>
      <c r="NVM335"/>
      <c r="NVN335"/>
      <c r="NVQ335"/>
      <c r="NVR335"/>
      <c r="NVU335"/>
      <c r="NVV335"/>
      <c r="NVY335"/>
      <c r="NVZ335"/>
      <c r="NWC335"/>
      <c r="NWD335"/>
      <c r="NWG335"/>
      <c r="NWH335"/>
      <c r="NWK335"/>
      <c r="NWL335"/>
      <c r="NWO335"/>
      <c r="NWP335"/>
      <c r="NWS335"/>
      <c r="NWT335"/>
      <c r="NWW335"/>
      <c r="NWX335"/>
      <c r="NXA335"/>
      <c r="NXB335"/>
      <c r="NXE335"/>
      <c r="NXF335"/>
      <c r="NXI335"/>
      <c r="NXJ335"/>
      <c r="NXM335"/>
      <c r="NXN335"/>
      <c r="NXQ335"/>
      <c r="NXR335"/>
      <c r="NXU335"/>
      <c r="NXV335"/>
      <c r="NXY335"/>
      <c r="NXZ335"/>
      <c r="NYC335"/>
      <c r="NYD335"/>
      <c r="NYG335"/>
      <c r="NYH335"/>
      <c r="NYK335"/>
      <c r="NYL335"/>
      <c r="NYO335"/>
      <c r="NYP335"/>
      <c r="NYS335"/>
      <c r="NYT335"/>
      <c r="NYW335"/>
      <c r="NYX335"/>
      <c r="NZA335"/>
      <c r="NZB335"/>
      <c r="NZE335"/>
      <c r="NZF335"/>
      <c r="NZI335"/>
      <c r="NZJ335"/>
      <c r="NZM335"/>
      <c r="NZN335"/>
      <c r="NZQ335"/>
      <c r="NZR335"/>
      <c r="NZU335"/>
      <c r="NZV335"/>
      <c r="NZY335"/>
      <c r="NZZ335"/>
      <c r="OAC335"/>
      <c r="OAD335"/>
      <c r="OAG335"/>
      <c r="OAH335"/>
      <c r="OAK335"/>
      <c r="OAL335"/>
      <c r="OAO335"/>
      <c r="OAP335"/>
      <c r="OAS335"/>
      <c r="OAT335"/>
      <c r="OAW335"/>
      <c r="OAX335"/>
      <c r="OBA335"/>
      <c r="OBB335"/>
      <c r="OBE335"/>
      <c r="OBF335"/>
      <c r="OBI335"/>
      <c r="OBJ335"/>
      <c r="OBM335"/>
      <c r="OBN335"/>
      <c r="OBQ335"/>
      <c r="OBR335"/>
      <c r="OBU335"/>
      <c r="OBV335"/>
      <c r="OBY335"/>
      <c r="OBZ335"/>
      <c r="OCC335"/>
      <c r="OCD335"/>
      <c r="OCG335"/>
      <c r="OCH335"/>
      <c r="OCK335"/>
      <c r="OCL335"/>
      <c r="OCO335"/>
      <c r="OCP335"/>
      <c r="OCS335"/>
      <c r="OCT335"/>
      <c r="OCW335"/>
      <c r="OCX335"/>
      <c r="ODA335"/>
      <c r="ODB335"/>
      <c r="ODE335"/>
      <c r="ODF335"/>
      <c r="ODI335"/>
      <c r="ODJ335"/>
      <c r="ODM335"/>
      <c r="ODN335"/>
      <c r="ODQ335"/>
      <c r="ODR335"/>
      <c r="ODU335"/>
      <c r="ODV335"/>
      <c r="ODY335"/>
      <c r="ODZ335"/>
      <c r="OEC335"/>
      <c r="OED335"/>
      <c r="OEG335"/>
      <c r="OEH335"/>
      <c r="OEK335"/>
      <c r="OEL335"/>
      <c r="OEO335"/>
      <c r="OEP335"/>
      <c r="OES335"/>
      <c r="OET335"/>
      <c r="OEW335"/>
      <c r="OEX335"/>
      <c r="OFA335"/>
      <c r="OFB335"/>
      <c r="OFE335"/>
      <c r="OFF335"/>
      <c r="OFI335"/>
      <c r="OFJ335"/>
      <c r="OFM335"/>
      <c r="OFN335"/>
      <c r="OFQ335"/>
      <c r="OFR335"/>
      <c r="OFU335"/>
      <c r="OFV335"/>
      <c r="OFY335"/>
      <c r="OFZ335"/>
      <c r="OGC335"/>
      <c r="OGD335"/>
      <c r="OGG335"/>
      <c r="OGH335"/>
      <c r="OGK335"/>
      <c r="OGL335"/>
      <c r="OGO335"/>
      <c r="OGP335"/>
      <c r="OGS335"/>
      <c r="OGT335"/>
      <c r="OGW335"/>
      <c r="OGX335"/>
      <c r="OHA335"/>
      <c r="OHB335"/>
      <c r="OHE335"/>
      <c r="OHF335"/>
      <c r="OHI335"/>
      <c r="OHJ335"/>
      <c r="OHM335"/>
      <c r="OHN335"/>
      <c r="OHQ335"/>
      <c r="OHR335"/>
      <c r="OHU335"/>
      <c r="OHV335"/>
      <c r="OHY335"/>
      <c r="OHZ335"/>
      <c r="OIC335"/>
      <c r="OID335"/>
      <c r="OIG335"/>
      <c r="OIH335"/>
      <c r="OIK335"/>
      <c r="OIL335"/>
      <c r="OIO335"/>
      <c r="OIP335"/>
      <c r="OIS335"/>
      <c r="OIT335"/>
      <c r="OIW335"/>
      <c r="OIX335"/>
      <c r="OJA335"/>
      <c r="OJB335"/>
      <c r="OJE335"/>
      <c r="OJF335"/>
      <c r="OJI335"/>
      <c r="OJJ335"/>
      <c r="OJM335"/>
      <c r="OJN335"/>
      <c r="OJQ335"/>
      <c r="OJR335"/>
      <c r="OJU335"/>
      <c r="OJV335"/>
      <c r="OJY335"/>
      <c r="OJZ335"/>
      <c r="OKC335"/>
      <c r="OKD335"/>
      <c r="OKG335"/>
      <c r="OKH335"/>
      <c r="OKK335"/>
      <c r="OKL335"/>
      <c r="OKO335"/>
      <c r="OKP335"/>
      <c r="OKS335"/>
      <c r="OKT335"/>
      <c r="OKW335"/>
      <c r="OKX335"/>
      <c r="OLA335"/>
      <c r="OLB335"/>
      <c r="OLE335"/>
      <c r="OLF335"/>
      <c r="OLI335"/>
      <c r="OLJ335"/>
      <c r="OLM335"/>
      <c r="OLN335"/>
      <c r="OLQ335"/>
      <c r="OLR335"/>
      <c r="OLU335"/>
      <c r="OLV335"/>
      <c r="OLY335"/>
      <c r="OLZ335"/>
      <c r="OMC335"/>
      <c r="OMD335"/>
      <c r="OMG335"/>
      <c r="OMH335"/>
      <c r="OMK335"/>
      <c r="OML335"/>
      <c r="OMO335"/>
      <c r="OMP335"/>
      <c r="OMS335"/>
      <c r="OMT335"/>
      <c r="OMW335"/>
      <c r="OMX335"/>
      <c r="ONA335"/>
      <c r="ONB335"/>
      <c r="ONE335"/>
      <c r="ONF335"/>
      <c r="ONI335"/>
      <c r="ONJ335"/>
      <c r="ONM335"/>
      <c r="ONN335"/>
      <c r="ONQ335"/>
      <c r="ONR335"/>
      <c r="ONU335"/>
      <c r="ONV335"/>
      <c r="ONY335"/>
      <c r="ONZ335"/>
      <c r="OOC335"/>
      <c r="OOD335"/>
      <c r="OOG335"/>
      <c r="OOH335"/>
      <c r="OOK335"/>
      <c r="OOL335"/>
      <c r="OOO335"/>
      <c r="OOP335"/>
      <c r="OOS335"/>
      <c r="OOT335"/>
      <c r="OOW335"/>
      <c r="OOX335"/>
      <c r="OPA335"/>
      <c r="OPB335"/>
      <c r="OPE335"/>
      <c r="OPF335"/>
      <c r="OPI335"/>
      <c r="OPJ335"/>
      <c r="OPM335"/>
      <c r="OPN335"/>
      <c r="OPQ335"/>
      <c r="OPR335"/>
      <c r="OPU335"/>
      <c r="OPV335"/>
      <c r="OPY335"/>
      <c r="OPZ335"/>
      <c r="OQC335"/>
      <c r="OQD335"/>
      <c r="OQG335"/>
      <c r="OQH335"/>
      <c r="OQK335"/>
      <c r="OQL335"/>
      <c r="OQO335"/>
      <c r="OQP335"/>
      <c r="OQS335"/>
      <c r="OQT335"/>
      <c r="OQW335"/>
      <c r="OQX335"/>
      <c r="ORA335"/>
      <c r="ORB335"/>
      <c r="ORE335"/>
      <c r="ORF335"/>
      <c r="ORI335"/>
      <c r="ORJ335"/>
      <c r="ORM335"/>
      <c r="ORN335"/>
      <c r="ORQ335"/>
      <c r="ORR335"/>
      <c r="ORU335"/>
      <c r="ORV335"/>
      <c r="ORY335"/>
      <c r="ORZ335"/>
      <c r="OSC335"/>
      <c r="OSD335"/>
      <c r="OSG335"/>
      <c r="OSH335"/>
      <c r="OSK335"/>
      <c r="OSL335"/>
      <c r="OSO335"/>
      <c r="OSP335"/>
      <c r="OSS335"/>
      <c r="OST335"/>
      <c r="OSW335"/>
      <c r="OSX335"/>
      <c r="OTA335"/>
      <c r="OTB335"/>
      <c r="OTE335"/>
      <c r="OTF335"/>
      <c r="OTI335"/>
      <c r="OTJ335"/>
      <c r="OTM335"/>
      <c r="OTN335"/>
      <c r="OTQ335"/>
      <c r="OTR335"/>
      <c r="OTU335"/>
      <c r="OTV335"/>
      <c r="OTY335"/>
      <c r="OTZ335"/>
      <c r="OUC335"/>
      <c r="OUD335"/>
      <c r="OUG335"/>
      <c r="OUH335"/>
      <c r="OUK335"/>
      <c r="OUL335"/>
      <c r="OUO335"/>
      <c r="OUP335"/>
      <c r="OUS335"/>
      <c r="OUT335"/>
      <c r="OUW335"/>
      <c r="OUX335"/>
      <c r="OVA335"/>
      <c r="OVB335"/>
      <c r="OVE335"/>
      <c r="OVF335"/>
      <c r="OVI335"/>
      <c r="OVJ335"/>
      <c r="OVM335"/>
      <c r="OVN335"/>
      <c r="OVQ335"/>
      <c r="OVR335"/>
      <c r="OVU335"/>
      <c r="OVV335"/>
      <c r="OVY335"/>
      <c r="OVZ335"/>
      <c r="OWC335"/>
      <c r="OWD335"/>
      <c r="OWG335"/>
      <c r="OWH335"/>
      <c r="OWK335"/>
      <c r="OWL335"/>
      <c r="OWO335"/>
      <c r="OWP335"/>
      <c r="OWS335"/>
      <c r="OWT335"/>
      <c r="OWW335"/>
      <c r="OWX335"/>
      <c r="OXA335"/>
      <c r="OXB335"/>
      <c r="OXE335"/>
      <c r="OXF335"/>
      <c r="OXI335"/>
      <c r="OXJ335"/>
      <c r="OXM335"/>
      <c r="OXN335"/>
      <c r="OXQ335"/>
      <c r="OXR335"/>
      <c r="OXU335"/>
      <c r="OXV335"/>
      <c r="OXY335"/>
      <c r="OXZ335"/>
      <c r="OYC335"/>
      <c r="OYD335"/>
      <c r="OYG335"/>
      <c r="OYH335"/>
      <c r="OYK335"/>
      <c r="OYL335"/>
      <c r="OYO335"/>
      <c r="OYP335"/>
      <c r="OYS335"/>
      <c r="OYT335"/>
      <c r="OYW335"/>
      <c r="OYX335"/>
      <c r="OZA335"/>
      <c r="OZB335"/>
      <c r="OZE335"/>
      <c r="OZF335"/>
      <c r="OZI335"/>
      <c r="OZJ335"/>
      <c r="OZM335"/>
      <c r="OZN335"/>
      <c r="OZQ335"/>
      <c r="OZR335"/>
      <c r="OZU335"/>
      <c r="OZV335"/>
      <c r="OZY335"/>
      <c r="OZZ335"/>
      <c r="PAC335"/>
      <c r="PAD335"/>
      <c r="PAG335"/>
      <c r="PAH335"/>
      <c r="PAK335"/>
      <c r="PAL335"/>
      <c r="PAO335"/>
      <c r="PAP335"/>
      <c r="PAS335"/>
      <c r="PAT335"/>
      <c r="PAW335"/>
      <c r="PAX335"/>
      <c r="PBA335"/>
      <c r="PBB335"/>
      <c r="PBE335"/>
      <c r="PBF335"/>
      <c r="PBI335"/>
      <c r="PBJ335"/>
      <c r="PBM335"/>
      <c r="PBN335"/>
      <c r="PBQ335"/>
      <c r="PBR335"/>
      <c r="PBU335"/>
      <c r="PBV335"/>
      <c r="PBY335"/>
      <c r="PBZ335"/>
      <c r="PCC335"/>
      <c r="PCD335"/>
      <c r="PCG335"/>
      <c r="PCH335"/>
      <c r="PCK335"/>
      <c r="PCL335"/>
      <c r="PCO335"/>
      <c r="PCP335"/>
      <c r="PCS335"/>
      <c r="PCT335"/>
      <c r="PCW335"/>
      <c r="PCX335"/>
      <c r="PDA335"/>
      <c r="PDB335"/>
      <c r="PDE335"/>
      <c r="PDF335"/>
      <c r="PDI335"/>
      <c r="PDJ335"/>
      <c r="PDM335"/>
      <c r="PDN335"/>
      <c r="PDQ335"/>
      <c r="PDR335"/>
      <c r="PDU335"/>
      <c r="PDV335"/>
      <c r="PDY335"/>
      <c r="PDZ335"/>
      <c r="PEC335"/>
      <c r="PED335"/>
      <c r="PEG335"/>
      <c r="PEH335"/>
      <c r="PEK335"/>
      <c r="PEL335"/>
      <c r="PEO335"/>
      <c r="PEP335"/>
      <c r="PES335"/>
      <c r="PET335"/>
      <c r="PEW335"/>
      <c r="PEX335"/>
      <c r="PFA335"/>
      <c r="PFB335"/>
      <c r="PFE335"/>
      <c r="PFF335"/>
      <c r="PFI335"/>
      <c r="PFJ335"/>
      <c r="PFM335"/>
      <c r="PFN335"/>
      <c r="PFQ335"/>
      <c r="PFR335"/>
      <c r="PFU335"/>
      <c r="PFV335"/>
      <c r="PFY335"/>
      <c r="PFZ335"/>
      <c r="PGC335"/>
      <c r="PGD335"/>
      <c r="PGG335"/>
      <c r="PGH335"/>
      <c r="PGK335"/>
      <c r="PGL335"/>
      <c r="PGO335"/>
      <c r="PGP335"/>
      <c r="PGS335"/>
      <c r="PGT335"/>
      <c r="PGW335"/>
      <c r="PGX335"/>
      <c r="PHA335"/>
      <c r="PHB335"/>
      <c r="PHE335"/>
      <c r="PHF335"/>
      <c r="PHI335"/>
      <c r="PHJ335"/>
      <c r="PHM335"/>
      <c r="PHN335"/>
      <c r="PHQ335"/>
      <c r="PHR335"/>
      <c r="PHU335"/>
      <c r="PHV335"/>
      <c r="PHY335"/>
      <c r="PHZ335"/>
      <c r="PIC335"/>
      <c r="PID335"/>
      <c r="PIG335"/>
      <c r="PIH335"/>
      <c r="PIK335"/>
      <c r="PIL335"/>
      <c r="PIO335"/>
      <c r="PIP335"/>
      <c r="PIS335"/>
      <c r="PIT335"/>
      <c r="PIW335"/>
      <c r="PIX335"/>
      <c r="PJA335"/>
      <c r="PJB335"/>
      <c r="PJE335"/>
      <c r="PJF335"/>
      <c r="PJI335"/>
      <c r="PJJ335"/>
      <c r="PJM335"/>
      <c r="PJN335"/>
      <c r="PJQ335"/>
      <c r="PJR335"/>
      <c r="PJU335"/>
      <c r="PJV335"/>
      <c r="PJY335"/>
      <c r="PJZ335"/>
      <c r="PKC335"/>
      <c r="PKD335"/>
      <c r="PKG335"/>
      <c r="PKH335"/>
      <c r="PKK335"/>
      <c r="PKL335"/>
      <c r="PKO335"/>
      <c r="PKP335"/>
      <c r="PKS335"/>
      <c r="PKT335"/>
      <c r="PKW335"/>
      <c r="PKX335"/>
      <c r="PLA335"/>
      <c r="PLB335"/>
      <c r="PLE335"/>
      <c r="PLF335"/>
      <c r="PLI335"/>
      <c r="PLJ335"/>
      <c r="PLM335"/>
      <c r="PLN335"/>
      <c r="PLQ335"/>
      <c r="PLR335"/>
      <c r="PLU335"/>
      <c r="PLV335"/>
      <c r="PLY335"/>
      <c r="PLZ335"/>
      <c r="PMC335"/>
      <c r="PMD335"/>
      <c r="PMG335"/>
      <c r="PMH335"/>
      <c r="PMK335"/>
      <c r="PML335"/>
      <c r="PMO335"/>
      <c r="PMP335"/>
      <c r="PMS335"/>
      <c r="PMT335"/>
      <c r="PMW335"/>
      <c r="PMX335"/>
      <c r="PNA335"/>
      <c r="PNB335"/>
      <c r="PNE335"/>
      <c r="PNF335"/>
      <c r="PNI335"/>
      <c r="PNJ335"/>
      <c r="PNM335"/>
      <c r="PNN335"/>
      <c r="PNQ335"/>
      <c r="PNR335"/>
      <c r="PNU335"/>
      <c r="PNV335"/>
      <c r="PNY335"/>
      <c r="PNZ335"/>
      <c r="POC335"/>
      <c r="POD335"/>
      <c r="POG335"/>
      <c r="POH335"/>
      <c r="POK335"/>
      <c r="POL335"/>
      <c r="POO335"/>
      <c r="POP335"/>
      <c r="POS335"/>
      <c r="POT335"/>
      <c r="POW335"/>
      <c r="POX335"/>
      <c r="PPA335"/>
      <c r="PPB335"/>
      <c r="PPE335"/>
      <c r="PPF335"/>
      <c r="PPI335"/>
      <c r="PPJ335"/>
      <c r="PPM335"/>
      <c r="PPN335"/>
      <c r="PPQ335"/>
      <c r="PPR335"/>
      <c r="PPU335"/>
      <c r="PPV335"/>
      <c r="PPY335"/>
      <c r="PPZ335"/>
      <c r="PQC335"/>
      <c r="PQD335"/>
      <c r="PQG335"/>
      <c r="PQH335"/>
      <c r="PQK335"/>
      <c r="PQL335"/>
      <c r="PQO335"/>
      <c r="PQP335"/>
      <c r="PQS335"/>
      <c r="PQT335"/>
      <c r="PQW335"/>
      <c r="PQX335"/>
      <c r="PRA335"/>
      <c r="PRB335"/>
      <c r="PRE335"/>
      <c r="PRF335"/>
      <c r="PRI335"/>
      <c r="PRJ335"/>
      <c r="PRM335"/>
      <c r="PRN335"/>
      <c r="PRQ335"/>
      <c r="PRR335"/>
      <c r="PRU335"/>
      <c r="PRV335"/>
      <c r="PRY335"/>
      <c r="PRZ335"/>
      <c r="PSC335"/>
      <c r="PSD335"/>
      <c r="PSG335"/>
      <c r="PSH335"/>
      <c r="PSK335"/>
      <c r="PSL335"/>
      <c r="PSO335"/>
      <c r="PSP335"/>
      <c r="PSS335"/>
      <c r="PST335"/>
      <c r="PSW335"/>
      <c r="PSX335"/>
      <c r="PTA335"/>
      <c r="PTB335"/>
      <c r="PTE335"/>
      <c r="PTF335"/>
      <c r="PTI335"/>
      <c r="PTJ335"/>
      <c r="PTM335"/>
      <c r="PTN335"/>
      <c r="PTQ335"/>
      <c r="PTR335"/>
      <c r="PTU335"/>
      <c r="PTV335"/>
      <c r="PTY335"/>
      <c r="PTZ335"/>
      <c r="PUC335"/>
      <c r="PUD335"/>
      <c r="PUG335"/>
      <c r="PUH335"/>
      <c r="PUK335"/>
      <c r="PUL335"/>
      <c r="PUO335"/>
      <c r="PUP335"/>
      <c r="PUS335"/>
      <c r="PUT335"/>
      <c r="PUW335"/>
      <c r="PUX335"/>
      <c r="PVA335"/>
      <c r="PVB335"/>
      <c r="PVE335"/>
      <c r="PVF335"/>
      <c r="PVI335"/>
      <c r="PVJ335"/>
      <c r="PVM335"/>
      <c r="PVN335"/>
      <c r="PVQ335"/>
      <c r="PVR335"/>
      <c r="PVU335"/>
      <c r="PVV335"/>
      <c r="PVY335"/>
      <c r="PVZ335"/>
      <c r="PWC335"/>
      <c r="PWD335"/>
      <c r="PWG335"/>
      <c r="PWH335"/>
      <c r="PWK335"/>
      <c r="PWL335"/>
      <c r="PWO335"/>
      <c r="PWP335"/>
      <c r="PWS335"/>
      <c r="PWT335"/>
      <c r="PWW335"/>
      <c r="PWX335"/>
      <c r="PXA335"/>
      <c r="PXB335"/>
      <c r="PXE335"/>
      <c r="PXF335"/>
      <c r="PXI335"/>
      <c r="PXJ335"/>
      <c r="PXM335"/>
      <c r="PXN335"/>
      <c r="PXQ335"/>
      <c r="PXR335"/>
      <c r="PXU335"/>
      <c r="PXV335"/>
      <c r="PXY335"/>
      <c r="PXZ335"/>
      <c r="PYC335"/>
      <c r="PYD335"/>
      <c r="PYG335"/>
      <c r="PYH335"/>
      <c r="PYK335"/>
      <c r="PYL335"/>
      <c r="PYO335"/>
      <c r="PYP335"/>
      <c r="PYS335"/>
      <c r="PYT335"/>
      <c r="PYW335"/>
      <c r="PYX335"/>
      <c r="PZA335"/>
      <c r="PZB335"/>
      <c r="PZE335"/>
      <c r="PZF335"/>
      <c r="PZI335"/>
      <c r="PZJ335"/>
      <c r="PZM335"/>
      <c r="PZN335"/>
      <c r="PZQ335"/>
      <c r="PZR335"/>
      <c r="PZU335"/>
      <c r="PZV335"/>
      <c r="PZY335"/>
      <c r="PZZ335"/>
      <c r="QAC335"/>
      <c r="QAD335"/>
      <c r="QAG335"/>
      <c r="QAH335"/>
      <c r="QAK335"/>
      <c r="QAL335"/>
      <c r="QAO335"/>
      <c r="QAP335"/>
      <c r="QAS335"/>
      <c r="QAT335"/>
      <c r="QAW335"/>
      <c r="QAX335"/>
      <c r="QBA335"/>
      <c r="QBB335"/>
      <c r="QBE335"/>
      <c r="QBF335"/>
      <c r="QBI335"/>
      <c r="QBJ335"/>
      <c r="QBM335"/>
      <c r="QBN335"/>
      <c r="QBQ335"/>
      <c r="QBR335"/>
      <c r="QBU335"/>
      <c r="QBV335"/>
      <c r="QBY335"/>
      <c r="QBZ335"/>
      <c r="QCC335"/>
      <c r="QCD335"/>
      <c r="QCG335"/>
      <c r="QCH335"/>
      <c r="QCK335"/>
      <c r="QCL335"/>
      <c r="QCO335"/>
      <c r="QCP335"/>
      <c r="QCS335"/>
      <c r="QCT335"/>
      <c r="QCW335"/>
      <c r="QCX335"/>
      <c r="QDA335"/>
      <c r="QDB335"/>
      <c r="QDE335"/>
      <c r="QDF335"/>
      <c r="QDI335"/>
      <c r="QDJ335"/>
      <c r="QDM335"/>
      <c r="QDN335"/>
      <c r="QDQ335"/>
      <c r="QDR335"/>
      <c r="QDU335"/>
      <c r="QDV335"/>
      <c r="QDY335"/>
      <c r="QDZ335"/>
      <c r="QEC335"/>
      <c r="QED335"/>
      <c r="QEG335"/>
      <c r="QEH335"/>
      <c r="QEK335"/>
      <c r="QEL335"/>
      <c r="QEO335"/>
      <c r="QEP335"/>
      <c r="QES335"/>
      <c r="QET335"/>
      <c r="QEW335"/>
      <c r="QEX335"/>
      <c r="QFA335"/>
      <c r="QFB335"/>
      <c r="QFE335"/>
      <c r="QFF335"/>
      <c r="QFI335"/>
      <c r="QFJ335"/>
      <c r="QFM335"/>
      <c r="QFN335"/>
      <c r="QFQ335"/>
      <c r="QFR335"/>
      <c r="QFU335"/>
      <c r="QFV335"/>
      <c r="QFY335"/>
      <c r="QFZ335"/>
      <c r="QGC335"/>
      <c r="QGD335"/>
      <c r="QGG335"/>
      <c r="QGH335"/>
      <c r="QGK335"/>
      <c r="QGL335"/>
      <c r="QGO335"/>
      <c r="QGP335"/>
      <c r="QGS335"/>
      <c r="QGT335"/>
      <c r="QGW335"/>
      <c r="QGX335"/>
      <c r="QHA335"/>
      <c r="QHB335"/>
      <c r="QHE335"/>
      <c r="QHF335"/>
      <c r="QHI335"/>
      <c r="QHJ335"/>
      <c r="QHM335"/>
      <c r="QHN335"/>
      <c r="QHQ335"/>
      <c r="QHR335"/>
      <c r="QHU335"/>
      <c r="QHV335"/>
      <c r="QHY335"/>
      <c r="QHZ335"/>
      <c r="QIC335"/>
      <c r="QID335"/>
      <c r="QIG335"/>
      <c r="QIH335"/>
      <c r="QIK335"/>
      <c r="QIL335"/>
      <c r="QIO335"/>
      <c r="QIP335"/>
      <c r="QIS335"/>
      <c r="QIT335"/>
      <c r="QIW335"/>
      <c r="QIX335"/>
      <c r="QJA335"/>
      <c r="QJB335"/>
      <c r="QJE335"/>
      <c r="QJF335"/>
      <c r="QJI335"/>
      <c r="QJJ335"/>
      <c r="QJM335"/>
      <c r="QJN335"/>
      <c r="QJQ335"/>
      <c r="QJR335"/>
      <c r="QJU335"/>
      <c r="QJV335"/>
      <c r="QJY335"/>
      <c r="QJZ335"/>
      <c r="QKC335"/>
      <c r="QKD335"/>
      <c r="QKG335"/>
      <c r="QKH335"/>
      <c r="QKK335"/>
      <c r="QKL335"/>
      <c r="QKO335"/>
      <c r="QKP335"/>
      <c r="QKS335"/>
      <c r="QKT335"/>
      <c r="QKW335"/>
      <c r="QKX335"/>
      <c r="QLA335"/>
      <c r="QLB335"/>
      <c r="QLE335"/>
      <c r="QLF335"/>
      <c r="QLI335"/>
      <c r="QLJ335"/>
      <c r="QLM335"/>
      <c r="QLN335"/>
      <c r="QLQ335"/>
      <c r="QLR335"/>
      <c r="QLU335"/>
      <c r="QLV335"/>
      <c r="QLY335"/>
      <c r="QLZ335"/>
      <c r="QMC335"/>
      <c r="QMD335"/>
      <c r="QMG335"/>
      <c r="QMH335"/>
      <c r="QMK335"/>
      <c r="QML335"/>
      <c r="QMO335"/>
      <c r="QMP335"/>
      <c r="QMS335"/>
      <c r="QMT335"/>
      <c r="QMW335"/>
      <c r="QMX335"/>
      <c r="QNA335"/>
      <c r="QNB335"/>
      <c r="QNE335"/>
      <c r="QNF335"/>
      <c r="QNI335"/>
      <c r="QNJ335"/>
      <c r="QNM335"/>
      <c r="QNN335"/>
      <c r="QNQ335"/>
      <c r="QNR335"/>
      <c r="QNU335"/>
      <c r="QNV335"/>
      <c r="QNY335"/>
      <c r="QNZ335"/>
      <c r="QOC335"/>
      <c r="QOD335"/>
      <c r="QOG335"/>
      <c r="QOH335"/>
      <c r="QOK335"/>
      <c r="QOL335"/>
      <c r="QOO335"/>
      <c r="QOP335"/>
      <c r="QOS335"/>
      <c r="QOT335"/>
      <c r="QOW335"/>
      <c r="QOX335"/>
      <c r="QPA335"/>
      <c r="QPB335"/>
      <c r="QPE335"/>
      <c r="QPF335"/>
      <c r="QPI335"/>
      <c r="QPJ335"/>
      <c r="QPM335"/>
      <c r="QPN335"/>
      <c r="QPQ335"/>
      <c r="QPR335"/>
      <c r="QPU335"/>
      <c r="QPV335"/>
      <c r="QPY335"/>
      <c r="QPZ335"/>
      <c r="QQC335"/>
      <c r="QQD335"/>
      <c r="QQG335"/>
      <c r="QQH335"/>
      <c r="QQK335"/>
      <c r="QQL335"/>
      <c r="QQO335"/>
      <c r="QQP335"/>
      <c r="QQS335"/>
      <c r="QQT335"/>
      <c r="QQW335"/>
      <c r="QQX335"/>
      <c r="QRA335"/>
      <c r="QRB335"/>
      <c r="QRE335"/>
      <c r="QRF335"/>
      <c r="QRI335"/>
      <c r="QRJ335"/>
      <c r="QRM335"/>
      <c r="QRN335"/>
      <c r="QRQ335"/>
      <c r="QRR335"/>
      <c r="QRU335"/>
      <c r="QRV335"/>
      <c r="QRY335"/>
      <c r="QRZ335"/>
      <c r="QSC335"/>
      <c r="QSD335"/>
      <c r="QSG335"/>
      <c r="QSH335"/>
      <c r="QSK335"/>
      <c r="QSL335"/>
      <c r="QSO335"/>
      <c r="QSP335"/>
      <c r="QSS335"/>
      <c r="QST335"/>
      <c r="QSW335"/>
      <c r="QSX335"/>
      <c r="QTA335"/>
      <c r="QTB335"/>
      <c r="QTE335"/>
      <c r="QTF335"/>
      <c r="QTI335"/>
      <c r="QTJ335"/>
      <c r="QTM335"/>
      <c r="QTN335"/>
      <c r="QTQ335"/>
      <c r="QTR335"/>
      <c r="QTU335"/>
      <c r="QTV335"/>
      <c r="QTY335"/>
      <c r="QTZ335"/>
      <c r="QUC335"/>
      <c r="QUD335"/>
      <c r="QUG335"/>
      <c r="QUH335"/>
      <c r="QUK335"/>
      <c r="QUL335"/>
      <c r="QUO335"/>
      <c r="QUP335"/>
      <c r="QUS335"/>
      <c r="QUT335"/>
      <c r="QUW335"/>
      <c r="QUX335"/>
      <c r="QVA335"/>
      <c r="QVB335"/>
      <c r="QVE335"/>
      <c r="QVF335"/>
      <c r="QVI335"/>
      <c r="QVJ335"/>
      <c r="QVM335"/>
      <c r="QVN335"/>
      <c r="QVQ335"/>
      <c r="QVR335"/>
      <c r="QVU335"/>
      <c r="QVV335"/>
      <c r="QVY335"/>
      <c r="QVZ335"/>
      <c r="QWC335"/>
      <c r="QWD335"/>
      <c r="QWG335"/>
      <c r="QWH335"/>
      <c r="QWK335"/>
      <c r="QWL335"/>
      <c r="QWO335"/>
      <c r="QWP335"/>
      <c r="QWS335"/>
      <c r="QWT335"/>
      <c r="QWW335"/>
      <c r="QWX335"/>
      <c r="QXA335"/>
      <c r="QXB335"/>
      <c r="QXE335"/>
      <c r="QXF335"/>
      <c r="QXI335"/>
      <c r="QXJ335"/>
      <c r="QXM335"/>
      <c r="QXN335"/>
      <c r="QXQ335"/>
      <c r="QXR335"/>
      <c r="QXU335"/>
      <c r="QXV335"/>
      <c r="QXY335"/>
      <c r="QXZ335"/>
      <c r="QYC335"/>
      <c r="QYD335"/>
      <c r="QYG335"/>
      <c r="QYH335"/>
      <c r="QYK335"/>
      <c r="QYL335"/>
      <c r="QYO335"/>
      <c r="QYP335"/>
      <c r="QYS335"/>
      <c r="QYT335"/>
      <c r="QYW335"/>
      <c r="QYX335"/>
      <c r="QZA335"/>
      <c r="QZB335"/>
      <c r="QZE335"/>
      <c r="QZF335"/>
      <c r="QZI335"/>
      <c r="QZJ335"/>
      <c r="QZM335"/>
      <c r="QZN335"/>
      <c r="QZQ335"/>
      <c r="QZR335"/>
      <c r="QZU335"/>
      <c r="QZV335"/>
      <c r="QZY335"/>
      <c r="QZZ335"/>
      <c r="RAC335"/>
      <c r="RAD335"/>
      <c r="RAG335"/>
      <c r="RAH335"/>
      <c r="RAK335"/>
      <c r="RAL335"/>
      <c r="RAO335"/>
      <c r="RAP335"/>
      <c r="RAS335"/>
      <c r="RAT335"/>
      <c r="RAW335"/>
      <c r="RAX335"/>
      <c r="RBA335"/>
      <c r="RBB335"/>
      <c r="RBE335"/>
      <c r="RBF335"/>
      <c r="RBI335"/>
      <c r="RBJ335"/>
      <c r="RBM335"/>
      <c r="RBN335"/>
      <c r="RBQ335"/>
      <c r="RBR335"/>
      <c r="RBU335"/>
      <c r="RBV335"/>
      <c r="RBY335"/>
      <c r="RBZ335"/>
      <c r="RCC335"/>
      <c r="RCD335"/>
      <c r="RCG335"/>
      <c r="RCH335"/>
      <c r="RCK335"/>
      <c r="RCL335"/>
      <c r="RCO335"/>
      <c r="RCP335"/>
      <c r="RCS335"/>
      <c r="RCT335"/>
      <c r="RCW335"/>
      <c r="RCX335"/>
      <c r="RDA335"/>
      <c r="RDB335"/>
      <c r="RDE335"/>
      <c r="RDF335"/>
      <c r="RDI335"/>
      <c r="RDJ335"/>
      <c r="RDM335"/>
      <c r="RDN335"/>
      <c r="RDQ335"/>
      <c r="RDR335"/>
      <c r="RDU335"/>
      <c r="RDV335"/>
      <c r="RDY335"/>
      <c r="RDZ335"/>
      <c r="REC335"/>
      <c r="RED335"/>
      <c r="REG335"/>
      <c r="REH335"/>
      <c r="REK335"/>
      <c r="REL335"/>
      <c r="REO335"/>
      <c r="REP335"/>
      <c r="RES335"/>
      <c r="RET335"/>
      <c r="REW335"/>
      <c r="REX335"/>
      <c r="RFA335"/>
      <c r="RFB335"/>
      <c r="RFE335"/>
      <c r="RFF335"/>
      <c r="RFI335"/>
      <c r="RFJ335"/>
      <c r="RFM335"/>
      <c r="RFN335"/>
      <c r="RFQ335"/>
      <c r="RFR335"/>
      <c r="RFU335"/>
      <c r="RFV335"/>
      <c r="RFY335"/>
      <c r="RFZ335"/>
      <c r="RGC335"/>
      <c r="RGD335"/>
      <c r="RGG335"/>
      <c r="RGH335"/>
      <c r="RGK335"/>
      <c r="RGL335"/>
      <c r="RGO335"/>
      <c r="RGP335"/>
      <c r="RGS335"/>
      <c r="RGT335"/>
      <c r="RGW335"/>
      <c r="RGX335"/>
      <c r="RHA335"/>
      <c r="RHB335"/>
      <c r="RHE335"/>
      <c r="RHF335"/>
      <c r="RHI335"/>
      <c r="RHJ335"/>
      <c r="RHM335"/>
      <c r="RHN335"/>
      <c r="RHQ335"/>
      <c r="RHR335"/>
      <c r="RHU335"/>
      <c r="RHV335"/>
      <c r="RHY335"/>
      <c r="RHZ335"/>
      <c r="RIC335"/>
      <c r="RID335"/>
      <c r="RIG335"/>
      <c r="RIH335"/>
      <c r="RIK335"/>
      <c r="RIL335"/>
      <c r="RIO335"/>
      <c r="RIP335"/>
      <c r="RIS335"/>
      <c r="RIT335"/>
      <c r="RIW335"/>
      <c r="RIX335"/>
      <c r="RJA335"/>
      <c r="RJB335"/>
      <c r="RJE335"/>
      <c r="RJF335"/>
      <c r="RJI335"/>
      <c r="RJJ335"/>
      <c r="RJM335"/>
      <c r="RJN335"/>
      <c r="RJQ335"/>
      <c r="RJR335"/>
      <c r="RJU335"/>
      <c r="RJV335"/>
      <c r="RJY335"/>
      <c r="RJZ335"/>
      <c r="RKC335"/>
      <c r="RKD335"/>
      <c r="RKG335"/>
      <c r="RKH335"/>
      <c r="RKK335"/>
      <c r="RKL335"/>
      <c r="RKO335"/>
      <c r="RKP335"/>
      <c r="RKS335"/>
      <c r="RKT335"/>
      <c r="RKW335"/>
      <c r="RKX335"/>
      <c r="RLA335"/>
      <c r="RLB335"/>
      <c r="RLE335"/>
      <c r="RLF335"/>
      <c r="RLI335"/>
      <c r="RLJ335"/>
      <c r="RLM335"/>
      <c r="RLN335"/>
      <c r="RLQ335"/>
      <c r="RLR335"/>
      <c r="RLU335"/>
      <c r="RLV335"/>
      <c r="RLY335"/>
      <c r="RLZ335"/>
      <c r="RMC335"/>
      <c r="RMD335"/>
      <c r="RMG335"/>
      <c r="RMH335"/>
      <c r="RMK335"/>
      <c r="RML335"/>
      <c r="RMO335"/>
      <c r="RMP335"/>
      <c r="RMS335"/>
      <c r="RMT335"/>
      <c r="RMW335"/>
      <c r="RMX335"/>
      <c r="RNA335"/>
      <c r="RNB335"/>
      <c r="RNE335"/>
      <c r="RNF335"/>
      <c r="RNI335"/>
      <c r="RNJ335"/>
      <c r="RNM335"/>
      <c r="RNN335"/>
      <c r="RNQ335"/>
      <c r="RNR335"/>
      <c r="RNU335"/>
      <c r="RNV335"/>
      <c r="RNY335"/>
      <c r="RNZ335"/>
      <c r="ROC335"/>
      <c r="ROD335"/>
      <c r="ROG335"/>
      <c r="ROH335"/>
      <c r="ROK335"/>
      <c r="ROL335"/>
      <c r="ROO335"/>
      <c r="ROP335"/>
      <c r="ROS335"/>
      <c r="ROT335"/>
      <c r="ROW335"/>
      <c r="ROX335"/>
      <c r="RPA335"/>
      <c r="RPB335"/>
      <c r="RPE335"/>
      <c r="RPF335"/>
      <c r="RPI335"/>
      <c r="RPJ335"/>
      <c r="RPM335"/>
      <c r="RPN335"/>
      <c r="RPQ335"/>
      <c r="RPR335"/>
      <c r="RPU335"/>
      <c r="RPV335"/>
      <c r="RPY335"/>
      <c r="RPZ335"/>
      <c r="RQC335"/>
      <c r="RQD335"/>
      <c r="RQG335"/>
      <c r="RQH335"/>
      <c r="RQK335"/>
      <c r="RQL335"/>
      <c r="RQO335"/>
      <c r="RQP335"/>
      <c r="RQS335"/>
      <c r="RQT335"/>
      <c r="RQW335"/>
      <c r="RQX335"/>
      <c r="RRA335"/>
      <c r="RRB335"/>
      <c r="RRE335"/>
      <c r="RRF335"/>
      <c r="RRI335"/>
      <c r="RRJ335"/>
      <c r="RRM335"/>
      <c r="RRN335"/>
      <c r="RRQ335"/>
      <c r="RRR335"/>
      <c r="RRU335"/>
      <c r="RRV335"/>
      <c r="RRY335"/>
      <c r="RRZ335"/>
      <c r="RSC335"/>
      <c r="RSD335"/>
      <c r="RSG335"/>
      <c r="RSH335"/>
      <c r="RSK335"/>
      <c r="RSL335"/>
      <c r="RSO335"/>
      <c r="RSP335"/>
      <c r="RSS335"/>
      <c r="RST335"/>
      <c r="RSW335"/>
      <c r="RSX335"/>
      <c r="RTA335"/>
      <c r="RTB335"/>
      <c r="RTE335"/>
      <c r="RTF335"/>
      <c r="RTI335"/>
      <c r="RTJ335"/>
      <c r="RTM335"/>
      <c r="RTN335"/>
      <c r="RTQ335"/>
      <c r="RTR335"/>
      <c r="RTU335"/>
      <c r="RTV335"/>
      <c r="RTY335"/>
      <c r="RTZ335"/>
      <c r="RUC335"/>
      <c r="RUD335"/>
      <c r="RUG335"/>
      <c r="RUH335"/>
      <c r="RUK335"/>
      <c r="RUL335"/>
      <c r="RUO335"/>
      <c r="RUP335"/>
      <c r="RUS335"/>
      <c r="RUT335"/>
      <c r="RUW335"/>
      <c r="RUX335"/>
      <c r="RVA335"/>
      <c r="RVB335"/>
      <c r="RVE335"/>
      <c r="RVF335"/>
      <c r="RVI335"/>
      <c r="RVJ335"/>
      <c r="RVM335"/>
      <c r="RVN335"/>
      <c r="RVQ335"/>
      <c r="RVR335"/>
      <c r="RVU335"/>
      <c r="RVV335"/>
      <c r="RVY335"/>
      <c r="RVZ335"/>
      <c r="RWC335"/>
      <c r="RWD335"/>
      <c r="RWG335"/>
      <c r="RWH335"/>
      <c r="RWK335"/>
      <c r="RWL335"/>
      <c r="RWO335"/>
      <c r="RWP335"/>
      <c r="RWS335"/>
      <c r="RWT335"/>
      <c r="RWW335"/>
      <c r="RWX335"/>
      <c r="RXA335"/>
      <c r="RXB335"/>
      <c r="RXE335"/>
      <c r="RXF335"/>
      <c r="RXI335"/>
      <c r="RXJ335"/>
      <c r="RXM335"/>
      <c r="RXN335"/>
      <c r="RXQ335"/>
      <c r="RXR335"/>
      <c r="RXU335"/>
      <c r="RXV335"/>
      <c r="RXY335"/>
      <c r="RXZ335"/>
      <c r="RYC335"/>
      <c r="RYD335"/>
      <c r="RYG335"/>
      <c r="RYH335"/>
      <c r="RYK335"/>
      <c r="RYL335"/>
      <c r="RYO335"/>
      <c r="RYP335"/>
      <c r="RYS335"/>
      <c r="RYT335"/>
      <c r="RYW335"/>
      <c r="RYX335"/>
      <c r="RZA335"/>
      <c r="RZB335"/>
      <c r="RZE335"/>
      <c r="RZF335"/>
      <c r="RZI335"/>
      <c r="RZJ335"/>
      <c r="RZM335"/>
      <c r="RZN335"/>
      <c r="RZQ335"/>
      <c r="RZR335"/>
      <c r="RZU335"/>
      <c r="RZV335"/>
      <c r="RZY335"/>
      <c r="RZZ335"/>
      <c r="SAC335"/>
      <c r="SAD335"/>
      <c r="SAG335"/>
      <c r="SAH335"/>
      <c r="SAK335"/>
      <c r="SAL335"/>
      <c r="SAO335"/>
      <c r="SAP335"/>
      <c r="SAS335"/>
      <c r="SAT335"/>
      <c r="SAW335"/>
      <c r="SAX335"/>
      <c r="SBA335"/>
      <c r="SBB335"/>
      <c r="SBE335"/>
      <c r="SBF335"/>
      <c r="SBI335"/>
      <c r="SBJ335"/>
      <c r="SBM335"/>
      <c r="SBN335"/>
      <c r="SBQ335"/>
      <c r="SBR335"/>
      <c r="SBU335"/>
      <c r="SBV335"/>
      <c r="SBY335"/>
      <c r="SBZ335"/>
      <c r="SCC335"/>
      <c r="SCD335"/>
      <c r="SCG335"/>
      <c r="SCH335"/>
      <c r="SCK335"/>
      <c r="SCL335"/>
      <c r="SCO335"/>
      <c r="SCP335"/>
      <c r="SCS335"/>
      <c r="SCT335"/>
      <c r="SCW335"/>
      <c r="SCX335"/>
      <c r="SDA335"/>
      <c r="SDB335"/>
      <c r="SDE335"/>
      <c r="SDF335"/>
      <c r="SDI335"/>
      <c r="SDJ335"/>
      <c r="SDM335"/>
      <c r="SDN335"/>
      <c r="SDQ335"/>
      <c r="SDR335"/>
      <c r="SDU335"/>
      <c r="SDV335"/>
      <c r="SDY335"/>
      <c r="SDZ335"/>
      <c r="SEC335"/>
      <c r="SED335"/>
      <c r="SEG335"/>
      <c r="SEH335"/>
      <c r="SEK335"/>
      <c r="SEL335"/>
      <c r="SEO335"/>
      <c r="SEP335"/>
      <c r="SES335"/>
      <c r="SET335"/>
      <c r="SEW335"/>
      <c r="SEX335"/>
      <c r="SFA335"/>
      <c r="SFB335"/>
      <c r="SFE335"/>
      <c r="SFF335"/>
      <c r="SFI335"/>
      <c r="SFJ335"/>
      <c r="SFM335"/>
      <c r="SFN335"/>
      <c r="SFQ335"/>
      <c r="SFR335"/>
      <c r="SFU335"/>
      <c r="SFV335"/>
      <c r="SFY335"/>
      <c r="SFZ335"/>
      <c r="SGC335"/>
      <c r="SGD335"/>
      <c r="SGG335"/>
      <c r="SGH335"/>
      <c r="SGK335"/>
      <c r="SGL335"/>
      <c r="SGO335"/>
      <c r="SGP335"/>
      <c r="SGS335"/>
      <c r="SGT335"/>
      <c r="SGW335"/>
      <c r="SGX335"/>
      <c r="SHA335"/>
      <c r="SHB335"/>
      <c r="SHE335"/>
      <c r="SHF335"/>
      <c r="SHI335"/>
      <c r="SHJ335"/>
      <c r="SHM335"/>
      <c r="SHN335"/>
      <c r="SHQ335"/>
      <c r="SHR335"/>
      <c r="SHU335"/>
      <c r="SHV335"/>
      <c r="SHY335"/>
      <c r="SHZ335"/>
      <c r="SIC335"/>
      <c r="SID335"/>
      <c r="SIG335"/>
      <c r="SIH335"/>
      <c r="SIK335"/>
      <c r="SIL335"/>
      <c r="SIO335"/>
      <c r="SIP335"/>
      <c r="SIS335"/>
      <c r="SIT335"/>
      <c r="SIW335"/>
      <c r="SIX335"/>
      <c r="SJA335"/>
      <c r="SJB335"/>
      <c r="SJE335"/>
      <c r="SJF335"/>
      <c r="SJI335"/>
      <c r="SJJ335"/>
      <c r="SJM335"/>
      <c r="SJN335"/>
      <c r="SJQ335"/>
      <c r="SJR335"/>
      <c r="SJU335"/>
      <c r="SJV335"/>
      <c r="SJY335"/>
      <c r="SJZ335"/>
      <c r="SKC335"/>
      <c r="SKD335"/>
      <c r="SKG335"/>
      <c r="SKH335"/>
      <c r="SKK335"/>
      <c r="SKL335"/>
      <c r="SKO335"/>
      <c r="SKP335"/>
      <c r="SKS335"/>
      <c r="SKT335"/>
      <c r="SKW335"/>
      <c r="SKX335"/>
      <c r="SLA335"/>
      <c r="SLB335"/>
      <c r="SLE335"/>
      <c r="SLF335"/>
      <c r="SLI335"/>
      <c r="SLJ335"/>
      <c r="SLM335"/>
      <c r="SLN335"/>
      <c r="SLQ335"/>
      <c r="SLR335"/>
      <c r="SLU335"/>
      <c r="SLV335"/>
      <c r="SLY335"/>
      <c r="SLZ335"/>
      <c r="SMC335"/>
      <c r="SMD335"/>
      <c r="SMG335"/>
      <c r="SMH335"/>
      <c r="SMK335"/>
      <c r="SML335"/>
      <c r="SMO335"/>
      <c r="SMP335"/>
      <c r="SMS335"/>
      <c r="SMT335"/>
      <c r="SMW335"/>
      <c r="SMX335"/>
      <c r="SNA335"/>
      <c r="SNB335"/>
      <c r="SNE335"/>
      <c r="SNF335"/>
      <c r="SNI335"/>
      <c r="SNJ335"/>
      <c r="SNM335"/>
      <c r="SNN335"/>
      <c r="SNQ335"/>
      <c r="SNR335"/>
      <c r="SNU335"/>
      <c r="SNV335"/>
      <c r="SNY335"/>
      <c r="SNZ335"/>
      <c r="SOC335"/>
      <c r="SOD335"/>
      <c r="SOG335"/>
      <c r="SOH335"/>
      <c r="SOK335"/>
      <c r="SOL335"/>
      <c r="SOO335"/>
      <c r="SOP335"/>
      <c r="SOS335"/>
      <c r="SOT335"/>
      <c r="SOW335"/>
      <c r="SOX335"/>
      <c r="SPA335"/>
      <c r="SPB335"/>
      <c r="SPE335"/>
      <c r="SPF335"/>
      <c r="SPI335"/>
      <c r="SPJ335"/>
      <c r="SPM335"/>
      <c r="SPN335"/>
      <c r="SPQ335"/>
      <c r="SPR335"/>
      <c r="SPU335"/>
      <c r="SPV335"/>
      <c r="SPY335"/>
      <c r="SPZ335"/>
      <c r="SQC335"/>
      <c r="SQD335"/>
      <c r="SQG335"/>
      <c r="SQH335"/>
      <c r="SQK335"/>
      <c r="SQL335"/>
      <c r="SQO335"/>
      <c r="SQP335"/>
      <c r="SQS335"/>
      <c r="SQT335"/>
      <c r="SQW335"/>
      <c r="SQX335"/>
      <c r="SRA335"/>
      <c r="SRB335"/>
      <c r="SRE335"/>
      <c r="SRF335"/>
      <c r="SRI335"/>
      <c r="SRJ335"/>
      <c r="SRM335"/>
      <c r="SRN335"/>
      <c r="SRQ335"/>
      <c r="SRR335"/>
      <c r="SRU335"/>
      <c r="SRV335"/>
      <c r="SRY335"/>
      <c r="SRZ335"/>
      <c r="SSC335"/>
      <c r="SSD335"/>
      <c r="SSG335"/>
      <c r="SSH335"/>
      <c r="SSK335"/>
      <c r="SSL335"/>
      <c r="SSO335"/>
      <c r="SSP335"/>
      <c r="SSS335"/>
      <c r="SST335"/>
      <c r="SSW335"/>
      <c r="SSX335"/>
      <c r="STA335"/>
      <c r="STB335"/>
      <c r="STE335"/>
      <c r="STF335"/>
      <c r="STI335"/>
      <c r="STJ335"/>
      <c r="STM335"/>
      <c r="STN335"/>
      <c r="STQ335"/>
      <c r="STR335"/>
      <c r="STU335"/>
      <c r="STV335"/>
      <c r="STY335"/>
      <c r="STZ335"/>
      <c r="SUC335"/>
      <c r="SUD335"/>
      <c r="SUG335"/>
      <c r="SUH335"/>
      <c r="SUK335"/>
      <c r="SUL335"/>
      <c r="SUO335"/>
      <c r="SUP335"/>
      <c r="SUS335"/>
      <c r="SUT335"/>
      <c r="SUW335"/>
      <c r="SUX335"/>
      <c r="SVA335"/>
      <c r="SVB335"/>
      <c r="SVE335"/>
      <c r="SVF335"/>
      <c r="SVI335"/>
      <c r="SVJ335"/>
      <c r="SVM335"/>
      <c r="SVN335"/>
      <c r="SVQ335"/>
      <c r="SVR335"/>
      <c r="SVU335"/>
      <c r="SVV335"/>
      <c r="SVY335"/>
      <c r="SVZ335"/>
      <c r="SWC335"/>
      <c r="SWD335"/>
      <c r="SWG335"/>
      <c r="SWH335"/>
      <c r="SWK335"/>
      <c r="SWL335"/>
      <c r="SWO335"/>
      <c r="SWP335"/>
      <c r="SWS335"/>
      <c r="SWT335"/>
      <c r="SWW335"/>
      <c r="SWX335"/>
      <c r="SXA335"/>
      <c r="SXB335"/>
      <c r="SXE335"/>
      <c r="SXF335"/>
      <c r="SXI335"/>
      <c r="SXJ335"/>
      <c r="SXM335"/>
      <c r="SXN335"/>
      <c r="SXQ335"/>
      <c r="SXR335"/>
      <c r="SXU335"/>
      <c r="SXV335"/>
      <c r="SXY335"/>
      <c r="SXZ335"/>
      <c r="SYC335"/>
      <c r="SYD335"/>
      <c r="SYG335"/>
      <c r="SYH335"/>
      <c r="SYK335"/>
      <c r="SYL335"/>
      <c r="SYO335"/>
      <c r="SYP335"/>
      <c r="SYS335"/>
      <c r="SYT335"/>
      <c r="SYW335"/>
      <c r="SYX335"/>
      <c r="SZA335"/>
      <c r="SZB335"/>
      <c r="SZE335"/>
      <c r="SZF335"/>
      <c r="SZI335"/>
      <c r="SZJ335"/>
      <c r="SZM335"/>
      <c r="SZN335"/>
      <c r="SZQ335"/>
      <c r="SZR335"/>
      <c r="SZU335"/>
      <c r="SZV335"/>
      <c r="SZY335"/>
      <c r="SZZ335"/>
      <c r="TAC335"/>
      <c r="TAD335"/>
      <c r="TAG335"/>
      <c r="TAH335"/>
      <c r="TAK335"/>
      <c r="TAL335"/>
      <c r="TAO335"/>
      <c r="TAP335"/>
      <c r="TAS335"/>
      <c r="TAT335"/>
      <c r="TAW335"/>
      <c r="TAX335"/>
      <c r="TBA335"/>
      <c r="TBB335"/>
      <c r="TBE335"/>
      <c r="TBF335"/>
      <c r="TBI335"/>
      <c r="TBJ335"/>
      <c r="TBM335"/>
      <c r="TBN335"/>
      <c r="TBQ335"/>
      <c r="TBR335"/>
      <c r="TBU335"/>
      <c r="TBV335"/>
      <c r="TBY335"/>
      <c r="TBZ335"/>
      <c r="TCC335"/>
      <c r="TCD335"/>
      <c r="TCG335"/>
      <c r="TCH335"/>
      <c r="TCK335"/>
      <c r="TCL335"/>
      <c r="TCO335"/>
      <c r="TCP335"/>
      <c r="TCS335"/>
      <c r="TCT335"/>
      <c r="TCW335"/>
      <c r="TCX335"/>
      <c r="TDA335"/>
      <c r="TDB335"/>
      <c r="TDE335"/>
      <c r="TDF335"/>
      <c r="TDI335"/>
      <c r="TDJ335"/>
      <c r="TDM335"/>
      <c r="TDN335"/>
      <c r="TDQ335"/>
      <c r="TDR335"/>
      <c r="TDU335"/>
      <c r="TDV335"/>
      <c r="TDY335"/>
      <c r="TDZ335"/>
      <c r="TEC335"/>
      <c r="TED335"/>
      <c r="TEG335"/>
      <c r="TEH335"/>
      <c r="TEK335"/>
      <c r="TEL335"/>
      <c r="TEO335"/>
      <c r="TEP335"/>
      <c r="TES335"/>
      <c r="TET335"/>
      <c r="TEW335"/>
      <c r="TEX335"/>
      <c r="TFA335"/>
      <c r="TFB335"/>
      <c r="TFE335"/>
      <c r="TFF335"/>
      <c r="TFI335"/>
      <c r="TFJ335"/>
      <c r="TFM335"/>
      <c r="TFN335"/>
      <c r="TFQ335"/>
      <c r="TFR335"/>
      <c r="TFU335"/>
      <c r="TFV335"/>
      <c r="TFY335"/>
      <c r="TFZ335"/>
      <c r="TGC335"/>
      <c r="TGD335"/>
      <c r="TGG335"/>
      <c r="TGH335"/>
      <c r="TGK335"/>
      <c r="TGL335"/>
      <c r="TGO335"/>
      <c r="TGP335"/>
      <c r="TGS335"/>
      <c r="TGT335"/>
      <c r="TGW335"/>
      <c r="TGX335"/>
      <c r="THA335"/>
      <c r="THB335"/>
      <c r="THE335"/>
      <c r="THF335"/>
      <c r="THI335"/>
      <c r="THJ335"/>
      <c r="THM335"/>
      <c r="THN335"/>
      <c r="THQ335"/>
      <c r="THR335"/>
      <c r="THU335"/>
      <c r="THV335"/>
      <c r="THY335"/>
      <c r="THZ335"/>
      <c r="TIC335"/>
      <c r="TID335"/>
      <c r="TIG335"/>
      <c r="TIH335"/>
      <c r="TIK335"/>
      <c r="TIL335"/>
      <c r="TIO335"/>
      <c r="TIP335"/>
      <c r="TIS335"/>
      <c r="TIT335"/>
      <c r="TIW335"/>
      <c r="TIX335"/>
      <c r="TJA335"/>
      <c r="TJB335"/>
      <c r="TJE335"/>
      <c r="TJF335"/>
      <c r="TJI335"/>
      <c r="TJJ335"/>
      <c r="TJM335"/>
      <c r="TJN335"/>
      <c r="TJQ335"/>
      <c r="TJR335"/>
      <c r="TJU335"/>
      <c r="TJV335"/>
      <c r="TJY335"/>
      <c r="TJZ335"/>
      <c r="TKC335"/>
      <c r="TKD335"/>
      <c r="TKG335"/>
      <c r="TKH335"/>
      <c r="TKK335"/>
      <c r="TKL335"/>
      <c r="TKO335"/>
      <c r="TKP335"/>
      <c r="TKS335"/>
      <c r="TKT335"/>
      <c r="TKW335"/>
      <c r="TKX335"/>
      <c r="TLA335"/>
      <c r="TLB335"/>
      <c r="TLE335"/>
      <c r="TLF335"/>
      <c r="TLI335"/>
      <c r="TLJ335"/>
      <c r="TLM335"/>
      <c r="TLN335"/>
      <c r="TLQ335"/>
      <c r="TLR335"/>
      <c r="TLU335"/>
      <c r="TLV335"/>
      <c r="TLY335"/>
      <c r="TLZ335"/>
      <c r="TMC335"/>
      <c r="TMD335"/>
      <c r="TMG335"/>
      <c r="TMH335"/>
      <c r="TMK335"/>
      <c r="TML335"/>
      <c r="TMO335"/>
      <c r="TMP335"/>
      <c r="TMS335"/>
      <c r="TMT335"/>
      <c r="TMW335"/>
      <c r="TMX335"/>
      <c r="TNA335"/>
      <c r="TNB335"/>
      <c r="TNE335"/>
      <c r="TNF335"/>
      <c r="TNI335"/>
      <c r="TNJ335"/>
      <c r="TNM335"/>
      <c r="TNN335"/>
      <c r="TNQ335"/>
      <c r="TNR335"/>
      <c r="TNU335"/>
      <c r="TNV335"/>
      <c r="TNY335"/>
      <c r="TNZ335"/>
      <c r="TOC335"/>
      <c r="TOD335"/>
      <c r="TOG335"/>
      <c r="TOH335"/>
      <c r="TOK335"/>
      <c r="TOL335"/>
      <c r="TOO335"/>
      <c r="TOP335"/>
      <c r="TOS335"/>
      <c r="TOT335"/>
      <c r="TOW335"/>
      <c r="TOX335"/>
      <c r="TPA335"/>
      <c r="TPB335"/>
      <c r="TPE335"/>
      <c r="TPF335"/>
      <c r="TPI335"/>
      <c r="TPJ335"/>
      <c r="TPM335"/>
      <c r="TPN335"/>
      <c r="TPQ335"/>
      <c r="TPR335"/>
      <c r="TPU335"/>
      <c r="TPV335"/>
      <c r="TPY335"/>
      <c r="TPZ335"/>
      <c r="TQC335"/>
      <c r="TQD335"/>
      <c r="TQG335"/>
      <c r="TQH335"/>
      <c r="TQK335"/>
      <c r="TQL335"/>
      <c r="TQO335"/>
      <c r="TQP335"/>
      <c r="TQS335"/>
      <c r="TQT335"/>
      <c r="TQW335"/>
      <c r="TQX335"/>
      <c r="TRA335"/>
      <c r="TRB335"/>
      <c r="TRE335"/>
      <c r="TRF335"/>
      <c r="TRI335"/>
      <c r="TRJ335"/>
      <c r="TRM335"/>
      <c r="TRN335"/>
      <c r="TRQ335"/>
      <c r="TRR335"/>
      <c r="TRU335"/>
      <c r="TRV335"/>
      <c r="TRY335"/>
      <c r="TRZ335"/>
      <c r="TSC335"/>
      <c r="TSD335"/>
      <c r="TSG335"/>
      <c r="TSH335"/>
      <c r="TSK335"/>
      <c r="TSL335"/>
      <c r="TSO335"/>
      <c r="TSP335"/>
      <c r="TSS335"/>
      <c r="TST335"/>
      <c r="TSW335"/>
      <c r="TSX335"/>
      <c r="TTA335"/>
      <c r="TTB335"/>
      <c r="TTE335"/>
      <c r="TTF335"/>
      <c r="TTI335"/>
      <c r="TTJ335"/>
      <c r="TTM335"/>
      <c r="TTN335"/>
      <c r="TTQ335"/>
      <c r="TTR335"/>
      <c r="TTU335"/>
      <c r="TTV335"/>
      <c r="TTY335"/>
      <c r="TTZ335"/>
      <c r="TUC335"/>
      <c r="TUD335"/>
      <c r="TUG335"/>
      <c r="TUH335"/>
      <c r="TUK335"/>
      <c r="TUL335"/>
      <c r="TUO335"/>
      <c r="TUP335"/>
      <c r="TUS335"/>
      <c r="TUT335"/>
      <c r="TUW335"/>
      <c r="TUX335"/>
      <c r="TVA335"/>
      <c r="TVB335"/>
      <c r="TVE335"/>
      <c r="TVF335"/>
      <c r="TVI335"/>
      <c r="TVJ335"/>
      <c r="TVM335"/>
      <c r="TVN335"/>
      <c r="TVQ335"/>
      <c r="TVR335"/>
      <c r="TVU335"/>
      <c r="TVV335"/>
      <c r="TVY335"/>
      <c r="TVZ335"/>
      <c r="TWC335"/>
      <c r="TWD335"/>
      <c r="TWG335"/>
      <c r="TWH335"/>
      <c r="TWK335"/>
      <c r="TWL335"/>
      <c r="TWO335"/>
      <c r="TWP335"/>
      <c r="TWS335"/>
      <c r="TWT335"/>
      <c r="TWW335"/>
      <c r="TWX335"/>
      <c r="TXA335"/>
      <c r="TXB335"/>
      <c r="TXE335"/>
      <c r="TXF335"/>
      <c r="TXI335"/>
      <c r="TXJ335"/>
      <c r="TXM335"/>
      <c r="TXN335"/>
      <c r="TXQ335"/>
      <c r="TXR335"/>
      <c r="TXU335"/>
      <c r="TXV335"/>
      <c r="TXY335"/>
      <c r="TXZ335"/>
      <c r="TYC335"/>
      <c r="TYD335"/>
      <c r="TYG335"/>
      <c r="TYH335"/>
      <c r="TYK335"/>
      <c r="TYL335"/>
      <c r="TYO335"/>
      <c r="TYP335"/>
      <c r="TYS335"/>
      <c r="TYT335"/>
      <c r="TYW335"/>
      <c r="TYX335"/>
      <c r="TZA335"/>
      <c r="TZB335"/>
      <c r="TZE335"/>
      <c r="TZF335"/>
      <c r="TZI335"/>
      <c r="TZJ335"/>
      <c r="TZM335"/>
      <c r="TZN335"/>
      <c r="TZQ335"/>
      <c r="TZR335"/>
      <c r="TZU335"/>
      <c r="TZV335"/>
      <c r="TZY335"/>
      <c r="TZZ335"/>
      <c r="UAC335"/>
      <c r="UAD335"/>
      <c r="UAG335"/>
      <c r="UAH335"/>
      <c r="UAK335"/>
      <c r="UAL335"/>
      <c r="UAO335"/>
      <c r="UAP335"/>
      <c r="UAS335"/>
      <c r="UAT335"/>
      <c r="UAW335"/>
      <c r="UAX335"/>
      <c r="UBA335"/>
      <c r="UBB335"/>
      <c r="UBE335"/>
      <c r="UBF335"/>
      <c r="UBI335"/>
      <c r="UBJ335"/>
      <c r="UBM335"/>
      <c r="UBN335"/>
      <c r="UBQ335"/>
      <c r="UBR335"/>
      <c r="UBU335"/>
      <c r="UBV335"/>
      <c r="UBY335"/>
      <c r="UBZ335"/>
      <c r="UCC335"/>
      <c r="UCD335"/>
      <c r="UCG335"/>
      <c r="UCH335"/>
      <c r="UCK335"/>
      <c r="UCL335"/>
      <c r="UCO335"/>
      <c r="UCP335"/>
      <c r="UCS335"/>
      <c r="UCT335"/>
      <c r="UCW335"/>
      <c r="UCX335"/>
      <c r="UDA335"/>
      <c r="UDB335"/>
      <c r="UDE335"/>
      <c r="UDF335"/>
      <c r="UDI335"/>
      <c r="UDJ335"/>
      <c r="UDM335"/>
      <c r="UDN335"/>
      <c r="UDQ335"/>
      <c r="UDR335"/>
      <c r="UDU335"/>
      <c r="UDV335"/>
      <c r="UDY335"/>
      <c r="UDZ335"/>
      <c r="UEC335"/>
      <c r="UED335"/>
      <c r="UEG335"/>
      <c r="UEH335"/>
      <c r="UEK335"/>
      <c r="UEL335"/>
      <c r="UEO335"/>
      <c r="UEP335"/>
      <c r="UES335"/>
      <c r="UET335"/>
      <c r="UEW335"/>
      <c r="UEX335"/>
      <c r="UFA335"/>
      <c r="UFB335"/>
      <c r="UFE335"/>
      <c r="UFF335"/>
      <c r="UFI335"/>
      <c r="UFJ335"/>
      <c r="UFM335"/>
      <c r="UFN335"/>
      <c r="UFQ335"/>
      <c r="UFR335"/>
      <c r="UFU335"/>
      <c r="UFV335"/>
      <c r="UFY335"/>
      <c r="UFZ335"/>
      <c r="UGC335"/>
      <c r="UGD335"/>
      <c r="UGG335"/>
      <c r="UGH335"/>
      <c r="UGK335"/>
      <c r="UGL335"/>
      <c r="UGO335"/>
      <c r="UGP335"/>
      <c r="UGS335"/>
      <c r="UGT335"/>
      <c r="UGW335"/>
      <c r="UGX335"/>
      <c r="UHA335"/>
      <c r="UHB335"/>
      <c r="UHE335"/>
      <c r="UHF335"/>
      <c r="UHI335"/>
      <c r="UHJ335"/>
      <c r="UHM335"/>
      <c r="UHN335"/>
      <c r="UHQ335"/>
      <c r="UHR335"/>
      <c r="UHU335"/>
      <c r="UHV335"/>
      <c r="UHY335"/>
      <c r="UHZ335"/>
      <c r="UIC335"/>
      <c r="UID335"/>
      <c r="UIG335"/>
      <c r="UIH335"/>
      <c r="UIK335"/>
      <c r="UIL335"/>
      <c r="UIO335"/>
      <c r="UIP335"/>
      <c r="UIS335"/>
      <c r="UIT335"/>
      <c r="UIW335"/>
      <c r="UIX335"/>
      <c r="UJA335"/>
      <c r="UJB335"/>
      <c r="UJE335"/>
      <c r="UJF335"/>
      <c r="UJI335"/>
      <c r="UJJ335"/>
      <c r="UJM335"/>
      <c r="UJN335"/>
      <c r="UJQ335"/>
      <c r="UJR335"/>
      <c r="UJU335"/>
      <c r="UJV335"/>
      <c r="UJY335"/>
      <c r="UJZ335"/>
      <c r="UKC335"/>
      <c r="UKD335"/>
      <c r="UKG335"/>
      <c r="UKH335"/>
      <c r="UKK335"/>
      <c r="UKL335"/>
      <c r="UKO335"/>
      <c r="UKP335"/>
      <c r="UKS335"/>
      <c r="UKT335"/>
      <c r="UKW335"/>
      <c r="UKX335"/>
      <c r="ULA335"/>
      <c r="ULB335"/>
      <c r="ULE335"/>
      <c r="ULF335"/>
      <c r="ULI335"/>
      <c r="ULJ335"/>
      <c r="ULM335"/>
      <c r="ULN335"/>
      <c r="ULQ335"/>
      <c r="ULR335"/>
      <c r="ULU335"/>
      <c r="ULV335"/>
      <c r="ULY335"/>
      <c r="ULZ335"/>
      <c r="UMC335"/>
      <c r="UMD335"/>
      <c r="UMG335"/>
      <c r="UMH335"/>
      <c r="UMK335"/>
      <c r="UML335"/>
      <c r="UMO335"/>
      <c r="UMP335"/>
      <c r="UMS335"/>
      <c r="UMT335"/>
      <c r="UMW335"/>
      <c r="UMX335"/>
      <c r="UNA335"/>
      <c r="UNB335"/>
      <c r="UNE335"/>
      <c r="UNF335"/>
      <c r="UNI335"/>
      <c r="UNJ335"/>
      <c r="UNM335"/>
      <c r="UNN335"/>
      <c r="UNQ335"/>
      <c r="UNR335"/>
      <c r="UNU335"/>
      <c r="UNV335"/>
      <c r="UNY335"/>
      <c r="UNZ335"/>
      <c r="UOC335"/>
      <c r="UOD335"/>
      <c r="UOG335"/>
      <c r="UOH335"/>
      <c r="UOK335"/>
      <c r="UOL335"/>
      <c r="UOO335"/>
      <c r="UOP335"/>
      <c r="UOS335"/>
      <c r="UOT335"/>
      <c r="UOW335"/>
      <c r="UOX335"/>
      <c r="UPA335"/>
      <c r="UPB335"/>
      <c r="UPE335"/>
      <c r="UPF335"/>
      <c r="UPI335"/>
      <c r="UPJ335"/>
      <c r="UPM335"/>
      <c r="UPN335"/>
      <c r="UPQ335"/>
      <c r="UPR335"/>
      <c r="UPU335"/>
      <c r="UPV335"/>
      <c r="UPY335"/>
      <c r="UPZ335"/>
      <c r="UQC335"/>
      <c r="UQD335"/>
      <c r="UQG335"/>
      <c r="UQH335"/>
      <c r="UQK335"/>
      <c r="UQL335"/>
      <c r="UQO335"/>
      <c r="UQP335"/>
      <c r="UQS335"/>
      <c r="UQT335"/>
      <c r="UQW335"/>
      <c r="UQX335"/>
      <c r="URA335"/>
      <c r="URB335"/>
      <c r="URE335"/>
      <c r="URF335"/>
      <c r="URI335"/>
      <c r="URJ335"/>
      <c r="URM335"/>
      <c r="URN335"/>
      <c r="URQ335"/>
      <c r="URR335"/>
      <c r="URU335"/>
      <c r="URV335"/>
      <c r="URY335"/>
      <c r="URZ335"/>
      <c r="USC335"/>
      <c r="USD335"/>
      <c r="USG335"/>
      <c r="USH335"/>
      <c r="USK335"/>
      <c r="USL335"/>
      <c r="USO335"/>
      <c r="USP335"/>
      <c r="USS335"/>
      <c r="UST335"/>
      <c r="USW335"/>
      <c r="USX335"/>
      <c r="UTA335"/>
      <c r="UTB335"/>
      <c r="UTE335"/>
      <c r="UTF335"/>
      <c r="UTI335"/>
      <c r="UTJ335"/>
      <c r="UTM335"/>
      <c r="UTN335"/>
      <c r="UTQ335"/>
      <c r="UTR335"/>
      <c r="UTU335"/>
      <c r="UTV335"/>
      <c r="UTY335"/>
      <c r="UTZ335"/>
      <c r="UUC335"/>
      <c r="UUD335"/>
      <c r="UUG335"/>
      <c r="UUH335"/>
      <c r="UUK335"/>
      <c r="UUL335"/>
      <c r="UUO335"/>
      <c r="UUP335"/>
      <c r="UUS335"/>
      <c r="UUT335"/>
      <c r="UUW335"/>
      <c r="UUX335"/>
      <c r="UVA335"/>
      <c r="UVB335"/>
      <c r="UVE335"/>
      <c r="UVF335"/>
      <c r="UVI335"/>
      <c r="UVJ335"/>
      <c r="UVM335"/>
      <c r="UVN335"/>
      <c r="UVQ335"/>
      <c r="UVR335"/>
      <c r="UVU335"/>
      <c r="UVV335"/>
      <c r="UVY335"/>
      <c r="UVZ335"/>
      <c r="UWC335"/>
      <c r="UWD335"/>
      <c r="UWG335"/>
      <c r="UWH335"/>
      <c r="UWK335"/>
      <c r="UWL335"/>
      <c r="UWO335"/>
      <c r="UWP335"/>
      <c r="UWS335"/>
      <c r="UWT335"/>
      <c r="UWW335"/>
      <c r="UWX335"/>
      <c r="UXA335"/>
      <c r="UXB335"/>
      <c r="UXE335"/>
      <c r="UXF335"/>
      <c r="UXI335"/>
      <c r="UXJ335"/>
      <c r="UXM335"/>
      <c r="UXN335"/>
      <c r="UXQ335"/>
      <c r="UXR335"/>
      <c r="UXU335"/>
      <c r="UXV335"/>
      <c r="UXY335"/>
      <c r="UXZ335"/>
      <c r="UYC335"/>
      <c r="UYD335"/>
      <c r="UYG335"/>
      <c r="UYH335"/>
      <c r="UYK335"/>
      <c r="UYL335"/>
      <c r="UYO335"/>
      <c r="UYP335"/>
      <c r="UYS335"/>
      <c r="UYT335"/>
      <c r="UYW335"/>
      <c r="UYX335"/>
      <c r="UZA335"/>
      <c r="UZB335"/>
      <c r="UZE335"/>
      <c r="UZF335"/>
      <c r="UZI335"/>
      <c r="UZJ335"/>
      <c r="UZM335"/>
      <c r="UZN335"/>
      <c r="UZQ335"/>
      <c r="UZR335"/>
      <c r="UZU335"/>
      <c r="UZV335"/>
      <c r="UZY335"/>
      <c r="UZZ335"/>
      <c r="VAC335"/>
      <c r="VAD335"/>
      <c r="VAG335"/>
      <c r="VAH335"/>
      <c r="VAK335"/>
      <c r="VAL335"/>
      <c r="VAO335"/>
      <c r="VAP335"/>
      <c r="VAS335"/>
      <c r="VAT335"/>
      <c r="VAW335"/>
      <c r="VAX335"/>
      <c r="VBA335"/>
      <c r="VBB335"/>
      <c r="VBE335"/>
      <c r="VBF335"/>
      <c r="VBI335"/>
      <c r="VBJ335"/>
      <c r="VBM335"/>
      <c r="VBN335"/>
      <c r="VBQ335"/>
      <c r="VBR335"/>
      <c r="VBU335"/>
      <c r="VBV335"/>
      <c r="VBY335"/>
      <c r="VBZ335"/>
      <c r="VCC335"/>
      <c r="VCD335"/>
      <c r="VCG335"/>
      <c r="VCH335"/>
      <c r="VCK335"/>
      <c r="VCL335"/>
      <c r="VCO335"/>
      <c r="VCP335"/>
      <c r="VCS335"/>
      <c r="VCT335"/>
      <c r="VCW335"/>
      <c r="VCX335"/>
      <c r="VDA335"/>
      <c r="VDB335"/>
      <c r="VDE335"/>
      <c r="VDF335"/>
      <c r="VDI335"/>
      <c r="VDJ335"/>
      <c r="VDM335"/>
      <c r="VDN335"/>
      <c r="VDQ335"/>
      <c r="VDR335"/>
      <c r="VDU335"/>
      <c r="VDV335"/>
      <c r="VDY335"/>
      <c r="VDZ335"/>
      <c r="VEC335"/>
      <c r="VED335"/>
      <c r="VEG335"/>
      <c r="VEH335"/>
      <c r="VEK335"/>
      <c r="VEL335"/>
      <c r="VEO335"/>
      <c r="VEP335"/>
      <c r="VES335"/>
      <c r="VET335"/>
      <c r="VEW335"/>
      <c r="VEX335"/>
      <c r="VFA335"/>
      <c r="VFB335"/>
      <c r="VFE335"/>
      <c r="VFF335"/>
      <c r="VFI335"/>
      <c r="VFJ335"/>
      <c r="VFM335"/>
      <c r="VFN335"/>
      <c r="VFQ335"/>
      <c r="VFR335"/>
      <c r="VFU335"/>
      <c r="VFV335"/>
      <c r="VFY335"/>
      <c r="VFZ335"/>
      <c r="VGC335"/>
      <c r="VGD335"/>
      <c r="VGG335"/>
      <c r="VGH335"/>
      <c r="VGK335"/>
      <c r="VGL335"/>
      <c r="VGO335"/>
      <c r="VGP335"/>
      <c r="VGS335"/>
      <c r="VGT335"/>
      <c r="VGW335"/>
      <c r="VGX335"/>
      <c r="VHA335"/>
      <c r="VHB335"/>
      <c r="VHE335"/>
      <c r="VHF335"/>
      <c r="VHI335"/>
      <c r="VHJ335"/>
      <c r="VHM335"/>
      <c r="VHN335"/>
      <c r="VHQ335"/>
      <c r="VHR335"/>
      <c r="VHU335"/>
      <c r="VHV335"/>
      <c r="VHY335"/>
      <c r="VHZ335"/>
      <c r="VIC335"/>
      <c r="VID335"/>
      <c r="VIG335"/>
      <c r="VIH335"/>
      <c r="VIK335"/>
      <c r="VIL335"/>
      <c r="VIO335"/>
      <c r="VIP335"/>
      <c r="VIS335"/>
      <c r="VIT335"/>
      <c r="VIW335"/>
      <c r="VIX335"/>
      <c r="VJA335"/>
      <c r="VJB335"/>
      <c r="VJE335"/>
      <c r="VJF335"/>
      <c r="VJI335"/>
      <c r="VJJ335"/>
      <c r="VJM335"/>
      <c r="VJN335"/>
      <c r="VJQ335"/>
      <c r="VJR335"/>
      <c r="VJU335"/>
      <c r="VJV335"/>
      <c r="VJY335"/>
      <c r="VJZ335"/>
      <c r="VKC335"/>
      <c r="VKD335"/>
      <c r="VKG335"/>
      <c r="VKH335"/>
      <c r="VKK335"/>
      <c r="VKL335"/>
      <c r="VKO335"/>
      <c r="VKP335"/>
      <c r="VKS335"/>
      <c r="VKT335"/>
      <c r="VKW335"/>
      <c r="VKX335"/>
      <c r="VLA335"/>
      <c r="VLB335"/>
      <c r="VLE335"/>
      <c r="VLF335"/>
      <c r="VLI335"/>
      <c r="VLJ335"/>
      <c r="VLM335"/>
      <c r="VLN335"/>
      <c r="VLQ335"/>
      <c r="VLR335"/>
      <c r="VLU335"/>
      <c r="VLV335"/>
      <c r="VLY335"/>
      <c r="VLZ335"/>
      <c r="VMC335"/>
      <c r="VMD335"/>
      <c r="VMG335"/>
      <c r="VMH335"/>
      <c r="VMK335"/>
      <c r="VML335"/>
      <c r="VMO335"/>
      <c r="VMP335"/>
      <c r="VMS335"/>
      <c r="VMT335"/>
      <c r="VMW335"/>
      <c r="VMX335"/>
      <c r="VNA335"/>
      <c r="VNB335"/>
      <c r="VNE335"/>
      <c r="VNF335"/>
      <c r="VNI335"/>
      <c r="VNJ335"/>
      <c r="VNM335"/>
      <c r="VNN335"/>
      <c r="VNQ335"/>
      <c r="VNR335"/>
      <c r="VNU335"/>
      <c r="VNV335"/>
      <c r="VNY335"/>
      <c r="VNZ335"/>
      <c r="VOC335"/>
      <c r="VOD335"/>
      <c r="VOG335"/>
      <c r="VOH335"/>
      <c r="VOK335"/>
      <c r="VOL335"/>
      <c r="VOO335"/>
      <c r="VOP335"/>
      <c r="VOS335"/>
      <c r="VOT335"/>
      <c r="VOW335"/>
      <c r="VOX335"/>
      <c r="VPA335"/>
      <c r="VPB335"/>
      <c r="VPE335"/>
      <c r="VPF335"/>
      <c r="VPI335"/>
      <c r="VPJ335"/>
      <c r="VPM335"/>
      <c r="VPN335"/>
      <c r="VPQ335"/>
      <c r="VPR335"/>
      <c r="VPU335"/>
      <c r="VPV335"/>
      <c r="VPY335"/>
      <c r="VPZ335"/>
      <c r="VQC335"/>
      <c r="VQD335"/>
      <c r="VQG335"/>
      <c r="VQH335"/>
      <c r="VQK335"/>
      <c r="VQL335"/>
      <c r="VQO335"/>
      <c r="VQP335"/>
      <c r="VQS335"/>
      <c r="VQT335"/>
      <c r="VQW335"/>
      <c r="VQX335"/>
      <c r="VRA335"/>
      <c r="VRB335"/>
      <c r="VRE335"/>
      <c r="VRF335"/>
      <c r="VRI335"/>
      <c r="VRJ335"/>
      <c r="VRM335"/>
      <c r="VRN335"/>
      <c r="VRQ335"/>
      <c r="VRR335"/>
      <c r="VRU335"/>
      <c r="VRV335"/>
      <c r="VRY335"/>
      <c r="VRZ335"/>
      <c r="VSC335"/>
      <c r="VSD335"/>
      <c r="VSG335"/>
      <c r="VSH335"/>
      <c r="VSK335"/>
      <c r="VSL335"/>
      <c r="VSO335"/>
      <c r="VSP335"/>
      <c r="VSS335"/>
      <c r="VST335"/>
      <c r="VSW335"/>
      <c r="VSX335"/>
      <c r="VTA335"/>
      <c r="VTB335"/>
      <c r="VTE335"/>
      <c r="VTF335"/>
      <c r="VTI335"/>
      <c r="VTJ335"/>
      <c r="VTM335"/>
      <c r="VTN335"/>
      <c r="VTQ335"/>
      <c r="VTR335"/>
      <c r="VTU335"/>
      <c r="VTV335"/>
      <c r="VTY335"/>
      <c r="VTZ335"/>
      <c r="VUC335"/>
      <c r="VUD335"/>
      <c r="VUG335"/>
      <c r="VUH335"/>
      <c r="VUK335"/>
      <c r="VUL335"/>
      <c r="VUO335"/>
      <c r="VUP335"/>
      <c r="VUS335"/>
      <c r="VUT335"/>
      <c r="VUW335"/>
      <c r="VUX335"/>
      <c r="VVA335"/>
      <c r="VVB335"/>
      <c r="VVE335"/>
      <c r="VVF335"/>
      <c r="VVI335"/>
      <c r="VVJ335"/>
      <c r="VVM335"/>
      <c r="VVN335"/>
      <c r="VVQ335"/>
      <c r="VVR335"/>
      <c r="VVU335"/>
      <c r="VVV335"/>
      <c r="VVY335"/>
      <c r="VVZ335"/>
      <c r="VWC335"/>
      <c r="VWD335"/>
      <c r="VWG335"/>
      <c r="VWH335"/>
      <c r="VWK335"/>
      <c r="VWL335"/>
      <c r="VWO335"/>
      <c r="VWP335"/>
      <c r="VWS335"/>
      <c r="VWT335"/>
      <c r="VWW335"/>
      <c r="VWX335"/>
      <c r="VXA335"/>
      <c r="VXB335"/>
      <c r="VXE335"/>
      <c r="VXF335"/>
      <c r="VXI335"/>
      <c r="VXJ335"/>
      <c r="VXM335"/>
      <c r="VXN335"/>
      <c r="VXQ335"/>
      <c r="VXR335"/>
      <c r="VXU335"/>
      <c r="VXV335"/>
      <c r="VXY335"/>
      <c r="VXZ335"/>
      <c r="VYC335"/>
      <c r="VYD335"/>
      <c r="VYG335"/>
      <c r="VYH335"/>
      <c r="VYK335"/>
      <c r="VYL335"/>
      <c r="VYO335"/>
      <c r="VYP335"/>
      <c r="VYS335"/>
      <c r="VYT335"/>
      <c r="VYW335"/>
      <c r="VYX335"/>
      <c r="VZA335"/>
      <c r="VZB335"/>
      <c r="VZE335"/>
      <c r="VZF335"/>
      <c r="VZI335"/>
      <c r="VZJ335"/>
      <c r="VZM335"/>
      <c r="VZN335"/>
      <c r="VZQ335"/>
      <c r="VZR335"/>
      <c r="VZU335"/>
      <c r="VZV335"/>
      <c r="VZY335"/>
      <c r="VZZ335"/>
      <c r="WAC335"/>
      <c r="WAD335"/>
      <c r="WAG335"/>
      <c r="WAH335"/>
      <c r="WAK335"/>
      <c r="WAL335"/>
      <c r="WAO335"/>
      <c r="WAP335"/>
      <c r="WAS335"/>
      <c r="WAT335"/>
      <c r="WAW335"/>
      <c r="WAX335"/>
      <c r="WBA335"/>
      <c r="WBB335"/>
      <c r="WBE335"/>
      <c r="WBF335"/>
      <c r="WBI335"/>
      <c r="WBJ335"/>
      <c r="WBM335"/>
      <c r="WBN335"/>
      <c r="WBQ335"/>
      <c r="WBR335"/>
      <c r="WBU335"/>
      <c r="WBV335"/>
      <c r="WBY335"/>
      <c r="WBZ335"/>
      <c r="WCC335"/>
      <c r="WCD335"/>
      <c r="WCG335"/>
      <c r="WCH335"/>
      <c r="WCK335"/>
      <c r="WCL335"/>
      <c r="WCO335"/>
      <c r="WCP335"/>
      <c r="WCS335"/>
      <c r="WCT335"/>
      <c r="WCW335"/>
      <c r="WCX335"/>
      <c r="WDA335"/>
      <c r="WDB335"/>
      <c r="WDE335"/>
      <c r="WDF335"/>
      <c r="WDI335"/>
      <c r="WDJ335"/>
      <c r="WDM335"/>
      <c r="WDN335"/>
      <c r="WDQ335"/>
      <c r="WDR335"/>
      <c r="WDU335"/>
      <c r="WDV335"/>
      <c r="WDY335"/>
      <c r="WDZ335"/>
      <c r="WEC335"/>
      <c r="WED335"/>
      <c r="WEG335"/>
      <c r="WEH335"/>
      <c r="WEK335"/>
      <c r="WEL335"/>
      <c r="WEO335"/>
      <c r="WEP335"/>
      <c r="WES335"/>
      <c r="WET335"/>
      <c r="WEW335"/>
      <c r="WEX335"/>
      <c r="WFA335"/>
      <c r="WFB335"/>
      <c r="WFE335"/>
      <c r="WFF335"/>
      <c r="WFI335"/>
      <c r="WFJ335"/>
      <c r="WFM335"/>
      <c r="WFN335"/>
      <c r="WFQ335"/>
      <c r="WFR335"/>
      <c r="WFU335"/>
      <c r="WFV335"/>
      <c r="WFY335"/>
      <c r="WFZ335"/>
      <c r="WGC335"/>
      <c r="WGD335"/>
      <c r="WGG335"/>
      <c r="WGH335"/>
      <c r="WGK335"/>
      <c r="WGL335"/>
      <c r="WGO335"/>
      <c r="WGP335"/>
      <c r="WGS335"/>
      <c r="WGT335"/>
      <c r="WGW335"/>
      <c r="WGX335"/>
      <c r="WHA335"/>
      <c r="WHB335"/>
      <c r="WHE335"/>
      <c r="WHF335"/>
      <c r="WHI335"/>
      <c r="WHJ335"/>
      <c r="WHM335"/>
      <c r="WHN335"/>
      <c r="WHQ335"/>
      <c r="WHR335"/>
      <c r="WHU335"/>
      <c r="WHV335"/>
      <c r="WHY335"/>
      <c r="WHZ335"/>
      <c r="WIC335"/>
      <c r="WID335"/>
      <c r="WIG335"/>
      <c r="WIH335"/>
      <c r="WIK335"/>
      <c r="WIL335"/>
      <c r="WIO335"/>
      <c r="WIP335"/>
      <c r="WIS335"/>
      <c r="WIT335"/>
      <c r="WIW335"/>
      <c r="WIX335"/>
      <c r="WJA335"/>
      <c r="WJB335"/>
      <c r="WJE335"/>
      <c r="WJF335"/>
      <c r="WJI335"/>
      <c r="WJJ335"/>
      <c r="WJM335"/>
      <c r="WJN335"/>
      <c r="WJQ335"/>
      <c r="WJR335"/>
      <c r="WJU335"/>
      <c r="WJV335"/>
      <c r="WJY335"/>
      <c r="WJZ335"/>
      <c r="WKC335"/>
      <c r="WKD335"/>
      <c r="WKG335"/>
      <c r="WKH335"/>
      <c r="WKK335"/>
      <c r="WKL335"/>
      <c r="WKO335"/>
      <c r="WKP335"/>
      <c r="WKS335"/>
      <c r="WKT335"/>
      <c r="WKW335"/>
      <c r="WKX335"/>
      <c r="WLA335"/>
      <c r="WLB335"/>
      <c r="WLE335"/>
      <c r="WLF335"/>
      <c r="WLI335"/>
      <c r="WLJ335"/>
      <c r="WLM335"/>
      <c r="WLN335"/>
      <c r="WLQ335"/>
      <c r="WLR335"/>
      <c r="WLU335"/>
      <c r="WLV335"/>
      <c r="WLY335"/>
      <c r="WLZ335"/>
      <c r="WMC335"/>
      <c r="WMD335"/>
      <c r="WMG335"/>
      <c r="WMH335"/>
      <c r="WMK335"/>
      <c r="WML335"/>
      <c r="WMO335"/>
      <c r="WMP335"/>
      <c r="WMS335"/>
      <c r="WMT335"/>
      <c r="WMW335"/>
      <c r="WMX335"/>
      <c r="WNA335"/>
      <c r="WNB335"/>
      <c r="WNE335"/>
      <c r="WNF335"/>
      <c r="WNI335"/>
      <c r="WNJ335"/>
      <c r="WNM335"/>
      <c r="WNN335"/>
      <c r="WNQ335"/>
      <c r="WNR335"/>
      <c r="WNU335"/>
      <c r="WNV335"/>
      <c r="WNY335"/>
      <c r="WNZ335"/>
      <c r="WOC335"/>
      <c r="WOD335"/>
      <c r="WOG335"/>
      <c r="WOH335"/>
      <c r="WOK335"/>
      <c r="WOL335"/>
      <c r="WOO335"/>
      <c r="WOP335"/>
      <c r="WOS335"/>
      <c r="WOT335"/>
      <c r="WOW335"/>
      <c r="WOX335"/>
      <c r="WPA335"/>
      <c r="WPB335"/>
      <c r="WPE335"/>
      <c r="WPF335"/>
      <c r="WPI335"/>
      <c r="WPJ335"/>
      <c r="WPM335"/>
      <c r="WPN335"/>
      <c r="WPQ335"/>
      <c r="WPR335"/>
      <c r="WPU335"/>
      <c r="WPV335"/>
      <c r="WPY335"/>
      <c r="WPZ335"/>
      <c r="WQC335"/>
      <c r="WQD335"/>
      <c r="WQG335"/>
      <c r="WQH335"/>
      <c r="WQK335"/>
      <c r="WQL335"/>
      <c r="WQO335"/>
      <c r="WQP335"/>
      <c r="WQS335"/>
      <c r="WQT335"/>
      <c r="WQW335"/>
      <c r="WQX335"/>
      <c r="WRA335"/>
      <c r="WRB335"/>
      <c r="WRE335"/>
      <c r="WRF335"/>
      <c r="WRI335"/>
      <c r="WRJ335"/>
      <c r="WRM335"/>
      <c r="WRN335"/>
      <c r="WRQ335"/>
      <c r="WRR335"/>
      <c r="WRU335"/>
      <c r="WRV335"/>
      <c r="WRY335"/>
      <c r="WRZ335"/>
      <c r="WSC335"/>
      <c r="WSD335"/>
      <c r="WSG335"/>
      <c r="WSH335"/>
      <c r="WSK335"/>
      <c r="WSL335"/>
      <c r="WSO335"/>
      <c r="WSP335"/>
      <c r="WSS335"/>
      <c r="WST335"/>
      <c r="WSW335"/>
      <c r="WSX335"/>
      <c r="WTA335"/>
      <c r="WTB335"/>
      <c r="WTE335"/>
      <c r="WTF335"/>
      <c r="WTI335"/>
      <c r="WTJ335"/>
      <c r="WTM335"/>
      <c r="WTN335"/>
      <c r="WTQ335"/>
      <c r="WTR335"/>
      <c r="WTU335"/>
      <c r="WTV335"/>
      <c r="WTY335"/>
      <c r="WTZ335"/>
      <c r="WUC335"/>
      <c r="WUD335"/>
      <c r="WUG335"/>
      <c r="WUH335"/>
      <c r="WUK335"/>
      <c r="WUL335"/>
      <c r="WUO335"/>
      <c r="WUP335"/>
      <c r="WUS335"/>
      <c r="WUT335"/>
      <c r="WUW335"/>
      <c r="WUX335"/>
      <c r="WVA335"/>
      <c r="WVB335"/>
      <c r="WVE335"/>
      <c r="WVF335"/>
      <c r="WVI335"/>
      <c r="WVJ335"/>
      <c r="WVM335"/>
      <c r="WVN335"/>
      <c r="WVQ335"/>
      <c r="WVR335"/>
      <c r="WVU335"/>
      <c r="WVV335"/>
      <c r="WVY335"/>
      <c r="WVZ335"/>
      <c r="WWC335"/>
      <c r="WWD335"/>
      <c r="WWG335"/>
      <c r="WWH335"/>
      <c r="WWK335"/>
      <c r="WWL335"/>
      <c r="WWO335"/>
      <c r="WWP335"/>
      <c r="WWS335"/>
      <c r="WWT335"/>
      <c r="WWW335"/>
      <c r="WWX335"/>
      <c r="WXA335"/>
      <c r="WXB335"/>
      <c r="WXE335"/>
      <c r="WXF335"/>
      <c r="WXI335"/>
      <c r="WXJ335"/>
      <c r="WXM335"/>
      <c r="WXN335"/>
      <c r="WXQ335"/>
      <c r="WXR335"/>
      <c r="WXU335"/>
      <c r="WXV335"/>
      <c r="WXY335"/>
      <c r="WXZ335"/>
      <c r="WYC335"/>
      <c r="WYD335"/>
      <c r="WYG335"/>
      <c r="WYH335"/>
      <c r="WYK335"/>
      <c r="WYL335"/>
      <c r="WYO335"/>
      <c r="WYP335"/>
      <c r="WYS335"/>
      <c r="WYT335"/>
      <c r="WYW335"/>
      <c r="WYX335"/>
      <c r="WZA335"/>
      <c r="WZB335"/>
      <c r="WZE335"/>
      <c r="WZF335"/>
      <c r="WZI335"/>
      <c r="WZJ335"/>
      <c r="WZM335"/>
      <c r="WZN335"/>
      <c r="WZQ335"/>
      <c r="WZR335"/>
      <c r="WZU335"/>
      <c r="WZV335"/>
      <c r="WZY335"/>
      <c r="WZZ335"/>
      <c r="XAC335"/>
      <c r="XAD335"/>
      <c r="XAG335"/>
      <c r="XAH335"/>
      <c r="XAK335"/>
      <c r="XAL335"/>
      <c r="XAO335"/>
      <c r="XAP335"/>
      <c r="XAS335"/>
      <c r="XAT335"/>
      <c r="XAW335"/>
      <c r="XAX335"/>
      <c r="XBA335"/>
      <c r="XBB335"/>
      <c r="XBE335"/>
      <c r="XBF335"/>
      <c r="XBI335"/>
      <c r="XBJ335"/>
      <c r="XBM335"/>
      <c r="XBN335"/>
      <c r="XBQ335"/>
      <c r="XBR335"/>
      <c r="XBU335"/>
      <c r="XBV335"/>
      <c r="XBY335"/>
      <c r="XBZ335"/>
      <c r="XCC335"/>
      <c r="XCD335"/>
      <c r="XCG335"/>
      <c r="XCH335"/>
      <c r="XCK335"/>
      <c r="XCL335"/>
      <c r="XCO335"/>
      <c r="XCP335"/>
      <c r="XCS335"/>
      <c r="XCT335"/>
      <c r="XCW335"/>
      <c r="XCX335"/>
      <c r="XDA335"/>
      <c r="XDB335"/>
      <c r="XDE335"/>
      <c r="XDF335"/>
      <c r="XDI335"/>
      <c r="XDJ335"/>
      <c r="XDM335"/>
      <c r="XDN335"/>
      <c r="XDQ335"/>
      <c r="XDR335"/>
      <c r="XDU335"/>
      <c r="XDV335"/>
      <c r="XDY335"/>
      <c r="XDZ335"/>
      <c r="XEC335"/>
      <c r="XED335"/>
      <c r="XEG335"/>
      <c r="XEH335"/>
      <c r="XEK335"/>
      <c r="XEL335"/>
      <c r="XEO335"/>
      <c r="XEP335"/>
      <c r="XES335"/>
      <c r="XET335"/>
      <c r="XEW335"/>
      <c r="XEX335"/>
      <c r="XFA335"/>
      <c r="XFB335"/>
    </row>
    <row r="336" spans="1:1022 1025:2046 2049:3070 3073:4094 4097:5118 5121:6142 6145:7166 7169:8190 8193:9214 9217:10238 10241:11262 11265:12286 12289:13310 13313:14334 14337:15358 15361:16382" s="13" customFormat="1" outlineLevel="1" x14ac:dyDescent="0.3">
      <c r="A336" t="s">
        <v>1221</v>
      </c>
      <c r="B336" t="s">
        <v>168</v>
      </c>
      <c r="C336" s="13" t="s">
        <v>9</v>
      </c>
      <c r="D336" s="13" t="s">
        <v>1222</v>
      </c>
      <c r="E336" t="s">
        <v>5969</v>
      </c>
      <c r="F336"/>
      <c r="I336"/>
      <c r="J336" t="s">
        <v>6845</v>
      </c>
      <c r="K336" t="s">
        <v>6839</v>
      </c>
      <c r="M336"/>
      <c r="N336"/>
      <c r="Q336"/>
      <c r="R336"/>
      <c r="U336"/>
      <c r="V336"/>
      <c r="Y336"/>
      <c r="Z336"/>
      <c r="AC336"/>
      <c r="AD336"/>
      <c r="AG336"/>
      <c r="AH336"/>
      <c r="AK336"/>
      <c r="AL336"/>
      <c r="AO336"/>
      <c r="AP336"/>
      <c r="AS336"/>
      <c r="AT336"/>
      <c r="AW336"/>
      <c r="AX336"/>
      <c r="BA336"/>
      <c r="BB336"/>
      <c r="BE336"/>
      <c r="BF336"/>
      <c r="BI336"/>
      <c r="BJ336"/>
      <c r="BM336"/>
      <c r="BN336"/>
      <c r="BQ336"/>
      <c r="BR336"/>
      <c r="BU336"/>
      <c r="BV336"/>
      <c r="BY336"/>
      <c r="BZ336"/>
      <c r="CC336"/>
      <c r="CD336"/>
      <c r="CG336"/>
      <c r="CH336"/>
      <c r="CK336"/>
      <c r="CL336"/>
      <c r="CO336"/>
      <c r="CP336"/>
      <c r="CS336"/>
      <c r="CT336"/>
      <c r="CW336"/>
      <c r="CX336"/>
      <c r="DA336"/>
      <c r="DB336"/>
      <c r="DE336"/>
      <c r="DF336"/>
      <c r="DI336"/>
      <c r="DJ336"/>
      <c r="DM336"/>
      <c r="DN336"/>
      <c r="DQ336"/>
      <c r="DR336"/>
      <c r="DU336"/>
      <c r="DV336"/>
      <c r="DY336"/>
      <c r="DZ336"/>
      <c r="EC336"/>
      <c r="ED336"/>
      <c r="EG336"/>
      <c r="EH336"/>
      <c r="EK336"/>
      <c r="EL336"/>
      <c r="EO336"/>
      <c r="EP336"/>
      <c r="ES336"/>
      <c r="ET336"/>
      <c r="EW336"/>
      <c r="EX336"/>
      <c r="FA336"/>
      <c r="FB336"/>
      <c r="FE336"/>
      <c r="FF336"/>
      <c r="FI336"/>
      <c r="FJ336"/>
      <c r="FM336"/>
      <c r="FN336"/>
      <c r="FQ336"/>
      <c r="FR336"/>
      <c r="FU336"/>
      <c r="FV336"/>
      <c r="FY336"/>
      <c r="FZ336"/>
      <c r="GC336"/>
      <c r="GD336"/>
      <c r="GG336"/>
      <c r="GH336"/>
      <c r="GK336"/>
      <c r="GL336"/>
      <c r="GO336"/>
      <c r="GP336"/>
      <c r="GS336"/>
      <c r="GT336"/>
      <c r="GW336"/>
      <c r="GX336"/>
      <c r="HA336"/>
      <c r="HB336"/>
      <c r="HE336"/>
      <c r="HF336"/>
      <c r="HI336"/>
      <c r="HJ336"/>
      <c r="HM336"/>
      <c r="HN336"/>
      <c r="HQ336"/>
      <c r="HR336"/>
      <c r="HU336"/>
      <c r="HV336"/>
      <c r="HY336"/>
      <c r="HZ336"/>
      <c r="IC336"/>
      <c r="ID336"/>
      <c r="IG336"/>
      <c r="IH336"/>
      <c r="IK336"/>
      <c r="IL336"/>
      <c r="IO336"/>
      <c r="IP336"/>
      <c r="IS336"/>
      <c r="IT336"/>
      <c r="IW336"/>
      <c r="IX336"/>
      <c r="JA336"/>
      <c r="JB336"/>
      <c r="JE336"/>
      <c r="JF336"/>
      <c r="JI336"/>
      <c r="JJ336"/>
      <c r="JM336"/>
      <c r="JN336"/>
      <c r="JQ336"/>
      <c r="JR336"/>
      <c r="JU336"/>
      <c r="JV336"/>
      <c r="JY336"/>
      <c r="JZ336"/>
      <c r="KC336"/>
      <c r="KD336"/>
      <c r="KG336"/>
      <c r="KH336"/>
      <c r="KK336"/>
      <c r="KL336"/>
      <c r="KO336"/>
      <c r="KP336"/>
      <c r="KS336"/>
      <c r="KT336"/>
      <c r="KW336"/>
      <c r="KX336"/>
      <c r="LA336"/>
      <c r="LB336"/>
      <c r="LE336"/>
      <c r="LF336"/>
      <c r="LI336"/>
      <c r="LJ336"/>
      <c r="LM336"/>
      <c r="LN336"/>
      <c r="LQ336"/>
      <c r="LR336"/>
      <c r="LU336"/>
      <c r="LV336"/>
      <c r="LY336"/>
      <c r="LZ336"/>
      <c r="MC336"/>
      <c r="MD336"/>
      <c r="MG336"/>
      <c r="MH336"/>
      <c r="MK336"/>
      <c r="ML336"/>
      <c r="MO336"/>
      <c r="MP336"/>
      <c r="MS336"/>
      <c r="MT336"/>
      <c r="MW336"/>
      <c r="MX336"/>
      <c r="NA336"/>
      <c r="NB336"/>
      <c r="NE336"/>
      <c r="NF336"/>
      <c r="NI336"/>
      <c r="NJ336"/>
      <c r="NM336"/>
      <c r="NN336"/>
      <c r="NQ336"/>
      <c r="NR336"/>
      <c r="NU336"/>
      <c r="NV336"/>
      <c r="NY336"/>
      <c r="NZ336"/>
      <c r="OC336"/>
      <c r="OD336"/>
      <c r="OG336"/>
      <c r="OH336"/>
      <c r="OK336"/>
      <c r="OL336"/>
      <c r="OO336"/>
      <c r="OP336"/>
      <c r="OS336"/>
      <c r="OT336"/>
      <c r="OW336"/>
      <c r="OX336"/>
      <c r="PA336"/>
      <c r="PB336"/>
      <c r="PE336"/>
      <c r="PF336"/>
      <c r="PI336"/>
      <c r="PJ336"/>
      <c r="PM336"/>
      <c r="PN336"/>
      <c r="PQ336"/>
      <c r="PR336"/>
      <c r="PU336"/>
      <c r="PV336"/>
      <c r="PY336"/>
      <c r="PZ336"/>
      <c r="QC336"/>
      <c r="QD336"/>
      <c r="QG336"/>
      <c r="QH336"/>
      <c r="QK336"/>
      <c r="QL336"/>
      <c r="QO336"/>
      <c r="QP336"/>
      <c r="QS336"/>
      <c r="QT336"/>
      <c r="QW336"/>
      <c r="QX336"/>
      <c r="RA336"/>
      <c r="RB336"/>
      <c r="RE336"/>
      <c r="RF336"/>
      <c r="RI336"/>
      <c r="RJ336"/>
      <c r="RM336"/>
      <c r="RN336"/>
      <c r="RQ336"/>
      <c r="RR336"/>
      <c r="RU336"/>
      <c r="RV336"/>
      <c r="RY336"/>
      <c r="RZ336"/>
      <c r="SC336"/>
      <c r="SD336"/>
      <c r="SG336"/>
      <c r="SH336"/>
      <c r="SK336"/>
      <c r="SL336"/>
      <c r="SO336"/>
      <c r="SP336"/>
      <c r="SS336"/>
      <c r="ST336"/>
      <c r="SW336"/>
      <c r="SX336"/>
      <c r="TA336"/>
      <c r="TB336"/>
      <c r="TE336"/>
      <c r="TF336"/>
      <c r="TI336"/>
      <c r="TJ336"/>
      <c r="TM336"/>
      <c r="TN336"/>
      <c r="TQ336"/>
      <c r="TR336"/>
      <c r="TU336"/>
      <c r="TV336"/>
      <c r="TY336"/>
      <c r="TZ336"/>
      <c r="UC336"/>
      <c r="UD336"/>
      <c r="UG336"/>
      <c r="UH336"/>
      <c r="UK336"/>
      <c r="UL336"/>
      <c r="UO336"/>
      <c r="UP336"/>
      <c r="US336"/>
      <c r="UT336"/>
      <c r="UW336"/>
      <c r="UX336"/>
      <c r="VA336"/>
      <c r="VB336"/>
      <c r="VE336"/>
      <c r="VF336"/>
      <c r="VI336"/>
      <c r="VJ336"/>
      <c r="VM336"/>
      <c r="VN336"/>
      <c r="VQ336"/>
      <c r="VR336"/>
      <c r="VU336"/>
      <c r="VV336"/>
      <c r="VY336"/>
      <c r="VZ336"/>
      <c r="WC336"/>
      <c r="WD336"/>
      <c r="WG336"/>
      <c r="WH336"/>
      <c r="WK336"/>
      <c r="WL336"/>
      <c r="WO336"/>
      <c r="WP336"/>
      <c r="WS336"/>
      <c r="WT336"/>
      <c r="WW336"/>
      <c r="WX336"/>
      <c r="XA336"/>
      <c r="XB336"/>
      <c r="XE336"/>
      <c r="XF336"/>
      <c r="XI336"/>
      <c r="XJ336"/>
      <c r="XM336"/>
      <c r="XN336"/>
      <c r="XQ336"/>
      <c r="XR336"/>
      <c r="XU336"/>
      <c r="XV336"/>
      <c r="XY336"/>
      <c r="XZ336"/>
      <c r="YC336"/>
      <c r="YD336"/>
      <c r="YG336"/>
      <c r="YH336"/>
      <c r="YK336"/>
      <c r="YL336"/>
      <c r="YO336"/>
      <c r="YP336"/>
      <c r="YS336"/>
      <c r="YT336"/>
      <c r="YW336"/>
      <c r="YX336"/>
      <c r="ZA336"/>
      <c r="ZB336"/>
      <c r="ZE336"/>
      <c r="ZF336"/>
      <c r="ZI336"/>
      <c r="ZJ336"/>
      <c r="ZM336"/>
      <c r="ZN336"/>
      <c r="ZQ336"/>
      <c r="ZR336"/>
      <c r="ZU336"/>
      <c r="ZV336"/>
      <c r="ZY336"/>
      <c r="ZZ336"/>
      <c r="AAC336"/>
      <c r="AAD336"/>
      <c r="AAG336"/>
      <c r="AAH336"/>
      <c r="AAK336"/>
      <c r="AAL336"/>
      <c r="AAO336"/>
      <c r="AAP336"/>
      <c r="AAS336"/>
      <c r="AAT336"/>
      <c r="AAW336"/>
      <c r="AAX336"/>
      <c r="ABA336"/>
      <c r="ABB336"/>
      <c r="ABE336"/>
      <c r="ABF336"/>
      <c r="ABI336"/>
      <c r="ABJ336"/>
      <c r="ABM336"/>
      <c r="ABN336"/>
      <c r="ABQ336"/>
      <c r="ABR336"/>
      <c r="ABU336"/>
      <c r="ABV336"/>
      <c r="ABY336"/>
      <c r="ABZ336"/>
      <c r="ACC336"/>
      <c r="ACD336"/>
      <c r="ACG336"/>
      <c r="ACH336"/>
      <c r="ACK336"/>
      <c r="ACL336"/>
      <c r="ACO336"/>
      <c r="ACP336"/>
      <c r="ACS336"/>
      <c r="ACT336"/>
      <c r="ACW336"/>
      <c r="ACX336"/>
      <c r="ADA336"/>
      <c r="ADB336"/>
      <c r="ADE336"/>
      <c r="ADF336"/>
      <c r="ADI336"/>
      <c r="ADJ336"/>
      <c r="ADM336"/>
      <c r="ADN336"/>
      <c r="ADQ336"/>
      <c r="ADR336"/>
      <c r="ADU336"/>
      <c r="ADV336"/>
      <c r="ADY336"/>
      <c r="ADZ336"/>
      <c r="AEC336"/>
      <c r="AED336"/>
      <c r="AEG336"/>
      <c r="AEH336"/>
      <c r="AEK336"/>
      <c r="AEL336"/>
      <c r="AEO336"/>
      <c r="AEP336"/>
      <c r="AES336"/>
      <c r="AET336"/>
      <c r="AEW336"/>
      <c r="AEX336"/>
      <c r="AFA336"/>
      <c r="AFB336"/>
      <c r="AFE336"/>
      <c r="AFF336"/>
      <c r="AFI336"/>
      <c r="AFJ336"/>
      <c r="AFM336"/>
      <c r="AFN336"/>
      <c r="AFQ336"/>
      <c r="AFR336"/>
      <c r="AFU336"/>
      <c r="AFV336"/>
      <c r="AFY336"/>
      <c r="AFZ336"/>
      <c r="AGC336"/>
      <c r="AGD336"/>
      <c r="AGG336"/>
      <c r="AGH336"/>
      <c r="AGK336"/>
      <c r="AGL336"/>
      <c r="AGO336"/>
      <c r="AGP336"/>
      <c r="AGS336"/>
      <c r="AGT336"/>
      <c r="AGW336"/>
      <c r="AGX336"/>
      <c r="AHA336"/>
      <c r="AHB336"/>
      <c r="AHE336"/>
      <c r="AHF336"/>
      <c r="AHI336"/>
      <c r="AHJ336"/>
      <c r="AHM336"/>
      <c r="AHN336"/>
      <c r="AHQ336"/>
      <c r="AHR336"/>
      <c r="AHU336"/>
      <c r="AHV336"/>
      <c r="AHY336"/>
      <c r="AHZ336"/>
      <c r="AIC336"/>
      <c r="AID336"/>
      <c r="AIG336"/>
      <c r="AIH336"/>
      <c r="AIK336"/>
      <c r="AIL336"/>
      <c r="AIO336"/>
      <c r="AIP336"/>
      <c r="AIS336"/>
      <c r="AIT336"/>
      <c r="AIW336"/>
      <c r="AIX336"/>
      <c r="AJA336"/>
      <c r="AJB336"/>
      <c r="AJE336"/>
      <c r="AJF336"/>
      <c r="AJI336"/>
      <c r="AJJ336"/>
      <c r="AJM336"/>
      <c r="AJN336"/>
      <c r="AJQ336"/>
      <c r="AJR336"/>
      <c r="AJU336"/>
      <c r="AJV336"/>
      <c r="AJY336"/>
      <c r="AJZ336"/>
      <c r="AKC336"/>
      <c r="AKD336"/>
      <c r="AKG336"/>
      <c r="AKH336"/>
      <c r="AKK336"/>
      <c r="AKL336"/>
      <c r="AKO336"/>
      <c r="AKP336"/>
      <c r="AKS336"/>
      <c r="AKT336"/>
      <c r="AKW336"/>
      <c r="AKX336"/>
      <c r="ALA336"/>
      <c r="ALB336"/>
      <c r="ALE336"/>
      <c r="ALF336"/>
      <c r="ALI336"/>
      <c r="ALJ336"/>
      <c r="ALM336"/>
      <c r="ALN336"/>
      <c r="ALQ336"/>
      <c r="ALR336"/>
      <c r="ALU336"/>
      <c r="ALV336"/>
      <c r="ALY336"/>
      <c r="ALZ336"/>
      <c r="AMC336"/>
      <c r="AMD336"/>
      <c r="AMG336"/>
      <c r="AMH336"/>
      <c r="AMK336"/>
      <c r="AML336"/>
      <c r="AMO336"/>
      <c r="AMP336"/>
      <c r="AMS336"/>
      <c r="AMT336"/>
      <c r="AMW336"/>
      <c r="AMX336"/>
      <c r="ANA336"/>
      <c r="ANB336"/>
      <c r="ANE336"/>
      <c r="ANF336"/>
      <c r="ANI336"/>
      <c r="ANJ336"/>
      <c r="ANM336"/>
      <c r="ANN336"/>
      <c r="ANQ336"/>
      <c r="ANR336"/>
      <c r="ANU336"/>
      <c r="ANV336"/>
      <c r="ANY336"/>
      <c r="ANZ336"/>
      <c r="AOC336"/>
      <c r="AOD336"/>
      <c r="AOG336"/>
      <c r="AOH336"/>
      <c r="AOK336"/>
      <c r="AOL336"/>
      <c r="AOO336"/>
      <c r="AOP336"/>
      <c r="AOS336"/>
      <c r="AOT336"/>
      <c r="AOW336"/>
      <c r="AOX336"/>
      <c r="APA336"/>
      <c r="APB336"/>
      <c r="APE336"/>
      <c r="APF336"/>
      <c r="API336"/>
      <c r="APJ336"/>
      <c r="APM336"/>
      <c r="APN336"/>
      <c r="APQ336"/>
      <c r="APR336"/>
      <c r="APU336"/>
      <c r="APV336"/>
      <c r="APY336"/>
      <c r="APZ336"/>
      <c r="AQC336"/>
      <c r="AQD336"/>
      <c r="AQG336"/>
      <c r="AQH336"/>
      <c r="AQK336"/>
      <c r="AQL336"/>
      <c r="AQO336"/>
      <c r="AQP336"/>
      <c r="AQS336"/>
      <c r="AQT336"/>
      <c r="AQW336"/>
      <c r="AQX336"/>
      <c r="ARA336"/>
      <c r="ARB336"/>
      <c r="ARE336"/>
      <c r="ARF336"/>
      <c r="ARI336"/>
      <c r="ARJ336"/>
      <c r="ARM336"/>
      <c r="ARN336"/>
      <c r="ARQ336"/>
      <c r="ARR336"/>
      <c r="ARU336"/>
      <c r="ARV336"/>
      <c r="ARY336"/>
      <c r="ARZ336"/>
      <c r="ASC336"/>
      <c r="ASD336"/>
      <c r="ASG336"/>
      <c r="ASH336"/>
      <c r="ASK336"/>
      <c r="ASL336"/>
      <c r="ASO336"/>
      <c r="ASP336"/>
      <c r="ASS336"/>
      <c r="AST336"/>
      <c r="ASW336"/>
      <c r="ASX336"/>
      <c r="ATA336"/>
      <c r="ATB336"/>
      <c r="ATE336"/>
      <c r="ATF336"/>
      <c r="ATI336"/>
      <c r="ATJ336"/>
      <c r="ATM336"/>
      <c r="ATN336"/>
      <c r="ATQ336"/>
      <c r="ATR336"/>
      <c r="ATU336"/>
      <c r="ATV336"/>
      <c r="ATY336"/>
      <c r="ATZ336"/>
      <c r="AUC336"/>
      <c r="AUD336"/>
      <c r="AUG336"/>
      <c r="AUH336"/>
      <c r="AUK336"/>
      <c r="AUL336"/>
      <c r="AUO336"/>
      <c r="AUP336"/>
      <c r="AUS336"/>
      <c r="AUT336"/>
      <c r="AUW336"/>
      <c r="AUX336"/>
      <c r="AVA336"/>
      <c r="AVB336"/>
      <c r="AVE336"/>
      <c r="AVF336"/>
      <c r="AVI336"/>
      <c r="AVJ336"/>
      <c r="AVM336"/>
      <c r="AVN336"/>
      <c r="AVQ336"/>
      <c r="AVR336"/>
      <c r="AVU336"/>
      <c r="AVV336"/>
      <c r="AVY336"/>
      <c r="AVZ336"/>
      <c r="AWC336"/>
      <c r="AWD336"/>
      <c r="AWG336"/>
      <c r="AWH336"/>
      <c r="AWK336"/>
      <c r="AWL336"/>
      <c r="AWO336"/>
      <c r="AWP336"/>
      <c r="AWS336"/>
      <c r="AWT336"/>
      <c r="AWW336"/>
      <c r="AWX336"/>
      <c r="AXA336"/>
      <c r="AXB336"/>
      <c r="AXE336"/>
      <c r="AXF336"/>
      <c r="AXI336"/>
      <c r="AXJ336"/>
      <c r="AXM336"/>
      <c r="AXN336"/>
      <c r="AXQ336"/>
      <c r="AXR336"/>
      <c r="AXU336"/>
      <c r="AXV336"/>
      <c r="AXY336"/>
      <c r="AXZ336"/>
      <c r="AYC336"/>
      <c r="AYD336"/>
      <c r="AYG336"/>
      <c r="AYH336"/>
      <c r="AYK336"/>
      <c r="AYL336"/>
      <c r="AYO336"/>
      <c r="AYP336"/>
      <c r="AYS336"/>
      <c r="AYT336"/>
      <c r="AYW336"/>
      <c r="AYX336"/>
      <c r="AZA336"/>
      <c r="AZB336"/>
      <c r="AZE336"/>
      <c r="AZF336"/>
      <c r="AZI336"/>
      <c r="AZJ336"/>
      <c r="AZM336"/>
      <c r="AZN336"/>
      <c r="AZQ336"/>
      <c r="AZR336"/>
      <c r="AZU336"/>
      <c r="AZV336"/>
      <c r="AZY336"/>
      <c r="AZZ336"/>
      <c r="BAC336"/>
      <c r="BAD336"/>
      <c r="BAG336"/>
      <c r="BAH336"/>
      <c r="BAK336"/>
      <c r="BAL336"/>
      <c r="BAO336"/>
      <c r="BAP336"/>
      <c r="BAS336"/>
      <c r="BAT336"/>
      <c r="BAW336"/>
      <c r="BAX336"/>
      <c r="BBA336"/>
      <c r="BBB336"/>
      <c r="BBE336"/>
      <c r="BBF336"/>
      <c r="BBI336"/>
      <c r="BBJ336"/>
      <c r="BBM336"/>
      <c r="BBN336"/>
      <c r="BBQ336"/>
      <c r="BBR336"/>
      <c r="BBU336"/>
      <c r="BBV336"/>
      <c r="BBY336"/>
      <c r="BBZ336"/>
      <c r="BCC336"/>
      <c r="BCD336"/>
      <c r="BCG336"/>
      <c r="BCH336"/>
      <c r="BCK336"/>
      <c r="BCL336"/>
      <c r="BCO336"/>
      <c r="BCP336"/>
      <c r="BCS336"/>
      <c r="BCT336"/>
      <c r="BCW336"/>
      <c r="BCX336"/>
      <c r="BDA336"/>
      <c r="BDB336"/>
      <c r="BDE336"/>
      <c r="BDF336"/>
      <c r="BDI336"/>
      <c r="BDJ336"/>
      <c r="BDM336"/>
      <c r="BDN336"/>
      <c r="BDQ336"/>
      <c r="BDR336"/>
      <c r="BDU336"/>
      <c r="BDV336"/>
      <c r="BDY336"/>
      <c r="BDZ336"/>
      <c r="BEC336"/>
      <c r="BED336"/>
      <c r="BEG336"/>
      <c r="BEH336"/>
      <c r="BEK336"/>
      <c r="BEL336"/>
      <c r="BEO336"/>
      <c r="BEP336"/>
      <c r="BES336"/>
      <c r="BET336"/>
      <c r="BEW336"/>
      <c r="BEX336"/>
      <c r="BFA336"/>
      <c r="BFB336"/>
      <c r="BFE336"/>
      <c r="BFF336"/>
      <c r="BFI336"/>
      <c r="BFJ336"/>
      <c r="BFM336"/>
      <c r="BFN336"/>
      <c r="BFQ336"/>
      <c r="BFR336"/>
      <c r="BFU336"/>
      <c r="BFV336"/>
      <c r="BFY336"/>
      <c r="BFZ336"/>
      <c r="BGC336"/>
      <c r="BGD336"/>
      <c r="BGG336"/>
      <c r="BGH336"/>
      <c r="BGK336"/>
      <c r="BGL336"/>
      <c r="BGO336"/>
      <c r="BGP336"/>
      <c r="BGS336"/>
      <c r="BGT336"/>
      <c r="BGW336"/>
      <c r="BGX336"/>
      <c r="BHA336"/>
      <c r="BHB336"/>
      <c r="BHE336"/>
      <c r="BHF336"/>
      <c r="BHI336"/>
      <c r="BHJ336"/>
      <c r="BHM336"/>
      <c r="BHN336"/>
      <c r="BHQ336"/>
      <c r="BHR336"/>
      <c r="BHU336"/>
      <c r="BHV336"/>
      <c r="BHY336"/>
      <c r="BHZ336"/>
      <c r="BIC336"/>
      <c r="BID336"/>
      <c r="BIG336"/>
      <c r="BIH336"/>
      <c r="BIK336"/>
      <c r="BIL336"/>
      <c r="BIO336"/>
      <c r="BIP336"/>
      <c r="BIS336"/>
      <c r="BIT336"/>
      <c r="BIW336"/>
      <c r="BIX336"/>
      <c r="BJA336"/>
      <c r="BJB336"/>
      <c r="BJE336"/>
      <c r="BJF336"/>
      <c r="BJI336"/>
      <c r="BJJ336"/>
      <c r="BJM336"/>
      <c r="BJN336"/>
      <c r="BJQ336"/>
      <c r="BJR336"/>
      <c r="BJU336"/>
      <c r="BJV336"/>
      <c r="BJY336"/>
      <c r="BJZ336"/>
      <c r="BKC336"/>
      <c r="BKD336"/>
      <c r="BKG336"/>
      <c r="BKH336"/>
      <c r="BKK336"/>
      <c r="BKL336"/>
      <c r="BKO336"/>
      <c r="BKP336"/>
      <c r="BKS336"/>
      <c r="BKT336"/>
      <c r="BKW336"/>
      <c r="BKX336"/>
      <c r="BLA336"/>
      <c r="BLB336"/>
      <c r="BLE336"/>
      <c r="BLF336"/>
      <c r="BLI336"/>
      <c r="BLJ336"/>
      <c r="BLM336"/>
      <c r="BLN336"/>
      <c r="BLQ336"/>
      <c r="BLR336"/>
      <c r="BLU336"/>
      <c r="BLV336"/>
      <c r="BLY336"/>
      <c r="BLZ336"/>
      <c r="BMC336"/>
      <c r="BMD336"/>
      <c r="BMG336"/>
      <c r="BMH336"/>
      <c r="BMK336"/>
      <c r="BML336"/>
      <c r="BMO336"/>
      <c r="BMP336"/>
      <c r="BMS336"/>
      <c r="BMT336"/>
      <c r="BMW336"/>
      <c r="BMX336"/>
      <c r="BNA336"/>
      <c r="BNB336"/>
      <c r="BNE336"/>
      <c r="BNF336"/>
      <c r="BNI336"/>
      <c r="BNJ336"/>
      <c r="BNM336"/>
      <c r="BNN336"/>
      <c r="BNQ336"/>
      <c r="BNR336"/>
      <c r="BNU336"/>
      <c r="BNV336"/>
      <c r="BNY336"/>
      <c r="BNZ336"/>
      <c r="BOC336"/>
      <c r="BOD336"/>
      <c r="BOG336"/>
      <c r="BOH336"/>
      <c r="BOK336"/>
      <c r="BOL336"/>
      <c r="BOO336"/>
      <c r="BOP336"/>
      <c r="BOS336"/>
      <c r="BOT336"/>
      <c r="BOW336"/>
      <c r="BOX336"/>
      <c r="BPA336"/>
      <c r="BPB336"/>
      <c r="BPE336"/>
      <c r="BPF336"/>
      <c r="BPI336"/>
      <c r="BPJ336"/>
      <c r="BPM336"/>
      <c r="BPN336"/>
      <c r="BPQ336"/>
      <c r="BPR336"/>
      <c r="BPU336"/>
      <c r="BPV336"/>
      <c r="BPY336"/>
      <c r="BPZ336"/>
      <c r="BQC336"/>
      <c r="BQD336"/>
      <c r="BQG336"/>
      <c r="BQH336"/>
      <c r="BQK336"/>
      <c r="BQL336"/>
      <c r="BQO336"/>
      <c r="BQP336"/>
      <c r="BQS336"/>
      <c r="BQT336"/>
      <c r="BQW336"/>
      <c r="BQX336"/>
      <c r="BRA336"/>
      <c r="BRB336"/>
      <c r="BRE336"/>
      <c r="BRF336"/>
      <c r="BRI336"/>
      <c r="BRJ336"/>
      <c r="BRM336"/>
      <c r="BRN336"/>
      <c r="BRQ336"/>
      <c r="BRR336"/>
      <c r="BRU336"/>
      <c r="BRV336"/>
      <c r="BRY336"/>
      <c r="BRZ336"/>
      <c r="BSC336"/>
      <c r="BSD336"/>
      <c r="BSG336"/>
      <c r="BSH336"/>
      <c r="BSK336"/>
      <c r="BSL336"/>
      <c r="BSO336"/>
      <c r="BSP336"/>
      <c r="BSS336"/>
      <c r="BST336"/>
      <c r="BSW336"/>
      <c r="BSX336"/>
      <c r="BTA336"/>
      <c r="BTB336"/>
      <c r="BTE336"/>
      <c r="BTF336"/>
      <c r="BTI336"/>
      <c r="BTJ336"/>
      <c r="BTM336"/>
      <c r="BTN336"/>
      <c r="BTQ336"/>
      <c r="BTR336"/>
      <c r="BTU336"/>
      <c r="BTV336"/>
      <c r="BTY336"/>
      <c r="BTZ336"/>
      <c r="BUC336"/>
      <c r="BUD336"/>
      <c r="BUG336"/>
      <c r="BUH336"/>
      <c r="BUK336"/>
      <c r="BUL336"/>
      <c r="BUO336"/>
      <c r="BUP336"/>
      <c r="BUS336"/>
      <c r="BUT336"/>
      <c r="BUW336"/>
      <c r="BUX336"/>
      <c r="BVA336"/>
      <c r="BVB336"/>
      <c r="BVE336"/>
      <c r="BVF336"/>
      <c r="BVI336"/>
      <c r="BVJ336"/>
      <c r="BVM336"/>
      <c r="BVN336"/>
      <c r="BVQ336"/>
      <c r="BVR336"/>
      <c r="BVU336"/>
      <c r="BVV336"/>
      <c r="BVY336"/>
      <c r="BVZ336"/>
      <c r="BWC336"/>
      <c r="BWD336"/>
      <c r="BWG336"/>
      <c r="BWH336"/>
      <c r="BWK336"/>
      <c r="BWL336"/>
      <c r="BWO336"/>
      <c r="BWP336"/>
      <c r="BWS336"/>
      <c r="BWT336"/>
      <c r="BWW336"/>
      <c r="BWX336"/>
      <c r="BXA336"/>
      <c r="BXB336"/>
      <c r="BXE336"/>
      <c r="BXF336"/>
      <c r="BXI336"/>
      <c r="BXJ336"/>
      <c r="BXM336"/>
      <c r="BXN336"/>
      <c r="BXQ336"/>
      <c r="BXR336"/>
      <c r="BXU336"/>
      <c r="BXV336"/>
      <c r="BXY336"/>
      <c r="BXZ336"/>
      <c r="BYC336"/>
      <c r="BYD336"/>
      <c r="BYG336"/>
      <c r="BYH336"/>
      <c r="BYK336"/>
      <c r="BYL336"/>
      <c r="BYO336"/>
      <c r="BYP336"/>
      <c r="BYS336"/>
      <c r="BYT336"/>
      <c r="BYW336"/>
      <c r="BYX336"/>
      <c r="BZA336"/>
      <c r="BZB336"/>
      <c r="BZE336"/>
      <c r="BZF336"/>
      <c r="BZI336"/>
      <c r="BZJ336"/>
      <c r="BZM336"/>
      <c r="BZN336"/>
      <c r="BZQ336"/>
      <c r="BZR336"/>
      <c r="BZU336"/>
      <c r="BZV336"/>
      <c r="BZY336"/>
      <c r="BZZ336"/>
      <c r="CAC336"/>
      <c r="CAD336"/>
      <c r="CAG336"/>
      <c r="CAH336"/>
      <c r="CAK336"/>
      <c r="CAL336"/>
      <c r="CAO336"/>
      <c r="CAP336"/>
      <c r="CAS336"/>
      <c r="CAT336"/>
      <c r="CAW336"/>
      <c r="CAX336"/>
      <c r="CBA336"/>
      <c r="CBB336"/>
      <c r="CBE336"/>
      <c r="CBF336"/>
      <c r="CBI336"/>
      <c r="CBJ336"/>
      <c r="CBM336"/>
      <c r="CBN336"/>
      <c r="CBQ336"/>
      <c r="CBR336"/>
      <c r="CBU336"/>
      <c r="CBV336"/>
      <c r="CBY336"/>
      <c r="CBZ336"/>
      <c r="CCC336"/>
      <c r="CCD336"/>
      <c r="CCG336"/>
      <c r="CCH336"/>
      <c r="CCK336"/>
      <c r="CCL336"/>
      <c r="CCO336"/>
      <c r="CCP336"/>
      <c r="CCS336"/>
      <c r="CCT336"/>
      <c r="CCW336"/>
      <c r="CCX336"/>
      <c r="CDA336"/>
      <c r="CDB336"/>
      <c r="CDE336"/>
      <c r="CDF336"/>
      <c r="CDI336"/>
      <c r="CDJ336"/>
      <c r="CDM336"/>
      <c r="CDN336"/>
      <c r="CDQ336"/>
      <c r="CDR336"/>
      <c r="CDU336"/>
      <c r="CDV336"/>
      <c r="CDY336"/>
      <c r="CDZ336"/>
      <c r="CEC336"/>
      <c r="CED336"/>
      <c r="CEG336"/>
      <c r="CEH336"/>
      <c r="CEK336"/>
      <c r="CEL336"/>
      <c r="CEO336"/>
      <c r="CEP336"/>
      <c r="CES336"/>
      <c r="CET336"/>
      <c r="CEW336"/>
      <c r="CEX336"/>
      <c r="CFA336"/>
      <c r="CFB336"/>
      <c r="CFE336"/>
      <c r="CFF336"/>
      <c r="CFI336"/>
      <c r="CFJ336"/>
      <c r="CFM336"/>
      <c r="CFN336"/>
      <c r="CFQ336"/>
      <c r="CFR336"/>
      <c r="CFU336"/>
      <c r="CFV336"/>
      <c r="CFY336"/>
      <c r="CFZ336"/>
      <c r="CGC336"/>
      <c r="CGD336"/>
      <c r="CGG336"/>
      <c r="CGH336"/>
      <c r="CGK336"/>
      <c r="CGL336"/>
      <c r="CGO336"/>
      <c r="CGP336"/>
      <c r="CGS336"/>
      <c r="CGT336"/>
      <c r="CGW336"/>
      <c r="CGX336"/>
      <c r="CHA336"/>
      <c r="CHB336"/>
      <c r="CHE336"/>
      <c r="CHF336"/>
      <c r="CHI336"/>
      <c r="CHJ336"/>
      <c r="CHM336"/>
      <c r="CHN336"/>
      <c r="CHQ336"/>
      <c r="CHR336"/>
      <c r="CHU336"/>
      <c r="CHV336"/>
      <c r="CHY336"/>
      <c r="CHZ336"/>
      <c r="CIC336"/>
      <c r="CID336"/>
      <c r="CIG336"/>
      <c r="CIH336"/>
      <c r="CIK336"/>
      <c r="CIL336"/>
      <c r="CIO336"/>
      <c r="CIP336"/>
      <c r="CIS336"/>
      <c r="CIT336"/>
      <c r="CIW336"/>
      <c r="CIX336"/>
      <c r="CJA336"/>
      <c r="CJB336"/>
      <c r="CJE336"/>
      <c r="CJF336"/>
      <c r="CJI336"/>
      <c r="CJJ336"/>
      <c r="CJM336"/>
      <c r="CJN336"/>
      <c r="CJQ336"/>
      <c r="CJR336"/>
      <c r="CJU336"/>
      <c r="CJV336"/>
      <c r="CJY336"/>
      <c r="CJZ336"/>
      <c r="CKC336"/>
      <c r="CKD336"/>
      <c r="CKG336"/>
      <c r="CKH336"/>
      <c r="CKK336"/>
      <c r="CKL336"/>
      <c r="CKO336"/>
      <c r="CKP336"/>
      <c r="CKS336"/>
      <c r="CKT336"/>
      <c r="CKW336"/>
      <c r="CKX336"/>
      <c r="CLA336"/>
      <c r="CLB336"/>
      <c r="CLE336"/>
      <c r="CLF336"/>
      <c r="CLI336"/>
      <c r="CLJ336"/>
      <c r="CLM336"/>
      <c r="CLN336"/>
      <c r="CLQ336"/>
      <c r="CLR336"/>
      <c r="CLU336"/>
      <c r="CLV336"/>
      <c r="CLY336"/>
      <c r="CLZ336"/>
      <c r="CMC336"/>
      <c r="CMD336"/>
      <c r="CMG336"/>
      <c r="CMH336"/>
      <c r="CMK336"/>
      <c r="CML336"/>
      <c r="CMO336"/>
      <c r="CMP336"/>
      <c r="CMS336"/>
      <c r="CMT336"/>
      <c r="CMW336"/>
      <c r="CMX336"/>
      <c r="CNA336"/>
      <c r="CNB336"/>
      <c r="CNE336"/>
      <c r="CNF336"/>
      <c r="CNI336"/>
      <c r="CNJ336"/>
      <c r="CNM336"/>
      <c r="CNN336"/>
      <c r="CNQ336"/>
      <c r="CNR336"/>
      <c r="CNU336"/>
      <c r="CNV336"/>
      <c r="CNY336"/>
      <c r="CNZ336"/>
      <c r="COC336"/>
      <c r="COD336"/>
      <c r="COG336"/>
      <c r="COH336"/>
      <c r="COK336"/>
      <c r="COL336"/>
      <c r="COO336"/>
      <c r="COP336"/>
      <c r="COS336"/>
      <c r="COT336"/>
      <c r="COW336"/>
      <c r="COX336"/>
      <c r="CPA336"/>
      <c r="CPB336"/>
      <c r="CPE336"/>
      <c r="CPF336"/>
      <c r="CPI336"/>
      <c r="CPJ336"/>
      <c r="CPM336"/>
      <c r="CPN336"/>
      <c r="CPQ336"/>
      <c r="CPR336"/>
      <c r="CPU336"/>
      <c r="CPV336"/>
      <c r="CPY336"/>
      <c r="CPZ336"/>
      <c r="CQC336"/>
      <c r="CQD336"/>
      <c r="CQG336"/>
      <c r="CQH336"/>
      <c r="CQK336"/>
      <c r="CQL336"/>
      <c r="CQO336"/>
      <c r="CQP336"/>
      <c r="CQS336"/>
      <c r="CQT336"/>
      <c r="CQW336"/>
      <c r="CQX336"/>
      <c r="CRA336"/>
      <c r="CRB336"/>
      <c r="CRE336"/>
      <c r="CRF336"/>
      <c r="CRI336"/>
      <c r="CRJ336"/>
      <c r="CRM336"/>
      <c r="CRN336"/>
      <c r="CRQ336"/>
      <c r="CRR336"/>
      <c r="CRU336"/>
      <c r="CRV336"/>
      <c r="CRY336"/>
      <c r="CRZ336"/>
      <c r="CSC336"/>
      <c r="CSD336"/>
      <c r="CSG336"/>
      <c r="CSH336"/>
      <c r="CSK336"/>
      <c r="CSL336"/>
      <c r="CSO336"/>
      <c r="CSP336"/>
      <c r="CSS336"/>
      <c r="CST336"/>
      <c r="CSW336"/>
      <c r="CSX336"/>
      <c r="CTA336"/>
      <c r="CTB336"/>
      <c r="CTE336"/>
      <c r="CTF336"/>
      <c r="CTI336"/>
      <c r="CTJ336"/>
      <c r="CTM336"/>
      <c r="CTN336"/>
      <c r="CTQ336"/>
      <c r="CTR336"/>
      <c r="CTU336"/>
      <c r="CTV336"/>
      <c r="CTY336"/>
      <c r="CTZ336"/>
      <c r="CUC336"/>
      <c r="CUD336"/>
      <c r="CUG336"/>
      <c r="CUH336"/>
      <c r="CUK336"/>
      <c r="CUL336"/>
      <c r="CUO336"/>
      <c r="CUP336"/>
      <c r="CUS336"/>
      <c r="CUT336"/>
      <c r="CUW336"/>
      <c r="CUX336"/>
      <c r="CVA336"/>
      <c r="CVB336"/>
      <c r="CVE336"/>
      <c r="CVF336"/>
      <c r="CVI336"/>
      <c r="CVJ336"/>
      <c r="CVM336"/>
      <c r="CVN336"/>
      <c r="CVQ336"/>
      <c r="CVR336"/>
      <c r="CVU336"/>
      <c r="CVV336"/>
      <c r="CVY336"/>
      <c r="CVZ336"/>
      <c r="CWC336"/>
      <c r="CWD336"/>
      <c r="CWG336"/>
      <c r="CWH336"/>
      <c r="CWK336"/>
      <c r="CWL336"/>
      <c r="CWO336"/>
      <c r="CWP336"/>
      <c r="CWS336"/>
      <c r="CWT336"/>
      <c r="CWW336"/>
      <c r="CWX336"/>
      <c r="CXA336"/>
      <c r="CXB336"/>
      <c r="CXE336"/>
      <c r="CXF336"/>
      <c r="CXI336"/>
      <c r="CXJ336"/>
      <c r="CXM336"/>
      <c r="CXN336"/>
      <c r="CXQ336"/>
      <c r="CXR336"/>
      <c r="CXU336"/>
      <c r="CXV336"/>
      <c r="CXY336"/>
      <c r="CXZ336"/>
      <c r="CYC336"/>
      <c r="CYD336"/>
      <c r="CYG336"/>
      <c r="CYH336"/>
      <c r="CYK336"/>
      <c r="CYL336"/>
      <c r="CYO336"/>
      <c r="CYP336"/>
      <c r="CYS336"/>
      <c r="CYT336"/>
      <c r="CYW336"/>
      <c r="CYX336"/>
      <c r="CZA336"/>
      <c r="CZB336"/>
      <c r="CZE336"/>
      <c r="CZF336"/>
      <c r="CZI336"/>
      <c r="CZJ336"/>
      <c r="CZM336"/>
      <c r="CZN336"/>
      <c r="CZQ336"/>
      <c r="CZR336"/>
      <c r="CZU336"/>
      <c r="CZV336"/>
      <c r="CZY336"/>
      <c r="CZZ336"/>
      <c r="DAC336"/>
      <c r="DAD336"/>
      <c r="DAG336"/>
      <c r="DAH336"/>
      <c r="DAK336"/>
      <c r="DAL336"/>
      <c r="DAO336"/>
      <c r="DAP336"/>
      <c r="DAS336"/>
      <c r="DAT336"/>
      <c r="DAW336"/>
      <c r="DAX336"/>
      <c r="DBA336"/>
      <c r="DBB336"/>
      <c r="DBE336"/>
      <c r="DBF336"/>
      <c r="DBI336"/>
      <c r="DBJ336"/>
      <c r="DBM336"/>
      <c r="DBN336"/>
      <c r="DBQ336"/>
      <c r="DBR336"/>
      <c r="DBU336"/>
      <c r="DBV336"/>
      <c r="DBY336"/>
      <c r="DBZ336"/>
      <c r="DCC336"/>
      <c r="DCD336"/>
      <c r="DCG336"/>
      <c r="DCH336"/>
      <c r="DCK336"/>
      <c r="DCL336"/>
      <c r="DCO336"/>
      <c r="DCP336"/>
      <c r="DCS336"/>
      <c r="DCT336"/>
      <c r="DCW336"/>
      <c r="DCX336"/>
      <c r="DDA336"/>
      <c r="DDB336"/>
      <c r="DDE336"/>
      <c r="DDF336"/>
      <c r="DDI336"/>
      <c r="DDJ336"/>
      <c r="DDM336"/>
      <c r="DDN336"/>
      <c r="DDQ336"/>
      <c r="DDR336"/>
      <c r="DDU336"/>
      <c r="DDV336"/>
      <c r="DDY336"/>
      <c r="DDZ336"/>
      <c r="DEC336"/>
      <c r="DED336"/>
      <c r="DEG336"/>
      <c r="DEH336"/>
      <c r="DEK336"/>
      <c r="DEL336"/>
      <c r="DEO336"/>
      <c r="DEP336"/>
      <c r="DES336"/>
      <c r="DET336"/>
      <c r="DEW336"/>
      <c r="DEX336"/>
      <c r="DFA336"/>
      <c r="DFB336"/>
      <c r="DFE336"/>
      <c r="DFF336"/>
      <c r="DFI336"/>
      <c r="DFJ336"/>
      <c r="DFM336"/>
      <c r="DFN336"/>
      <c r="DFQ336"/>
      <c r="DFR336"/>
      <c r="DFU336"/>
      <c r="DFV336"/>
      <c r="DFY336"/>
      <c r="DFZ336"/>
      <c r="DGC336"/>
      <c r="DGD336"/>
      <c r="DGG336"/>
      <c r="DGH336"/>
      <c r="DGK336"/>
      <c r="DGL336"/>
      <c r="DGO336"/>
      <c r="DGP336"/>
      <c r="DGS336"/>
      <c r="DGT336"/>
      <c r="DGW336"/>
      <c r="DGX336"/>
      <c r="DHA336"/>
      <c r="DHB336"/>
      <c r="DHE336"/>
      <c r="DHF336"/>
      <c r="DHI336"/>
      <c r="DHJ336"/>
      <c r="DHM336"/>
      <c r="DHN336"/>
      <c r="DHQ336"/>
      <c r="DHR336"/>
      <c r="DHU336"/>
      <c r="DHV336"/>
      <c r="DHY336"/>
      <c r="DHZ336"/>
      <c r="DIC336"/>
      <c r="DID336"/>
      <c r="DIG336"/>
      <c r="DIH336"/>
      <c r="DIK336"/>
      <c r="DIL336"/>
      <c r="DIO336"/>
      <c r="DIP336"/>
      <c r="DIS336"/>
      <c r="DIT336"/>
      <c r="DIW336"/>
      <c r="DIX336"/>
      <c r="DJA336"/>
      <c r="DJB336"/>
      <c r="DJE336"/>
      <c r="DJF336"/>
      <c r="DJI336"/>
      <c r="DJJ336"/>
      <c r="DJM336"/>
      <c r="DJN336"/>
      <c r="DJQ336"/>
      <c r="DJR336"/>
      <c r="DJU336"/>
      <c r="DJV336"/>
      <c r="DJY336"/>
      <c r="DJZ336"/>
      <c r="DKC336"/>
      <c r="DKD336"/>
      <c r="DKG336"/>
      <c r="DKH336"/>
      <c r="DKK336"/>
      <c r="DKL336"/>
      <c r="DKO336"/>
      <c r="DKP336"/>
      <c r="DKS336"/>
      <c r="DKT336"/>
      <c r="DKW336"/>
      <c r="DKX336"/>
      <c r="DLA336"/>
      <c r="DLB336"/>
      <c r="DLE336"/>
      <c r="DLF336"/>
      <c r="DLI336"/>
      <c r="DLJ336"/>
      <c r="DLM336"/>
      <c r="DLN336"/>
      <c r="DLQ336"/>
      <c r="DLR336"/>
      <c r="DLU336"/>
      <c r="DLV336"/>
      <c r="DLY336"/>
      <c r="DLZ336"/>
      <c r="DMC336"/>
      <c r="DMD336"/>
      <c r="DMG336"/>
      <c r="DMH336"/>
      <c r="DMK336"/>
      <c r="DML336"/>
      <c r="DMO336"/>
      <c r="DMP336"/>
      <c r="DMS336"/>
      <c r="DMT336"/>
      <c r="DMW336"/>
      <c r="DMX336"/>
      <c r="DNA336"/>
      <c r="DNB336"/>
      <c r="DNE336"/>
      <c r="DNF336"/>
      <c r="DNI336"/>
      <c r="DNJ336"/>
      <c r="DNM336"/>
      <c r="DNN336"/>
      <c r="DNQ336"/>
      <c r="DNR336"/>
      <c r="DNU336"/>
      <c r="DNV336"/>
      <c r="DNY336"/>
      <c r="DNZ336"/>
      <c r="DOC336"/>
      <c r="DOD336"/>
      <c r="DOG336"/>
      <c r="DOH336"/>
      <c r="DOK336"/>
      <c r="DOL336"/>
      <c r="DOO336"/>
      <c r="DOP336"/>
      <c r="DOS336"/>
      <c r="DOT336"/>
      <c r="DOW336"/>
      <c r="DOX336"/>
      <c r="DPA336"/>
      <c r="DPB336"/>
      <c r="DPE336"/>
      <c r="DPF336"/>
      <c r="DPI336"/>
      <c r="DPJ336"/>
      <c r="DPM336"/>
      <c r="DPN336"/>
      <c r="DPQ336"/>
      <c r="DPR336"/>
      <c r="DPU336"/>
      <c r="DPV336"/>
      <c r="DPY336"/>
      <c r="DPZ336"/>
      <c r="DQC336"/>
      <c r="DQD336"/>
      <c r="DQG336"/>
      <c r="DQH336"/>
      <c r="DQK336"/>
      <c r="DQL336"/>
      <c r="DQO336"/>
      <c r="DQP336"/>
      <c r="DQS336"/>
      <c r="DQT336"/>
      <c r="DQW336"/>
      <c r="DQX336"/>
      <c r="DRA336"/>
      <c r="DRB336"/>
      <c r="DRE336"/>
      <c r="DRF336"/>
      <c r="DRI336"/>
      <c r="DRJ336"/>
      <c r="DRM336"/>
      <c r="DRN336"/>
      <c r="DRQ336"/>
      <c r="DRR336"/>
      <c r="DRU336"/>
      <c r="DRV336"/>
      <c r="DRY336"/>
      <c r="DRZ336"/>
      <c r="DSC336"/>
      <c r="DSD336"/>
      <c r="DSG336"/>
      <c r="DSH336"/>
      <c r="DSK336"/>
      <c r="DSL336"/>
      <c r="DSO336"/>
      <c r="DSP336"/>
      <c r="DSS336"/>
      <c r="DST336"/>
      <c r="DSW336"/>
      <c r="DSX336"/>
      <c r="DTA336"/>
      <c r="DTB336"/>
      <c r="DTE336"/>
      <c r="DTF336"/>
      <c r="DTI336"/>
      <c r="DTJ336"/>
      <c r="DTM336"/>
      <c r="DTN336"/>
      <c r="DTQ336"/>
      <c r="DTR336"/>
      <c r="DTU336"/>
      <c r="DTV336"/>
      <c r="DTY336"/>
      <c r="DTZ336"/>
      <c r="DUC336"/>
      <c r="DUD336"/>
      <c r="DUG336"/>
      <c r="DUH336"/>
      <c r="DUK336"/>
      <c r="DUL336"/>
      <c r="DUO336"/>
      <c r="DUP336"/>
      <c r="DUS336"/>
      <c r="DUT336"/>
      <c r="DUW336"/>
      <c r="DUX336"/>
      <c r="DVA336"/>
      <c r="DVB336"/>
      <c r="DVE336"/>
      <c r="DVF336"/>
      <c r="DVI336"/>
      <c r="DVJ336"/>
      <c r="DVM336"/>
      <c r="DVN336"/>
      <c r="DVQ336"/>
      <c r="DVR336"/>
      <c r="DVU336"/>
      <c r="DVV336"/>
      <c r="DVY336"/>
      <c r="DVZ336"/>
      <c r="DWC336"/>
      <c r="DWD336"/>
      <c r="DWG336"/>
      <c r="DWH336"/>
      <c r="DWK336"/>
      <c r="DWL336"/>
      <c r="DWO336"/>
      <c r="DWP336"/>
      <c r="DWS336"/>
      <c r="DWT336"/>
      <c r="DWW336"/>
      <c r="DWX336"/>
      <c r="DXA336"/>
      <c r="DXB336"/>
      <c r="DXE336"/>
      <c r="DXF336"/>
      <c r="DXI336"/>
      <c r="DXJ336"/>
      <c r="DXM336"/>
      <c r="DXN336"/>
      <c r="DXQ336"/>
      <c r="DXR336"/>
      <c r="DXU336"/>
      <c r="DXV336"/>
      <c r="DXY336"/>
      <c r="DXZ336"/>
      <c r="DYC336"/>
      <c r="DYD336"/>
      <c r="DYG336"/>
      <c r="DYH336"/>
      <c r="DYK336"/>
      <c r="DYL336"/>
      <c r="DYO336"/>
      <c r="DYP336"/>
      <c r="DYS336"/>
      <c r="DYT336"/>
      <c r="DYW336"/>
      <c r="DYX336"/>
      <c r="DZA336"/>
      <c r="DZB336"/>
      <c r="DZE336"/>
      <c r="DZF336"/>
      <c r="DZI336"/>
      <c r="DZJ336"/>
      <c r="DZM336"/>
      <c r="DZN336"/>
      <c r="DZQ336"/>
      <c r="DZR336"/>
      <c r="DZU336"/>
      <c r="DZV336"/>
      <c r="DZY336"/>
      <c r="DZZ336"/>
      <c r="EAC336"/>
      <c r="EAD336"/>
      <c r="EAG336"/>
      <c r="EAH336"/>
      <c r="EAK336"/>
      <c r="EAL336"/>
      <c r="EAO336"/>
      <c r="EAP336"/>
      <c r="EAS336"/>
      <c r="EAT336"/>
      <c r="EAW336"/>
      <c r="EAX336"/>
      <c r="EBA336"/>
      <c r="EBB336"/>
      <c r="EBE336"/>
      <c r="EBF336"/>
      <c r="EBI336"/>
      <c r="EBJ336"/>
      <c r="EBM336"/>
      <c r="EBN336"/>
      <c r="EBQ336"/>
      <c r="EBR336"/>
      <c r="EBU336"/>
      <c r="EBV336"/>
      <c r="EBY336"/>
      <c r="EBZ336"/>
      <c r="ECC336"/>
      <c r="ECD336"/>
      <c r="ECG336"/>
      <c r="ECH336"/>
      <c r="ECK336"/>
      <c r="ECL336"/>
      <c r="ECO336"/>
      <c r="ECP336"/>
      <c r="ECS336"/>
      <c r="ECT336"/>
      <c r="ECW336"/>
      <c r="ECX336"/>
      <c r="EDA336"/>
      <c r="EDB336"/>
      <c r="EDE336"/>
      <c r="EDF336"/>
      <c r="EDI336"/>
      <c r="EDJ336"/>
      <c r="EDM336"/>
      <c r="EDN336"/>
      <c r="EDQ336"/>
      <c r="EDR336"/>
      <c r="EDU336"/>
      <c r="EDV336"/>
      <c r="EDY336"/>
      <c r="EDZ336"/>
      <c r="EEC336"/>
      <c r="EED336"/>
      <c r="EEG336"/>
      <c r="EEH336"/>
      <c r="EEK336"/>
      <c r="EEL336"/>
      <c r="EEO336"/>
      <c r="EEP336"/>
      <c r="EES336"/>
      <c r="EET336"/>
      <c r="EEW336"/>
      <c r="EEX336"/>
      <c r="EFA336"/>
      <c r="EFB336"/>
      <c r="EFE336"/>
      <c r="EFF336"/>
      <c r="EFI336"/>
      <c r="EFJ336"/>
      <c r="EFM336"/>
      <c r="EFN336"/>
      <c r="EFQ336"/>
      <c r="EFR336"/>
      <c r="EFU336"/>
      <c r="EFV336"/>
      <c r="EFY336"/>
      <c r="EFZ336"/>
      <c r="EGC336"/>
      <c r="EGD336"/>
      <c r="EGG336"/>
      <c r="EGH336"/>
      <c r="EGK336"/>
      <c r="EGL336"/>
      <c r="EGO336"/>
      <c r="EGP336"/>
      <c r="EGS336"/>
      <c r="EGT336"/>
      <c r="EGW336"/>
      <c r="EGX336"/>
      <c r="EHA336"/>
      <c r="EHB336"/>
      <c r="EHE336"/>
      <c r="EHF336"/>
      <c r="EHI336"/>
      <c r="EHJ336"/>
      <c r="EHM336"/>
      <c r="EHN336"/>
      <c r="EHQ336"/>
      <c r="EHR336"/>
      <c r="EHU336"/>
      <c r="EHV336"/>
      <c r="EHY336"/>
      <c r="EHZ336"/>
      <c r="EIC336"/>
      <c r="EID336"/>
      <c r="EIG336"/>
      <c r="EIH336"/>
      <c r="EIK336"/>
      <c r="EIL336"/>
      <c r="EIO336"/>
      <c r="EIP336"/>
      <c r="EIS336"/>
      <c r="EIT336"/>
      <c r="EIW336"/>
      <c r="EIX336"/>
      <c r="EJA336"/>
      <c r="EJB336"/>
      <c r="EJE336"/>
      <c r="EJF336"/>
      <c r="EJI336"/>
      <c r="EJJ336"/>
      <c r="EJM336"/>
      <c r="EJN336"/>
      <c r="EJQ336"/>
      <c r="EJR336"/>
      <c r="EJU336"/>
      <c r="EJV336"/>
      <c r="EJY336"/>
      <c r="EJZ336"/>
      <c r="EKC336"/>
      <c r="EKD336"/>
      <c r="EKG336"/>
      <c r="EKH336"/>
      <c r="EKK336"/>
      <c r="EKL336"/>
      <c r="EKO336"/>
      <c r="EKP336"/>
      <c r="EKS336"/>
      <c r="EKT336"/>
      <c r="EKW336"/>
      <c r="EKX336"/>
      <c r="ELA336"/>
      <c r="ELB336"/>
      <c r="ELE336"/>
      <c r="ELF336"/>
      <c r="ELI336"/>
      <c r="ELJ336"/>
      <c r="ELM336"/>
      <c r="ELN336"/>
      <c r="ELQ336"/>
      <c r="ELR336"/>
      <c r="ELU336"/>
      <c r="ELV336"/>
      <c r="ELY336"/>
      <c r="ELZ336"/>
      <c r="EMC336"/>
      <c r="EMD336"/>
      <c r="EMG336"/>
      <c r="EMH336"/>
      <c r="EMK336"/>
      <c r="EML336"/>
      <c r="EMO336"/>
      <c r="EMP336"/>
      <c r="EMS336"/>
      <c r="EMT336"/>
      <c r="EMW336"/>
      <c r="EMX336"/>
      <c r="ENA336"/>
      <c r="ENB336"/>
      <c r="ENE336"/>
      <c r="ENF336"/>
      <c r="ENI336"/>
      <c r="ENJ336"/>
      <c r="ENM336"/>
      <c r="ENN336"/>
      <c r="ENQ336"/>
      <c r="ENR336"/>
      <c r="ENU336"/>
      <c r="ENV336"/>
      <c r="ENY336"/>
      <c r="ENZ336"/>
      <c r="EOC336"/>
      <c r="EOD336"/>
      <c r="EOG336"/>
      <c r="EOH336"/>
      <c r="EOK336"/>
      <c r="EOL336"/>
      <c r="EOO336"/>
      <c r="EOP336"/>
      <c r="EOS336"/>
      <c r="EOT336"/>
      <c r="EOW336"/>
      <c r="EOX336"/>
      <c r="EPA336"/>
      <c r="EPB336"/>
      <c r="EPE336"/>
      <c r="EPF336"/>
      <c r="EPI336"/>
      <c r="EPJ336"/>
      <c r="EPM336"/>
      <c r="EPN336"/>
      <c r="EPQ336"/>
      <c r="EPR336"/>
      <c r="EPU336"/>
      <c r="EPV336"/>
      <c r="EPY336"/>
      <c r="EPZ336"/>
      <c r="EQC336"/>
      <c r="EQD336"/>
      <c r="EQG336"/>
      <c r="EQH336"/>
      <c r="EQK336"/>
      <c r="EQL336"/>
      <c r="EQO336"/>
      <c r="EQP336"/>
      <c r="EQS336"/>
      <c r="EQT336"/>
      <c r="EQW336"/>
      <c r="EQX336"/>
      <c r="ERA336"/>
      <c r="ERB336"/>
      <c r="ERE336"/>
      <c r="ERF336"/>
      <c r="ERI336"/>
      <c r="ERJ336"/>
      <c r="ERM336"/>
      <c r="ERN336"/>
      <c r="ERQ336"/>
      <c r="ERR336"/>
      <c r="ERU336"/>
      <c r="ERV336"/>
      <c r="ERY336"/>
      <c r="ERZ336"/>
      <c r="ESC336"/>
      <c r="ESD336"/>
      <c r="ESG336"/>
      <c r="ESH336"/>
      <c r="ESK336"/>
      <c r="ESL336"/>
      <c r="ESO336"/>
      <c r="ESP336"/>
      <c r="ESS336"/>
      <c r="EST336"/>
      <c r="ESW336"/>
      <c r="ESX336"/>
      <c r="ETA336"/>
      <c r="ETB336"/>
      <c r="ETE336"/>
      <c r="ETF336"/>
      <c r="ETI336"/>
      <c r="ETJ336"/>
      <c r="ETM336"/>
      <c r="ETN336"/>
      <c r="ETQ336"/>
      <c r="ETR336"/>
      <c r="ETU336"/>
      <c r="ETV336"/>
      <c r="ETY336"/>
      <c r="ETZ336"/>
      <c r="EUC336"/>
      <c r="EUD336"/>
      <c r="EUG336"/>
      <c r="EUH336"/>
      <c r="EUK336"/>
      <c r="EUL336"/>
      <c r="EUO336"/>
      <c r="EUP336"/>
      <c r="EUS336"/>
      <c r="EUT336"/>
      <c r="EUW336"/>
      <c r="EUX336"/>
      <c r="EVA336"/>
      <c r="EVB336"/>
      <c r="EVE336"/>
      <c r="EVF336"/>
      <c r="EVI336"/>
      <c r="EVJ336"/>
      <c r="EVM336"/>
      <c r="EVN336"/>
      <c r="EVQ336"/>
      <c r="EVR336"/>
      <c r="EVU336"/>
      <c r="EVV336"/>
      <c r="EVY336"/>
      <c r="EVZ336"/>
      <c r="EWC336"/>
      <c r="EWD336"/>
      <c r="EWG336"/>
      <c r="EWH336"/>
      <c r="EWK336"/>
      <c r="EWL336"/>
      <c r="EWO336"/>
      <c r="EWP336"/>
      <c r="EWS336"/>
      <c r="EWT336"/>
      <c r="EWW336"/>
      <c r="EWX336"/>
      <c r="EXA336"/>
      <c r="EXB336"/>
      <c r="EXE336"/>
      <c r="EXF336"/>
      <c r="EXI336"/>
      <c r="EXJ336"/>
      <c r="EXM336"/>
      <c r="EXN336"/>
      <c r="EXQ336"/>
      <c r="EXR336"/>
      <c r="EXU336"/>
      <c r="EXV336"/>
      <c r="EXY336"/>
      <c r="EXZ336"/>
      <c r="EYC336"/>
      <c r="EYD336"/>
      <c r="EYG336"/>
      <c r="EYH336"/>
      <c r="EYK336"/>
      <c r="EYL336"/>
      <c r="EYO336"/>
      <c r="EYP336"/>
      <c r="EYS336"/>
      <c r="EYT336"/>
      <c r="EYW336"/>
      <c r="EYX336"/>
      <c r="EZA336"/>
      <c r="EZB336"/>
      <c r="EZE336"/>
      <c r="EZF336"/>
      <c r="EZI336"/>
      <c r="EZJ336"/>
      <c r="EZM336"/>
      <c r="EZN336"/>
      <c r="EZQ336"/>
      <c r="EZR336"/>
      <c r="EZU336"/>
      <c r="EZV336"/>
      <c r="EZY336"/>
      <c r="EZZ336"/>
      <c r="FAC336"/>
      <c r="FAD336"/>
      <c r="FAG336"/>
      <c r="FAH336"/>
      <c r="FAK336"/>
      <c r="FAL336"/>
      <c r="FAO336"/>
      <c r="FAP336"/>
      <c r="FAS336"/>
      <c r="FAT336"/>
      <c r="FAW336"/>
      <c r="FAX336"/>
      <c r="FBA336"/>
      <c r="FBB336"/>
      <c r="FBE336"/>
      <c r="FBF336"/>
      <c r="FBI336"/>
      <c r="FBJ336"/>
      <c r="FBM336"/>
      <c r="FBN336"/>
      <c r="FBQ336"/>
      <c r="FBR336"/>
      <c r="FBU336"/>
      <c r="FBV336"/>
      <c r="FBY336"/>
      <c r="FBZ336"/>
      <c r="FCC336"/>
      <c r="FCD336"/>
      <c r="FCG336"/>
      <c r="FCH336"/>
      <c r="FCK336"/>
      <c r="FCL336"/>
      <c r="FCO336"/>
      <c r="FCP336"/>
      <c r="FCS336"/>
      <c r="FCT336"/>
      <c r="FCW336"/>
      <c r="FCX336"/>
      <c r="FDA336"/>
      <c r="FDB336"/>
      <c r="FDE336"/>
      <c r="FDF336"/>
      <c r="FDI336"/>
      <c r="FDJ336"/>
      <c r="FDM336"/>
      <c r="FDN336"/>
      <c r="FDQ336"/>
      <c r="FDR336"/>
      <c r="FDU336"/>
      <c r="FDV336"/>
      <c r="FDY336"/>
      <c r="FDZ336"/>
      <c r="FEC336"/>
      <c r="FED336"/>
      <c r="FEG336"/>
      <c r="FEH336"/>
      <c r="FEK336"/>
      <c r="FEL336"/>
      <c r="FEO336"/>
      <c r="FEP336"/>
      <c r="FES336"/>
      <c r="FET336"/>
      <c r="FEW336"/>
      <c r="FEX336"/>
      <c r="FFA336"/>
      <c r="FFB336"/>
      <c r="FFE336"/>
      <c r="FFF336"/>
      <c r="FFI336"/>
      <c r="FFJ336"/>
      <c r="FFM336"/>
      <c r="FFN336"/>
      <c r="FFQ336"/>
      <c r="FFR336"/>
      <c r="FFU336"/>
      <c r="FFV336"/>
      <c r="FFY336"/>
      <c r="FFZ336"/>
      <c r="FGC336"/>
      <c r="FGD336"/>
      <c r="FGG336"/>
      <c r="FGH336"/>
      <c r="FGK336"/>
      <c r="FGL336"/>
      <c r="FGO336"/>
      <c r="FGP336"/>
      <c r="FGS336"/>
      <c r="FGT336"/>
      <c r="FGW336"/>
      <c r="FGX336"/>
      <c r="FHA336"/>
      <c r="FHB336"/>
      <c r="FHE336"/>
      <c r="FHF336"/>
      <c r="FHI336"/>
      <c r="FHJ336"/>
      <c r="FHM336"/>
      <c r="FHN336"/>
      <c r="FHQ336"/>
      <c r="FHR336"/>
      <c r="FHU336"/>
      <c r="FHV336"/>
      <c r="FHY336"/>
      <c r="FHZ336"/>
      <c r="FIC336"/>
      <c r="FID336"/>
      <c r="FIG336"/>
      <c r="FIH336"/>
      <c r="FIK336"/>
      <c r="FIL336"/>
      <c r="FIO336"/>
      <c r="FIP336"/>
      <c r="FIS336"/>
      <c r="FIT336"/>
      <c r="FIW336"/>
      <c r="FIX336"/>
      <c r="FJA336"/>
      <c r="FJB336"/>
      <c r="FJE336"/>
      <c r="FJF336"/>
      <c r="FJI336"/>
      <c r="FJJ336"/>
      <c r="FJM336"/>
      <c r="FJN336"/>
      <c r="FJQ336"/>
      <c r="FJR336"/>
      <c r="FJU336"/>
      <c r="FJV336"/>
      <c r="FJY336"/>
      <c r="FJZ336"/>
      <c r="FKC336"/>
      <c r="FKD336"/>
      <c r="FKG336"/>
      <c r="FKH336"/>
      <c r="FKK336"/>
      <c r="FKL336"/>
      <c r="FKO336"/>
      <c r="FKP336"/>
      <c r="FKS336"/>
      <c r="FKT336"/>
      <c r="FKW336"/>
      <c r="FKX336"/>
      <c r="FLA336"/>
      <c r="FLB336"/>
      <c r="FLE336"/>
      <c r="FLF336"/>
      <c r="FLI336"/>
      <c r="FLJ336"/>
      <c r="FLM336"/>
      <c r="FLN336"/>
      <c r="FLQ336"/>
      <c r="FLR336"/>
      <c r="FLU336"/>
      <c r="FLV336"/>
      <c r="FLY336"/>
      <c r="FLZ336"/>
      <c r="FMC336"/>
      <c r="FMD336"/>
      <c r="FMG336"/>
      <c r="FMH336"/>
      <c r="FMK336"/>
      <c r="FML336"/>
      <c r="FMO336"/>
      <c r="FMP336"/>
      <c r="FMS336"/>
      <c r="FMT336"/>
      <c r="FMW336"/>
      <c r="FMX336"/>
      <c r="FNA336"/>
      <c r="FNB336"/>
      <c r="FNE336"/>
      <c r="FNF336"/>
      <c r="FNI336"/>
      <c r="FNJ336"/>
      <c r="FNM336"/>
      <c r="FNN336"/>
      <c r="FNQ336"/>
      <c r="FNR336"/>
      <c r="FNU336"/>
      <c r="FNV336"/>
      <c r="FNY336"/>
      <c r="FNZ336"/>
      <c r="FOC336"/>
      <c r="FOD336"/>
      <c r="FOG336"/>
      <c r="FOH336"/>
      <c r="FOK336"/>
      <c r="FOL336"/>
      <c r="FOO336"/>
      <c r="FOP336"/>
      <c r="FOS336"/>
      <c r="FOT336"/>
      <c r="FOW336"/>
      <c r="FOX336"/>
      <c r="FPA336"/>
      <c r="FPB336"/>
      <c r="FPE336"/>
      <c r="FPF336"/>
      <c r="FPI336"/>
      <c r="FPJ336"/>
      <c r="FPM336"/>
      <c r="FPN336"/>
      <c r="FPQ336"/>
      <c r="FPR336"/>
      <c r="FPU336"/>
      <c r="FPV336"/>
      <c r="FPY336"/>
      <c r="FPZ336"/>
      <c r="FQC336"/>
      <c r="FQD336"/>
      <c r="FQG336"/>
      <c r="FQH336"/>
      <c r="FQK336"/>
      <c r="FQL336"/>
      <c r="FQO336"/>
      <c r="FQP336"/>
      <c r="FQS336"/>
      <c r="FQT336"/>
      <c r="FQW336"/>
      <c r="FQX336"/>
      <c r="FRA336"/>
      <c r="FRB336"/>
      <c r="FRE336"/>
      <c r="FRF336"/>
      <c r="FRI336"/>
      <c r="FRJ336"/>
      <c r="FRM336"/>
      <c r="FRN336"/>
      <c r="FRQ336"/>
      <c r="FRR336"/>
      <c r="FRU336"/>
      <c r="FRV336"/>
      <c r="FRY336"/>
      <c r="FRZ336"/>
      <c r="FSC336"/>
      <c r="FSD336"/>
      <c r="FSG336"/>
      <c r="FSH336"/>
      <c r="FSK336"/>
      <c r="FSL336"/>
      <c r="FSO336"/>
      <c r="FSP336"/>
      <c r="FSS336"/>
      <c r="FST336"/>
      <c r="FSW336"/>
      <c r="FSX336"/>
      <c r="FTA336"/>
      <c r="FTB336"/>
      <c r="FTE336"/>
      <c r="FTF336"/>
      <c r="FTI336"/>
      <c r="FTJ336"/>
      <c r="FTM336"/>
      <c r="FTN336"/>
      <c r="FTQ336"/>
      <c r="FTR336"/>
      <c r="FTU336"/>
      <c r="FTV336"/>
      <c r="FTY336"/>
      <c r="FTZ336"/>
      <c r="FUC336"/>
      <c r="FUD336"/>
      <c r="FUG336"/>
      <c r="FUH336"/>
      <c r="FUK336"/>
      <c r="FUL336"/>
      <c r="FUO336"/>
      <c r="FUP336"/>
      <c r="FUS336"/>
      <c r="FUT336"/>
      <c r="FUW336"/>
      <c r="FUX336"/>
      <c r="FVA336"/>
      <c r="FVB336"/>
      <c r="FVE336"/>
      <c r="FVF336"/>
      <c r="FVI336"/>
      <c r="FVJ336"/>
      <c r="FVM336"/>
      <c r="FVN336"/>
      <c r="FVQ336"/>
      <c r="FVR336"/>
      <c r="FVU336"/>
      <c r="FVV336"/>
      <c r="FVY336"/>
      <c r="FVZ336"/>
      <c r="FWC336"/>
      <c r="FWD336"/>
      <c r="FWG336"/>
      <c r="FWH336"/>
      <c r="FWK336"/>
      <c r="FWL336"/>
      <c r="FWO336"/>
      <c r="FWP336"/>
      <c r="FWS336"/>
      <c r="FWT336"/>
      <c r="FWW336"/>
      <c r="FWX336"/>
      <c r="FXA336"/>
      <c r="FXB336"/>
      <c r="FXE336"/>
      <c r="FXF336"/>
      <c r="FXI336"/>
      <c r="FXJ336"/>
      <c r="FXM336"/>
      <c r="FXN336"/>
      <c r="FXQ336"/>
      <c r="FXR336"/>
      <c r="FXU336"/>
      <c r="FXV336"/>
      <c r="FXY336"/>
      <c r="FXZ336"/>
      <c r="FYC336"/>
      <c r="FYD336"/>
      <c r="FYG336"/>
      <c r="FYH336"/>
      <c r="FYK336"/>
      <c r="FYL336"/>
      <c r="FYO336"/>
      <c r="FYP336"/>
      <c r="FYS336"/>
      <c r="FYT336"/>
      <c r="FYW336"/>
      <c r="FYX336"/>
      <c r="FZA336"/>
      <c r="FZB336"/>
      <c r="FZE336"/>
      <c r="FZF336"/>
      <c r="FZI336"/>
      <c r="FZJ336"/>
      <c r="FZM336"/>
      <c r="FZN336"/>
      <c r="FZQ336"/>
      <c r="FZR336"/>
      <c r="FZU336"/>
      <c r="FZV336"/>
      <c r="FZY336"/>
      <c r="FZZ336"/>
      <c r="GAC336"/>
      <c r="GAD336"/>
      <c r="GAG336"/>
      <c r="GAH336"/>
      <c r="GAK336"/>
      <c r="GAL336"/>
      <c r="GAO336"/>
      <c r="GAP336"/>
      <c r="GAS336"/>
      <c r="GAT336"/>
      <c r="GAW336"/>
      <c r="GAX336"/>
      <c r="GBA336"/>
      <c r="GBB336"/>
      <c r="GBE336"/>
      <c r="GBF336"/>
      <c r="GBI336"/>
      <c r="GBJ336"/>
      <c r="GBM336"/>
      <c r="GBN336"/>
      <c r="GBQ336"/>
      <c r="GBR336"/>
      <c r="GBU336"/>
      <c r="GBV336"/>
      <c r="GBY336"/>
      <c r="GBZ336"/>
      <c r="GCC336"/>
      <c r="GCD336"/>
      <c r="GCG336"/>
      <c r="GCH336"/>
      <c r="GCK336"/>
      <c r="GCL336"/>
      <c r="GCO336"/>
      <c r="GCP336"/>
      <c r="GCS336"/>
      <c r="GCT336"/>
      <c r="GCW336"/>
      <c r="GCX336"/>
      <c r="GDA336"/>
      <c r="GDB336"/>
      <c r="GDE336"/>
      <c r="GDF336"/>
      <c r="GDI336"/>
      <c r="GDJ336"/>
      <c r="GDM336"/>
      <c r="GDN336"/>
      <c r="GDQ336"/>
      <c r="GDR336"/>
      <c r="GDU336"/>
      <c r="GDV336"/>
      <c r="GDY336"/>
      <c r="GDZ336"/>
      <c r="GEC336"/>
      <c r="GED336"/>
      <c r="GEG336"/>
      <c r="GEH336"/>
      <c r="GEK336"/>
      <c r="GEL336"/>
      <c r="GEO336"/>
      <c r="GEP336"/>
      <c r="GES336"/>
      <c r="GET336"/>
      <c r="GEW336"/>
      <c r="GEX336"/>
      <c r="GFA336"/>
      <c r="GFB336"/>
      <c r="GFE336"/>
      <c r="GFF336"/>
      <c r="GFI336"/>
      <c r="GFJ336"/>
      <c r="GFM336"/>
      <c r="GFN336"/>
      <c r="GFQ336"/>
      <c r="GFR336"/>
      <c r="GFU336"/>
      <c r="GFV336"/>
      <c r="GFY336"/>
      <c r="GFZ336"/>
      <c r="GGC336"/>
      <c r="GGD336"/>
      <c r="GGG336"/>
      <c r="GGH336"/>
      <c r="GGK336"/>
      <c r="GGL336"/>
      <c r="GGO336"/>
      <c r="GGP336"/>
      <c r="GGS336"/>
      <c r="GGT336"/>
      <c r="GGW336"/>
      <c r="GGX336"/>
      <c r="GHA336"/>
      <c r="GHB336"/>
      <c r="GHE336"/>
      <c r="GHF336"/>
      <c r="GHI336"/>
      <c r="GHJ336"/>
      <c r="GHM336"/>
      <c r="GHN336"/>
      <c r="GHQ336"/>
      <c r="GHR336"/>
      <c r="GHU336"/>
      <c r="GHV336"/>
      <c r="GHY336"/>
      <c r="GHZ336"/>
      <c r="GIC336"/>
      <c r="GID336"/>
      <c r="GIG336"/>
      <c r="GIH336"/>
      <c r="GIK336"/>
      <c r="GIL336"/>
      <c r="GIO336"/>
      <c r="GIP336"/>
      <c r="GIS336"/>
      <c r="GIT336"/>
      <c r="GIW336"/>
      <c r="GIX336"/>
      <c r="GJA336"/>
      <c r="GJB336"/>
      <c r="GJE336"/>
      <c r="GJF336"/>
      <c r="GJI336"/>
      <c r="GJJ336"/>
      <c r="GJM336"/>
      <c r="GJN336"/>
      <c r="GJQ336"/>
      <c r="GJR336"/>
      <c r="GJU336"/>
      <c r="GJV336"/>
      <c r="GJY336"/>
      <c r="GJZ336"/>
      <c r="GKC336"/>
      <c r="GKD336"/>
      <c r="GKG336"/>
      <c r="GKH336"/>
      <c r="GKK336"/>
      <c r="GKL336"/>
      <c r="GKO336"/>
      <c r="GKP336"/>
      <c r="GKS336"/>
      <c r="GKT336"/>
      <c r="GKW336"/>
      <c r="GKX336"/>
      <c r="GLA336"/>
      <c r="GLB336"/>
      <c r="GLE336"/>
      <c r="GLF336"/>
      <c r="GLI336"/>
      <c r="GLJ336"/>
      <c r="GLM336"/>
      <c r="GLN336"/>
      <c r="GLQ336"/>
      <c r="GLR336"/>
      <c r="GLU336"/>
      <c r="GLV336"/>
      <c r="GLY336"/>
      <c r="GLZ336"/>
      <c r="GMC336"/>
      <c r="GMD336"/>
      <c r="GMG336"/>
      <c r="GMH336"/>
      <c r="GMK336"/>
      <c r="GML336"/>
      <c r="GMO336"/>
      <c r="GMP336"/>
      <c r="GMS336"/>
      <c r="GMT336"/>
      <c r="GMW336"/>
      <c r="GMX336"/>
      <c r="GNA336"/>
      <c r="GNB336"/>
      <c r="GNE336"/>
      <c r="GNF336"/>
      <c r="GNI336"/>
      <c r="GNJ336"/>
      <c r="GNM336"/>
      <c r="GNN336"/>
      <c r="GNQ336"/>
      <c r="GNR336"/>
      <c r="GNU336"/>
      <c r="GNV336"/>
      <c r="GNY336"/>
      <c r="GNZ336"/>
      <c r="GOC336"/>
      <c r="GOD336"/>
      <c r="GOG336"/>
      <c r="GOH336"/>
      <c r="GOK336"/>
      <c r="GOL336"/>
      <c r="GOO336"/>
      <c r="GOP336"/>
      <c r="GOS336"/>
      <c r="GOT336"/>
      <c r="GOW336"/>
      <c r="GOX336"/>
      <c r="GPA336"/>
      <c r="GPB336"/>
      <c r="GPE336"/>
      <c r="GPF336"/>
      <c r="GPI336"/>
      <c r="GPJ336"/>
      <c r="GPM336"/>
      <c r="GPN336"/>
      <c r="GPQ336"/>
      <c r="GPR336"/>
      <c r="GPU336"/>
      <c r="GPV336"/>
      <c r="GPY336"/>
      <c r="GPZ336"/>
      <c r="GQC336"/>
      <c r="GQD336"/>
      <c r="GQG336"/>
      <c r="GQH336"/>
      <c r="GQK336"/>
      <c r="GQL336"/>
      <c r="GQO336"/>
      <c r="GQP336"/>
      <c r="GQS336"/>
      <c r="GQT336"/>
      <c r="GQW336"/>
      <c r="GQX336"/>
      <c r="GRA336"/>
      <c r="GRB336"/>
      <c r="GRE336"/>
      <c r="GRF336"/>
      <c r="GRI336"/>
      <c r="GRJ336"/>
      <c r="GRM336"/>
      <c r="GRN336"/>
      <c r="GRQ336"/>
      <c r="GRR336"/>
      <c r="GRU336"/>
      <c r="GRV336"/>
      <c r="GRY336"/>
      <c r="GRZ336"/>
      <c r="GSC336"/>
      <c r="GSD336"/>
      <c r="GSG336"/>
      <c r="GSH336"/>
      <c r="GSK336"/>
      <c r="GSL336"/>
      <c r="GSO336"/>
      <c r="GSP336"/>
      <c r="GSS336"/>
      <c r="GST336"/>
      <c r="GSW336"/>
      <c r="GSX336"/>
      <c r="GTA336"/>
      <c r="GTB336"/>
      <c r="GTE336"/>
      <c r="GTF336"/>
      <c r="GTI336"/>
      <c r="GTJ336"/>
      <c r="GTM336"/>
      <c r="GTN336"/>
      <c r="GTQ336"/>
      <c r="GTR336"/>
      <c r="GTU336"/>
      <c r="GTV336"/>
      <c r="GTY336"/>
      <c r="GTZ336"/>
      <c r="GUC336"/>
      <c r="GUD336"/>
      <c r="GUG336"/>
      <c r="GUH336"/>
      <c r="GUK336"/>
      <c r="GUL336"/>
      <c r="GUO336"/>
      <c r="GUP336"/>
      <c r="GUS336"/>
      <c r="GUT336"/>
      <c r="GUW336"/>
      <c r="GUX336"/>
      <c r="GVA336"/>
      <c r="GVB336"/>
      <c r="GVE336"/>
      <c r="GVF336"/>
      <c r="GVI336"/>
      <c r="GVJ336"/>
      <c r="GVM336"/>
      <c r="GVN336"/>
      <c r="GVQ336"/>
      <c r="GVR336"/>
      <c r="GVU336"/>
      <c r="GVV336"/>
      <c r="GVY336"/>
      <c r="GVZ336"/>
      <c r="GWC336"/>
      <c r="GWD336"/>
      <c r="GWG336"/>
      <c r="GWH336"/>
      <c r="GWK336"/>
      <c r="GWL336"/>
      <c r="GWO336"/>
      <c r="GWP336"/>
      <c r="GWS336"/>
      <c r="GWT336"/>
      <c r="GWW336"/>
      <c r="GWX336"/>
      <c r="GXA336"/>
      <c r="GXB336"/>
      <c r="GXE336"/>
      <c r="GXF336"/>
      <c r="GXI336"/>
      <c r="GXJ336"/>
      <c r="GXM336"/>
      <c r="GXN336"/>
      <c r="GXQ336"/>
      <c r="GXR336"/>
      <c r="GXU336"/>
      <c r="GXV336"/>
      <c r="GXY336"/>
      <c r="GXZ336"/>
      <c r="GYC336"/>
      <c r="GYD336"/>
      <c r="GYG336"/>
      <c r="GYH336"/>
      <c r="GYK336"/>
      <c r="GYL336"/>
      <c r="GYO336"/>
      <c r="GYP336"/>
      <c r="GYS336"/>
      <c r="GYT336"/>
      <c r="GYW336"/>
      <c r="GYX336"/>
      <c r="GZA336"/>
      <c r="GZB336"/>
      <c r="GZE336"/>
      <c r="GZF336"/>
      <c r="GZI336"/>
      <c r="GZJ336"/>
      <c r="GZM336"/>
      <c r="GZN336"/>
      <c r="GZQ336"/>
      <c r="GZR336"/>
      <c r="GZU336"/>
      <c r="GZV336"/>
      <c r="GZY336"/>
      <c r="GZZ336"/>
      <c r="HAC336"/>
      <c r="HAD336"/>
      <c r="HAG336"/>
      <c r="HAH336"/>
      <c r="HAK336"/>
      <c r="HAL336"/>
      <c r="HAO336"/>
      <c r="HAP336"/>
      <c r="HAS336"/>
      <c r="HAT336"/>
      <c r="HAW336"/>
      <c r="HAX336"/>
      <c r="HBA336"/>
      <c r="HBB336"/>
      <c r="HBE336"/>
      <c r="HBF336"/>
      <c r="HBI336"/>
      <c r="HBJ336"/>
      <c r="HBM336"/>
      <c r="HBN336"/>
      <c r="HBQ336"/>
      <c r="HBR336"/>
      <c r="HBU336"/>
      <c r="HBV336"/>
      <c r="HBY336"/>
      <c r="HBZ336"/>
      <c r="HCC336"/>
      <c r="HCD336"/>
      <c r="HCG336"/>
      <c r="HCH336"/>
      <c r="HCK336"/>
      <c r="HCL336"/>
      <c r="HCO336"/>
      <c r="HCP336"/>
      <c r="HCS336"/>
      <c r="HCT336"/>
      <c r="HCW336"/>
      <c r="HCX336"/>
      <c r="HDA336"/>
      <c r="HDB336"/>
      <c r="HDE336"/>
      <c r="HDF336"/>
      <c r="HDI336"/>
      <c r="HDJ336"/>
      <c r="HDM336"/>
      <c r="HDN336"/>
      <c r="HDQ336"/>
      <c r="HDR336"/>
      <c r="HDU336"/>
      <c r="HDV336"/>
      <c r="HDY336"/>
      <c r="HDZ336"/>
      <c r="HEC336"/>
      <c r="HED336"/>
      <c r="HEG336"/>
      <c r="HEH336"/>
      <c r="HEK336"/>
      <c r="HEL336"/>
      <c r="HEO336"/>
      <c r="HEP336"/>
      <c r="HES336"/>
      <c r="HET336"/>
      <c r="HEW336"/>
      <c r="HEX336"/>
      <c r="HFA336"/>
      <c r="HFB336"/>
      <c r="HFE336"/>
      <c r="HFF336"/>
      <c r="HFI336"/>
      <c r="HFJ336"/>
      <c r="HFM336"/>
      <c r="HFN336"/>
      <c r="HFQ336"/>
      <c r="HFR336"/>
      <c r="HFU336"/>
      <c r="HFV336"/>
      <c r="HFY336"/>
      <c r="HFZ336"/>
      <c r="HGC336"/>
      <c r="HGD336"/>
      <c r="HGG336"/>
      <c r="HGH336"/>
      <c r="HGK336"/>
      <c r="HGL336"/>
      <c r="HGO336"/>
      <c r="HGP336"/>
      <c r="HGS336"/>
      <c r="HGT336"/>
      <c r="HGW336"/>
      <c r="HGX336"/>
      <c r="HHA336"/>
      <c r="HHB336"/>
      <c r="HHE336"/>
      <c r="HHF336"/>
      <c r="HHI336"/>
      <c r="HHJ336"/>
      <c r="HHM336"/>
      <c r="HHN336"/>
      <c r="HHQ336"/>
      <c r="HHR336"/>
      <c r="HHU336"/>
      <c r="HHV336"/>
      <c r="HHY336"/>
      <c r="HHZ336"/>
      <c r="HIC336"/>
      <c r="HID336"/>
      <c r="HIG336"/>
      <c r="HIH336"/>
      <c r="HIK336"/>
      <c r="HIL336"/>
      <c r="HIO336"/>
      <c r="HIP336"/>
      <c r="HIS336"/>
      <c r="HIT336"/>
      <c r="HIW336"/>
      <c r="HIX336"/>
      <c r="HJA336"/>
      <c r="HJB336"/>
      <c r="HJE336"/>
      <c r="HJF336"/>
      <c r="HJI336"/>
      <c r="HJJ336"/>
      <c r="HJM336"/>
      <c r="HJN336"/>
      <c r="HJQ336"/>
      <c r="HJR336"/>
      <c r="HJU336"/>
      <c r="HJV336"/>
      <c r="HJY336"/>
      <c r="HJZ336"/>
      <c r="HKC336"/>
      <c r="HKD336"/>
      <c r="HKG336"/>
      <c r="HKH336"/>
      <c r="HKK336"/>
      <c r="HKL336"/>
      <c r="HKO336"/>
      <c r="HKP336"/>
      <c r="HKS336"/>
      <c r="HKT336"/>
      <c r="HKW336"/>
      <c r="HKX336"/>
      <c r="HLA336"/>
      <c r="HLB336"/>
      <c r="HLE336"/>
      <c r="HLF336"/>
      <c r="HLI336"/>
      <c r="HLJ336"/>
      <c r="HLM336"/>
      <c r="HLN336"/>
      <c r="HLQ336"/>
      <c r="HLR336"/>
      <c r="HLU336"/>
      <c r="HLV336"/>
      <c r="HLY336"/>
      <c r="HLZ336"/>
      <c r="HMC336"/>
      <c r="HMD336"/>
      <c r="HMG336"/>
      <c r="HMH336"/>
      <c r="HMK336"/>
      <c r="HML336"/>
      <c r="HMO336"/>
      <c r="HMP336"/>
      <c r="HMS336"/>
      <c r="HMT336"/>
      <c r="HMW336"/>
      <c r="HMX336"/>
      <c r="HNA336"/>
      <c r="HNB336"/>
      <c r="HNE336"/>
      <c r="HNF336"/>
      <c r="HNI336"/>
      <c r="HNJ336"/>
      <c r="HNM336"/>
      <c r="HNN336"/>
      <c r="HNQ336"/>
      <c r="HNR336"/>
      <c r="HNU336"/>
      <c r="HNV336"/>
      <c r="HNY336"/>
      <c r="HNZ336"/>
      <c r="HOC336"/>
      <c r="HOD336"/>
      <c r="HOG336"/>
      <c r="HOH336"/>
      <c r="HOK336"/>
      <c r="HOL336"/>
      <c r="HOO336"/>
      <c r="HOP336"/>
      <c r="HOS336"/>
      <c r="HOT336"/>
      <c r="HOW336"/>
      <c r="HOX336"/>
      <c r="HPA336"/>
      <c r="HPB336"/>
      <c r="HPE336"/>
      <c r="HPF336"/>
      <c r="HPI336"/>
      <c r="HPJ336"/>
      <c r="HPM336"/>
      <c r="HPN336"/>
      <c r="HPQ336"/>
      <c r="HPR336"/>
      <c r="HPU336"/>
      <c r="HPV336"/>
      <c r="HPY336"/>
      <c r="HPZ336"/>
      <c r="HQC336"/>
      <c r="HQD336"/>
      <c r="HQG336"/>
      <c r="HQH336"/>
      <c r="HQK336"/>
      <c r="HQL336"/>
      <c r="HQO336"/>
      <c r="HQP336"/>
      <c r="HQS336"/>
      <c r="HQT336"/>
      <c r="HQW336"/>
      <c r="HQX336"/>
      <c r="HRA336"/>
      <c r="HRB336"/>
      <c r="HRE336"/>
      <c r="HRF336"/>
      <c r="HRI336"/>
      <c r="HRJ336"/>
      <c r="HRM336"/>
      <c r="HRN336"/>
      <c r="HRQ336"/>
      <c r="HRR336"/>
      <c r="HRU336"/>
      <c r="HRV336"/>
      <c r="HRY336"/>
      <c r="HRZ336"/>
      <c r="HSC336"/>
      <c r="HSD336"/>
      <c r="HSG336"/>
      <c r="HSH336"/>
      <c r="HSK336"/>
      <c r="HSL336"/>
      <c r="HSO336"/>
      <c r="HSP336"/>
      <c r="HSS336"/>
      <c r="HST336"/>
      <c r="HSW336"/>
      <c r="HSX336"/>
      <c r="HTA336"/>
      <c r="HTB336"/>
      <c r="HTE336"/>
      <c r="HTF336"/>
      <c r="HTI336"/>
      <c r="HTJ336"/>
      <c r="HTM336"/>
      <c r="HTN336"/>
      <c r="HTQ336"/>
      <c r="HTR336"/>
      <c r="HTU336"/>
      <c r="HTV336"/>
      <c r="HTY336"/>
      <c r="HTZ336"/>
      <c r="HUC336"/>
      <c r="HUD336"/>
      <c r="HUG336"/>
      <c r="HUH336"/>
      <c r="HUK336"/>
      <c r="HUL336"/>
      <c r="HUO336"/>
      <c r="HUP336"/>
      <c r="HUS336"/>
      <c r="HUT336"/>
      <c r="HUW336"/>
      <c r="HUX336"/>
      <c r="HVA336"/>
      <c r="HVB336"/>
      <c r="HVE336"/>
      <c r="HVF336"/>
      <c r="HVI336"/>
      <c r="HVJ336"/>
      <c r="HVM336"/>
      <c r="HVN336"/>
      <c r="HVQ336"/>
      <c r="HVR336"/>
      <c r="HVU336"/>
      <c r="HVV336"/>
      <c r="HVY336"/>
      <c r="HVZ336"/>
      <c r="HWC336"/>
      <c r="HWD336"/>
      <c r="HWG336"/>
      <c r="HWH336"/>
      <c r="HWK336"/>
      <c r="HWL336"/>
      <c r="HWO336"/>
      <c r="HWP336"/>
      <c r="HWS336"/>
      <c r="HWT336"/>
      <c r="HWW336"/>
      <c r="HWX336"/>
      <c r="HXA336"/>
      <c r="HXB336"/>
      <c r="HXE336"/>
      <c r="HXF336"/>
      <c r="HXI336"/>
      <c r="HXJ336"/>
      <c r="HXM336"/>
      <c r="HXN336"/>
      <c r="HXQ336"/>
      <c r="HXR336"/>
      <c r="HXU336"/>
      <c r="HXV336"/>
      <c r="HXY336"/>
      <c r="HXZ336"/>
      <c r="HYC336"/>
      <c r="HYD336"/>
      <c r="HYG336"/>
      <c r="HYH336"/>
      <c r="HYK336"/>
      <c r="HYL336"/>
      <c r="HYO336"/>
      <c r="HYP336"/>
      <c r="HYS336"/>
      <c r="HYT336"/>
      <c r="HYW336"/>
      <c r="HYX336"/>
      <c r="HZA336"/>
      <c r="HZB336"/>
      <c r="HZE336"/>
      <c r="HZF336"/>
      <c r="HZI336"/>
      <c r="HZJ336"/>
      <c r="HZM336"/>
      <c r="HZN336"/>
      <c r="HZQ336"/>
      <c r="HZR336"/>
      <c r="HZU336"/>
      <c r="HZV336"/>
      <c r="HZY336"/>
      <c r="HZZ336"/>
      <c r="IAC336"/>
      <c r="IAD336"/>
      <c r="IAG336"/>
      <c r="IAH336"/>
      <c r="IAK336"/>
      <c r="IAL336"/>
      <c r="IAO336"/>
      <c r="IAP336"/>
      <c r="IAS336"/>
      <c r="IAT336"/>
      <c r="IAW336"/>
      <c r="IAX336"/>
      <c r="IBA336"/>
      <c r="IBB336"/>
      <c r="IBE336"/>
      <c r="IBF336"/>
      <c r="IBI336"/>
      <c r="IBJ336"/>
      <c r="IBM336"/>
      <c r="IBN336"/>
      <c r="IBQ336"/>
      <c r="IBR336"/>
      <c r="IBU336"/>
      <c r="IBV336"/>
      <c r="IBY336"/>
      <c r="IBZ336"/>
      <c r="ICC336"/>
      <c r="ICD336"/>
      <c r="ICG336"/>
      <c r="ICH336"/>
      <c r="ICK336"/>
      <c r="ICL336"/>
      <c r="ICO336"/>
      <c r="ICP336"/>
      <c r="ICS336"/>
      <c r="ICT336"/>
      <c r="ICW336"/>
      <c r="ICX336"/>
      <c r="IDA336"/>
      <c r="IDB336"/>
      <c r="IDE336"/>
      <c r="IDF336"/>
      <c r="IDI336"/>
      <c r="IDJ336"/>
      <c r="IDM336"/>
      <c r="IDN336"/>
      <c r="IDQ336"/>
      <c r="IDR336"/>
      <c r="IDU336"/>
      <c r="IDV336"/>
      <c r="IDY336"/>
      <c r="IDZ336"/>
      <c r="IEC336"/>
      <c r="IED336"/>
      <c r="IEG336"/>
      <c r="IEH336"/>
      <c r="IEK336"/>
      <c r="IEL336"/>
      <c r="IEO336"/>
      <c r="IEP336"/>
      <c r="IES336"/>
      <c r="IET336"/>
      <c r="IEW336"/>
      <c r="IEX336"/>
      <c r="IFA336"/>
      <c r="IFB336"/>
      <c r="IFE336"/>
      <c r="IFF336"/>
      <c r="IFI336"/>
      <c r="IFJ336"/>
      <c r="IFM336"/>
      <c r="IFN336"/>
      <c r="IFQ336"/>
      <c r="IFR336"/>
      <c r="IFU336"/>
      <c r="IFV336"/>
      <c r="IFY336"/>
      <c r="IFZ336"/>
      <c r="IGC336"/>
      <c r="IGD336"/>
      <c r="IGG336"/>
      <c r="IGH336"/>
      <c r="IGK336"/>
      <c r="IGL336"/>
      <c r="IGO336"/>
      <c r="IGP336"/>
      <c r="IGS336"/>
      <c r="IGT336"/>
      <c r="IGW336"/>
      <c r="IGX336"/>
      <c r="IHA336"/>
      <c r="IHB336"/>
      <c r="IHE336"/>
      <c r="IHF336"/>
      <c r="IHI336"/>
      <c r="IHJ336"/>
      <c r="IHM336"/>
      <c r="IHN336"/>
      <c r="IHQ336"/>
      <c r="IHR336"/>
      <c r="IHU336"/>
      <c r="IHV336"/>
      <c r="IHY336"/>
      <c r="IHZ336"/>
      <c r="IIC336"/>
      <c r="IID336"/>
      <c r="IIG336"/>
      <c r="IIH336"/>
      <c r="IIK336"/>
      <c r="IIL336"/>
      <c r="IIO336"/>
      <c r="IIP336"/>
      <c r="IIS336"/>
      <c r="IIT336"/>
      <c r="IIW336"/>
      <c r="IIX336"/>
      <c r="IJA336"/>
      <c r="IJB336"/>
      <c r="IJE336"/>
      <c r="IJF336"/>
      <c r="IJI336"/>
      <c r="IJJ336"/>
      <c r="IJM336"/>
      <c r="IJN336"/>
      <c r="IJQ336"/>
      <c r="IJR336"/>
      <c r="IJU336"/>
      <c r="IJV336"/>
      <c r="IJY336"/>
      <c r="IJZ336"/>
      <c r="IKC336"/>
      <c r="IKD336"/>
      <c r="IKG336"/>
      <c r="IKH336"/>
      <c r="IKK336"/>
      <c r="IKL336"/>
      <c r="IKO336"/>
      <c r="IKP336"/>
      <c r="IKS336"/>
      <c r="IKT336"/>
      <c r="IKW336"/>
      <c r="IKX336"/>
      <c r="ILA336"/>
      <c r="ILB336"/>
      <c r="ILE336"/>
      <c r="ILF336"/>
      <c r="ILI336"/>
      <c r="ILJ336"/>
      <c r="ILM336"/>
      <c r="ILN336"/>
      <c r="ILQ336"/>
      <c r="ILR336"/>
      <c r="ILU336"/>
      <c r="ILV336"/>
      <c r="ILY336"/>
      <c r="ILZ336"/>
      <c r="IMC336"/>
      <c r="IMD336"/>
      <c r="IMG336"/>
      <c r="IMH336"/>
      <c r="IMK336"/>
      <c r="IML336"/>
      <c r="IMO336"/>
      <c r="IMP336"/>
      <c r="IMS336"/>
      <c r="IMT336"/>
      <c r="IMW336"/>
      <c r="IMX336"/>
      <c r="INA336"/>
      <c r="INB336"/>
      <c r="INE336"/>
      <c r="INF336"/>
      <c r="INI336"/>
      <c r="INJ336"/>
      <c r="INM336"/>
      <c r="INN336"/>
      <c r="INQ336"/>
      <c r="INR336"/>
      <c r="INU336"/>
      <c r="INV336"/>
      <c r="INY336"/>
      <c r="INZ336"/>
      <c r="IOC336"/>
      <c r="IOD336"/>
      <c r="IOG336"/>
      <c r="IOH336"/>
      <c r="IOK336"/>
      <c r="IOL336"/>
      <c r="IOO336"/>
      <c r="IOP336"/>
      <c r="IOS336"/>
      <c r="IOT336"/>
      <c r="IOW336"/>
      <c r="IOX336"/>
      <c r="IPA336"/>
      <c r="IPB336"/>
      <c r="IPE336"/>
      <c r="IPF336"/>
      <c r="IPI336"/>
      <c r="IPJ336"/>
      <c r="IPM336"/>
      <c r="IPN336"/>
      <c r="IPQ336"/>
      <c r="IPR336"/>
      <c r="IPU336"/>
      <c r="IPV336"/>
      <c r="IPY336"/>
      <c r="IPZ336"/>
      <c r="IQC336"/>
      <c r="IQD336"/>
      <c r="IQG336"/>
      <c r="IQH336"/>
      <c r="IQK336"/>
      <c r="IQL336"/>
      <c r="IQO336"/>
      <c r="IQP336"/>
      <c r="IQS336"/>
      <c r="IQT336"/>
      <c r="IQW336"/>
      <c r="IQX336"/>
      <c r="IRA336"/>
      <c r="IRB336"/>
      <c r="IRE336"/>
      <c r="IRF336"/>
      <c r="IRI336"/>
      <c r="IRJ336"/>
      <c r="IRM336"/>
      <c r="IRN336"/>
      <c r="IRQ336"/>
      <c r="IRR336"/>
      <c r="IRU336"/>
      <c r="IRV336"/>
      <c r="IRY336"/>
      <c r="IRZ336"/>
      <c r="ISC336"/>
      <c r="ISD336"/>
      <c r="ISG336"/>
      <c r="ISH336"/>
      <c r="ISK336"/>
      <c r="ISL336"/>
      <c r="ISO336"/>
      <c r="ISP336"/>
      <c r="ISS336"/>
      <c r="IST336"/>
      <c r="ISW336"/>
      <c r="ISX336"/>
      <c r="ITA336"/>
      <c r="ITB336"/>
      <c r="ITE336"/>
      <c r="ITF336"/>
      <c r="ITI336"/>
      <c r="ITJ336"/>
      <c r="ITM336"/>
      <c r="ITN336"/>
      <c r="ITQ336"/>
      <c r="ITR336"/>
      <c r="ITU336"/>
      <c r="ITV336"/>
      <c r="ITY336"/>
      <c r="ITZ336"/>
      <c r="IUC336"/>
      <c r="IUD336"/>
      <c r="IUG336"/>
      <c r="IUH336"/>
      <c r="IUK336"/>
      <c r="IUL336"/>
      <c r="IUO336"/>
      <c r="IUP336"/>
      <c r="IUS336"/>
      <c r="IUT336"/>
      <c r="IUW336"/>
      <c r="IUX336"/>
      <c r="IVA336"/>
      <c r="IVB336"/>
      <c r="IVE336"/>
      <c r="IVF336"/>
      <c r="IVI336"/>
      <c r="IVJ336"/>
      <c r="IVM336"/>
      <c r="IVN336"/>
      <c r="IVQ336"/>
      <c r="IVR336"/>
      <c r="IVU336"/>
      <c r="IVV336"/>
      <c r="IVY336"/>
      <c r="IVZ336"/>
      <c r="IWC336"/>
      <c r="IWD336"/>
      <c r="IWG336"/>
      <c r="IWH336"/>
      <c r="IWK336"/>
      <c r="IWL336"/>
      <c r="IWO336"/>
      <c r="IWP336"/>
      <c r="IWS336"/>
      <c r="IWT336"/>
      <c r="IWW336"/>
      <c r="IWX336"/>
      <c r="IXA336"/>
      <c r="IXB336"/>
      <c r="IXE336"/>
      <c r="IXF336"/>
      <c r="IXI336"/>
      <c r="IXJ336"/>
      <c r="IXM336"/>
      <c r="IXN336"/>
      <c r="IXQ336"/>
      <c r="IXR336"/>
      <c r="IXU336"/>
      <c r="IXV336"/>
      <c r="IXY336"/>
      <c r="IXZ336"/>
      <c r="IYC336"/>
      <c r="IYD336"/>
      <c r="IYG336"/>
      <c r="IYH336"/>
      <c r="IYK336"/>
      <c r="IYL336"/>
      <c r="IYO336"/>
      <c r="IYP336"/>
      <c r="IYS336"/>
      <c r="IYT336"/>
      <c r="IYW336"/>
      <c r="IYX336"/>
      <c r="IZA336"/>
      <c r="IZB336"/>
      <c r="IZE336"/>
      <c r="IZF336"/>
      <c r="IZI336"/>
      <c r="IZJ336"/>
      <c r="IZM336"/>
      <c r="IZN336"/>
      <c r="IZQ336"/>
      <c r="IZR336"/>
      <c r="IZU336"/>
      <c r="IZV336"/>
      <c r="IZY336"/>
      <c r="IZZ336"/>
      <c r="JAC336"/>
      <c r="JAD336"/>
      <c r="JAG336"/>
      <c r="JAH336"/>
      <c r="JAK336"/>
      <c r="JAL336"/>
      <c r="JAO336"/>
      <c r="JAP336"/>
      <c r="JAS336"/>
      <c r="JAT336"/>
      <c r="JAW336"/>
      <c r="JAX336"/>
      <c r="JBA336"/>
      <c r="JBB336"/>
      <c r="JBE336"/>
      <c r="JBF336"/>
      <c r="JBI336"/>
      <c r="JBJ336"/>
      <c r="JBM336"/>
      <c r="JBN336"/>
      <c r="JBQ336"/>
      <c r="JBR336"/>
      <c r="JBU336"/>
      <c r="JBV336"/>
      <c r="JBY336"/>
      <c r="JBZ336"/>
      <c r="JCC336"/>
      <c r="JCD336"/>
      <c r="JCG336"/>
      <c r="JCH336"/>
      <c r="JCK336"/>
      <c r="JCL336"/>
      <c r="JCO336"/>
      <c r="JCP336"/>
      <c r="JCS336"/>
      <c r="JCT336"/>
      <c r="JCW336"/>
      <c r="JCX336"/>
      <c r="JDA336"/>
      <c r="JDB336"/>
      <c r="JDE336"/>
      <c r="JDF336"/>
      <c r="JDI336"/>
      <c r="JDJ336"/>
      <c r="JDM336"/>
      <c r="JDN336"/>
      <c r="JDQ336"/>
      <c r="JDR336"/>
      <c r="JDU336"/>
      <c r="JDV336"/>
      <c r="JDY336"/>
      <c r="JDZ336"/>
      <c r="JEC336"/>
      <c r="JED336"/>
      <c r="JEG336"/>
      <c r="JEH336"/>
      <c r="JEK336"/>
      <c r="JEL336"/>
      <c r="JEO336"/>
      <c r="JEP336"/>
      <c r="JES336"/>
      <c r="JET336"/>
      <c r="JEW336"/>
      <c r="JEX336"/>
      <c r="JFA336"/>
      <c r="JFB336"/>
      <c r="JFE336"/>
      <c r="JFF336"/>
      <c r="JFI336"/>
      <c r="JFJ336"/>
      <c r="JFM336"/>
      <c r="JFN336"/>
      <c r="JFQ336"/>
      <c r="JFR336"/>
      <c r="JFU336"/>
      <c r="JFV336"/>
      <c r="JFY336"/>
      <c r="JFZ336"/>
      <c r="JGC336"/>
      <c r="JGD336"/>
      <c r="JGG336"/>
      <c r="JGH336"/>
      <c r="JGK336"/>
      <c r="JGL336"/>
      <c r="JGO336"/>
      <c r="JGP336"/>
      <c r="JGS336"/>
      <c r="JGT336"/>
      <c r="JGW336"/>
      <c r="JGX336"/>
      <c r="JHA336"/>
      <c r="JHB336"/>
      <c r="JHE336"/>
      <c r="JHF336"/>
      <c r="JHI336"/>
      <c r="JHJ336"/>
      <c r="JHM336"/>
      <c r="JHN336"/>
      <c r="JHQ336"/>
      <c r="JHR336"/>
      <c r="JHU336"/>
      <c r="JHV336"/>
      <c r="JHY336"/>
      <c r="JHZ336"/>
      <c r="JIC336"/>
      <c r="JID336"/>
      <c r="JIG336"/>
      <c r="JIH336"/>
      <c r="JIK336"/>
      <c r="JIL336"/>
      <c r="JIO336"/>
      <c r="JIP336"/>
      <c r="JIS336"/>
      <c r="JIT336"/>
      <c r="JIW336"/>
      <c r="JIX336"/>
      <c r="JJA336"/>
      <c r="JJB336"/>
      <c r="JJE336"/>
      <c r="JJF336"/>
      <c r="JJI336"/>
      <c r="JJJ336"/>
      <c r="JJM336"/>
      <c r="JJN336"/>
      <c r="JJQ336"/>
      <c r="JJR336"/>
      <c r="JJU336"/>
      <c r="JJV336"/>
      <c r="JJY336"/>
      <c r="JJZ336"/>
      <c r="JKC336"/>
      <c r="JKD336"/>
      <c r="JKG336"/>
      <c r="JKH336"/>
      <c r="JKK336"/>
      <c r="JKL336"/>
      <c r="JKO336"/>
      <c r="JKP336"/>
      <c r="JKS336"/>
      <c r="JKT336"/>
      <c r="JKW336"/>
      <c r="JKX336"/>
      <c r="JLA336"/>
      <c r="JLB336"/>
      <c r="JLE336"/>
      <c r="JLF336"/>
      <c r="JLI336"/>
      <c r="JLJ336"/>
      <c r="JLM336"/>
      <c r="JLN336"/>
      <c r="JLQ336"/>
      <c r="JLR336"/>
      <c r="JLU336"/>
      <c r="JLV336"/>
      <c r="JLY336"/>
      <c r="JLZ336"/>
      <c r="JMC336"/>
      <c r="JMD336"/>
      <c r="JMG336"/>
      <c r="JMH336"/>
      <c r="JMK336"/>
      <c r="JML336"/>
      <c r="JMO336"/>
      <c r="JMP336"/>
      <c r="JMS336"/>
      <c r="JMT336"/>
      <c r="JMW336"/>
      <c r="JMX336"/>
      <c r="JNA336"/>
      <c r="JNB336"/>
      <c r="JNE336"/>
      <c r="JNF336"/>
      <c r="JNI336"/>
      <c r="JNJ336"/>
      <c r="JNM336"/>
      <c r="JNN336"/>
      <c r="JNQ336"/>
      <c r="JNR336"/>
      <c r="JNU336"/>
      <c r="JNV336"/>
      <c r="JNY336"/>
      <c r="JNZ336"/>
      <c r="JOC336"/>
      <c r="JOD336"/>
      <c r="JOG336"/>
      <c r="JOH336"/>
      <c r="JOK336"/>
      <c r="JOL336"/>
      <c r="JOO336"/>
      <c r="JOP336"/>
      <c r="JOS336"/>
      <c r="JOT336"/>
      <c r="JOW336"/>
      <c r="JOX336"/>
      <c r="JPA336"/>
      <c r="JPB336"/>
      <c r="JPE336"/>
      <c r="JPF336"/>
      <c r="JPI336"/>
      <c r="JPJ336"/>
      <c r="JPM336"/>
      <c r="JPN336"/>
      <c r="JPQ336"/>
      <c r="JPR336"/>
      <c r="JPU336"/>
      <c r="JPV336"/>
      <c r="JPY336"/>
      <c r="JPZ336"/>
      <c r="JQC336"/>
      <c r="JQD336"/>
      <c r="JQG336"/>
      <c r="JQH336"/>
      <c r="JQK336"/>
      <c r="JQL336"/>
      <c r="JQO336"/>
      <c r="JQP336"/>
      <c r="JQS336"/>
      <c r="JQT336"/>
      <c r="JQW336"/>
      <c r="JQX336"/>
      <c r="JRA336"/>
      <c r="JRB336"/>
      <c r="JRE336"/>
      <c r="JRF336"/>
      <c r="JRI336"/>
      <c r="JRJ336"/>
      <c r="JRM336"/>
      <c r="JRN336"/>
      <c r="JRQ336"/>
      <c r="JRR336"/>
      <c r="JRU336"/>
      <c r="JRV336"/>
      <c r="JRY336"/>
      <c r="JRZ336"/>
      <c r="JSC336"/>
      <c r="JSD336"/>
      <c r="JSG336"/>
      <c r="JSH336"/>
      <c r="JSK336"/>
      <c r="JSL336"/>
      <c r="JSO336"/>
      <c r="JSP336"/>
      <c r="JSS336"/>
      <c r="JST336"/>
      <c r="JSW336"/>
      <c r="JSX336"/>
      <c r="JTA336"/>
      <c r="JTB336"/>
      <c r="JTE336"/>
      <c r="JTF336"/>
      <c r="JTI336"/>
      <c r="JTJ336"/>
      <c r="JTM336"/>
      <c r="JTN336"/>
      <c r="JTQ336"/>
      <c r="JTR336"/>
      <c r="JTU336"/>
      <c r="JTV336"/>
      <c r="JTY336"/>
      <c r="JTZ336"/>
      <c r="JUC336"/>
      <c r="JUD336"/>
      <c r="JUG336"/>
      <c r="JUH336"/>
      <c r="JUK336"/>
      <c r="JUL336"/>
      <c r="JUO336"/>
      <c r="JUP336"/>
      <c r="JUS336"/>
      <c r="JUT336"/>
      <c r="JUW336"/>
      <c r="JUX336"/>
      <c r="JVA336"/>
      <c r="JVB336"/>
      <c r="JVE336"/>
      <c r="JVF336"/>
      <c r="JVI336"/>
      <c r="JVJ336"/>
      <c r="JVM336"/>
      <c r="JVN336"/>
      <c r="JVQ336"/>
      <c r="JVR336"/>
      <c r="JVU336"/>
      <c r="JVV336"/>
      <c r="JVY336"/>
      <c r="JVZ336"/>
      <c r="JWC336"/>
      <c r="JWD336"/>
      <c r="JWG336"/>
      <c r="JWH336"/>
      <c r="JWK336"/>
      <c r="JWL336"/>
      <c r="JWO336"/>
      <c r="JWP336"/>
      <c r="JWS336"/>
      <c r="JWT336"/>
      <c r="JWW336"/>
      <c r="JWX336"/>
      <c r="JXA336"/>
      <c r="JXB336"/>
      <c r="JXE336"/>
      <c r="JXF336"/>
      <c r="JXI336"/>
      <c r="JXJ336"/>
      <c r="JXM336"/>
      <c r="JXN336"/>
      <c r="JXQ336"/>
      <c r="JXR336"/>
      <c r="JXU336"/>
      <c r="JXV336"/>
      <c r="JXY336"/>
      <c r="JXZ336"/>
      <c r="JYC336"/>
      <c r="JYD336"/>
      <c r="JYG336"/>
      <c r="JYH336"/>
      <c r="JYK336"/>
      <c r="JYL336"/>
      <c r="JYO336"/>
      <c r="JYP336"/>
      <c r="JYS336"/>
      <c r="JYT336"/>
      <c r="JYW336"/>
      <c r="JYX336"/>
      <c r="JZA336"/>
      <c r="JZB336"/>
      <c r="JZE336"/>
      <c r="JZF336"/>
      <c r="JZI336"/>
      <c r="JZJ336"/>
      <c r="JZM336"/>
      <c r="JZN336"/>
      <c r="JZQ336"/>
      <c r="JZR336"/>
      <c r="JZU336"/>
      <c r="JZV336"/>
      <c r="JZY336"/>
      <c r="JZZ336"/>
      <c r="KAC336"/>
      <c r="KAD336"/>
      <c r="KAG336"/>
      <c r="KAH336"/>
      <c r="KAK336"/>
      <c r="KAL336"/>
      <c r="KAO336"/>
      <c r="KAP336"/>
      <c r="KAS336"/>
      <c r="KAT336"/>
      <c r="KAW336"/>
      <c r="KAX336"/>
      <c r="KBA336"/>
      <c r="KBB336"/>
      <c r="KBE336"/>
      <c r="KBF336"/>
      <c r="KBI336"/>
      <c r="KBJ336"/>
      <c r="KBM336"/>
      <c r="KBN336"/>
      <c r="KBQ336"/>
      <c r="KBR336"/>
      <c r="KBU336"/>
      <c r="KBV336"/>
      <c r="KBY336"/>
      <c r="KBZ336"/>
      <c r="KCC336"/>
      <c r="KCD336"/>
      <c r="KCG336"/>
      <c r="KCH336"/>
      <c r="KCK336"/>
      <c r="KCL336"/>
      <c r="KCO336"/>
      <c r="KCP336"/>
      <c r="KCS336"/>
      <c r="KCT336"/>
      <c r="KCW336"/>
      <c r="KCX336"/>
      <c r="KDA336"/>
      <c r="KDB336"/>
      <c r="KDE336"/>
      <c r="KDF336"/>
      <c r="KDI336"/>
      <c r="KDJ336"/>
      <c r="KDM336"/>
      <c r="KDN336"/>
      <c r="KDQ336"/>
      <c r="KDR336"/>
      <c r="KDU336"/>
      <c r="KDV336"/>
      <c r="KDY336"/>
      <c r="KDZ336"/>
      <c r="KEC336"/>
      <c r="KED336"/>
      <c r="KEG336"/>
      <c r="KEH336"/>
      <c r="KEK336"/>
      <c r="KEL336"/>
      <c r="KEO336"/>
      <c r="KEP336"/>
      <c r="KES336"/>
      <c r="KET336"/>
      <c r="KEW336"/>
      <c r="KEX336"/>
      <c r="KFA336"/>
      <c r="KFB336"/>
      <c r="KFE336"/>
      <c r="KFF336"/>
      <c r="KFI336"/>
      <c r="KFJ336"/>
      <c r="KFM336"/>
      <c r="KFN336"/>
      <c r="KFQ336"/>
      <c r="KFR336"/>
      <c r="KFU336"/>
      <c r="KFV336"/>
      <c r="KFY336"/>
      <c r="KFZ336"/>
      <c r="KGC336"/>
      <c r="KGD336"/>
      <c r="KGG336"/>
      <c r="KGH336"/>
      <c r="KGK336"/>
      <c r="KGL336"/>
      <c r="KGO336"/>
      <c r="KGP336"/>
      <c r="KGS336"/>
      <c r="KGT336"/>
      <c r="KGW336"/>
      <c r="KGX336"/>
      <c r="KHA336"/>
      <c r="KHB336"/>
      <c r="KHE336"/>
      <c r="KHF336"/>
      <c r="KHI336"/>
      <c r="KHJ336"/>
      <c r="KHM336"/>
      <c r="KHN336"/>
      <c r="KHQ336"/>
      <c r="KHR336"/>
      <c r="KHU336"/>
      <c r="KHV336"/>
      <c r="KHY336"/>
      <c r="KHZ336"/>
      <c r="KIC336"/>
      <c r="KID336"/>
      <c r="KIG336"/>
      <c r="KIH336"/>
      <c r="KIK336"/>
      <c r="KIL336"/>
      <c r="KIO336"/>
      <c r="KIP336"/>
      <c r="KIS336"/>
      <c r="KIT336"/>
      <c r="KIW336"/>
      <c r="KIX336"/>
      <c r="KJA336"/>
      <c r="KJB336"/>
      <c r="KJE336"/>
      <c r="KJF336"/>
      <c r="KJI336"/>
      <c r="KJJ336"/>
      <c r="KJM336"/>
      <c r="KJN336"/>
      <c r="KJQ336"/>
      <c r="KJR336"/>
      <c r="KJU336"/>
      <c r="KJV336"/>
      <c r="KJY336"/>
      <c r="KJZ336"/>
      <c r="KKC336"/>
      <c r="KKD336"/>
      <c r="KKG336"/>
      <c r="KKH336"/>
      <c r="KKK336"/>
      <c r="KKL336"/>
      <c r="KKO336"/>
      <c r="KKP336"/>
      <c r="KKS336"/>
      <c r="KKT336"/>
      <c r="KKW336"/>
      <c r="KKX336"/>
      <c r="KLA336"/>
      <c r="KLB336"/>
      <c r="KLE336"/>
      <c r="KLF336"/>
      <c r="KLI336"/>
      <c r="KLJ336"/>
      <c r="KLM336"/>
      <c r="KLN336"/>
      <c r="KLQ336"/>
      <c r="KLR336"/>
      <c r="KLU336"/>
      <c r="KLV336"/>
      <c r="KLY336"/>
      <c r="KLZ336"/>
      <c r="KMC336"/>
      <c r="KMD336"/>
      <c r="KMG336"/>
      <c r="KMH336"/>
      <c r="KMK336"/>
      <c r="KML336"/>
      <c r="KMO336"/>
      <c r="KMP336"/>
      <c r="KMS336"/>
      <c r="KMT336"/>
      <c r="KMW336"/>
      <c r="KMX336"/>
      <c r="KNA336"/>
      <c r="KNB336"/>
      <c r="KNE336"/>
      <c r="KNF336"/>
      <c r="KNI336"/>
      <c r="KNJ336"/>
      <c r="KNM336"/>
      <c r="KNN336"/>
      <c r="KNQ336"/>
      <c r="KNR336"/>
      <c r="KNU336"/>
      <c r="KNV336"/>
      <c r="KNY336"/>
      <c r="KNZ336"/>
      <c r="KOC336"/>
      <c r="KOD336"/>
      <c r="KOG336"/>
      <c r="KOH336"/>
      <c r="KOK336"/>
      <c r="KOL336"/>
      <c r="KOO336"/>
      <c r="KOP336"/>
      <c r="KOS336"/>
      <c r="KOT336"/>
      <c r="KOW336"/>
      <c r="KOX336"/>
      <c r="KPA336"/>
      <c r="KPB336"/>
      <c r="KPE336"/>
      <c r="KPF336"/>
      <c r="KPI336"/>
      <c r="KPJ336"/>
      <c r="KPM336"/>
      <c r="KPN336"/>
      <c r="KPQ336"/>
      <c r="KPR336"/>
      <c r="KPU336"/>
      <c r="KPV336"/>
      <c r="KPY336"/>
      <c r="KPZ336"/>
      <c r="KQC336"/>
      <c r="KQD336"/>
      <c r="KQG336"/>
      <c r="KQH336"/>
      <c r="KQK336"/>
      <c r="KQL336"/>
      <c r="KQO336"/>
      <c r="KQP336"/>
      <c r="KQS336"/>
      <c r="KQT336"/>
      <c r="KQW336"/>
      <c r="KQX336"/>
      <c r="KRA336"/>
      <c r="KRB336"/>
      <c r="KRE336"/>
      <c r="KRF336"/>
      <c r="KRI336"/>
      <c r="KRJ336"/>
      <c r="KRM336"/>
      <c r="KRN336"/>
      <c r="KRQ336"/>
      <c r="KRR336"/>
      <c r="KRU336"/>
      <c r="KRV336"/>
      <c r="KRY336"/>
      <c r="KRZ336"/>
      <c r="KSC336"/>
      <c r="KSD336"/>
      <c r="KSG336"/>
      <c r="KSH336"/>
      <c r="KSK336"/>
      <c r="KSL336"/>
      <c r="KSO336"/>
      <c r="KSP336"/>
      <c r="KSS336"/>
      <c r="KST336"/>
      <c r="KSW336"/>
      <c r="KSX336"/>
      <c r="KTA336"/>
      <c r="KTB336"/>
      <c r="KTE336"/>
      <c r="KTF336"/>
      <c r="KTI336"/>
      <c r="KTJ336"/>
      <c r="KTM336"/>
      <c r="KTN336"/>
      <c r="KTQ336"/>
      <c r="KTR336"/>
      <c r="KTU336"/>
      <c r="KTV336"/>
      <c r="KTY336"/>
      <c r="KTZ336"/>
      <c r="KUC336"/>
      <c r="KUD336"/>
      <c r="KUG336"/>
      <c r="KUH336"/>
      <c r="KUK336"/>
      <c r="KUL336"/>
      <c r="KUO336"/>
      <c r="KUP336"/>
      <c r="KUS336"/>
      <c r="KUT336"/>
      <c r="KUW336"/>
      <c r="KUX336"/>
      <c r="KVA336"/>
      <c r="KVB336"/>
      <c r="KVE336"/>
      <c r="KVF336"/>
      <c r="KVI336"/>
      <c r="KVJ336"/>
      <c r="KVM336"/>
      <c r="KVN336"/>
      <c r="KVQ336"/>
      <c r="KVR336"/>
      <c r="KVU336"/>
      <c r="KVV336"/>
      <c r="KVY336"/>
      <c r="KVZ336"/>
      <c r="KWC336"/>
      <c r="KWD336"/>
      <c r="KWG336"/>
      <c r="KWH336"/>
      <c r="KWK336"/>
      <c r="KWL336"/>
      <c r="KWO336"/>
      <c r="KWP336"/>
      <c r="KWS336"/>
      <c r="KWT336"/>
      <c r="KWW336"/>
      <c r="KWX336"/>
      <c r="KXA336"/>
      <c r="KXB336"/>
      <c r="KXE336"/>
      <c r="KXF336"/>
      <c r="KXI336"/>
      <c r="KXJ336"/>
      <c r="KXM336"/>
      <c r="KXN336"/>
      <c r="KXQ336"/>
      <c r="KXR336"/>
      <c r="KXU336"/>
      <c r="KXV336"/>
      <c r="KXY336"/>
      <c r="KXZ336"/>
      <c r="KYC336"/>
      <c r="KYD336"/>
      <c r="KYG336"/>
      <c r="KYH336"/>
      <c r="KYK336"/>
      <c r="KYL336"/>
      <c r="KYO336"/>
      <c r="KYP336"/>
      <c r="KYS336"/>
      <c r="KYT336"/>
      <c r="KYW336"/>
      <c r="KYX336"/>
      <c r="KZA336"/>
      <c r="KZB336"/>
      <c r="KZE336"/>
      <c r="KZF336"/>
      <c r="KZI336"/>
      <c r="KZJ336"/>
      <c r="KZM336"/>
      <c r="KZN336"/>
      <c r="KZQ336"/>
      <c r="KZR336"/>
      <c r="KZU336"/>
      <c r="KZV336"/>
      <c r="KZY336"/>
      <c r="KZZ336"/>
      <c r="LAC336"/>
      <c r="LAD336"/>
      <c r="LAG336"/>
      <c r="LAH336"/>
      <c r="LAK336"/>
      <c r="LAL336"/>
      <c r="LAO336"/>
      <c r="LAP336"/>
      <c r="LAS336"/>
      <c r="LAT336"/>
      <c r="LAW336"/>
      <c r="LAX336"/>
      <c r="LBA336"/>
      <c r="LBB336"/>
      <c r="LBE336"/>
      <c r="LBF336"/>
      <c r="LBI336"/>
      <c r="LBJ336"/>
      <c r="LBM336"/>
      <c r="LBN336"/>
      <c r="LBQ336"/>
      <c r="LBR336"/>
      <c r="LBU336"/>
      <c r="LBV336"/>
      <c r="LBY336"/>
      <c r="LBZ336"/>
      <c r="LCC336"/>
      <c r="LCD336"/>
      <c r="LCG336"/>
      <c r="LCH336"/>
      <c r="LCK336"/>
      <c r="LCL336"/>
      <c r="LCO336"/>
      <c r="LCP336"/>
      <c r="LCS336"/>
      <c r="LCT336"/>
      <c r="LCW336"/>
      <c r="LCX336"/>
      <c r="LDA336"/>
      <c r="LDB336"/>
      <c r="LDE336"/>
      <c r="LDF336"/>
      <c r="LDI336"/>
      <c r="LDJ336"/>
      <c r="LDM336"/>
      <c r="LDN336"/>
      <c r="LDQ336"/>
      <c r="LDR336"/>
      <c r="LDU336"/>
      <c r="LDV336"/>
      <c r="LDY336"/>
      <c r="LDZ336"/>
      <c r="LEC336"/>
      <c r="LED336"/>
      <c r="LEG336"/>
      <c r="LEH336"/>
      <c r="LEK336"/>
      <c r="LEL336"/>
      <c r="LEO336"/>
      <c r="LEP336"/>
      <c r="LES336"/>
      <c r="LET336"/>
      <c r="LEW336"/>
      <c r="LEX336"/>
      <c r="LFA336"/>
      <c r="LFB336"/>
      <c r="LFE336"/>
      <c r="LFF336"/>
      <c r="LFI336"/>
      <c r="LFJ336"/>
      <c r="LFM336"/>
      <c r="LFN336"/>
      <c r="LFQ336"/>
      <c r="LFR336"/>
      <c r="LFU336"/>
      <c r="LFV336"/>
      <c r="LFY336"/>
      <c r="LFZ336"/>
      <c r="LGC336"/>
      <c r="LGD336"/>
      <c r="LGG336"/>
      <c r="LGH336"/>
      <c r="LGK336"/>
      <c r="LGL336"/>
      <c r="LGO336"/>
      <c r="LGP336"/>
      <c r="LGS336"/>
      <c r="LGT336"/>
      <c r="LGW336"/>
      <c r="LGX336"/>
      <c r="LHA336"/>
      <c r="LHB336"/>
      <c r="LHE336"/>
      <c r="LHF336"/>
      <c r="LHI336"/>
      <c r="LHJ336"/>
      <c r="LHM336"/>
      <c r="LHN336"/>
      <c r="LHQ336"/>
      <c r="LHR336"/>
      <c r="LHU336"/>
      <c r="LHV336"/>
      <c r="LHY336"/>
      <c r="LHZ336"/>
      <c r="LIC336"/>
      <c r="LID336"/>
      <c r="LIG336"/>
      <c r="LIH336"/>
      <c r="LIK336"/>
      <c r="LIL336"/>
      <c r="LIO336"/>
      <c r="LIP336"/>
      <c r="LIS336"/>
      <c r="LIT336"/>
      <c r="LIW336"/>
      <c r="LIX336"/>
      <c r="LJA336"/>
      <c r="LJB336"/>
      <c r="LJE336"/>
      <c r="LJF336"/>
      <c r="LJI336"/>
      <c r="LJJ336"/>
      <c r="LJM336"/>
      <c r="LJN336"/>
      <c r="LJQ336"/>
      <c r="LJR336"/>
      <c r="LJU336"/>
      <c r="LJV336"/>
      <c r="LJY336"/>
      <c r="LJZ336"/>
      <c r="LKC336"/>
      <c r="LKD336"/>
      <c r="LKG336"/>
      <c r="LKH336"/>
      <c r="LKK336"/>
      <c r="LKL336"/>
      <c r="LKO336"/>
      <c r="LKP336"/>
      <c r="LKS336"/>
      <c r="LKT336"/>
      <c r="LKW336"/>
      <c r="LKX336"/>
      <c r="LLA336"/>
      <c r="LLB336"/>
      <c r="LLE336"/>
      <c r="LLF336"/>
      <c r="LLI336"/>
      <c r="LLJ336"/>
      <c r="LLM336"/>
      <c r="LLN336"/>
      <c r="LLQ336"/>
      <c r="LLR336"/>
      <c r="LLU336"/>
      <c r="LLV336"/>
      <c r="LLY336"/>
      <c r="LLZ336"/>
      <c r="LMC336"/>
      <c r="LMD336"/>
      <c r="LMG336"/>
      <c r="LMH336"/>
      <c r="LMK336"/>
      <c r="LML336"/>
      <c r="LMO336"/>
      <c r="LMP336"/>
      <c r="LMS336"/>
      <c r="LMT336"/>
      <c r="LMW336"/>
      <c r="LMX336"/>
      <c r="LNA336"/>
      <c r="LNB336"/>
      <c r="LNE336"/>
      <c r="LNF336"/>
      <c r="LNI336"/>
      <c r="LNJ336"/>
      <c r="LNM336"/>
      <c r="LNN336"/>
      <c r="LNQ336"/>
      <c r="LNR336"/>
      <c r="LNU336"/>
      <c r="LNV336"/>
      <c r="LNY336"/>
      <c r="LNZ336"/>
      <c r="LOC336"/>
      <c r="LOD336"/>
      <c r="LOG336"/>
      <c r="LOH336"/>
      <c r="LOK336"/>
      <c r="LOL336"/>
      <c r="LOO336"/>
      <c r="LOP336"/>
      <c r="LOS336"/>
      <c r="LOT336"/>
      <c r="LOW336"/>
      <c r="LOX336"/>
      <c r="LPA336"/>
      <c r="LPB336"/>
      <c r="LPE336"/>
      <c r="LPF336"/>
      <c r="LPI336"/>
      <c r="LPJ336"/>
      <c r="LPM336"/>
      <c r="LPN336"/>
      <c r="LPQ336"/>
      <c r="LPR336"/>
      <c r="LPU336"/>
      <c r="LPV336"/>
      <c r="LPY336"/>
      <c r="LPZ336"/>
      <c r="LQC336"/>
      <c r="LQD336"/>
      <c r="LQG336"/>
      <c r="LQH336"/>
      <c r="LQK336"/>
      <c r="LQL336"/>
      <c r="LQO336"/>
      <c r="LQP336"/>
      <c r="LQS336"/>
      <c r="LQT336"/>
      <c r="LQW336"/>
      <c r="LQX336"/>
      <c r="LRA336"/>
      <c r="LRB336"/>
      <c r="LRE336"/>
      <c r="LRF336"/>
      <c r="LRI336"/>
      <c r="LRJ336"/>
      <c r="LRM336"/>
      <c r="LRN336"/>
      <c r="LRQ336"/>
      <c r="LRR336"/>
      <c r="LRU336"/>
      <c r="LRV336"/>
      <c r="LRY336"/>
      <c r="LRZ336"/>
      <c r="LSC336"/>
      <c r="LSD336"/>
      <c r="LSG336"/>
      <c r="LSH336"/>
      <c r="LSK336"/>
      <c r="LSL336"/>
      <c r="LSO336"/>
      <c r="LSP336"/>
      <c r="LSS336"/>
      <c r="LST336"/>
      <c r="LSW336"/>
      <c r="LSX336"/>
      <c r="LTA336"/>
      <c r="LTB336"/>
      <c r="LTE336"/>
      <c r="LTF336"/>
      <c r="LTI336"/>
      <c r="LTJ336"/>
      <c r="LTM336"/>
      <c r="LTN336"/>
      <c r="LTQ336"/>
      <c r="LTR336"/>
      <c r="LTU336"/>
      <c r="LTV336"/>
      <c r="LTY336"/>
      <c r="LTZ336"/>
      <c r="LUC336"/>
      <c r="LUD336"/>
      <c r="LUG336"/>
      <c r="LUH336"/>
      <c r="LUK336"/>
      <c r="LUL336"/>
      <c r="LUO336"/>
      <c r="LUP336"/>
      <c r="LUS336"/>
      <c r="LUT336"/>
      <c r="LUW336"/>
      <c r="LUX336"/>
      <c r="LVA336"/>
      <c r="LVB336"/>
      <c r="LVE336"/>
      <c r="LVF336"/>
      <c r="LVI336"/>
      <c r="LVJ336"/>
      <c r="LVM336"/>
      <c r="LVN336"/>
      <c r="LVQ336"/>
      <c r="LVR336"/>
      <c r="LVU336"/>
      <c r="LVV336"/>
      <c r="LVY336"/>
      <c r="LVZ336"/>
      <c r="LWC336"/>
      <c r="LWD336"/>
      <c r="LWG336"/>
      <c r="LWH336"/>
      <c r="LWK336"/>
      <c r="LWL336"/>
      <c r="LWO336"/>
      <c r="LWP336"/>
      <c r="LWS336"/>
      <c r="LWT336"/>
      <c r="LWW336"/>
      <c r="LWX336"/>
      <c r="LXA336"/>
      <c r="LXB336"/>
      <c r="LXE336"/>
      <c r="LXF336"/>
      <c r="LXI336"/>
      <c r="LXJ336"/>
      <c r="LXM336"/>
      <c r="LXN336"/>
      <c r="LXQ336"/>
      <c r="LXR336"/>
      <c r="LXU336"/>
      <c r="LXV336"/>
      <c r="LXY336"/>
      <c r="LXZ336"/>
      <c r="LYC336"/>
      <c r="LYD336"/>
      <c r="LYG336"/>
      <c r="LYH336"/>
      <c r="LYK336"/>
      <c r="LYL336"/>
      <c r="LYO336"/>
      <c r="LYP336"/>
      <c r="LYS336"/>
      <c r="LYT336"/>
      <c r="LYW336"/>
      <c r="LYX336"/>
      <c r="LZA336"/>
      <c r="LZB336"/>
      <c r="LZE336"/>
      <c r="LZF336"/>
      <c r="LZI336"/>
      <c r="LZJ336"/>
      <c r="LZM336"/>
      <c r="LZN336"/>
      <c r="LZQ336"/>
      <c r="LZR336"/>
      <c r="LZU336"/>
      <c r="LZV336"/>
      <c r="LZY336"/>
      <c r="LZZ336"/>
      <c r="MAC336"/>
      <c r="MAD336"/>
      <c r="MAG336"/>
      <c r="MAH336"/>
      <c r="MAK336"/>
      <c r="MAL336"/>
      <c r="MAO336"/>
      <c r="MAP336"/>
      <c r="MAS336"/>
      <c r="MAT336"/>
      <c r="MAW336"/>
      <c r="MAX336"/>
      <c r="MBA336"/>
      <c r="MBB336"/>
      <c r="MBE336"/>
      <c r="MBF336"/>
      <c r="MBI336"/>
      <c r="MBJ336"/>
      <c r="MBM336"/>
      <c r="MBN336"/>
      <c r="MBQ336"/>
      <c r="MBR336"/>
      <c r="MBU336"/>
      <c r="MBV336"/>
      <c r="MBY336"/>
      <c r="MBZ336"/>
      <c r="MCC336"/>
      <c r="MCD336"/>
      <c r="MCG336"/>
      <c r="MCH336"/>
      <c r="MCK336"/>
      <c r="MCL336"/>
      <c r="MCO336"/>
      <c r="MCP336"/>
      <c r="MCS336"/>
      <c r="MCT336"/>
      <c r="MCW336"/>
      <c r="MCX336"/>
      <c r="MDA336"/>
      <c r="MDB336"/>
      <c r="MDE336"/>
      <c r="MDF336"/>
      <c r="MDI336"/>
      <c r="MDJ336"/>
      <c r="MDM336"/>
      <c r="MDN336"/>
      <c r="MDQ336"/>
      <c r="MDR336"/>
      <c r="MDU336"/>
      <c r="MDV336"/>
      <c r="MDY336"/>
      <c r="MDZ336"/>
      <c r="MEC336"/>
      <c r="MED336"/>
      <c r="MEG336"/>
      <c r="MEH336"/>
      <c r="MEK336"/>
      <c r="MEL336"/>
      <c r="MEO336"/>
      <c r="MEP336"/>
      <c r="MES336"/>
      <c r="MET336"/>
      <c r="MEW336"/>
      <c r="MEX336"/>
      <c r="MFA336"/>
      <c r="MFB336"/>
      <c r="MFE336"/>
      <c r="MFF336"/>
      <c r="MFI336"/>
      <c r="MFJ336"/>
      <c r="MFM336"/>
      <c r="MFN336"/>
      <c r="MFQ336"/>
      <c r="MFR336"/>
      <c r="MFU336"/>
      <c r="MFV336"/>
      <c r="MFY336"/>
      <c r="MFZ336"/>
      <c r="MGC336"/>
      <c r="MGD336"/>
      <c r="MGG336"/>
      <c r="MGH336"/>
      <c r="MGK336"/>
      <c r="MGL336"/>
      <c r="MGO336"/>
      <c r="MGP336"/>
      <c r="MGS336"/>
      <c r="MGT336"/>
      <c r="MGW336"/>
      <c r="MGX336"/>
      <c r="MHA336"/>
      <c r="MHB336"/>
      <c r="MHE336"/>
      <c r="MHF336"/>
      <c r="MHI336"/>
      <c r="MHJ336"/>
      <c r="MHM336"/>
      <c r="MHN336"/>
      <c r="MHQ336"/>
      <c r="MHR336"/>
      <c r="MHU336"/>
      <c r="MHV336"/>
      <c r="MHY336"/>
      <c r="MHZ336"/>
      <c r="MIC336"/>
      <c r="MID336"/>
      <c r="MIG336"/>
      <c r="MIH336"/>
      <c r="MIK336"/>
      <c r="MIL336"/>
      <c r="MIO336"/>
      <c r="MIP336"/>
      <c r="MIS336"/>
      <c r="MIT336"/>
      <c r="MIW336"/>
      <c r="MIX336"/>
      <c r="MJA336"/>
      <c r="MJB336"/>
      <c r="MJE336"/>
      <c r="MJF336"/>
      <c r="MJI336"/>
      <c r="MJJ336"/>
      <c r="MJM336"/>
      <c r="MJN336"/>
      <c r="MJQ336"/>
      <c r="MJR336"/>
      <c r="MJU336"/>
      <c r="MJV336"/>
      <c r="MJY336"/>
      <c r="MJZ336"/>
      <c r="MKC336"/>
      <c r="MKD336"/>
      <c r="MKG336"/>
      <c r="MKH336"/>
      <c r="MKK336"/>
      <c r="MKL336"/>
      <c r="MKO336"/>
      <c r="MKP336"/>
      <c r="MKS336"/>
      <c r="MKT336"/>
      <c r="MKW336"/>
      <c r="MKX336"/>
      <c r="MLA336"/>
      <c r="MLB336"/>
      <c r="MLE336"/>
      <c r="MLF336"/>
      <c r="MLI336"/>
      <c r="MLJ336"/>
      <c r="MLM336"/>
      <c r="MLN336"/>
      <c r="MLQ336"/>
      <c r="MLR336"/>
      <c r="MLU336"/>
      <c r="MLV336"/>
      <c r="MLY336"/>
      <c r="MLZ336"/>
      <c r="MMC336"/>
      <c r="MMD336"/>
      <c r="MMG336"/>
      <c r="MMH336"/>
      <c r="MMK336"/>
      <c r="MML336"/>
      <c r="MMO336"/>
      <c r="MMP336"/>
      <c r="MMS336"/>
      <c r="MMT336"/>
      <c r="MMW336"/>
      <c r="MMX336"/>
      <c r="MNA336"/>
      <c r="MNB336"/>
      <c r="MNE336"/>
      <c r="MNF336"/>
      <c r="MNI336"/>
      <c r="MNJ336"/>
      <c r="MNM336"/>
      <c r="MNN336"/>
      <c r="MNQ336"/>
      <c r="MNR336"/>
      <c r="MNU336"/>
      <c r="MNV336"/>
      <c r="MNY336"/>
      <c r="MNZ336"/>
      <c r="MOC336"/>
      <c r="MOD336"/>
      <c r="MOG336"/>
      <c r="MOH336"/>
      <c r="MOK336"/>
      <c r="MOL336"/>
      <c r="MOO336"/>
      <c r="MOP336"/>
      <c r="MOS336"/>
      <c r="MOT336"/>
      <c r="MOW336"/>
      <c r="MOX336"/>
      <c r="MPA336"/>
      <c r="MPB336"/>
      <c r="MPE336"/>
      <c r="MPF336"/>
      <c r="MPI336"/>
      <c r="MPJ336"/>
      <c r="MPM336"/>
      <c r="MPN336"/>
      <c r="MPQ336"/>
      <c r="MPR336"/>
      <c r="MPU336"/>
      <c r="MPV336"/>
      <c r="MPY336"/>
      <c r="MPZ336"/>
      <c r="MQC336"/>
      <c r="MQD336"/>
      <c r="MQG336"/>
      <c r="MQH336"/>
      <c r="MQK336"/>
      <c r="MQL336"/>
      <c r="MQO336"/>
      <c r="MQP336"/>
      <c r="MQS336"/>
      <c r="MQT336"/>
      <c r="MQW336"/>
      <c r="MQX336"/>
      <c r="MRA336"/>
      <c r="MRB336"/>
      <c r="MRE336"/>
      <c r="MRF336"/>
      <c r="MRI336"/>
      <c r="MRJ336"/>
      <c r="MRM336"/>
      <c r="MRN336"/>
      <c r="MRQ336"/>
      <c r="MRR336"/>
      <c r="MRU336"/>
      <c r="MRV336"/>
      <c r="MRY336"/>
      <c r="MRZ336"/>
      <c r="MSC336"/>
      <c r="MSD336"/>
      <c r="MSG336"/>
      <c r="MSH336"/>
      <c r="MSK336"/>
      <c r="MSL336"/>
      <c r="MSO336"/>
      <c r="MSP336"/>
      <c r="MSS336"/>
      <c r="MST336"/>
      <c r="MSW336"/>
      <c r="MSX336"/>
      <c r="MTA336"/>
      <c r="MTB336"/>
      <c r="MTE336"/>
      <c r="MTF336"/>
      <c r="MTI336"/>
      <c r="MTJ336"/>
      <c r="MTM336"/>
      <c r="MTN336"/>
      <c r="MTQ336"/>
      <c r="MTR336"/>
      <c r="MTU336"/>
      <c r="MTV336"/>
      <c r="MTY336"/>
      <c r="MTZ336"/>
      <c r="MUC336"/>
      <c r="MUD336"/>
      <c r="MUG336"/>
      <c r="MUH336"/>
      <c r="MUK336"/>
      <c r="MUL336"/>
      <c r="MUO336"/>
      <c r="MUP336"/>
      <c r="MUS336"/>
      <c r="MUT336"/>
      <c r="MUW336"/>
      <c r="MUX336"/>
      <c r="MVA336"/>
      <c r="MVB336"/>
      <c r="MVE336"/>
      <c r="MVF336"/>
      <c r="MVI336"/>
      <c r="MVJ336"/>
      <c r="MVM336"/>
      <c r="MVN336"/>
      <c r="MVQ336"/>
      <c r="MVR336"/>
      <c r="MVU336"/>
      <c r="MVV336"/>
      <c r="MVY336"/>
      <c r="MVZ336"/>
      <c r="MWC336"/>
      <c r="MWD336"/>
      <c r="MWG336"/>
      <c r="MWH336"/>
      <c r="MWK336"/>
      <c r="MWL336"/>
      <c r="MWO336"/>
      <c r="MWP336"/>
      <c r="MWS336"/>
      <c r="MWT336"/>
      <c r="MWW336"/>
      <c r="MWX336"/>
      <c r="MXA336"/>
      <c r="MXB336"/>
      <c r="MXE336"/>
      <c r="MXF336"/>
      <c r="MXI336"/>
      <c r="MXJ336"/>
      <c r="MXM336"/>
      <c r="MXN336"/>
      <c r="MXQ336"/>
      <c r="MXR336"/>
      <c r="MXU336"/>
      <c r="MXV336"/>
      <c r="MXY336"/>
      <c r="MXZ336"/>
      <c r="MYC336"/>
      <c r="MYD336"/>
      <c r="MYG336"/>
      <c r="MYH336"/>
      <c r="MYK336"/>
      <c r="MYL336"/>
      <c r="MYO336"/>
      <c r="MYP336"/>
      <c r="MYS336"/>
      <c r="MYT336"/>
      <c r="MYW336"/>
      <c r="MYX336"/>
      <c r="MZA336"/>
      <c r="MZB336"/>
      <c r="MZE336"/>
      <c r="MZF336"/>
      <c r="MZI336"/>
      <c r="MZJ336"/>
      <c r="MZM336"/>
      <c r="MZN336"/>
      <c r="MZQ336"/>
      <c r="MZR336"/>
      <c r="MZU336"/>
      <c r="MZV336"/>
      <c r="MZY336"/>
      <c r="MZZ336"/>
      <c r="NAC336"/>
      <c r="NAD336"/>
      <c r="NAG336"/>
      <c r="NAH336"/>
      <c r="NAK336"/>
      <c r="NAL336"/>
      <c r="NAO336"/>
      <c r="NAP336"/>
      <c r="NAS336"/>
      <c r="NAT336"/>
      <c r="NAW336"/>
      <c r="NAX336"/>
      <c r="NBA336"/>
      <c r="NBB336"/>
      <c r="NBE336"/>
      <c r="NBF336"/>
      <c r="NBI336"/>
      <c r="NBJ336"/>
      <c r="NBM336"/>
      <c r="NBN336"/>
      <c r="NBQ336"/>
      <c r="NBR336"/>
      <c r="NBU336"/>
      <c r="NBV336"/>
      <c r="NBY336"/>
      <c r="NBZ336"/>
      <c r="NCC336"/>
      <c r="NCD336"/>
      <c r="NCG336"/>
      <c r="NCH336"/>
      <c r="NCK336"/>
      <c r="NCL336"/>
      <c r="NCO336"/>
      <c r="NCP336"/>
      <c r="NCS336"/>
      <c r="NCT336"/>
      <c r="NCW336"/>
      <c r="NCX336"/>
      <c r="NDA336"/>
      <c r="NDB336"/>
      <c r="NDE336"/>
      <c r="NDF336"/>
      <c r="NDI336"/>
      <c r="NDJ336"/>
      <c r="NDM336"/>
      <c r="NDN336"/>
      <c r="NDQ336"/>
      <c r="NDR336"/>
      <c r="NDU336"/>
      <c r="NDV336"/>
      <c r="NDY336"/>
      <c r="NDZ336"/>
      <c r="NEC336"/>
      <c r="NED336"/>
      <c r="NEG336"/>
      <c r="NEH336"/>
      <c r="NEK336"/>
      <c r="NEL336"/>
      <c r="NEO336"/>
      <c r="NEP336"/>
      <c r="NES336"/>
      <c r="NET336"/>
      <c r="NEW336"/>
      <c r="NEX336"/>
      <c r="NFA336"/>
      <c r="NFB336"/>
      <c r="NFE336"/>
      <c r="NFF336"/>
      <c r="NFI336"/>
      <c r="NFJ336"/>
      <c r="NFM336"/>
      <c r="NFN336"/>
      <c r="NFQ336"/>
      <c r="NFR336"/>
      <c r="NFU336"/>
      <c r="NFV336"/>
      <c r="NFY336"/>
      <c r="NFZ336"/>
      <c r="NGC336"/>
      <c r="NGD336"/>
      <c r="NGG336"/>
      <c r="NGH336"/>
      <c r="NGK336"/>
      <c r="NGL336"/>
      <c r="NGO336"/>
      <c r="NGP336"/>
      <c r="NGS336"/>
      <c r="NGT336"/>
      <c r="NGW336"/>
      <c r="NGX336"/>
      <c r="NHA336"/>
      <c r="NHB336"/>
      <c r="NHE336"/>
      <c r="NHF336"/>
      <c r="NHI336"/>
      <c r="NHJ336"/>
      <c r="NHM336"/>
      <c r="NHN336"/>
      <c r="NHQ336"/>
      <c r="NHR336"/>
      <c r="NHU336"/>
      <c r="NHV336"/>
      <c r="NHY336"/>
      <c r="NHZ336"/>
      <c r="NIC336"/>
      <c r="NID336"/>
      <c r="NIG336"/>
      <c r="NIH336"/>
      <c r="NIK336"/>
      <c r="NIL336"/>
      <c r="NIO336"/>
      <c r="NIP336"/>
      <c r="NIS336"/>
      <c r="NIT336"/>
      <c r="NIW336"/>
      <c r="NIX336"/>
      <c r="NJA336"/>
      <c r="NJB336"/>
      <c r="NJE336"/>
      <c r="NJF336"/>
      <c r="NJI336"/>
      <c r="NJJ336"/>
      <c r="NJM336"/>
      <c r="NJN336"/>
      <c r="NJQ336"/>
      <c r="NJR336"/>
      <c r="NJU336"/>
      <c r="NJV336"/>
      <c r="NJY336"/>
      <c r="NJZ336"/>
      <c r="NKC336"/>
      <c r="NKD336"/>
      <c r="NKG336"/>
      <c r="NKH336"/>
      <c r="NKK336"/>
      <c r="NKL336"/>
      <c r="NKO336"/>
      <c r="NKP336"/>
      <c r="NKS336"/>
      <c r="NKT336"/>
      <c r="NKW336"/>
      <c r="NKX336"/>
      <c r="NLA336"/>
      <c r="NLB336"/>
      <c r="NLE336"/>
      <c r="NLF336"/>
      <c r="NLI336"/>
      <c r="NLJ336"/>
      <c r="NLM336"/>
      <c r="NLN336"/>
      <c r="NLQ336"/>
      <c r="NLR336"/>
      <c r="NLU336"/>
      <c r="NLV336"/>
      <c r="NLY336"/>
      <c r="NLZ336"/>
      <c r="NMC336"/>
      <c r="NMD336"/>
      <c r="NMG336"/>
      <c r="NMH336"/>
      <c r="NMK336"/>
      <c r="NML336"/>
      <c r="NMO336"/>
      <c r="NMP336"/>
      <c r="NMS336"/>
      <c r="NMT336"/>
      <c r="NMW336"/>
      <c r="NMX336"/>
      <c r="NNA336"/>
      <c r="NNB336"/>
      <c r="NNE336"/>
      <c r="NNF336"/>
      <c r="NNI336"/>
      <c r="NNJ336"/>
      <c r="NNM336"/>
      <c r="NNN336"/>
      <c r="NNQ336"/>
      <c r="NNR336"/>
      <c r="NNU336"/>
      <c r="NNV336"/>
      <c r="NNY336"/>
      <c r="NNZ336"/>
      <c r="NOC336"/>
      <c r="NOD336"/>
      <c r="NOG336"/>
      <c r="NOH336"/>
      <c r="NOK336"/>
      <c r="NOL336"/>
      <c r="NOO336"/>
      <c r="NOP336"/>
      <c r="NOS336"/>
      <c r="NOT336"/>
      <c r="NOW336"/>
      <c r="NOX336"/>
      <c r="NPA336"/>
      <c r="NPB336"/>
      <c r="NPE336"/>
      <c r="NPF336"/>
      <c r="NPI336"/>
      <c r="NPJ336"/>
      <c r="NPM336"/>
      <c r="NPN336"/>
      <c r="NPQ336"/>
      <c r="NPR336"/>
      <c r="NPU336"/>
      <c r="NPV336"/>
      <c r="NPY336"/>
      <c r="NPZ336"/>
      <c r="NQC336"/>
      <c r="NQD336"/>
      <c r="NQG336"/>
      <c r="NQH336"/>
      <c r="NQK336"/>
      <c r="NQL336"/>
      <c r="NQO336"/>
      <c r="NQP336"/>
      <c r="NQS336"/>
      <c r="NQT336"/>
      <c r="NQW336"/>
      <c r="NQX336"/>
      <c r="NRA336"/>
      <c r="NRB336"/>
      <c r="NRE336"/>
      <c r="NRF336"/>
      <c r="NRI336"/>
      <c r="NRJ336"/>
      <c r="NRM336"/>
      <c r="NRN336"/>
      <c r="NRQ336"/>
      <c r="NRR336"/>
      <c r="NRU336"/>
      <c r="NRV336"/>
      <c r="NRY336"/>
      <c r="NRZ336"/>
      <c r="NSC336"/>
      <c r="NSD336"/>
      <c r="NSG336"/>
      <c r="NSH336"/>
      <c r="NSK336"/>
      <c r="NSL336"/>
      <c r="NSO336"/>
      <c r="NSP336"/>
      <c r="NSS336"/>
      <c r="NST336"/>
      <c r="NSW336"/>
      <c r="NSX336"/>
      <c r="NTA336"/>
      <c r="NTB336"/>
      <c r="NTE336"/>
      <c r="NTF336"/>
      <c r="NTI336"/>
      <c r="NTJ336"/>
      <c r="NTM336"/>
      <c r="NTN336"/>
      <c r="NTQ336"/>
      <c r="NTR336"/>
      <c r="NTU336"/>
      <c r="NTV336"/>
      <c r="NTY336"/>
      <c r="NTZ336"/>
      <c r="NUC336"/>
      <c r="NUD336"/>
      <c r="NUG336"/>
      <c r="NUH336"/>
      <c r="NUK336"/>
      <c r="NUL336"/>
      <c r="NUO336"/>
      <c r="NUP336"/>
      <c r="NUS336"/>
      <c r="NUT336"/>
      <c r="NUW336"/>
      <c r="NUX336"/>
      <c r="NVA336"/>
      <c r="NVB336"/>
      <c r="NVE336"/>
      <c r="NVF336"/>
      <c r="NVI336"/>
      <c r="NVJ336"/>
      <c r="NVM336"/>
      <c r="NVN336"/>
      <c r="NVQ336"/>
      <c r="NVR336"/>
      <c r="NVU336"/>
      <c r="NVV336"/>
      <c r="NVY336"/>
      <c r="NVZ336"/>
      <c r="NWC336"/>
      <c r="NWD336"/>
      <c r="NWG336"/>
      <c r="NWH336"/>
      <c r="NWK336"/>
      <c r="NWL336"/>
      <c r="NWO336"/>
      <c r="NWP336"/>
      <c r="NWS336"/>
      <c r="NWT336"/>
      <c r="NWW336"/>
      <c r="NWX336"/>
      <c r="NXA336"/>
      <c r="NXB336"/>
      <c r="NXE336"/>
      <c r="NXF336"/>
      <c r="NXI336"/>
      <c r="NXJ336"/>
      <c r="NXM336"/>
      <c r="NXN336"/>
      <c r="NXQ336"/>
      <c r="NXR336"/>
      <c r="NXU336"/>
      <c r="NXV336"/>
      <c r="NXY336"/>
      <c r="NXZ336"/>
      <c r="NYC336"/>
      <c r="NYD336"/>
      <c r="NYG336"/>
      <c r="NYH336"/>
      <c r="NYK336"/>
      <c r="NYL336"/>
      <c r="NYO336"/>
      <c r="NYP336"/>
      <c r="NYS336"/>
      <c r="NYT336"/>
      <c r="NYW336"/>
      <c r="NYX336"/>
      <c r="NZA336"/>
      <c r="NZB336"/>
      <c r="NZE336"/>
      <c r="NZF336"/>
      <c r="NZI336"/>
      <c r="NZJ336"/>
      <c r="NZM336"/>
      <c r="NZN336"/>
      <c r="NZQ336"/>
      <c r="NZR336"/>
      <c r="NZU336"/>
      <c r="NZV336"/>
      <c r="NZY336"/>
      <c r="NZZ336"/>
      <c r="OAC336"/>
      <c r="OAD336"/>
      <c r="OAG336"/>
      <c r="OAH336"/>
      <c r="OAK336"/>
      <c r="OAL336"/>
      <c r="OAO336"/>
      <c r="OAP336"/>
      <c r="OAS336"/>
      <c r="OAT336"/>
      <c r="OAW336"/>
      <c r="OAX336"/>
      <c r="OBA336"/>
      <c r="OBB336"/>
      <c r="OBE336"/>
      <c r="OBF336"/>
      <c r="OBI336"/>
      <c r="OBJ336"/>
      <c r="OBM336"/>
      <c r="OBN336"/>
      <c r="OBQ336"/>
      <c r="OBR336"/>
      <c r="OBU336"/>
      <c r="OBV336"/>
      <c r="OBY336"/>
      <c r="OBZ336"/>
      <c r="OCC336"/>
      <c r="OCD336"/>
      <c r="OCG336"/>
      <c r="OCH336"/>
      <c r="OCK336"/>
      <c r="OCL336"/>
      <c r="OCO336"/>
      <c r="OCP336"/>
      <c r="OCS336"/>
      <c r="OCT336"/>
      <c r="OCW336"/>
      <c r="OCX336"/>
      <c r="ODA336"/>
      <c r="ODB336"/>
      <c r="ODE336"/>
      <c r="ODF336"/>
      <c r="ODI336"/>
      <c r="ODJ336"/>
      <c r="ODM336"/>
      <c r="ODN336"/>
      <c r="ODQ336"/>
      <c r="ODR336"/>
      <c r="ODU336"/>
      <c r="ODV336"/>
      <c r="ODY336"/>
      <c r="ODZ336"/>
      <c r="OEC336"/>
      <c r="OED336"/>
      <c r="OEG336"/>
      <c r="OEH336"/>
      <c r="OEK336"/>
      <c r="OEL336"/>
      <c r="OEO336"/>
      <c r="OEP336"/>
      <c r="OES336"/>
      <c r="OET336"/>
      <c r="OEW336"/>
      <c r="OEX336"/>
      <c r="OFA336"/>
      <c r="OFB336"/>
      <c r="OFE336"/>
      <c r="OFF336"/>
      <c r="OFI336"/>
      <c r="OFJ336"/>
      <c r="OFM336"/>
      <c r="OFN336"/>
      <c r="OFQ336"/>
      <c r="OFR336"/>
      <c r="OFU336"/>
      <c r="OFV336"/>
      <c r="OFY336"/>
      <c r="OFZ336"/>
      <c r="OGC336"/>
      <c r="OGD336"/>
      <c r="OGG336"/>
      <c r="OGH336"/>
      <c r="OGK336"/>
      <c r="OGL336"/>
      <c r="OGO336"/>
      <c r="OGP336"/>
      <c r="OGS336"/>
      <c r="OGT336"/>
      <c r="OGW336"/>
      <c r="OGX336"/>
      <c r="OHA336"/>
      <c r="OHB336"/>
      <c r="OHE336"/>
      <c r="OHF336"/>
      <c r="OHI336"/>
      <c r="OHJ336"/>
      <c r="OHM336"/>
      <c r="OHN336"/>
      <c r="OHQ336"/>
      <c r="OHR336"/>
      <c r="OHU336"/>
      <c r="OHV336"/>
      <c r="OHY336"/>
      <c r="OHZ336"/>
      <c r="OIC336"/>
      <c r="OID336"/>
      <c r="OIG336"/>
      <c r="OIH336"/>
      <c r="OIK336"/>
      <c r="OIL336"/>
      <c r="OIO336"/>
      <c r="OIP336"/>
      <c r="OIS336"/>
      <c r="OIT336"/>
      <c r="OIW336"/>
      <c r="OIX336"/>
      <c r="OJA336"/>
      <c r="OJB336"/>
      <c r="OJE336"/>
      <c r="OJF336"/>
      <c r="OJI336"/>
      <c r="OJJ336"/>
      <c r="OJM336"/>
      <c r="OJN336"/>
      <c r="OJQ336"/>
      <c r="OJR336"/>
      <c r="OJU336"/>
      <c r="OJV336"/>
      <c r="OJY336"/>
      <c r="OJZ336"/>
      <c r="OKC336"/>
      <c r="OKD336"/>
      <c r="OKG336"/>
      <c r="OKH336"/>
      <c r="OKK336"/>
      <c r="OKL336"/>
      <c r="OKO336"/>
      <c r="OKP336"/>
      <c r="OKS336"/>
      <c r="OKT336"/>
      <c r="OKW336"/>
      <c r="OKX336"/>
      <c r="OLA336"/>
      <c r="OLB336"/>
      <c r="OLE336"/>
      <c r="OLF336"/>
      <c r="OLI336"/>
      <c r="OLJ336"/>
      <c r="OLM336"/>
      <c r="OLN336"/>
      <c r="OLQ336"/>
      <c r="OLR336"/>
      <c r="OLU336"/>
      <c r="OLV336"/>
      <c r="OLY336"/>
      <c r="OLZ336"/>
      <c r="OMC336"/>
      <c r="OMD336"/>
      <c r="OMG336"/>
      <c r="OMH336"/>
      <c r="OMK336"/>
      <c r="OML336"/>
      <c r="OMO336"/>
      <c r="OMP336"/>
      <c r="OMS336"/>
      <c r="OMT336"/>
      <c r="OMW336"/>
      <c r="OMX336"/>
      <c r="ONA336"/>
      <c r="ONB336"/>
      <c r="ONE336"/>
      <c r="ONF336"/>
      <c r="ONI336"/>
      <c r="ONJ336"/>
      <c r="ONM336"/>
      <c r="ONN336"/>
      <c r="ONQ336"/>
      <c r="ONR336"/>
      <c r="ONU336"/>
      <c r="ONV336"/>
      <c r="ONY336"/>
      <c r="ONZ336"/>
      <c r="OOC336"/>
      <c r="OOD336"/>
      <c r="OOG336"/>
      <c r="OOH336"/>
      <c r="OOK336"/>
      <c r="OOL336"/>
      <c r="OOO336"/>
      <c r="OOP336"/>
      <c r="OOS336"/>
      <c r="OOT336"/>
      <c r="OOW336"/>
      <c r="OOX336"/>
      <c r="OPA336"/>
      <c r="OPB336"/>
      <c r="OPE336"/>
      <c r="OPF336"/>
      <c r="OPI336"/>
      <c r="OPJ336"/>
      <c r="OPM336"/>
      <c r="OPN336"/>
      <c r="OPQ336"/>
      <c r="OPR336"/>
      <c r="OPU336"/>
      <c r="OPV336"/>
      <c r="OPY336"/>
      <c r="OPZ336"/>
      <c r="OQC336"/>
      <c r="OQD336"/>
      <c r="OQG336"/>
      <c r="OQH336"/>
      <c r="OQK336"/>
      <c r="OQL336"/>
      <c r="OQO336"/>
      <c r="OQP336"/>
      <c r="OQS336"/>
      <c r="OQT336"/>
      <c r="OQW336"/>
      <c r="OQX336"/>
      <c r="ORA336"/>
      <c r="ORB336"/>
      <c r="ORE336"/>
      <c r="ORF336"/>
      <c r="ORI336"/>
      <c r="ORJ336"/>
      <c r="ORM336"/>
      <c r="ORN336"/>
      <c r="ORQ336"/>
      <c r="ORR336"/>
      <c r="ORU336"/>
      <c r="ORV336"/>
      <c r="ORY336"/>
      <c r="ORZ336"/>
      <c r="OSC336"/>
      <c r="OSD336"/>
      <c r="OSG336"/>
      <c r="OSH336"/>
      <c r="OSK336"/>
      <c r="OSL336"/>
      <c r="OSO336"/>
      <c r="OSP336"/>
      <c r="OSS336"/>
      <c r="OST336"/>
      <c r="OSW336"/>
      <c r="OSX336"/>
      <c r="OTA336"/>
      <c r="OTB336"/>
      <c r="OTE336"/>
      <c r="OTF336"/>
      <c r="OTI336"/>
      <c r="OTJ336"/>
      <c r="OTM336"/>
      <c r="OTN336"/>
      <c r="OTQ336"/>
      <c r="OTR336"/>
      <c r="OTU336"/>
      <c r="OTV336"/>
      <c r="OTY336"/>
      <c r="OTZ336"/>
      <c r="OUC336"/>
      <c r="OUD336"/>
      <c r="OUG336"/>
      <c r="OUH336"/>
      <c r="OUK336"/>
      <c r="OUL336"/>
      <c r="OUO336"/>
      <c r="OUP336"/>
      <c r="OUS336"/>
      <c r="OUT336"/>
      <c r="OUW336"/>
      <c r="OUX336"/>
      <c r="OVA336"/>
      <c r="OVB336"/>
      <c r="OVE336"/>
      <c r="OVF336"/>
      <c r="OVI336"/>
      <c r="OVJ336"/>
      <c r="OVM336"/>
      <c r="OVN336"/>
      <c r="OVQ336"/>
      <c r="OVR336"/>
      <c r="OVU336"/>
      <c r="OVV336"/>
      <c r="OVY336"/>
      <c r="OVZ336"/>
      <c r="OWC336"/>
      <c r="OWD336"/>
      <c r="OWG336"/>
      <c r="OWH336"/>
      <c r="OWK336"/>
      <c r="OWL336"/>
      <c r="OWO336"/>
      <c r="OWP336"/>
      <c r="OWS336"/>
      <c r="OWT336"/>
      <c r="OWW336"/>
      <c r="OWX336"/>
      <c r="OXA336"/>
      <c r="OXB336"/>
      <c r="OXE336"/>
      <c r="OXF336"/>
      <c r="OXI336"/>
      <c r="OXJ336"/>
      <c r="OXM336"/>
      <c r="OXN336"/>
      <c r="OXQ336"/>
      <c r="OXR336"/>
      <c r="OXU336"/>
      <c r="OXV336"/>
      <c r="OXY336"/>
      <c r="OXZ336"/>
      <c r="OYC336"/>
      <c r="OYD336"/>
      <c r="OYG336"/>
      <c r="OYH336"/>
      <c r="OYK336"/>
      <c r="OYL336"/>
      <c r="OYO336"/>
      <c r="OYP336"/>
      <c r="OYS336"/>
      <c r="OYT336"/>
      <c r="OYW336"/>
      <c r="OYX336"/>
      <c r="OZA336"/>
      <c r="OZB336"/>
      <c r="OZE336"/>
      <c r="OZF336"/>
      <c r="OZI336"/>
      <c r="OZJ336"/>
      <c r="OZM336"/>
      <c r="OZN336"/>
      <c r="OZQ336"/>
      <c r="OZR336"/>
      <c r="OZU336"/>
      <c r="OZV336"/>
      <c r="OZY336"/>
      <c r="OZZ336"/>
      <c r="PAC336"/>
      <c r="PAD336"/>
      <c r="PAG336"/>
      <c r="PAH336"/>
      <c r="PAK336"/>
      <c r="PAL336"/>
      <c r="PAO336"/>
      <c r="PAP336"/>
      <c r="PAS336"/>
      <c r="PAT336"/>
      <c r="PAW336"/>
      <c r="PAX336"/>
      <c r="PBA336"/>
      <c r="PBB336"/>
      <c r="PBE336"/>
      <c r="PBF336"/>
      <c r="PBI336"/>
      <c r="PBJ336"/>
      <c r="PBM336"/>
      <c r="PBN336"/>
      <c r="PBQ336"/>
      <c r="PBR336"/>
      <c r="PBU336"/>
      <c r="PBV336"/>
      <c r="PBY336"/>
      <c r="PBZ336"/>
      <c r="PCC336"/>
      <c r="PCD336"/>
      <c r="PCG336"/>
      <c r="PCH336"/>
      <c r="PCK336"/>
      <c r="PCL336"/>
      <c r="PCO336"/>
      <c r="PCP336"/>
      <c r="PCS336"/>
      <c r="PCT336"/>
      <c r="PCW336"/>
      <c r="PCX336"/>
      <c r="PDA336"/>
      <c r="PDB336"/>
      <c r="PDE336"/>
      <c r="PDF336"/>
      <c r="PDI336"/>
      <c r="PDJ336"/>
      <c r="PDM336"/>
      <c r="PDN336"/>
      <c r="PDQ336"/>
      <c r="PDR336"/>
      <c r="PDU336"/>
      <c r="PDV336"/>
      <c r="PDY336"/>
      <c r="PDZ336"/>
      <c r="PEC336"/>
      <c r="PED336"/>
      <c r="PEG336"/>
      <c r="PEH336"/>
      <c r="PEK336"/>
      <c r="PEL336"/>
      <c r="PEO336"/>
      <c r="PEP336"/>
      <c r="PES336"/>
      <c r="PET336"/>
      <c r="PEW336"/>
      <c r="PEX336"/>
      <c r="PFA336"/>
      <c r="PFB336"/>
      <c r="PFE336"/>
      <c r="PFF336"/>
      <c r="PFI336"/>
      <c r="PFJ336"/>
      <c r="PFM336"/>
      <c r="PFN336"/>
      <c r="PFQ336"/>
      <c r="PFR336"/>
      <c r="PFU336"/>
      <c r="PFV336"/>
      <c r="PFY336"/>
      <c r="PFZ336"/>
      <c r="PGC336"/>
      <c r="PGD336"/>
      <c r="PGG336"/>
      <c r="PGH336"/>
      <c r="PGK336"/>
      <c r="PGL336"/>
      <c r="PGO336"/>
      <c r="PGP336"/>
      <c r="PGS336"/>
      <c r="PGT336"/>
      <c r="PGW336"/>
      <c r="PGX336"/>
      <c r="PHA336"/>
      <c r="PHB336"/>
      <c r="PHE336"/>
      <c r="PHF336"/>
      <c r="PHI336"/>
      <c r="PHJ336"/>
      <c r="PHM336"/>
      <c r="PHN336"/>
      <c r="PHQ336"/>
      <c r="PHR336"/>
      <c r="PHU336"/>
      <c r="PHV336"/>
      <c r="PHY336"/>
      <c r="PHZ336"/>
      <c r="PIC336"/>
      <c r="PID336"/>
      <c r="PIG336"/>
      <c r="PIH336"/>
      <c r="PIK336"/>
      <c r="PIL336"/>
      <c r="PIO336"/>
      <c r="PIP336"/>
      <c r="PIS336"/>
      <c r="PIT336"/>
      <c r="PIW336"/>
      <c r="PIX336"/>
      <c r="PJA336"/>
      <c r="PJB336"/>
      <c r="PJE336"/>
      <c r="PJF336"/>
      <c r="PJI336"/>
      <c r="PJJ336"/>
      <c r="PJM336"/>
      <c r="PJN336"/>
      <c r="PJQ336"/>
      <c r="PJR336"/>
      <c r="PJU336"/>
      <c r="PJV336"/>
      <c r="PJY336"/>
      <c r="PJZ336"/>
      <c r="PKC336"/>
      <c r="PKD336"/>
      <c r="PKG336"/>
      <c r="PKH336"/>
      <c r="PKK336"/>
      <c r="PKL336"/>
      <c r="PKO336"/>
      <c r="PKP336"/>
      <c r="PKS336"/>
      <c r="PKT336"/>
      <c r="PKW336"/>
      <c r="PKX336"/>
      <c r="PLA336"/>
      <c r="PLB336"/>
      <c r="PLE336"/>
      <c r="PLF336"/>
      <c r="PLI336"/>
      <c r="PLJ336"/>
      <c r="PLM336"/>
      <c r="PLN336"/>
      <c r="PLQ336"/>
      <c r="PLR336"/>
      <c r="PLU336"/>
      <c r="PLV336"/>
      <c r="PLY336"/>
      <c r="PLZ336"/>
      <c r="PMC336"/>
      <c r="PMD336"/>
      <c r="PMG336"/>
      <c r="PMH336"/>
      <c r="PMK336"/>
      <c r="PML336"/>
      <c r="PMO336"/>
      <c r="PMP336"/>
      <c r="PMS336"/>
      <c r="PMT336"/>
      <c r="PMW336"/>
      <c r="PMX336"/>
      <c r="PNA336"/>
      <c r="PNB336"/>
      <c r="PNE336"/>
      <c r="PNF336"/>
      <c r="PNI336"/>
      <c r="PNJ336"/>
      <c r="PNM336"/>
      <c r="PNN336"/>
      <c r="PNQ336"/>
      <c r="PNR336"/>
      <c r="PNU336"/>
      <c r="PNV336"/>
      <c r="PNY336"/>
      <c r="PNZ336"/>
      <c r="POC336"/>
      <c r="POD336"/>
      <c r="POG336"/>
      <c r="POH336"/>
      <c r="POK336"/>
      <c r="POL336"/>
      <c r="POO336"/>
      <c r="POP336"/>
      <c r="POS336"/>
      <c r="POT336"/>
      <c r="POW336"/>
      <c r="POX336"/>
      <c r="PPA336"/>
      <c r="PPB336"/>
      <c r="PPE336"/>
      <c r="PPF336"/>
      <c r="PPI336"/>
      <c r="PPJ336"/>
      <c r="PPM336"/>
      <c r="PPN336"/>
      <c r="PPQ336"/>
      <c r="PPR336"/>
      <c r="PPU336"/>
      <c r="PPV336"/>
      <c r="PPY336"/>
      <c r="PPZ336"/>
      <c r="PQC336"/>
      <c r="PQD336"/>
      <c r="PQG336"/>
      <c r="PQH336"/>
      <c r="PQK336"/>
      <c r="PQL336"/>
      <c r="PQO336"/>
      <c r="PQP336"/>
      <c r="PQS336"/>
      <c r="PQT336"/>
      <c r="PQW336"/>
      <c r="PQX336"/>
      <c r="PRA336"/>
      <c r="PRB336"/>
      <c r="PRE336"/>
      <c r="PRF336"/>
      <c r="PRI336"/>
      <c r="PRJ336"/>
      <c r="PRM336"/>
      <c r="PRN336"/>
      <c r="PRQ336"/>
      <c r="PRR336"/>
      <c r="PRU336"/>
      <c r="PRV336"/>
      <c r="PRY336"/>
      <c r="PRZ336"/>
      <c r="PSC336"/>
      <c r="PSD336"/>
      <c r="PSG336"/>
      <c r="PSH336"/>
      <c r="PSK336"/>
      <c r="PSL336"/>
      <c r="PSO336"/>
      <c r="PSP336"/>
      <c r="PSS336"/>
      <c r="PST336"/>
      <c r="PSW336"/>
      <c r="PSX336"/>
      <c r="PTA336"/>
      <c r="PTB336"/>
      <c r="PTE336"/>
      <c r="PTF336"/>
      <c r="PTI336"/>
      <c r="PTJ336"/>
      <c r="PTM336"/>
      <c r="PTN336"/>
      <c r="PTQ336"/>
      <c r="PTR336"/>
      <c r="PTU336"/>
      <c r="PTV336"/>
      <c r="PTY336"/>
      <c r="PTZ336"/>
      <c r="PUC336"/>
      <c r="PUD336"/>
      <c r="PUG336"/>
      <c r="PUH336"/>
      <c r="PUK336"/>
      <c r="PUL336"/>
      <c r="PUO336"/>
      <c r="PUP336"/>
      <c r="PUS336"/>
      <c r="PUT336"/>
      <c r="PUW336"/>
      <c r="PUX336"/>
      <c r="PVA336"/>
      <c r="PVB336"/>
      <c r="PVE336"/>
      <c r="PVF336"/>
      <c r="PVI336"/>
      <c r="PVJ336"/>
      <c r="PVM336"/>
      <c r="PVN336"/>
      <c r="PVQ336"/>
      <c r="PVR336"/>
      <c r="PVU336"/>
      <c r="PVV336"/>
      <c r="PVY336"/>
      <c r="PVZ336"/>
      <c r="PWC336"/>
      <c r="PWD336"/>
      <c r="PWG336"/>
      <c r="PWH336"/>
      <c r="PWK336"/>
      <c r="PWL336"/>
      <c r="PWO336"/>
      <c r="PWP336"/>
      <c r="PWS336"/>
      <c r="PWT336"/>
      <c r="PWW336"/>
      <c r="PWX336"/>
      <c r="PXA336"/>
      <c r="PXB336"/>
      <c r="PXE336"/>
      <c r="PXF336"/>
      <c r="PXI336"/>
      <c r="PXJ336"/>
      <c r="PXM336"/>
      <c r="PXN336"/>
      <c r="PXQ336"/>
      <c r="PXR336"/>
      <c r="PXU336"/>
      <c r="PXV336"/>
      <c r="PXY336"/>
      <c r="PXZ336"/>
      <c r="PYC336"/>
      <c r="PYD336"/>
      <c r="PYG336"/>
      <c r="PYH336"/>
      <c r="PYK336"/>
      <c r="PYL336"/>
      <c r="PYO336"/>
      <c r="PYP336"/>
      <c r="PYS336"/>
      <c r="PYT336"/>
      <c r="PYW336"/>
      <c r="PYX336"/>
      <c r="PZA336"/>
      <c r="PZB336"/>
      <c r="PZE336"/>
      <c r="PZF336"/>
      <c r="PZI336"/>
      <c r="PZJ336"/>
      <c r="PZM336"/>
      <c r="PZN336"/>
      <c r="PZQ336"/>
      <c r="PZR336"/>
      <c r="PZU336"/>
      <c r="PZV336"/>
      <c r="PZY336"/>
      <c r="PZZ336"/>
      <c r="QAC336"/>
      <c r="QAD336"/>
      <c r="QAG336"/>
      <c r="QAH336"/>
      <c r="QAK336"/>
      <c r="QAL336"/>
      <c r="QAO336"/>
      <c r="QAP336"/>
      <c r="QAS336"/>
      <c r="QAT336"/>
      <c r="QAW336"/>
      <c r="QAX336"/>
      <c r="QBA336"/>
      <c r="QBB336"/>
      <c r="QBE336"/>
      <c r="QBF336"/>
      <c r="QBI336"/>
      <c r="QBJ336"/>
      <c r="QBM336"/>
      <c r="QBN336"/>
      <c r="QBQ336"/>
      <c r="QBR336"/>
      <c r="QBU336"/>
      <c r="QBV336"/>
      <c r="QBY336"/>
      <c r="QBZ336"/>
      <c r="QCC336"/>
      <c r="QCD336"/>
      <c r="QCG336"/>
      <c r="QCH336"/>
      <c r="QCK336"/>
      <c r="QCL336"/>
      <c r="QCO336"/>
      <c r="QCP336"/>
      <c r="QCS336"/>
      <c r="QCT336"/>
      <c r="QCW336"/>
      <c r="QCX336"/>
      <c r="QDA336"/>
      <c r="QDB336"/>
      <c r="QDE336"/>
      <c r="QDF336"/>
      <c r="QDI336"/>
      <c r="QDJ336"/>
      <c r="QDM336"/>
      <c r="QDN336"/>
      <c r="QDQ336"/>
      <c r="QDR336"/>
      <c r="QDU336"/>
      <c r="QDV336"/>
      <c r="QDY336"/>
      <c r="QDZ336"/>
      <c r="QEC336"/>
      <c r="QED336"/>
      <c r="QEG336"/>
      <c r="QEH336"/>
      <c r="QEK336"/>
      <c r="QEL336"/>
      <c r="QEO336"/>
      <c r="QEP336"/>
      <c r="QES336"/>
      <c r="QET336"/>
      <c r="QEW336"/>
      <c r="QEX336"/>
      <c r="QFA336"/>
      <c r="QFB336"/>
      <c r="QFE336"/>
      <c r="QFF336"/>
      <c r="QFI336"/>
      <c r="QFJ336"/>
      <c r="QFM336"/>
      <c r="QFN336"/>
      <c r="QFQ336"/>
      <c r="QFR336"/>
      <c r="QFU336"/>
      <c r="QFV336"/>
      <c r="QFY336"/>
      <c r="QFZ336"/>
      <c r="QGC336"/>
      <c r="QGD336"/>
      <c r="QGG336"/>
      <c r="QGH336"/>
      <c r="QGK336"/>
      <c r="QGL336"/>
      <c r="QGO336"/>
      <c r="QGP336"/>
      <c r="QGS336"/>
      <c r="QGT336"/>
      <c r="QGW336"/>
      <c r="QGX336"/>
      <c r="QHA336"/>
      <c r="QHB336"/>
      <c r="QHE336"/>
      <c r="QHF336"/>
      <c r="QHI336"/>
      <c r="QHJ336"/>
      <c r="QHM336"/>
      <c r="QHN336"/>
      <c r="QHQ336"/>
      <c r="QHR336"/>
      <c r="QHU336"/>
      <c r="QHV336"/>
      <c r="QHY336"/>
      <c r="QHZ336"/>
      <c r="QIC336"/>
      <c r="QID336"/>
      <c r="QIG336"/>
      <c r="QIH336"/>
      <c r="QIK336"/>
      <c r="QIL336"/>
      <c r="QIO336"/>
      <c r="QIP336"/>
      <c r="QIS336"/>
      <c r="QIT336"/>
      <c r="QIW336"/>
      <c r="QIX336"/>
      <c r="QJA336"/>
      <c r="QJB336"/>
      <c r="QJE336"/>
      <c r="QJF336"/>
      <c r="QJI336"/>
      <c r="QJJ336"/>
      <c r="QJM336"/>
      <c r="QJN336"/>
      <c r="QJQ336"/>
      <c r="QJR336"/>
      <c r="QJU336"/>
      <c r="QJV336"/>
      <c r="QJY336"/>
      <c r="QJZ336"/>
      <c r="QKC336"/>
      <c r="QKD336"/>
      <c r="QKG336"/>
      <c r="QKH336"/>
      <c r="QKK336"/>
      <c r="QKL336"/>
      <c r="QKO336"/>
      <c r="QKP336"/>
      <c r="QKS336"/>
      <c r="QKT336"/>
      <c r="QKW336"/>
      <c r="QKX336"/>
      <c r="QLA336"/>
      <c r="QLB336"/>
      <c r="QLE336"/>
      <c r="QLF336"/>
      <c r="QLI336"/>
      <c r="QLJ336"/>
      <c r="QLM336"/>
      <c r="QLN336"/>
      <c r="QLQ336"/>
      <c r="QLR336"/>
      <c r="QLU336"/>
      <c r="QLV336"/>
      <c r="QLY336"/>
      <c r="QLZ336"/>
      <c r="QMC336"/>
      <c r="QMD336"/>
      <c r="QMG336"/>
      <c r="QMH336"/>
      <c r="QMK336"/>
      <c r="QML336"/>
      <c r="QMO336"/>
      <c r="QMP336"/>
      <c r="QMS336"/>
      <c r="QMT336"/>
      <c r="QMW336"/>
      <c r="QMX336"/>
      <c r="QNA336"/>
      <c r="QNB336"/>
      <c r="QNE336"/>
      <c r="QNF336"/>
      <c r="QNI336"/>
      <c r="QNJ336"/>
      <c r="QNM336"/>
      <c r="QNN336"/>
      <c r="QNQ336"/>
      <c r="QNR336"/>
      <c r="QNU336"/>
      <c r="QNV336"/>
      <c r="QNY336"/>
      <c r="QNZ336"/>
      <c r="QOC336"/>
      <c r="QOD336"/>
      <c r="QOG336"/>
      <c r="QOH336"/>
      <c r="QOK336"/>
      <c r="QOL336"/>
      <c r="QOO336"/>
      <c r="QOP336"/>
      <c r="QOS336"/>
      <c r="QOT336"/>
      <c r="QOW336"/>
      <c r="QOX336"/>
      <c r="QPA336"/>
      <c r="QPB336"/>
      <c r="QPE336"/>
      <c r="QPF336"/>
      <c r="QPI336"/>
      <c r="QPJ336"/>
      <c r="QPM336"/>
      <c r="QPN336"/>
      <c r="QPQ336"/>
      <c r="QPR336"/>
      <c r="QPU336"/>
      <c r="QPV336"/>
      <c r="QPY336"/>
      <c r="QPZ336"/>
      <c r="QQC336"/>
      <c r="QQD336"/>
      <c r="QQG336"/>
      <c r="QQH336"/>
      <c r="QQK336"/>
      <c r="QQL336"/>
      <c r="QQO336"/>
      <c r="QQP336"/>
      <c r="QQS336"/>
      <c r="QQT336"/>
      <c r="QQW336"/>
      <c r="QQX336"/>
      <c r="QRA336"/>
      <c r="QRB336"/>
      <c r="QRE336"/>
      <c r="QRF336"/>
      <c r="QRI336"/>
      <c r="QRJ336"/>
      <c r="QRM336"/>
      <c r="QRN336"/>
      <c r="QRQ336"/>
      <c r="QRR336"/>
      <c r="QRU336"/>
      <c r="QRV336"/>
      <c r="QRY336"/>
      <c r="QRZ336"/>
      <c r="QSC336"/>
      <c r="QSD336"/>
      <c r="QSG336"/>
      <c r="QSH336"/>
      <c r="QSK336"/>
      <c r="QSL336"/>
      <c r="QSO336"/>
      <c r="QSP336"/>
      <c r="QSS336"/>
      <c r="QST336"/>
      <c r="QSW336"/>
      <c r="QSX336"/>
      <c r="QTA336"/>
      <c r="QTB336"/>
      <c r="QTE336"/>
      <c r="QTF336"/>
      <c r="QTI336"/>
      <c r="QTJ336"/>
      <c r="QTM336"/>
      <c r="QTN336"/>
      <c r="QTQ336"/>
      <c r="QTR336"/>
      <c r="QTU336"/>
      <c r="QTV336"/>
      <c r="QTY336"/>
      <c r="QTZ336"/>
      <c r="QUC336"/>
      <c r="QUD336"/>
      <c r="QUG336"/>
      <c r="QUH336"/>
      <c r="QUK336"/>
      <c r="QUL336"/>
      <c r="QUO336"/>
      <c r="QUP336"/>
      <c r="QUS336"/>
      <c r="QUT336"/>
      <c r="QUW336"/>
      <c r="QUX336"/>
      <c r="QVA336"/>
      <c r="QVB336"/>
      <c r="QVE336"/>
      <c r="QVF336"/>
      <c r="QVI336"/>
      <c r="QVJ336"/>
      <c r="QVM336"/>
      <c r="QVN336"/>
      <c r="QVQ336"/>
      <c r="QVR336"/>
      <c r="QVU336"/>
      <c r="QVV336"/>
      <c r="QVY336"/>
      <c r="QVZ336"/>
      <c r="QWC336"/>
      <c r="QWD336"/>
      <c r="QWG336"/>
      <c r="QWH336"/>
      <c r="QWK336"/>
      <c r="QWL336"/>
      <c r="QWO336"/>
      <c r="QWP336"/>
      <c r="QWS336"/>
      <c r="QWT336"/>
      <c r="QWW336"/>
      <c r="QWX336"/>
      <c r="QXA336"/>
      <c r="QXB336"/>
      <c r="QXE336"/>
      <c r="QXF336"/>
      <c r="QXI336"/>
      <c r="QXJ336"/>
      <c r="QXM336"/>
      <c r="QXN336"/>
      <c r="QXQ336"/>
      <c r="QXR336"/>
      <c r="QXU336"/>
      <c r="QXV336"/>
      <c r="QXY336"/>
      <c r="QXZ336"/>
      <c r="QYC336"/>
      <c r="QYD336"/>
      <c r="QYG336"/>
      <c r="QYH336"/>
      <c r="QYK336"/>
      <c r="QYL336"/>
      <c r="QYO336"/>
      <c r="QYP336"/>
      <c r="QYS336"/>
      <c r="QYT336"/>
      <c r="QYW336"/>
      <c r="QYX336"/>
      <c r="QZA336"/>
      <c r="QZB336"/>
      <c r="QZE336"/>
      <c r="QZF336"/>
      <c r="QZI336"/>
      <c r="QZJ336"/>
      <c r="QZM336"/>
      <c r="QZN336"/>
      <c r="QZQ336"/>
      <c r="QZR336"/>
      <c r="QZU336"/>
      <c r="QZV336"/>
      <c r="QZY336"/>
      <c r="QZZ336"/>
      <c r="RAC336"/>
      <c r="RAD336"/>
      <c r="RAG336"/>
      <c r="RAH336"/>
      <c r="RAK336"/>
      <c r="RAL336"/>
      <c r="RAO336"/>
      <c r="RAP336"/>
      <c r="RAS336"/>
      <c r="RAT336"/>
      <c r="RAW336"/>
      <c r="RAX336"/>
      <c r="RBA336"/>
      <c r="RBB336"/>
      <c r="RBE336"/>
      <c r="RBF336"/>
      <c r="RBI336"/>
      <c r="RBJ336"/>
      <c r="RBM336"/>
      <c r="RBN336"/>
      <c r="RBQ336"/>
      <c r="RBR336"/>
      <c r="RBU336"/>
      <c r="RBV336"/>
      <c r="RBY336"/>
      <c r="RBZ336"/>
      <c r="RCC336"/>
      <c r="RCD336"/>
      <c r="RCG336"/>
      <c r="RCH336"/>
      <c r="RCK336"/>
      <c r="RCL336"/>
      <c r="RCO336"/>
      <c r="RCP336"/>
      <c r="RCS336"/>
      <c r="RCT336"/>
      <c r="RCW336"/>
      <c r="RCX336"/>
      <c r="RDA336"/>
      <c r="RDB336"/>
      <c r="RDE336"/>
      <c r="RDF336"/>
      <c r="RDI336"/>
      <c r="RDJ336"/>
      <c r="RDM336"/>
      <c r="RDN336"/>
      <c r="RDQ336"/>
      <c r="RDR336"/>
      <c r="RDU336"/>
      <c r="RDV336"/>
      <c r="RDY336"/>
      <c r="RDZ336"/>
      <c r="REC336"/>
      <c r="RED336"/>
      <c r="REG336"/>
      <c r="REH336"/>
      <c r="REK336"/>
      <c r="REL336"/>
      <c r="REO336"/>
      <c r="REP336"/>
      <c r="RES336"/>
      <c r="RET336"/>
      <c r="REW336"/>
      <c r="REX336"/>
      <c r="RFA336"/>
      <c r="RFB336"/>
      <c r="RFE336"/>
      <c r="RFF336"/>
      <c r="RFI336"/>
      <c r="RFJ336"/>
      <c r="RFM336"/>
      <c r="RFN336"/>
      <c r="RFQ336"/>
      <c r="RFR336"/>
      <c r="RFU336"/>
      <c r="RFV336"/>
      <c r="RFY336"/>
      <c r="RFZ336"/>
      <c r="RGC336"/>
      <c r="RGD336"/>
      <c r="RGG336"/>
      <c r="RGH336"/>
      <c r="RGK336"/>
      <c r="RGL336"/>
      <c r="RGO336"/>
      <c r="RGP336"/>
      <c r="RGS336"/>
      <c r="RGT336"/>
      <c r="RGW336"/>
      <c r="RGX336"/>
      <c r="RHA336"/>
      <c r="RHB336"/>
      <c r="RHE336"/>
      <c r="RHF336"/>
      <c r="RHI336"/>
      <c r="RHJ336"/>
      <c r="RHM336"/>
      <c r="RHN336"/>
      <c r="RHQ336"/>
      <c r="RHR336"/>
      <c r="RHU336"/>
      <c r="RHV336"/>
      <c r="RHY336"/>
      <c r="RHZ336"/>
      <c r="RIC336"/>
      <c r="RID336"/>
      <c r="RIG336"/>
      <c r="RIH336"/>
      <c r="RIK336"/>
      <c r="RIL336"/>
      <c r="RIO336"/>
      <c r="RIP336"/>
      <c r="RIS336"/>
      <c r="RIT336"/>
      <c r="RIW336"/>
      <c r="RIX336"/>
      <c r="RJA336"/>
      <c r="RJB336"/>
      <c r="RJE336"/>
      <c r="RJF336"/>
      <c r="RJI336"/>
      <c r="RJJ336"/>
      <c r="RJM336"/>
      <c r="RJN336"/>
      <c r="RJQ336"/>
      <c r="RJR336"/>
      <c r="RJU336"/>
      <c r="RJV336"/>
      <c r="RJY336"/>
      <c r="RJZ336"/>
      <c r="RKC336"/>
      <c r="RKD336"/>
      <c r="RKG336"/>
      <c r="RKH336"/>
      <c r="RKK336"/>
      <c r="RKL336"/>
      <c r="RKO336"/>
      <c r="RKP336"/>
      <c r="RKS336"/>
      <c r="RKT336"/>
      <c r="RKW336"/>
      <c r="RKX336"/>
      <c r="RLA336"/>
      <c r="RLB336"/>
      <c r="RLE336"/>
      <c r="RLF336"/>
      <c r="RLI336"/>
      <c r="RLJ336"/>
      <c r="RLM336"/>
      <c r="RLN336"/>
      <c r="RLQ336"/>
      <c r="RLR336"/>
      <c r="RLU336"/>
      <c r="RLV336"/>
      <c r="RLY336"/>
      <c r="RLZ336"/>
      <c r="RMC336"/>
      <c r="RMD336"/>
      <c r="RMG336"/>
      <c r="RMH336"/>
      <c r="RMK336"/>
      <c r="RML336"/>
      <c r="RMO336"/>
      <c r="RMP336"/>
      <c r="RMS336"/>
      <c r="RMT336"/>
      <c r="RMW336"/>
      <c r="RMX336"/>
      <c r="RNA336"/>
      <c r="RNB336"/>
      <c r="RNE336"/>
      <c r="RNF336"/>
      <c r="RNI336"/>
      <c r="RNJ336"/>
      <c r="RNM336"/>
      <c r="RNN336"/>
      <c r="RNQ336"/>
      <c r="RNR336"/>
      <c r="RNU336"/>
      <c r="RNV336"/>
      <c r="RNY336"/>
      <c r="RNZ336"/>
      <c r="ROC336"/>
      <c r="ROD336"/>
      <c r="ROG336"/>
      <c r="ROH336"/>
      <c r="ROK336"/>
      <c r="ROL336"/>
      <c r="ROO336"/>
      <c r="ROP336"/>
      <c r="ROS336"/>
      <c r="ROT336"/>
      <c r="ROW336"/>
      <c r="ROX336"/>
      <c r="RPA336"/>
      <c r="RPB336"/>
      <c r="RPE336"/>
      <c r="RPF336"/>
      <c r="RPI336"/>
      <c r="RPJ336"/>
      <c r="RPM336"/>
      <c r="RPN336"/>
      <c r="RPQ336"/>
      <c r="RPR336"/>
      <c r="RPU336"/>
      <c r="RPV336"/>
      <c r="RPY336"/>
      <c r="RPZ336"/>
      <c r="RQC336"/>
      <c r="RQD336"/>
      <c r="RQG336"/>
      <c r="RQH336"/>
      <c r="RQK336"/>
      <c r="RQL336"/>
      <c r="RQO336"/>
      <c r="RQP336"/>
      <c r="RQS336"/>
      <c r="RQT336"/>
      <c r="RQW336"/>
      <c r="RQX336"/>
      <c r="RRA336"/>
      <c r="RRB336"/>
      <c r="RRE336"/>
      <c r="RRF336"/>
      <c r="RRI336"/>
      <c r="RRJ336"/>
      <c r="RRM336"/>
      <c r="RRN336"/>
      <c r="RRQ336"/>
      <c r="RRR336"/>
      <c r="RRU336"/>
      <c r="RRV336"/>
      <c r="RRY336"/>
      <c r="RRZ336"/>
      <c r="RSC336"/>
      <c r="RSD336"/>
      <c r="RSG336"/>
      <c r="RSH336"/>
      <c r="RSK336"/>
      <c r="RSL336"/>
      <c r="RSO336"/>
      <c r="RSP336"/>
      <c r="RSS336"/>
      <c r="RST336"/>
      <c r="RSW336"/>
      <c r="RSX336"/>
      <c r="RTA336"/>
      <c r="RTB336"/>
      <c r="RTE336"/>
      <c r="RTF336"/>
      <c r="RTI336"/>
      <c r="RTJ336"/>
      <c r="RTM336"/>
      <c r="RTN336"/>
      <c r="RTQ336"/>
      <c r="RTR336"/>
      <c r="RTU336"/>
      <c r="RTV336"/>
      <c r="RTY336"/>
      <c r="RTZ336"/>
      <c r="RUC336"/>
      <c r="RUD336"/>
      <c r="RUG336"/>
      <c r="RUH336"/>
      <c r="RUK336"/>
      <c r="RUL336"/>
      <c r="RUO336"/>
      <c r="RUP336"/>
      <c r="RUS336"/>
      <c r="RUT336"/>
      <c r="RUW336"/>
      <c r="RUX336"/>
      <c r="RVA336"/>
      <c r="RVB336"/>
      <c r="RVE336"/>
      <c r="RVF336"/>
      <c r="RVI336"/>
      <c r="RVJ336"/>
      <c r="RVM336"/>
      <c r="RVN336"/>
      <c r="RVQ336"/>
      <c r="RVR336"/>
      <c r="RVU336"/>
      <c r="RVV336"/>
      <c r="RVY336"/>
      <c r="RVZ336"/>
      <c r="RWC336"/>
      <c r="RWD336"/>
      <c r="RWG336"/>
      <c r="RWH336"/>
      <c r="RWK336"/>
      <c r="RWL336"/>
      <c r="RWO336"/>
      <c r="RWP336"/>
      <c r="RWS336"/>
      <c r="RWT336"/>
      <c r="RWW336"/>
      <c r="RWX336"/>
      <c r="RXA336"/>
      <c r="RXB336"/>
      <c r="RXE336"/>
      <c r="RXF336"/>
      <c r="RXI336"/>
      <c r="RXJ336"/>
      <c r="RXM336"/>
      <c r="RXN336"/>
      <c r="RXQ336"/>
      <c r="RXR336"/>
      <c r="RXU336"/>
      <c r="RXV336"/>
      <c r="RXY336"/>
      <c r="RXZ336"/>
      <c r="RYC336"/>
      <c r="RYD336"/>
      <c r="RYG336"/>
      <c r="RYH336"/>
      <c r="RYK336"/>
      <c r="RYL336"/>
      <c r="RYO336"/>
      <c r="RYP336"/>
      <c r="RYS336"/>
      <c r="RYT336"/>
      <c r="RYW336"/>
      <c r="RYX336"/>
      <c r="RZA336"/>
      <c r="RZB336"/>
      <c r="RZE336"/>
      <c r="RZF336"/>
      <c r="RZI336"/>
      <c r="RZJ336"/>
      <c r="RZM336"/>
      <c r="RZN336"/>
      <c r="RZQ336"/>
      <c r="RZR336"/>
      <c r="RZU336"/>
      <c r="RZV336"/>
      <c r="RZY336"/>
      <c r="RZZ336"/>
      <c r="SAC336"/>
      <c r="SAD336"/>
      <c r="SAG336"/>
      <c r="SAH336"/>
      <c r="SAK336"/>
      <c r="SAL336"/>
      <c r="SAO336"/>
      <c r="SAP336"/>
      <c r="SAS336"/>
      <c r="SAT336"/>
      <c r="SAW336"/>
      <c r="SAX336"/>
      <c r="SBA336"/>
      <c r="SBB336"/>
      <c r="SBE336"/>
      <c r="SBF336"/>
      <c r="SBI336"/>
      <c r="SBJ336"/>
      <c r="SBM336"/>
      <c r="SBN336"/>
      <c r="SBQ336"/>
      <c r="SBR336"/>
      <c r="SBU336"/>
      <c r="SBV336"/>
      <c r="SBY336"/>
      <c r="SBZ336"/>
      <c r="SCC336"/>
      <c r="SCD336"/>
      <c r="SCG336"/>
      <c r="SCH336"/>
      <c r="SCK336"/>
      <c r="SCL336"/>
      <c r="SCO336"/>
      <c r="SCP336"/>
      <c r="SCS336"/>
      <c r="SCT336"/>
      <c r="SCW336"/>
      <c r="SCX336"/>
      <c r="SDA336"/>
      <c r="SDB336"/>
      <c r="SDE336"/>
      <c r="SDF336"/>
      <c r="SDI336"/>
      <c r="SDJ336"/>
      <c r="SDM336"/>
      <c r="SDN336"/>
      <c r="SDQ336"/>
      <c r="SDR336"/>
      <c r="SDU336"/>
      <c r="SDV336"/>
      <c r="SDY336"/>
      <c r="SDZ336"/>
      <c r="SEC336"/>
      <c r="SED336"/>
      <c r="SEG336"/>
      <c r="SEH336"/>
      <c r="SEK336"/>
      <c r="SEL336"/>
      <c r="SEO336"/>
      <c r="SEP336"/>
      <c r="SES336"/>
      <c r="SET336"/>
      <c r="SEW336"/>
      <c r="SEX336"/>
      <c r="SFA336"/>
      <c r="SFB336"/>
      <c r="SFE336"/>
      <c r="SFF336"/>
      <c r="SFI336"/>
      <c r="SFJ336"/>
      <c r="SFM336"/>
      <c r="SFN336"/>
      <c r="SFQ336"/>
      <c r="SFR336"/>
      <c r="SFU336"/>
      <c r="SFV336"/>
      <c r="SFY336"/>
      <c r="SFZ336"/>
      <c r="SGC336"/>
      <c r="SGD336"/>
      <c r="SGG336"/>
      <c r="SGH336"/>
      <c r="SGK336"/>
      <c r="SGL336"/>
      <c r="SGO336"/>
      <c r="SGP336"/>
      <c r="SGS336"/>
      <c r="SGT336"/>
      <c r="SGW336"/>
      <c r="SGX336"/>
      <c r="SHA336"/>
      <c r="SHB336"/>
      <c r="SHE336"/>
      <c r="SHF336"/>
      <c r="SHI336"/>
      <c r="SHJ336"/>
      <c r="SHM336"/>
      <c r="SHN336"/>
      <c r="SHQ336"/>
      <c r="SHR336"/>
      <c r="SHU336"/>
      <c r="SHV336"/>
      <c r="SHY336"/>
      <c r="SHZ336"/>
      <c r="SIC336"/>
      <c r="SID336"/>
      <c r="SIG336"/>
      <c r="SIH336"/>
      <c r="SIK336"/>
      <c r="SIL336"/>
      <c r="SIO336"/>
      <c r="SIP336"/>
      <c r="SIS336"/>
      <c r="SIT336"/>
      <c r="SIW336"/>
      <c r="SIX336"/>
      <c r="SJA336"/>
      <c r="SJB336"/>
      <c r="SJE336"/>
      <c r="SJF336"/>
      <c r="SJI336"/>
      <c r="SJJ336"/>
      <c r="SJM336"/>
      <c r="SJN336"/>
      <c r="SJQ336"/>
      <c r="SJR336"/>
      <c r="SJU336"/>
      <c r="SJV336"/>
      <c r="SJY336"/>
      <c r="SJZ336"/>
      <c r="SKC336"/>
      <c r="SKD336"/>
      <c r="SKG336"/>
      <c r="SKH336"/>
      <c r="SKK336"/>
      <c r="SKL336"/>
      <c r="SKO336"/>
      <c r="SKP336"/>
      <c r="SKS336"/>
      <c r="SKT336"/>
      <c r="SKW336"/>
      <c r="SKX336"/>
      <c r="SLA336"/>
      <c r="SLB336"/>
      <c r="SLE336"/>
      <c r="SLF336"/>
      <c r="SLI336"/>
      <c r="SLJ336"/>
      <c r="SLM336"/>
      <c r="SLN336"/>
      <c r="SLQ336"/>
      <c r="SLR336"/>
      <c r="SLU336"/>
      <c r="SLV336"/>
      <c r="SLY336"/>
      <c r="SLZ336"/>
      <c r="SMC336"/>
      <c r="SMD336"/>
      <c r="SMG336"/>
      <c r="SMH336"/>
      <c r="SMK336"/>
      <c r="SML336"/>
      <c r="SMO336"/>
      <c r="SMP336"/>
      <c r="SMS336"/>
      <c r="SMT336"/>
      <c r="SMW336"/>
      <c r="SMX336"/>
      <c r="SNA336"/>
      <c r="SNB336"/>
      <c r="SNE336"/>
      <c r="SNF336"/>
      <c r="SNI336"/>
      <c r="SNJ336"/>
      <c r="SNM336"/>
      <c r="SNN336"/>
      <c r="SNQ336"/>
      <c r="SNR336"/>
      <c r="SNU336"/>
      <c r="SNV336"/>
      <c r="SNY336"/>
      <c r="SNZ336"/>
      <c r="SOC336"/>
      <c r="SOD336"/>
      <c r="SOG336"/>
      <c r="SOH336"/>
      <c r="SOK336"/>
      <c r="SOL336"/>
      <c r="SOO336"/>
      <c r="SOP336"/>
      <c r="SOS336"/>
      <c r="SOT336"/>
      <c r="SOW336"/>
      <c r="SOX336"/>
      <c r="SPA336"/>
      <c r="SPB336"/>
      <c r="SPE336"/>
      <c r="SPF336"/>
      <c r="SPI336"/>
      <c r="SPJ336"/>
      <c r="SPM336"/>
      <c r="SPN336"/>
      <c r="SPQ336"/>
      <c r="SPR336"/>
      <c r="SPU336"/>
      <c r="SPV336"/>
      <c r="SPY336"/>
      <c r="SPZ336"/>
      <c r="SQC336"/>
      <c r="SQD336"/>
      <c r="SQG336"/>
      <c r="SQH336"/>
      <c r="SQK336"/>
      <c r="SQL336"/>
      <c r="SQO336"/>
      <c r="SQP336"/>
      <c r="SQS336"/>
      <c r="SQT336"/>
      <c r="SQW336"/>
      <c r="SQX336"/>
      <c r="SRA336"/>
      <c r="SRB336"/>
      <c r="SRE336"/>
      <c r="SRF336"/>
      <c r="SRI336"/>
      <c r="SRJ336"/>
      <c r="SRM336"/>
      <c r="SRN336"/>
      <c r="SRQ336"/>
      <c r="SRR336"/>
      <c r="SRU336"/>
      <c r="SRV336"/>
      <c r="SRY336"/>
      <c r="SRZ336"/>
      <c r="SSC336"/>
      <c r="SSD336"/>
      <c r="SSG336"/>
      <c r="SSH336"/>
      <c r="SSK336"/>
      <c r="SSL336"/>
      <c r="SSO336"/>
      <c r="SSP336"/>
      <c r="SSS336"/>
      <c r="SST336"/>
      <c r="SSW336"/>
      <c r="SSX336"/>
      <c r="STA336"/>
      <c r="STB336"/>
      <c r="STE336"/>
      <c r="STF336"/>
      <c r="STI336"/>
      <c r="STJ336"/>
      <c r="STM336"/>
      <c r="STN336"/>
      <c r="STQ336"/>
      <c r="STR336"/>
      <c r="STU336"/>
      <c r="STV336"/>
      <c r="STY336"/>
      <c r="STZ336"/>
      <c r="SUC336"/>
      <c r="SUD336"/>
      <c r="SUG336"/>
      <c r="SUH336"/>
      <c r="SUK336"/>
      <c r="SUL336"/>
      <c r="SUO336"/>
      <c r="SUP336"/>
      <c r="SUS336"/>
      <c r="SUT336"/>
      <c r="SUW336"/>
      <c r="SUX336"/>
      <c r="SVA336"/>
      <c r="SVB336"/>
      <c r="SVE336"/>
      <c r="SVF336"/>
      <c r="SVI336"/>
      <c r="SVJ336"/>
      <c r="SVM336"/>
      <c r="SVN336"/>
      <c r="SVQ336"/>
      <c r="SVR336"/>
      <c r="SVU336"/>
      <c r="SVV336"/>
      <c r="SVY336"/>
      <c r="SVZ336"/>
      <c r="SWC336"/>
      <c r="SWD336"/>
      <c r="SWG336"/>
      <c r="SWH336"/>
      <c r="SWK336"/>
      <c r="SWL336"/>
      <c r="SWO336"/>
      <c r="SWP336"/>
      <c r="SWS336"/>
      <c r="SWT336"/>
      <c r="SWW336"/>
      <c r="SWX336"/>
      <c r="SXA336"/>
      <c r="SXB336"/>
      <c r="SXE336"/>
      <c r="SXF336"/>
      <c r="SXI336"/>
      <c r="SXJ336"/>
      <c r="SXM336"/>
      <c r="SXN336"/>
      <c r="SXQ336"/>
      <c r="SXR336"/>
      <c r="SXU336"/>
      <c r="SXV336"/>
      <c r="SXY336"/>
      <c r="SXZ336"/>
      <c r="SYC336"/>
      <c r="SYD336"/>
      <c r="SYG336"/>
      <c r="SYH336"/>
      <c r="SYK336"/>
      <c r="SYL336"/>
      <c r="SYO336"/>
      <c r="SYP336"/>
      <c r="SYS336"/>
      <c r="SYT336"/>
      <c r="SYW336"/>
      <c r="SYX336"/>
      <c r="SZA336"/>
      <c r="SZB336"/>
      <c r="SZE336"/>
      <c r="SZF336"/>
      <c r="SZI336"/>
      <c r="SZJ336"/>
      <c r="SZM336"/>
      <c r="SZN336"/>
      <c r="SZQ336"/>
      <c r="SZR336"/>
      <c r="SZU336"/>
      <c r="SZV336"/>
      <c r="SZY336"/>
      <c r="SZZ336"/>
      <c r="TAC336"/>
      <c r="TAD336"/>
      <c r="TAG336"/>
      <c r="TAH336"/>
      <c r="TAK336"/>
      <c r="TAL336"/>
      <c r="TAO336"/>
      <c r="TAP336"/>
      <c r="TAS336"/>
      <c r="TAT336"/>
      <c r="TAW336"/>
      <c r="TAX336"/>
      <c r="TBA336"/>
      <c r="TBB336"/>
      <c r="TBE336"/>
      <c r="TBF336"/>
      <c r="TBI336"/>
      <c r="TBJ336"/>
      <c r="TBM336"/>
      <c r="TBN336"/>
      <c r="TBQ336"/>
      <c r="TBR336"/>
      <c r="TBU336"/>
      <c r="TBV336"/>
      <c r="TBY336"/>
      <c r="TBZ336"/>
      <c r="TCC336"/>
      <c r="TCD336"/>
      <c r="TCG336"/>
      <c r="TCH336"/>
      <c r="TCK336"/>
      <c r="TCL336"/>
      <c r="TCO336"/>
      <c r="TCP336"/>
      <c r="TCS336"/>
      <c r="TCT336"/>
      <c r="TCW336"/>
      <c r="TCX336"/>
      <c r="TDA336"/>
      <c r="TDB336"/>
      <c r="TDE336"/>
      <c r="TDF336"/>
      <c r="TDI336"/>
      <c r="TDJ336"/>
      <c r="TDM336"/>
      <c r="TDN336"/>
      <c r="TDQ336"/>
      <c r="TDR336"/>
      <c r="TDU336"/>
      <c r="TDV336"/>
      <c r="TDY336"/>
      <c r="TDZ336"/>
      <c r="TEC336"/>
      <c r="TED336"/>
      <c r="TEG336"/>
      <c r="TEH336"/>
      <c r="TEK336"/>
      <c r="TEL336"/>
      <c r="TEO336"/>
      <c r="TEP336"/>
      <c r="TES336"/>
      <c r="TET336"/>
      <c r="TEW336"/>
      <c r="TEX336"/>
      <c r="TFA336"/>
      <c r="TFB336"/>
      <c r="TFE336"/>
      <c r="TFF336"/>
      <c r="TFI336"/>
      <c r="TFJ336"/>
      <c r="TFM336"/>
      <c r="TFN336"/>
      <c r="TFQ336"/>
      <c r="TFR336"/>
      <c r="TFU336"/>
      <c r="TFV336"/>
      <c r="TFY336"/>
      <c r="TFZ336"/>
      <c r="TGC336"/>
      <c r="TGD336"/>
      <c r="TGG336"/>
      <c r="TGH336"/>
      <c r="TGK336"/>
      <c r="TGL336"/>
      <c r="TGO336"/>
      <c r="TGP336"/>
      <c r="TGS336"/>
      <c r="TGT336"/>
      <c r="TGW336"/>
      <c r="TGX336"/>
      <c r="THA336"/>
      <c r="THB336"/>
      <c r="THE336"/>
      <c r="THF336"/>
      <c r="THI336"/>
      <c r="THJ336"/>
      <c r="THM336"/>
      <c r="THN336"/>
      <c r="THQ336"/>
      <c r="THR336"/>
      <c r="THU336"/>
      <c r="THV336"/>
      <c r="THY336"/>
      <c r="THZ336"/>
      <c r="TIC336"/>
      <c r="TID336"/>
      <c r="TIG336"/>
      <c r="TIH336"/>
      <c r="TIK336"/>
      <c r="TIL336"/>
      <c r="TIO336"/>
      <c r="TIP336"/>
      <c r="TIS336"/>
      <c r="TIT336"/>
      <c r="TIW336"/>
      <c r="TIX336"/>
      <c r="TJA336"/>
      <c r="TJB336"/>
      <c r="TJE336"/>
      <c r="TJF336"/>
      <c r="TJI336"/>
      <c r="TJJ336"/>
      <c r="TJM336"/>
      <c r="TJN336"/>
      <c r="TJQ336"/>
      <c r="TJR336"/>
      <c r="TJU336"/>
      <c r="TJV336"/>
      <c r="TJY336"/>
      <c r="TJZ336"/>
      <c r="TKC336"/>
      <c r="TKD336"/>
      <c r="TKG336"/>
      <c r="TKH336"/>
      <c r="TKK336"/>
      <c r="TKL336"/>
      <c r="TKO336"/>
      <c r="TKP336"/>
      <c r="TKS336"/>
      <c r="TKT336"/>
      <c r="TKW336"/>
      <c r="TKX336"/>
      <c r="TLA336"/>
      <c r="TLB336"/>
      <c r="TLE336"/>
      <c r="TLF336"/>
      <c r="TLI336"/>
      <c r="TLJ336"/>
      <c r="TLM336"/>
      <c r="TLN336"/>
      <c r="TLQ336"/>
      <c r="TLR336"/>
      <c r="TLU336"/>
      <c r="TLV336"/>
      <c r="TLY336"/>
      <c r="TLZ336"/>
      <c r="TMC336"/>
      <c r="TMD336"/>
      <c r="TMG336"/>
      <c r="TMH336"/>
      <c r="TMK336"/>
      <c r="TML336"/>
      <c r="TMO336"/>
      <c r="TMP336"/>
      <c r="TMS336"/>
      <c r="TMT336"/>
      <c r="TMW336"/>
      <c r="TMX336"/>
      <c r="TNA336"/>
      <c r="TNB336"/>
      <c r="TNE336"/>
      <c r="TNF336"/>
      <c r="TNI336"/>
      <c r="TNJ336"/>
      <c r="TNM336"/>
      <c r="TNN336"/>
      <c r="TNQ336"/>
      <c r="TNR336"/>
      <c r="TNU336"/>
      <c r="TNV336"/>
      <c r="TNY336"/>
      <c r="TNZ336"/>
      <c r="TOC336"/>
      <c r="TOD336"/>
      <c r="TOG336"/>
      <c r="TOH336"/>
      <c r="TOK336"/>
      <c r="TOL336"/>
      <c r="TOO336"/>
      <c r="TOP336"/>
      <c r="TOS336"/>
      <c r="TOT336"/>
      <c r="TOW336"/>
      <c r="TOX336"/>
      <c r="TPA336"/>
      <c r="TPB336"/>
      <c r="TPE336"/>
      <c r="TPF336"/>
      <c r="TPI336"/>
      <c r="TPJ336"/>
      <c r="TPM336"/>
      <c r="TPN336"/>
      <c r="TPQ336"/>
      <c r="TPR336"/>
      <c r="TPU336"/>
      <c r="TPV336"/>
      <c r="TPY336"/>
      <c r="TPZ336"/>
      <c r="TQC336"/>
      <c r="TQD336"/>
      <c r="TQG336"/>
      <c r="TQH336"/>
      <c r="TQK336"/>
      <c r="TQL336"/>
      <c r="TQO336"/>
      <c r="TQP336"/>
      <c r="TQS336"/>
      <c r="TQT336"/>
      <c r="TQW336"/>
      <c r="TQX336"/>
      <c r="TRA336"/>
      <c r="TRB336"/>
      <c r="TRE336"/>
      <c r="TRF336"/>
      <c r="TRI336"/>
      <c r="TRJ336"/>
      <c r="TRM336"/>
      <c r="TRN336"/>
      <c r="TRQ336"/>
      <c r="TRR336"/>
      <c r="TRU336"/>
      <c r="TRV336"/>
      <c r="TRY336"/>
      <c r="TRZ336"/>
      <c r="TSC336"/>
      <c r="TSD336"/>
      <c r="TSG336"/>
      <c r="TSH336"/>
      <c r="TSK336"/>
      <c r="TSL336"/>
      <c r="TSO336"/>
      <c r="TSP336"/>
      <c r="TSS336"/>
      <c r="TST336"/>
      <c r="TSW336"/>
      <c r="TSX336"/>
      <c r="TTA336"/>
      <c r="TTB336"/>
      <c r="TTE336"/>
      <c r="TTF336"/>
      <c r="TTI336"/>
      <c r="TTJ336"/>
      <c r="TTM336"/>
      <c r="TTN336"/>
      <c r="TTQ336"/>
      <c r="TTR336"/>
      <c r="TTU336"/>
      <c r="TTV336"/>
      <c r="TTY336"/>
      <c r="TTZ336"/>
      <c r="TUC336"/>
      <c r="TUD336"/>
      <c r="TUG336"/>
      <c r="TUH336"/>
      <c r="TUK336"/>
      <c r="TUL336"/>
      <c r="TUO336"/>
      <c r="TUP336"/>
      <c r="TUS336"/>
      <c r="TUT336"/>
      <c r="TUW336"/>
      <c r="TUX336"/>
      <c r="TVA336"/>
      <c r="TVB336"/>
      <c r="TVE336"/>
      <c r="TVF336"/>
      <c r="TVI336"/>
      <c r="TVJ336"/>
      <c r="TVM336"/>
      <c r="TVN336"/>
      <c r="TVQ336"/>
      <c r="TVR336"/>
      <c r="TVU336"/>
      <c r="TVV336"/>
      <c r="TVY336"/>
      <c r="TVZ336"/>
      <c r="TWC336"/>
      <c r="TWD336"/>
      <c r="TWG336"/>
      <c r="TWH336"/>
      <c r="TWK336"/>
      <c r="TWL336"/>
      <c r="TWO336"/>
      <c r="TWP336"/>
      <c r="TWS336"/>
      <c r="TWT336"/>
      <c r="TWW336"/>
      <c r="TWX336"/>
      <c r="TXA336"/>
      <c r="TXB336"/>
      <c r="TXE336"/>
      <c r="TXF336"/>
      <c r="TXI336"/>
      <c r="TXJ336"/>
      <c r="TXM336"/>
      <c r="TXN336"/>
      <c r="TXQ336"/>
      <c r="TXR336"/>
      <c r="TXU336"/>
      <c r="TXV336"/>
      <c r="TXY336"/>
      <c r="TXZ336"/>
      <c r="TYC336"/>
      <c r="TYD336"/>
      <c r="TYG336"/>
      <c r="TYH336"/>
      <c r="TYK336"/>
      <c r="TYL336"/>
      <c r="TYO336"/>
      <c r="TYP336"/>
      <c r="TYS336"/>
      <c r="TYT336"/>
      <c r="TYW336"/>
      <c r="TYX336"/>
      <c r="TZA336"/>
      <c r="TZB336"/>
      <c r="TZE336"/>
      <c r="TZF336"/>
      <c r="TZI336"/>
      <c r="TZJ336"/>
      <c r="TZM336"/>
      <c r="TZN336"/>
      <c r="TZQ336"/>
      <c r="TZR336"/>
      <c r="TZU336"/>
      <c r="TZV336"/>
      <c r="TZY336"/>
      <c r="TZZ336"/>
      <c r="UAC336"/>
      <c r="UAD336"/>
      <c r="UAG336"/>
      <c r="UAH336"/>
      <c r="UAK336"/>
      <c r="UAL336"/>
      <c r="UAO336"/>
      <c r="UAP336"/>
      <c r="UAS336"/>
      <c r="UAT336"/>
      <c r="UAW336"/>
      <c r="UAX336"/>
      <c r="UBA336"/>
      <c r="UBB336"/>
      <c r="UBE336"/>
      <c r="UBF336"/>
      <c r="UBI336"/>
      <c r="UBJ336"/>
      <c r="UBM336"/>
      <c r="UBN336"/>
      <c r="UBQ336"/>
      <c r="UBR336"/>
      <c r="UBU336"/>
      <c r="UBV336"/>
      <c r="UBY336"/>
      <c r="UBZ336"/>
      <c r="UCC336"/>
      <c r="UCD336"/>
      <c r="UCG336"/>
      <c r="UCH336"/>
      <c r="UCK336"/>
      <c r="UCL336"/>
      <c r="UCO336"/>
      <c r="UCP336"/>
      <c r="UCS336"/>
      <c r="UCT336"/>
      <c r="UCW336"/>
      <c r="UCX336"/>
      <c r="UDA336"/>
      <c r="UDB336"/>
      <c r="UDE336"/>
      <c r="UDF336"/>
      <c r="UDI336"/>
      <c r="UDJ336"/>
      <c r="UDM336"/>
      <c r="UDN336"/>
      <c r="UDQ336"/>
      <c r="UDR336"/>
      <c r="UDU336"/>
      <c r="UDV336"/>
      <c r="UDY336"/>
      <c r="UDZ336"/>
      <c r="UEC336"/>
      <c r="UED336"/>
      <c r="UEG336"/>
      <c r="UEH336"/>
      <c r="UEK336"/>
      <c r="UEL336"/>
      <c r="UEO336"/>
      <c r="UEP336"/>
      <c r="UES336"/>
      <c r="UET336"/>
      <c r="UEW336"/>
      <c r="UEX336"/>
      <c r="UFA336"/>
      <c r="UFB336"/>
      <c r="UFE336"/>
      <c r="UFF336"/>
      <c r="UFI336"/>
      <c r="UFJ336"/>
      <c r="UFM336"/>
      <c r="UFN336"/>
      <c r="UFQ336"/>
      <c r="UFR336"/>
      <c r="UFU336"/>
      <c r="UFV336"/>
      <c r="UFY336"/>
      <c r="UFZ336"/>
      <c r="UGC336"/>
      <c r="UGD336"/>
      <c r="UGG336"/>
      <c r="UGH336"/>
      <c r="UGK336"/>
      <c r="UGL336"/>
      <c r="UGO336"/>
      <c r="UGP336"/>
      <c r="UGS336"/>
      <c r="UGT336"/>
      <c r="UGW336"/>
      <c r="UGX336"/>
      <c r="UHA336"/>
      <c r="UHB336"/>
      <c r="UHE336"/>
      <c r="UHF336"/>
      <c r="UHI336"/>
      <c r="UHJ336"/>
      <c r="UHM336"/>
      <c r="UHN336"/>
      <c r="UHQ336"/>
      <c r="UHR336"/>
      <c r="UHU336"/>
      <c r="UHV336"/>
      <c r="UHY336"/>
      <c r="UHZ336"/>
      <c r="UIC336"/>
      <c r="UID336"/>
      <c r="UIG336"/>
      <c r="UIH336"/>
      <c r="UIK336"/>
      <c r="UIL336"/>
      <c r="UIO336"/>
      <c r="UIP336"/>
      <c r="UIS336"/>
      <c r="UIT336"/>
      <c r="UIW336"/>
      <c r="UIX336"/>
      <c r="UJA336"/>
      <c r="UJB336"/>
      <c r="UJE336"/>
      <c r="UJF336"/>
      <c r="UJI336"/>
      <c r="UJJ336"/>
      <c r="UJM336"/>
      <c r="UJN336"/>
      <c r="UJQ336"/>
      <c r="UJR336"/>
      <c r="UJU336"/>
      <c r="UJV336"/>
      <c r="UJY336"/>
      <c r="UJZ336"/>
      <c r="UKC336"/>
      <c r="UKD336"/>
      <c r="UKG336"/>
      <c r="UKH336"/>
      <c r="UKK336"/>
      <c r="UKL336"/>
      <c r="UKO336"/>
      <c r="UKP336"/>
      <c r="UKS336"/>
      <c r="UKT336"/>
      <c r="UKW336"/>
      <c r="UKX336"/>
      <c r="ULA336"/>
      <c r="ULB336"/>
      <c r="ULE336"/>
      <c r="ULF336"/>
      <c r="ULI336"/>
      <c r="ULJ336"/>
      <c r="ULM336"/>
      <c r="ULN336"/>
      <c r="ULQ336"/>
      <c r="ULR336"/>
      <c r="ULU336"/>
      <c r="ULV336"/>
      <c r="ULY336"/>
      <c r="ULZ336"/>
      <c r="UMC336"/>
      <c r="UMD336"/>
      <c r="UMG336"/>
      <c r="UMH336"/>
      <c r="UMK336"/>
      <c r="UML336"/>
      <c r="UMO336"/>
      <c r="UMP336"/>
      <c r="UMS336"/>
      <c r="UMT336"/>
      <c r="UMW336"/>
      <c r="UMX336"/>
      <c r="UNA336"/>
      <c r="UNB336"/>
      <c r="UNE336"/>
      <c r="UNF336"/>
      <c r="UNI336"/>
      <c r="UNJ336"/>
      <c r="UNM336"/>
      <c r="UNN336"/>
      <c r="UNQ336"/>
      <c r="UNR336"/>
      <c r="UNU336"/>
      <c r="UNV336"/>
      <c r="UNY336"/>
      <c r="UNZ336"/>
      <c r="UOC336"/>
      <c r="UOD336"/>
      <c r="UOG336"/>
      <c r="UOH336"/>
      <c r="UOK336"/>
      <c r="UOL336"/>
      <c r="UOO336"/>
      <c r="UOP336"/>
      <c r="UOS336"/>
      <c r="UOT336"/>
      <c r="UOW336"/>
      <c r="UOX336"/>
      <c r="UPA336"/>
      <c r="UPB336"/>
      <c r="UPE336"/>
      <c r="UPF336"/>
      <c r="UPI336"/>
      <c r="UPJ336"/>
      <c r="UPM336"/>
      <c r="UPN336"/>
      <c r="UPQ336"/>
      <c r="UPR336"/>
      <c r="UPU336"/>
      <c r="UPV336"/>
      <c r="UPY336"/>
      <c r="UPZ336"/>
      <c r="UQC336"/>
      <c r="UQD336"/>
      <c r="UQG336"/>
      <c r="UQH336"/>
      <c r="UQK336"/>
      <c r="UQL336"/>
      <c r="UQO336"/>
      <c r="UQP336"/>
      <c r="UQS336"/>
      <c r="UQT336"/>
      <c r="UQW336"/>
      <c r="UQX336"/>
      <c r="URA336"/>
      <c r="URB336"/>
      <c r="URE336"/>
      <c r="URF336"/>
      <c r="URI336"/>
      <c r="URJ336"/>
      <c r="URM336"/>
      <c r="URN336"/>
      <c r="URQ336"/>
      <c r="URR336"/>
      <c r="URU336"/>
      <c r="URV336"/>
      <c r="URY336"/>
      <c r="URZ336"/>
      <c r="USC336"/>
      <c r="USD336"/>
      <c r="USG336"/>
      <c r="USH336"/>
      <c r="USK336"/>
      <c r="USL336"/>
      <c r="USO336"/>
      <c r="USP336"/>
      <c r="USS336"/>
      <c r="UST336"/>
      <c r="USW336"/>
      <c r="USX336"/>
      <c r="UTA336"/>
      <c r="UTB336"/>
      <c r="UTE336"/>
      <c r="UTF336"/>
      <c r="UTI336"/>
      <c r="UTJ336"/>
      <c r="UTM336"/>
      <c r="UTN336"/>
      <c r="UTQ336"/>
      <c r="UTR336"/>
      <c r="UTU336"/>
      <c r="UTV336"/>
      <c r="UTY336"/>
      <c r="UTZ336"/>
      <c r="UUC336"/>
      <c r="UUD336"/>
      <c r="UUG336"/>
      <c r="UUH336"/>
      <c r="UUK336"/>
      <c r="UUL336"/>
      <c r="UUO336"/>
      <c r="UUP336"/>
      <c r="UUS336"/>
      <c r="UUT336"/>
      <c r="UUW336"/>
      <c r="UUX336"/>
      <c r="UVA336"/>
      <c r="UVB336"/>
      <c r="UVE336"/>
      <c r="UVF336"/>
      <c r="UVI336"/>
      <c r="UVJ336"/>
      <c r="UVM336"/>
      <c r="UVN336"/>
      <c r="UVQ336"/>
      <c r="UVR336"/>
      <c r="UVU336"/>
      <c r="UVV336"/>
      <c r="UVY336"/>
      <c r="UVZ336"/>
      <c r="UWC336"/>
      <c r="UWD336"/>
      <c r="UWG336"/>
      <c r="UWH336"/>
      <c r="UWK336"/>
      <c r="UWL336"/>
      <c r="UWO336"/>
      <c r="UWP336"/>
      <c r="UWS336"/>
      <c r="UWT336"/>
      <c r="UWW336"/>
      <c r="UWX336"/>
      <c r="UXA336"/>
      <c r="UXB336"/>
      <c r="UXE336"/>
      <c r="UXF336"/>
      <c r="UXI336"/>
      <c r="UXJ336"/>
      <c r="UXM336"/>
      <c r="UXN336"/>
      <c r="UXQ336"/>
      <c r="UXR336"/>
      <c r="UXU336"/>
      <c r="UXV336"/>
      <c r="UXY336"/>
      <c r="UXZ336"/>
      <c r="UYC336"/>
      <c r="UYD336"/>
      <c r="UYG336"/>
      <c r="UYH336"/>
      <c r="UYK336"/>
      <c r="UYL336"/>
      <c r="UYO336"/>
      <c r="UYP336"/>
      <c r="UYS336"/>
      <c r="UYT336"/>
      <c r="UYW336"/>
      <c r="UYX336"/>
      <c r="UZA336"/>
      <c r="UZB336"/>
      <c r="UZE336"/>
      <c r="UZF336"/>
      <c r="UZI336"/>
      <c r="UZJ336"/>
      <c r="UZM336"/>
      <c r="UZN336"/>
      <c r="UZQ336"/>
      <c r="UZR336"/>
      <c r="UZU336"/>
      <c r="UZV336"/>
      <c r="UZY336"/>
      <c r="UZZ336"/>
      <c r="VAC336"/>
      <c r="VAD336"/>
      <c r="VAG336"/>
      <c r="VAH336"/>
      <c r="VAK336"/>
      <c r="VAL336"/>
      <c r="VAO336"/>
      <c r="VAP336"/>
      <c r="VAS336"/>
      <c r="VAT336"/>
      <c r="VAW336"/>
      <c r="VAX336"/>
      <c r="VBA336"/>
      <c r="VBB336"/>
      <c r="VBE336"/>
      <c r="VBF336"/>
      <c r="VBI336"/>
      <c r="VBJ336"/>
      <c r="VBM336"/>
      <c r="VBN336"/>
      <c r="VBQ336"/>
      <c r="VBR336"/>
      <c r="VBU336"/>
      <c r="VBV336"/>
      <c r="VBY336"/>
      <c r="VBZ336"/>
      <c r="VCC336"/>
      <c r="VCD336"/>
      <c r="VCG336"/>
      <c r="VCH336"/>
      <c r="VCK336"/>
      <c r="VCL336"/>
      <c r="VCO336"/>
      <c r="VCP336"/>
      <c r="VCS336"/>
      <c r="VCT336"/>
      <c r="VCW336"/>
      <c r="VCX336"/>
      <c r="VDA336"/>
      <c r="VDB336"/>
      <c r="VDE336"/>
      <c r="VDF336"/>
      <c r="VDI336"/>
      <c r="VDJ336"/>
      <c r="VDM336"/>
      <c r="VDN336"/>
      <c r="VDQ336"/>
      <c r="VDR336"/>
      <c r="VDU336"/>
      <c r="VDV336"/>
      <c r="VDY336"/>
      <c r="VDZ336"/>
      <c r="VEC336"/>
      <c r="VED336"/>
      <c r="VEG336"/>
      <c r="VEH336"/>
      <c r="VEK336"/>
      <c r="VEL336"/>
      <c r="VEO336"/>
      <c r="VEP336"/>
      <c r="VES336"/>
      <c r="VET336"/>
      <c r="VEW336"/>
      <c r="VEX336"/>
      <c r="VFA336"/>
      <c r="VFB336"/>
      <c r="VFE336"/>
      <c r="VFF336"/>
      <c r="VFI336"/>
      <c r="VFJ336"/>
      <c r="VFM336"/>
      <c r="VFN336"/>
      <c r="VFQ336"/>
      <c r="VFR336"/>
      <c r="VFU336"/>
      <c r="VFV336"/>
      <c r="VFY336"/>
      <c r="VFZ336"/>
      <c r="VGC336"/>
      <c r="VGD336"/>
      <c r="VGG336"/>
      <c r="VGH336"/>
      <c r="VGK336"/>
      <c r="VGL336"/>
      <c r="VGO336"/>
      <c r="VGP336"/>
      <c r="VGS336"/>
      <c r="VGT336"/>
      <c r="VGW336"/>
      <c r="VGX336"/>
      <c r="VHA336"/>
      <c r="VHB336"/>
      <c r="VHE336"/>
      <c r="VHF336"/>
      <c r="VHI336"/>
      <c r="VHJ336"/>
      <c r="VHM336"/>
      <c r="VHN336"/>
      <c r="VHQ336"/>
      <c r="VHR336"/>
      <c r="VHU336"/>
      <c r="VHV336"/>
      <c r="VHY336"/>
      <c r="VHZ336"/>
      <c r="VIC336"/>
      <c r="VID336"/>
      <c r="VIG336"/>
      <c r="VIH336"/>
      <c r="VIK336"/>
      <c r="VIL336"/>
      <c r="VIO336"/>
      <c r="VIP336"/>
      <c r="VIS336"/>
      <c r="VIT336"/>
      <c r="VIW336"/>
      <c r="VIX336"/>
      <c r="VJA336"/>
      <c r="VJB336"/>
      <c r="VJE336"/>
      <c r="VJF336"/>
      <c r="VJI336"/>
      <c r="VJJ336"/>
      <c r="VJM336"/>
      <c r="VJN336"/>
      <c r="VJQ336"/>
      <c r="VJR336"/>
      <c r="VJU336"/>
      <c r="VJV336"/>
      <c r="VJY336"/>
      <c r="VJZ336"/>
      <c r="VKC336"/>
      <c r="VKD336"/>
      <c r="VKG336"/>
      <c r="VKH336"/>
      <c r="VKK336"/>
      <c r="VKL336"/>
      <c r="VKO336"/>
      <c r="VKP336"/>
      <c r="VKS336"/>
      <c r="VKT336"/>
      <c r="VKW336"/>
      <c r="VKX336"/>
      <c r="VLA336"/>
      <c r="VLB336"/>
      <c r="VLE336"/>
      <c r="VLF336"/>
      <c r="VLI336"/>
      <c r="VLJ336"/>
      <c r="VLM336"/>
      <c r="VLN336"/>
      <c r="VLQ336"/>
      <c r="VLR336"/>
      <c r="VLU336"/>
      <c r="VLV336"/>
      <c r="VLY336"/>
      <c r="VLZ336"/>
      <c r="VMC336"/>
      <c r="VMD336"/>
      <c r="VMG336"/>
      <c r="VMH336"/>
      <c r="VMK336"/>
      <c r="VML336"/>
      <c r="VMO336"/>
      <c r="VMP336"/>
      <c r="VMS336"/>
      <c r="VMT336"/>
      <c r="VMW336"/>
      <c r="VMX336"/>
      <c r="VNA336"/>
      <c r="VNB336"/>
      <c r="VNE336"/>
      <c r="VNF336"/>
      <c r="VNI336"/>
      <c r="VNJ336"/>
      <c r="VNM336"/>
      <c r="VNN336"/>
      <c r="VNQ336"/>
      <c r="VNR336"/>
      <c r="VNU336"/>
      <c r="VNV336"/>
      <c r="VNY336"/>
      <c r="VNZ336"/>
      <c r="VOC336"/>
      <c r="VOD336"/>
      <c r="VOG336"/>
      <c r="VOH336"/>
      <c r="VOK336"/>
      <c r="VOL336"/>
      <c r="VOO336"/>
      <c r="VOP336"/>
      <c r="VOS336"/>
      <c r="VOT336"/>
      <c r="VOW336"/>
      <c r="VOX336"/>
      <c r="VPA336"/>
      <c r="VPB336"/>
      <c r="VPE336"/>
      <c r="VPF336"/>
      <c r="VPI336"/>
      <c r="VPJ336"/>
      <c r="VPM336"/>
      <c r="VPN336"/>
      <c r="VPQ336"/>
      <c r="VPR336"/>
      <c r="VPU336"/>
      <c r="VPV336"/>
      <c r="VPY336"/>
      <c r="VPZ336"/>
      <c r="VQC336"/>
      <c r="VQD336"/>
      <c r="VQG336"/>
      <c r="VQH336"/>
      <c r="VQK336"/>
      <c r="VQL336"/>
      <c r="VQO336"/>
      <c r="VQP336"/>
      <c r="VQS336"/>
      <c r="VQT336"/>
      <c r="VQW336"/>
      <c r="VQX336"/>
      <c r="VRA336"/>
      <c r="VRB336"/>
      <c r="VRE336"/>
      <c r="VRF336"/>
      <c r="VRI336"/>
      <c r="VRJ336"/>
      <c r="VRM336"/>
      <c r="VRN336"/>
      <c r="VRQ336"/>
      <c r="VRR336"/>
      <c r="VRU336"/>
      <c r="VRV336"/>
      <c r="VRY336"/>
      <c r="VRZ336"/>
      <c r="VSC336"/>
      <c r="VSD336"/>
      <c r="VSG336"/>
      <c r="VSH336"/>
      <c r="VSK336"/>
      <c r="VSL336"/>
      <c r="VSO336"/>
      <c r="VSP336"/>
      <c r="VSS336"/>
      <c r="VST336"/>
      <c r="VSW336"/>
      <c r="VSX336"/>
      <c r="VTA336"/>
      <c r="VTB336"/>
      <c r="VTE336"/>
      <c r="VTF336"/>
      <c r="VTI336"/>
      <c r="VTJ336"/>
      <c r="VTM336"/>
      <c r="VTN336"/>
      <c r="VTQ336"/>
      <c r="VTR336"/>
      <c r="VTU336"/>
      <c r="VTV336"/>
      <c r="VTY336"/>
      <c r="VTZ336"/>
      <c r="VUC336"/>
      <c r="VUD336"/>
      <c r="VUG336"/>
      <c r="VUH336"/>
      <c r="VUK336"/>
      <c r="VUL336"/>
      <c r="VUO336"/>
      <c r="VUP336"/>
      <c r="VUS336"/>
      <c r="VUT336"/>
      <c r="VUW336"/>
      <c r="VUX336"/>
      <c r="VVA336"/>
      <c r="VVB336"/>
      <c r="VVE336"/>
      <c r="VVF336"/>
      <c r="VVI336"/>
      <c r="VVJ336"/>
      <c r="VVM336"/>
      <c r="VVN336"/>
      <c r="VVQ336"/>
      <c r="VVR336"/>
      <c r="VVU336"/>
      <c r="VVV336"/>
      <c r="VVY336"/>
      <c r="VVZ336"/>
      <c r="VWC336"/>
      <c r="VWD336"/>
      <c r="VWG336"/>
      <c r="VWH336"/>
      <c r="VWK336"/>
      <c r="VWL336"/>
      <c r="VWO336"/>
      <c r="VWP336"/>
      <c r="VWS336"/>
      <c r="VWT336"/>
      <c r="VWW336"/>
      <c r="VWX336"/>
      <c r="VXA336"/>
      <c r="VXB336"/>
      <c r="VXE336"/>
      <c r="VXF336"/>
      <c r="VXI336"/>
      <c r="VXJ336"/>
      <c r="VXM336"/>
      <c r="VXN336"/>
      <c r="VXQ336"/>
      <c r="VXR336"/>
      <c r="VXU336"/>
      <c r="VXV336"/>
      <c r="VXY336"/>
      <c r="VXZ336"/>
      <c r="VYC336"/>
      <c r="VYD336"/>
      <c r="VYG336"/>
      <c r="VYH336"/>
      <c r="VYK336"/>
      <c r="VYL336"/>
      <c r="VYO336"/>
      <c r="VYP336"/>
      <c r="VYS336"/>
      <c r="VYT336"/>
      <c r="VYW336"/>
      <c r="VYX336"/>
      <c r="VZA336"/>
      <c r="VZB336"/>
      <c r="VZE336"/>
      <c r="VZF336"/>
      <c r="VZI336"/>
      <c r="VZJ336"/>
      <c r="VZM336"/>
      <c r="VZN336"/>
      <c r="VZQ336"/>
      <c r="VZR336"/>
      <c r="VZU336"/>
      <c r="VZV336"/>
      <c r="VZY336"/>
      <c r="VZZ336"/>
      <c r="WAC336"/>
      <c r="WAD336"/>
      <c r="WAG336"/>
      <c r="WAH336"/>
      <c r="WAK336"/>
      <c r="WAL336"/>
      <c r="WAO336"/>
      <c r="WAP336"/>
      <c r="WAS336"/>
      <c r="WAT336"/>
      <c r="WAW336"/>
      <c r="WAX336"/>
      <c r="WBA336"/>
      <c r="WBB336"/>
      <c r="WBE336"/>
      <c r="WBF336"/>
      <c r="WBI336"/>
      <c r="WBJ336"/>
      <c r="WBM336"/>
      <c r="WBN336"/>
      <c r="WBQ336"/>
      <c r="WBR336"/>
      <c r="WBU336"/>
      <c r="WBV336"/>
      <c r="WBY336"/>
      <c r="WBZ336"/>
      <c r="WCC336"/>
      <c r="WCD336"/>
      <c r="WCG336"/>
      <c r="WCH336"/>
      <c r="WCK336"/>
      <c r="WCL336"/>
      <c r="WCO336"/>
      <c r="WCP336"/>
      <c r="WCS336"/>
      <c r="WCT336"/>
      <c r="WCW336"/>
      <c r="WCX336"/>
      <c r="WDA336"/>
      <c r="WDB336"/>
      <c r="WDE336"/>
      <c r="WDF336"/>
      <c r="WDI336"/>
      <c r="WDJ336"/>
      <c r="WDM336"/>
      <c r="WDN336"/>
      <c r="WDQ336"/>
      <c r="WDR336"/>
      <c r="WDU336"/>
      <c r="WDV336"/>
      <c r="WDY336"/>
      <c r="WDZ336"/>
      <c r="WEC336"/>
      <c r="WED336"/>
      <c r="WEG336"/>
      <c r="WEH336"/>
      <c r="WEK336"/>
      <c r="WEL336"/>
      <c r="WEO336"/>
      <c r="WEP336"/>
      <c r="WES336"/>
      <c r="WET336"/>
      <c r="WEW336"/>
      <c r="WEX336"/>
      <c r="WFA336"/>
      <c r="WFB336"/>
      <c r="WFE336"/>
      <c r="WFF336"/>
      <c r="WFI336"/>
      <c r="WFJ336"/>
      <c r="WFM336"/>
      <c r="WFN336"/>
      <c r="WFQ336"/>
      <c r="WFR336"/>
      <c r="WFU336"/>
      <c r="WFV336"/>
      <c r="WFY336"/>
      <c r="WFZ336"/>
      <c r="WGC336"/>
      <c r="WGD336"/>
      <c r="WGG336"/>
      <c r="WGH336"/>
      <c r="WGK336"/>
      <c r="WGL336"/>
      <c r="WGO336"/>
      <c r="WGP336"/>
      <c r="WGS336"/>
      <c r="WGT336"/>
      <c r="WGW336"/>
      <c r="WGX336"/>
      <c r="WHA336"/>
      <c r="WHB336"/>
      <c r="WHE336"/>
      <c r="WHF336"/>
      <c r="WHI336"/>
      <c r="WHJ336"/>
      <c r="WHM336"/>
      <c r="WHN336"/>
      <c r="WHQ336"/>
      <c r="WHR336"/>
      <c r="WHU336"/>
      <c r="WHV336"/>
      <c r="WHY336"/>
      <c r="WHZ336"/>
      <c r="WIC336"/>
      <c r="WID336"/>
      <c r="WIG336"/>
      <c r="WIH336"/>
      <c r="WIK336"/>
      <c r="WIL336"/>
      <c r="WIO336"/>
      <c r="WIP336"/>
      <c r="WIS336"/>
      <c r="WIT336"/>
      <c r="WIW336"/>
      <c r="WIX336"/>
      <c r="WJA336"/>
      <c r="WJB336"/>
      <c r="WJE336"/>
      <c r="WJF336"/>
      <c r="WJI336"/>
      <c r="WJJ336"/>
      <c r="WJM336"/>
      <c r="WJN336"/>
      <c r="WJQ336"/>
      <c r="WJR336"/>
      <c r="WJU336"/>
      <c r="WJV336"/>
      <c r="WJY336"/>
      <c r="WJZ336"/>
      <c r="WKC336"/>
      <c r="WKD336"/>
      <c r="WKG336"/>
      <c r="WKH336"/>
      <c r="WKK336"/>
      <c r="WKL336"/>
      <c r="WKO336"/>
      <c r="WKP336"/>
      <c r="WKS336"/>
      <c r="WKT336"/>
      <c r="WKW336"/>
      <c r="WKX336"/>
      <c r="WLA336"/>
      <c r="WLB336"/>
      <c r="WLE336"/>
      <c r="WLF336"/>
      <c r="WLI336"/>
      <c r="WLJ336"/>
      <c r="WLM336"/>
      <c r="WLN336"/>
      <c r="WLQ336"/>
      <c r="WLR336"/>
      <c r="WLU336"/>
      <c r="WLV336"/>
      <c r="WLY336"/>
      <c r="WLZ336"/>
      <c r="WMC336"/>
      <c r="WMD336"/>
      <c r="WMG336"/>
      <c r="WMH336"/>
      <c r="WMK336"/>
      <c r="WML336"/>
      <c r="WMO336"/>
      <c r="WMP336"/>
      <c r="WMS336"/>
      <c r="WMT336"/>
      <c r="WMW336"/>
      <c r="WMX336"/>
      <c r="WNA336"/>
      <c r="WNB336"/>
      <c r="WNE336"/>
      <c r="WNF336"/>
      <c r="WNI336"/>
      <c r="WNJ336"/>
      <c r="WNM336"/>
      <c r="WNN336"/>
      <c r="WNQ336"/>
      <c r="WNR336"/>
      <c r="WNU336"/>
      <c r="WNV336"/>
      <c r="WNY336"/>
      <c r="WNZ336"/>
      <c r="WOC336"/>
      <c r="WOD336"/>
      <c r="WOG336"/>
      <c r="WOH336"/>
      <c r="WOK336"/>
      <c r="WOL336"/>
      <c r="WOO336"/>
      <c r="WOP336"/>
      <c r="WOS336"/>
      <c r="WOT336"/>
      <c r="WOW336"/>
      <c r="WOX336"/>
      <c r="WPA336"/>
      <c r="WPB336"/>
      <c r="WPE336"/>
      <c r="WPF336"/>
      <c r="WPI336"/>
      <c r="WPJ336"/>
      <c r="WPM336"/>
      <c r="WPN336"/>
      <c r="WPQ336"/>
      <c r="WPR336"/>
      <c r="WPU336"/>
      <c r="WPV336"/>
      <c r="WPY336"/>
      <c r="WPZ336"/>
      <c r="WQC336"/>
      <c r="WQD336"/>
      <c r="WQG336"/>
      <c r="WQH336"/>
      <c r="WQK336"/>
      <c r="WQL336"/>
      <c r="WQO336"/>
      <c r="WQP336"/>
      <c r="WQS336"/>
      <c r="WQT336"/>
      <c r="WQW336"/>
      <c r="WQX336"/>
      <c r="WRA336"/>
      <c r="WRB336"/>
      <c r="WRE336"/>
      <c r="WRF336"/>
      <c r="WRI336"/>
      <c r="WRJ336"/>
      <c r="WRM336"/>
      <c r="WRN336"/>
      <c r="WRQ336"/>
      <c r="WRR336"/>
      <c r="WRU336"/>
      <c r="WRV336"/>
      <c r="WRY336"/>
      <c r="WRZ336"/>
      <c r="WSC336"/>
      <c r="WSD336"/>
      <c r="WSG336"/>
      <c r="WSH336"/>
      <c r="WSK336"/>
      <c r="WSL336"/>
      <c r="WSO336"/>
      <c r="WSP336"/>
      <c r="WSS336"/>
      <c r="WST336"/>
      <c r="WSW336"/>
      <c r="WSX336"/>
      <c r="WTA336"/>
      <c r="WTB336"/>
      <c r="WTE336"/>
      <c r="WTF336"/>
      <c r="WTI336"/>
      <c r="WTJ336"/>
      <c r="WTM336"/>
      <c r="WTN336"/>
      <c r="WTQ336"/>
      <c r="WTR336"/>
      <c r="WTU336"/>
      <c r="WTV336"/>
      <c r="WTY336"/>
      <c r="WTZ336"/>
      <c r="WUC336"/>
      <c r="WUD336"/>
      <c r="WUG336"/>
      <c r="WUH336"/>
      <c r="WUK336"/>
      <c r="WUL336"/>
      <c r="WUO336"/>
      <c r="WUP336"/>
      <c r="WUS336"/>
      <c r="WUT336"/>
      <c r="WUW336"/>
      <c r="WUX336"/>
      <c r="WVA336"/>
      <c r="WVB336"/>
      <c r="WVE336"/>
      <c r="WVF336"/>
      <c r="WVI336"/>
      <c r="WVJ336"/>
      <c r="WVM336"/>
      <c r="WVN336"/>
      <c r="WVQ336"/>
      <c r="WVR336"/>
      <c r="WVU336"/>
      <c r="WVV336"/>
      <c r="WVY336"/>
      <c r="WVZ336"/>
      <c r="WWC336"/>
      <c r="WWD336"/>
      <c r="WWG336"/>
      <c r="WWH336"/>
      <c r="WWK336"/>
      <c r="WWL336"/>
      <c r="WWO336"/>
      <c r="WWP336"/>
      <c r="WWS336"/>
      <c r="WWT336"/>
      <c r="WWW336"/>
      <c r="WWX336"/>
      <c r="WXA336"/>
      <c r="WXB336"/>
      <c r="WXE336"/>
      <c r="WXF336"/>
      <c r="WXI336"/>
      <c r="WXJ336"/>
      <c r="WXM336"/>
      <c r="WXN336"/>
      <c r="WXQ336"/>
      <c r="WXR336"/>
      <c r="WXU336"/>
      <c r="WXV336"/>
      <c r="WXY336"/>
      <c r="WXZ336"/>
      <c r="WYC336"/>
      <c r="WYD336"/>
      <c r="WYG336"/>
      <c r="WYH336"/>
      <c r="WYK336"/>
      <c r="WYL336"/>
      <c r="WYO336"/>
      <c r="WYP336"/>
      <c r="WYS336"/>
      <c r="WYT336"/>
      <c r="WYW336"/>
      <c r="WYX336"/>
      <c r="WZA336"/>
      <c r="WZB336"/>
      <c r="WZE336"/>
      <c r="WZF336"/>
      <c r="WZI336"/>
      <c r="WZJ336"/>
      <c r="WZM336"/>
      <c r="WZN336"/>
      <c r="WZQ336"/>
      <c r="WZR336"/>
      <c r="WZU336"/>
      <c r="WZV336"/>
      <c r="WZY336"/>
      <c r="WZZ336"/>
      <c r="XAC336"/>
      <c r="XAD336"/>
      <c r="XAG336"/>
      <c r="XAH336"/>
      <c r="XAK336"/>
      <c r="XAL336"/>
      <c r="XAO336"/>
      <c r="XAP336"/>
      <c r="XAS336"/>
      <c r="XAT336"/>
      <c r="XAW336"/>
      <c r="XAX336"/>
      <c r="XBA336"/>
      <c r="XBB336"/>
      <c r="XBE336"/>
      <c r="XBF336"/>
      <c r="XBI336"/>
      <c r="XBJ336"/>
      <c r="XBM336"/>
      <c r="XBN336"/>
      <c r="XBQ336"/>
      <c r="XBR336"/>
      <c r="XBU336"/>
      <c r="XBV336"/>
      <c r="XBY336"/>
      <c r="XBZ336"/>
      <c r="XCC336"/>
      <c r="XCD336"/>
      <c r="XCG336"/>
      <c r="XCH336"/>
      <c r="XCK336"/>
      <c r="XCL336"/>
      <c r="XCO336"/>
      <c r="XCP336"/>
      <c r="XCS336"/>
      <c r="XCT336"/>
      <c r="XCW336"/>
      <c r="XCX336"/>
      <c r="XDA336"/>
      <c r="XDB336"/>
      <c r="XDE336"/>
      <c r="XDF336"/>
      <c r="XDI336"/>
      <c r="XDJ336"/>
      <c r="XDM336"/>
      <c r="XDN336"/>
      <c r="XDQ336"/>
      <c r="XDR336"/>
      <c r="XDU336"/>
      <c r="XDV336"/>
      <c r="XDY336"/>
      <c r="XDZ336"/>
      <c r="XEC336"/>
      <c r="XED336"/>
      <c r="XEG336"/>
      <c r="XEH336"/>
      <c r="XEK336"/>
      <c r="XEL336"/>
      <c r="XEO336"/>
      <c r="XEP336"/>
      <c r="XES336"/>
      <c r="XET336"/>
      <c r="XEW336"/>
      <c r="XEX336"/>
      <c r="XFA336"/>
      <c r="XFB336"/>
    </row>
    <row r="337" spans="1:1022 1025:2046 2049:3070 3073:4094 4097:5118 5121:6142 6145:7166 7169:8190 8193:9214 9217:10238 10241:11262 11265:12286 12289:13310 13313:14334 14337:15358 15361:16382" s="13" customFormat="1" outlineLevel="1" x14ac:dyDescent="0.3">
      <c r="A337" t="s">
        <v>1223</v>
      </c>
      <c r="B337" t="s">
        <v>168</v>
      </c>
      <c r="C337" s="13" t="s">
        <v>9</v>
      </c>
      <c r="D337" s="13" t="s">
        <v>1224</v>
      </c>
      <c r="E337" t="s">
        <v>5972</v>
      </c>
      <c r="F337"/>
      <c r="I337"/>
      <c r="J337"/>
      <c r="M337"/>
      <c r="N337"/>
      <c r="Q337"/>
      <c r="R337"/>
      <c r="U337"/>
      <c r="V337"/>
      <c r="Y337"/>
      <c r="Z337"/>
      <c r="AC337"/>
      <c r="AD337"/>
      <c r="AG337"/>
      <c r="AH337"/>
      <c r="AK337"/>
      <c r="AL337"/>
      <c r="AO337"/>
      <c r="AP337"/>
      <c r="AS337"/>
      <c r="AT337"/>
      <c r="AW337"/>
      <c r="AX337"/>
      <c r="BA337"/>
      <c r="BB337"/>
      <c r="BE337"/>
      <c r="BF337"/>
      <c r="BI337"/>
      <c r="BJ337"/>
      <c r="BM337"/>
      <c r="BN337"/>
      <c r="BQ337"/>
      <c r="BR337"/>
      <c r="BU337"/>
      <c r="BV337"/>
      <c r="BY337"/>
      <c r="BZ337"/>
      <c r="CC337"/>
      <c r="CD337"/>
      <c r="CG337"/>
      <c r="CH337"/>
      <c r="CK337"/>
      <c r="CL337"/>
      <c r="CO337"/>
      <c r="CP337"/>
      <c r="CS337"/>
      <c r="CT337"/>
      <c r="CW337"/>
      <c r="CX337"/>
      <c r="DA337"/>
      <c r="DB337"/>
      <c r="DE337"/>
      <c r="DF337"/>
      <c r="DI337"/>
      <c r="DJ337"/>
      <c r="DM337"/>
      <c r="DN337"/>
      <c r="DQ337"/>
      <c r="DR337"/>
      <c r="DU337"/>
      <c r="DV337"/>
      <c r="DY337"/>
      <c r="DZ337"/>
      <c r="EC337"/>
      <c r="ED337"/>
      <c r="EG337"/>
      <c r="EH337"/>
      <c r="EK337"/>
      <c r="EL337"/>
      <c r="EO337"/>
      <c r="EP337"/>
      <c r="ES337"/>
      <c r="ET337"/>
      <c r="EW337"/>
      <c r="EX337"/>
      <c r="FA337"/>
      <c r="FB337"/>
      <c r="FE337"/>
      <c r="FF337"/>
      <c r="FI337"/>
      <c r="FJ337"/>
      <c r="FM337"/>
      <c r="FN337"/>
      <c r="FQ337"/>
      <c r="FR337"/>
      <c r="FU337"/>
      <c r="FV337"/>
      <c r="FY337"/>
      <c r="FZ337"/>
      <c r="GC337"/>
      <c r="GD337"/>
      <c r="GG337"/>
      <c r="GH337"/>
      <c r="GK337"/>
      <c r="GL337"/>
      <c r="GO337"/>
      <c r="GP337"/>
      <c r="GS337"/>
      <c r="GT337"/>
      <c r="GW337"/>
      <c r="GX337"/>
      <c r="HA337"/>
      <c r="HB337"/>
      <c r="HE337"/>
      <c r="HF337"/>
      <c r="HI337"/>
      <c r="HJ337"/>
      <c r="HM337"/>
      <c r="HN337"/>
      <c r="HQ337"/>
      <c r="HR337"/>
      <c r="HU337"/>
      <c r="HV337"/>
      <c r="HY337"/>
      <c r="HZ337"/>
      <c r="IC337"/>
      <c r="ID337"/>
      <c r="IG337"/>
      <c r="IH337"/>
      <c r="IK337"/>
      <c r="IL337"/>
      <c r="IO337"/>
      <c r="IP337"/>
      <c r="IS337"/>
      <c r="IT337"/>
      <c r="IW337"/>
      <c r="IX337"/>
      <c r="JA337"/>
      <c r="JB337"/>
      <c r="JE337"/>
      <c r="JF337"/>
      <c r="JI337"/>
      <c r="JJ337"/>
      <c r="JM337"/>
      <c r="JN337"/>
      <c r="JQ337"/>
      <c r="JR337"/>
      <c r="JU337"/>
      <c r="JV337"/>
      <c r="JY337"/>
      <c r="JZ337"/>
      <c r="KC337"/>
      <c r="KD337"/>
      <c r="KG337"/>
      <c r="KH337"/>
      <c r="KK337"/>
      <c r="KL337"/>
      <c r="KO337"/>
      <c r="KP337"/>
      <c r="KS337"/>
      <c r="KT337"/>
      <c r="KW337"/>
      <c r="KX337"/>
      <c r="LA337"/>
      <c r="LB337"/>
      <c r="LE337"/>
      <c r="LF337"/>
      <c r="LI337"/>
      <c r="LJ337"/>
      <c r="LM337"/>
      <c r="LN337"/>
      <c r="LQ337"/>
      <c r="LR337"/>
      <c r="LU337"/>
      <c r="LV337"/>
      <c r="LY337"/>
      <c r="LZ337"/>
      <c r="MC337"/>
      <c r="MD337"/>
      <c r="MG337"/>
      <c r="MH337"/>
      <c r="MK337"/>
      <c r="ML337"/>
      <c r="MO337"/>
      <c r="MP337"/>
      <c r="MS337"/>
      <c r="MT337"/>
      <c r="MW337"/>
      <c r="MX337"/>
      <c r="NA337"/>
      <c r="NB337"/>
      <c r="NE337"/>
      <c r="NF337"/>
      <c r="NI337"/>
      <c r="NJ337"/>
      <c r="NM337"/>
      <c r="NN337"/>
      <c r="NQ337"/>
      <c r="NR337"/>
      <c r="NU337"/>
      <c r="NV337"/>
      <c r="NY337"/>
      <c r="NZ337"/>
      <c r="OC337"/>
      <c r="OD337"/>
      <c r="OG337"/>
      <c r="OH337"/>
      <c r="OK337"/>
      <c r="OL337"/>
      <c r="OO337"/>
      <c r="OP337"/>
      <c r="OS337"/>
      <c r="OT337"/>
      <c r="OW337"/>
      <c r="OX337"/>
      <c r="PA337"/>
      <c r="PB337"/>
      <c r="PE337"/>
      <c r="PF337"/>
      <c r="PI337"/>
      <c r="PJ337"/>
      <c r="PM337"/>
      <c r="PN337"/>
      <c r="PQ337"/>
      <c r="PR337"/>
      <c r="PU337"/>
      <c r="PV337"/>
      <c r="PY337"/>
      <c r="PZ337"/>
      <c r="QC337"/>
      <c r="QD337"/>
      <c r="QG337"/>
      <c r="QH337"/>
      <c r="QK337"/>
      <c r="QL337"/>
      <c r="QO337"/>
      <c r="QP337"/>
      <c r="QS337"/>
      <c r="QT337"/>
      <c r="QW337"/>
      <c r="QX337"/>
      <c r="RA337"/>
      <c r="RB337"/>
      <c r="RE337"/>
      <c r="RF337"/>
      <c r="RI337"/>
      <c r="RJ337"/>
      <c r="RM337"/>
      <c r="RN337"/>
      <c r="RQ337"/>
      <c r="RR337"/>
      <c r="RU337"/>
      <c r="RV337"/>
      <c r="RY337"/>
      <c r="RZ337"/>
      <c r="SC337"/>
      <c r="SD337"/>
      <c r="SG337"/>
      <c r="SH337"/>
      <c r="SK337"/>
      <c r="SL337"/>
      <c r="SO337"/>
      <c r="SP337"/>
      <c r="SS337"/>
      <c r="ST337"/>
      <c r="SW337"/>
      <c r="SX337"/>
      <c r="TA337"/>
      <c r="TB337"/>
      <c r="TE337"/>
      <c r="TF337"/>
      <c r="TI337"/>
      <c r="TJ337"/>
      <c r="TM337"/>
      <c r="TN337"/>
      <c r="TQ337"/>
      <c r="TR337"/>
      <c r="TU337"/>
      <c r="TV337"/>
      <c r="TY337"/>
      <c r="TZ337"/>
      <c r="UC337"/>
      <c r="UD337"/>
      <c r="UG337"/>
      <c r="UH337"/>
      <c r="UK337"/>
      <c r="UL337"/>
      <c r="UO337"/>
      <c r="UP337"/>
      <c r="US337"/>
      <c r="UT337"/>
      <c r="UW337"/>
      <c r="UX337"/>
      <c r="VA337"/>
      <c r="VB337"/>
      <c r="VE337"/>
      <c r="VF337"/>
      <c r="VI337"/>
      <c r="VJ337"/>
      <c r="VM337"/>
      <c r="VN337"/>
      <c r="VQ337"/>
      <c r="VR337"/>
      <c r="VU337"/>
      <c r="VV337"/>
      <c r="VY337"/>
      <c r="VZ337"/>
      <c r="WC337"/>
      <c r="WD337"/>
      <c r="WG337"/>
      <c r="WH337"/>
      <c r="WK337"/>
      <c r="WL337"/>
      <c r="WO337"/>
      <c r="WP337"/>
      <c r="WS337"/>
      <c r="WT337"/>
      <c r="WW337"/>
      <c r="WX337"/>
      <c r="XA337"/>
      <c r="XB337"/>
      <c r="XE337"/>
      <c r="XF337"/>
      <c r="XI337"/>
      <c r="XJ337"/>
      <c r="XM337"/>
      <c r="XN337"/>
      <c r="XQ337"/>
      <c r="XR337"/>
      <c r="XU337"/>
      <c r="XV337"/>
      <c r="XY337"/>
      <c r="XZ337"/>
      <c r="YC337"/>
      <c r="YD337"/>
      <c r="YG337"/>
      <c r="YH337"/>
      <c r="YK337"/>
      <c r="YL337"/>
      <c r="YO337"/>
      <c r="YP337"/>
      <c r="YS337"/>
      <c r="YT337"/>
      <c r="YW337"/>
      <c r="YX337"/>
      <c r="ZA337"/>
      <c r="ZB337"/>
      <c r="ZE337"/>
      <c r="ZF337"/>
      <c r="ZI337"/>
      <c r="ZJ337"/>
      <c r="ZM337"/>
      <c r="ZN337"/>
      <c r="ZQ337"/>
      <c r="ZR337"/>
      <c r="ZU337"/>
      <c r="ZV337"/>
      <c r="ZY337"/>
      <c r="ZZ337"/>
      <c r="AAC337"/>
      <c r="AAD337"/>
      <c r="AAG337"/>
      <c r="AAH337"/>
      <c r="AAK337"/>
      <c r="AAL337"/>
      <c r="AAO337"/>
      <c r="AAP337"/>
      <c r="AAS337"/>
      <c r="AAT337"/>
      <c r="AAW337"/>
      <c r="AAX337"/>
      <c r="ABA337"/>
      <c r="ABB337"/>
      <c r="ABE337"/>
      <c r="ABF337"/>
      <c r="ABI337"/>
      <c r="ABJ337"/>
      <c r="ABM337"/>
      <c r="ABN337"/>
      <c r="ABQ337"/>
      <c r="ABR337"/>
      <c r="ABU337"/>
      <c r="ABV337"/>
      <c r="ABY337"/>
      <c r="ABZ337"/>
      <c r="ACC337"/>
      <c r="ACD337"/>
      <c r="ACG337"/>
      <c r="ACH337"/>
      <c r="ACK337"/>
      <c r="ACL337"/>
      <c r="ACO337"/>
      <c r="ACP337"/>
      <c r="ACS337"/>
      <c r="ACT337"/>
      <c r="ACW337"/>
      <c r="ACX337"/>
      <c r="ADA337"/>
      <c r="ADB337"/>
      <c r="ADE337"/>
      <c r="ADF337"/>
      <c r="ADI337"/>
      <c r="ADJ337"/>
      <c r="ADM337"/>
      <c r="ADN337"/>
      <c r="ADQ337"/>
      <c r="ADR337"/>
      <c r="ADU337"/>
      <c r="ADV337"/>
      <c r="ADY337"/>
      <c r="ADZ337"/>
      <c r="AEC337"/>
      <c r="AED337"/>
      <c r="AEG337"/>
      <c r="AEH337"/>
      <c r="AEK337"/>
      <c r="AEL337"/>
      <c r="AEO337"/>
      <c r="AEP337"/>
      <c r="AES337"/>
      <c r="AET337"/>
      <c r="AEW337"/>
      <c r="AEX337"/>
      <c r="AFA337"/>
      <c r="AFB337"/>
      <c r="AFE337"/>
      <c r="AFF337"/>
      <c r="AFI337"/>
      <c r="AFJ337"/>
      <c r="AFM337"/>
      <c r="AFN337"/>
      <c r="AFQ337"/>
      <c r="AFR337"/>
      <c r="AFU337"/>
      <c r="AFV337"/>
      <c r="AFY337"/>
      <c r="AFZ337"/>
      <c r="AGC337"/>
      <c r="AGD337"/>
      <c r="AGG337"/>
      <c r="AGH337"/>
      <c r="AGK337"/>
      <c r="AGL337"/>
      <c r="AGO337"/>
      <c r="AGP337"/>
      <c r="AGS337"/>
      <c r="AGT337"/>
      <c r="AGW337"/>
      <c r="AGX337"/>
      <c r="AHA337"/>
      <c r="AHB337"/>
      <c r="AHE337"/>
      <c r="AHF337"/>
      <c r="AHI337"/>
      <c r="AHJ337"/>
      <c r="AHM337"/>
      <c r="AHN337"/>
      <c r="AHQ337"/>
      <c r="AHR337"/>
      <c r="AHU337"/>
      <c r="AHV337"/>
      <c r="AHY337"/>
      <c r="AHZ337"/>
      <c r="AIC337"/>
      <c r="AID337"/>
      <c r="AIG337"/>
      <c r="AIH337"/>
      <c r="AIK337"/>
      <c r="AIL337"/>
      <c r="AIO337"/>
      <c r="AIP337"/>
      <c r="AIS337"/>
      <c r="AIT337"/>
      <c r="AIW337"/>
      <c r="AIX337"/>
      <c r="AJA337"/>
      <c r="AJB337"/>
      <c r="AJE337"/>
      <c r="AJF337"/>
      <c r="AJI337"/>
      <c r="AJJ337"/>
      <c r="AJM337"/>
      <c r="AJN337"/>
      <c r="AJQ337"/>
      <c r="AJR337"/>
      <c r="AJU337"/>
      <c r="AJV337"/>
      <c r="AJY337"/>
      <c r="AJZ337"/>
      <c r="AKC337"/>
      <c r="AKD337"/>
      <c r="AKG337"/>
      <c r="AKH337"/>
      <c r="AKK337"/>
      <c r="AKL337"/>
      <c r="AKO337"/>
      <c r="AKP337"/>
      <c r="AKS337"/>
      <c r="AKT337"/>
      <c r="AKW337"/>
      <c r="AKX337"/>
      <c r="ALA337"/>
      <c r="ALB337"/>
      <c r="ALE337"/>
      <c r="ALF337"/>
      <c r="ALI337"/>
      <c r="ALJ337"/>
      <c r="ALM337"/>
      <c r="ALN337"/>
      <c r="ALQ337"/>
      <c r="ALR337"/>
      <c r="ALU337"/>
      <c r="ALV337"/>
      <c r="ALY337"/>
      <c r="ALZ337"/>
      <c r="AMC337"/>
      <c r="AMD337"/>
      <c r="AMG337"/>
      <c r="AMH337"/>
      <c r="AMK337"/>
      <c r="AML337"/>
      <c r="AMO337"/>
      <c r="AMP337"/>
      <c r="AMS337"/>
      <c r="AMT337"/>
      <c r="AMW337"/>
      <c r="AMX337"/>
      <c r="ANA337"/>
      <c r="ANB337"/>
      <c r="ANE337"/>
      <c r="ANF337"/>
      <c r="ANI337"/>
      <c r="ANJ337"/>
      <c r="ANM337"/>
      <c r="ANN337"/>
      <c r="ANQ337"/>
      <c r="ANR337"/>
      <c r="ANU337"/>
      <c r="ANV337"/>
      <c r="ANY337"/>
      <c r="ANZ337"/>
      <c r="AOC337"/>
      <c r="AOD337"/>
      <c r="AOG337"/>
      <c r="AOH337"/>
      <c r="AOK337"/>
      <c r="AOL337"/>
      <c r="AOO337"/>
      <c r="AOP337"/>
      <c r="AOS337"/>
      <c r="AOT337"/>
      <c r="AOW337"/>
      <c r="AOX337"/>
      <c r="APA337"/>
      <c r="APB337"/>
      <c r="APE337"/>
      <c r="APF337"/>
      <c r="API337"/>
      <c r="APJ337"/>
      <c r="APM337"/>
      <c r="APN337"/>
      <c r="APQ337"/>
      <c r="APR337"/>
      <c r="APU337"/>
      <c r="APV337"/>
      <c r="APY337"/>
      <c r="APZ337"/>
      <c r="AQC337"/>
      <c r="AQD337"/>
      <c r="AQG337"/>
      <c r="AQH337"/>
      <c r="AQK337"/>
      <c r="AQL337"/>
      <c r="AQO337"/>
      <c r="AQP337"/>
      <c r="AQS337"/>
      <c r="AQT337"/>
      <c r="AQW337"/>
      <c r="AQX337"/>
      <c r="ARA337"/>
      <c r="ARB337"/>
      <c r="ARE337"/>
      <c r="ARF337"/>
      <c r="ARI337"/>
      <c r="ARJ337"/>
      <c r="ARM337"/>
      <c r="ARN337"/>
      <c r="ARQ337"/>
      <c r="ARR337"/>
      <c r="ARU337"/>
      <c r="ARV337"/>
      <c r="ARY337"/>
      <c r="ARZ337"/>
      <c r="ASC337"/>
      <c r="ASD337"/>
      <c r="ASG337"/>
      <c r="ASH337"/>
      <c r="ASK337"/>
      <c r="ASL337"/>
      <c r="ASO337"/>
      <c r="ASP337"/>
      <c r="ASS337"/>
      <c r="AST337"/>
      <c r="ASW337"/>
      <c r="ASX337"/>
      <c r="ATA337"/>
      <c r="ATB337"/>
      <c r="ATE337"/>
      <c r="ATF337"/>
      <c r="ATI337"/>
      <c r="ATJ337"/>
      <c r="ATM337"/>
      <c r="ATN337"/>
      <c r="ATQ337"/>
      <c r="ATR337"/>
      <c r="ATU337"/>
      <c r="ATV337"/>
      <c r="ATY337"/>
      <c r="ATZ337"/>
      <c r="AUC337"/>
      <c r="AUD337"/>
      <c r="AUG337"/>
      <c r="AUH337"/>
      <c r="AUK337"/>
      <c r="AUL337"/>
      <c r="AUO337"/>
      <c r="AUP337"/>
      <c r="AUS337"/>
      <c r="AUT337"/>
      <c r="AUW337"/>
      <c r="AUX337"/>
      <c r="AVA337"/>
      <c r="AVB337"/>
      <c r="AVE337"/>
      <c r="AVF337"/>
      <c r="AVI337"/>
      <c r="AVJ337"/>
      <c r="AVM337"/>
      <c r="AVN337"/>
      <c r="AVQ337"/>
      <c r="AVR337"/>
      <c r="AVU337"/>
      <c r="AVV337"/>
      <c r="AVY337"/>
      <c r="AVZ337"/>
      <c r="AWC337"/>
      <c r="AWD337"/>
      <c r="AWG337"/>
      <c r="AWH337"/>
      <c r="AWK337"/>
      <c r="AWL337"/>
      <c r="AWO337"/>
      <c r="AWP337"/>
      <c r="AWS337"/>
      <c r="AWT337"/>
      <c r="AWW337"/>
      <c r="AWX337"/>
      <c r="AXA337"/>
      <c r="AXB337"/>
      <c r="AXE337"/>
      <c r="AXF337"/>
      <c r="AXI337"/>
      <c r="AXJ337"/>
      <c r="AXM337"/>
      <c r="AXN337"/>
      <c r="AXQ337"/>
      <c r="AXR337"/>
      <c r="AXU337"/>
      <c r="AXV337"/>
      <c r="AXY337"/>
      <c r="AXZ337"/>
      <c r="AYC337"/>
      <c r="AYD337"/>
      <c r="AYG337"/>
      <c r="AYH337"/>
      <c r="AYK337"/>
      <c r="AYL337"/>
      <c r="AYO337"/>
      <c r="AYP337"/>
      <c r="AYS337"/>
      <c r="AYT337"/>
      <c r="AYW337"/>
      <c r="AYX337"/>
      <c r="AZA337"/>
      <c r="AZB337"/>
      <c r="AZE337"/>
      <c r="AZF337"/>
      <c r="AZI337"/>
      <c r="AZJ337"/>
      <c r="AZM337"/>
      <c r="AZN337"/>
      <c r="AZQ337"/>
      <c r="AZR337"/>
      <c r="AZU337"/>
      <c r="AZV337"/>
      <c r="AZY337"/>
      <c r="AZZ337"/>
      <c r="BAC337"/>
      <c r="BAD337"/>
      <c r="BAG337"/>
      <c r="BAH337"/>
      <c r="BAK337"/>
      <c r="BAL337"/>
      <c r="BAO337"/>
      <c r="BAP337"/>
      <c r="BAS337"/>
      <c r="BAT337"/>
      <c r="BAW337"/>
      <c r="BAX337"/>
      <c r="BBA337"/>
      <c r="BBB337"/>
      <c r="BBE337"/>
      <c r="BBF337"/>
      <c r="BBI337"/>
      <c r="BBJ337"/>
      <c r="BBM337"/>
      <c r="BBN337"/>
      <c r="BBQ337"/>
      <c r="BBR337"/>
      <c r="BBU337"/>
      <c r="BBV337"/>
      <c r="BBY337"/>
      <c r="BBZ337"/>
      <c r="BCC337"/>
      <c r="BCD337"/>
      <c r="BCG337"/>
      <c r="BCH337"/>
      <c r="BCK337"/>
      <c r="BCL337"/>
      <c r="BCO337"/>
      <c r="BCP337"/>
      <c r="BCS337"/>
      <c r="BCT337"/>
      <c r="BCW337"/>
      <c r="BCX337"/>
      <c r="BDA337"/>
      <c r="BDB337"/>
      <c r="BDE337"/>
      <c r="BDF337"/>
      <c r="BDI337"/>
      <c r="BDJ337"/>
      <c r="BDM337"/>
      <c r="BDN337"/>
      <c r="BDQ337"/>
      <c r="BDR337"/>
      <c r="BDU337"/>
      <c r="BDV337"/>
      <c r="BDY337"/>
      <c r="BDZ337"/>
      <c r="BEC337"/>
      <c r="BED337"/>
      <c r="BEG337"/>
      <c r="BEH337"/>
      <c r="BEK337"/>
      <c r="BEL337"/>
      <c r="BEO337"/>
      <c r="BEP337"/>
      <c r="BES337"/>
      <c r="BET337"/>
      <c r="BEW337"/>
      <c r="BEX337"/>
      <c r="BFA337"/>
      <c r="BFB337"/>
      <c r="BFE337"/>
      <c r="BFF337"/>
      <c r="BFI337"/>
      <c r="BFJ337"/>
      <c r="BFM337"/>
      <c r="BFN337"/>
      <c r="BFQ337"/>
      <c r="BFR337"/>
      <c r="BFU337"/>
      <c r="BFV337"/>
      <c r="BFY337"/>
      <c r="BFZ337"/>
      <c r="BGC337"/>
      <c r="BGD337"/>
      <c r="BGG337"/>
      <c r="BGH337"/>
      <c r="BGK337"/>
      <c r="BGL337"/>
      <c r="BGO337"/>
      <c r="BGP337"/>
      <c r="BGS337"/>
      <c r="BGT337"/>
      <c r="BGW337"/>
      <c r="BGX337"/>
      <c r="BHA337"/>
      <c r="BHB337"/>
      <c r="BHE337"/>
      <c r="BHF337"/>
      <c r="BHI337"/>
      <c r="BHJ337"/>
      <c r="BHM337"/>
      <c r="BHN337"/>
      <c r="BHQ337"/>
      <c r="BHR337"/>
      <c r="BHU337"/>
      <c r="BHV337"/>
      <c r="BHY337"/>
      <c r="BHZ337"/>
      <c r="BIC337"/>
      <c r="BID337"/>
      <c r="BIG337"/>
      <c r="BIH337"/>
      <c r="BIK337"/>
      <c r="BIL337"/>
      <c r="BIO337"/>
      <c r="BIP337"/>
      <c r="BIS337"/>
      <c r="BIT337"/>
      <c r="BIW337"/>
      <c r="BIX337"/>
      <c r="BJA337"/>
      <c r="BJB337"/>
      <c r="BJE337"/>
      <c r="BJF337"/>
      <c r="BJI337"/>
      <c r="BJJ337"/>
      <c r="BJM337"/>
      <c r="BJN337"/>
      <c r="BJQ337"/>
      <c r="BJR337"/>
      <c r="BJU337"/>
      <c r="BJV337"/>
      <c r="BJY337"/>
      <c r="BJZ337"/>
      <c r="BKC337"/>
      <c r="BKD337"/>
      <c r="BKG337"/>
      <c r="BKH337"/>
      <c r="BKK337"/>
      <c r="BKL337"/>
      <c r="BKO337"/>
      <c r="BKP337"/>
      <c r="BKS337"/>
      <c r="BKT337"/>
      <c r="BKW337"/>
      <c r="BKX337"/>
      <c r="BLA337"/>
      <c r="BLB337"/>
      <c r="BLE337"/>
      <c r="BLF337"/>
      <c r="BLI337"/>
      <c r="BLJ337"/>
      <c r="BLM337"/>
      <c r="BLN337"/>
      <c r="BLQ337"/>
      <c r="BLR337"/>
      <c r="BLU337"/>
      <c r="BLV337"/>
      <c r="BLY337"/>
      <c r="BLZ337"/>
      <c r="BMC337"/>
      <c r="BMD337"/>
      <c r="BMG337"/>
      <c r="BMH337"/>
      <c r="BMK337"/>
      <c r="BML337"/>
      <c r="BMO337"/>
      <c r="BMP337"/>
      <c r="BMS337"/>
      <c r="BMT337"/>
      <c r="BMW337"/>
      <c r="BMX337"/>
      <c r="BNA337"/>
      <c r="BNB337"/>
      <c r="BNE337"/>
      <c r="BNF337"/>
      <c r="BNI337"/>
      <c r="BNJ337"/>
      <c r="BNM337"/>
      <c r="BNN337"/>
      <c r="BNQ337"/>
      <c r="BNR337"/>
      <c r="BNU337"/>
      <c r="BNV337"/>
      <c r="BNY337"/>
      <c r="BNZ337"/>
      <c r="BOC337"/>
      <c r="BOD337"/>
      <c r="BOG337"/>
      <c r="BOH337"/>
      <c r="BOK337"/>
      <c r="BOL337"/>
      <c r="BOO337"/>
      <c r="BOP337"/>
      <c r="BOS337"/>
      <c r="BOT337"/>
      <c r="BOW337"/>
      <c r="BOX337"/>
      <c r="BPA337"/>
      <c r="BPB337"/>
      <c r="BPE337"/>
      <c r="BPF337"/>
      <c r="BPI337"/>
      <c r="BPJ337"/>
      <c r="BPM337"/>
      <c r="BPN337"/>
      <c r="BPQ337"/>
      <c r="BPR337"/>
      <c r="BPU337"/>
      <c r="BPV337"/>
      <c r="BPY337"/>
      <c r="BPZ337"/>
      <c r="BQC337"/>
      <c r="BQD337"/>
      <c r="BQG337"/>
      <c r="BQH337"/>
      <c r="BQK337"/>
      <c r="BQL337"/>
      <c r="BQO337"/>
      <c r="BQP337"/>
      <c r="BQS337"/>
      <c r="BQT337"/>
      <c r="BQW337"/>
      <c r="BQX337"/>
      <c r="BRA337"/>
      <c r="BRB337"/>
      <c r="BRE337"/>
      <c r="BRF337"/>
      <c r="BRI337"/>
      <c r="BRJ337"/>
      <c r="BRM337"/>
      <c r="BRN337"/>
      <c r="BRQ337"/>
      <c r="BRR337"/>
      <c r="BRU337"/>
      <c r="BRV337"/>
      <c r="BRY337"/>
      <c r="BRZ337"/>
      <c r="BSC337"/>
      <c r="BSD337"/>
      <c r="BSG337"/>
      <c r="BSH337"/>
      <c r="BSK337"/>
      <c r="BSL337"/>
      <c r="BSO337"/>
      <c r="BSP337"/>
      <c r="BSS337"/>
      <c r="BST337"/>
      <c r="BSW337"/>
      <c r="BSX337"/>
      <c r="BTA337"/>
      <c r="BTB337"/>
      <c r="BTE337"/>
      <c r="BTF337"/>
      <c r="BTI337"/>
      <c r="BTJ337"/>
      <c r="BTM337"/>
      <c r="BTN337"/>
      <c r="BTQ337"/>
      <c r="BTR337"/>
      <c r="BTU337"/>
      <c r="BTV337"/>
      <c r="BTY337"/>
      <c r="BTZ337"/>
      <c r="BUC337"/>
      <c r="BUD337"/>
      <c r="BUG337"/>
      <c r="BUH337"/>
      <c r="BUK337"/>
      <c r="BUL337"/>
      <c r="BUO337"/>
      <c r="BUP337"/>
      <c r="BUS337"/>
      <c r="BUT337"/>
      <c r="BUW337"/>
      <c r="BUX337"/>
      <c r="BVA337"/>
      <c r="BVB337"/>
      <c r="BVE337"/>
      <c r="BVF337"/>
      <c r="BVI337"/>
      <c r="BVJ337"/>
      <c r="BVM337"/>
      <c r="BVN337"/>
      <c r="BVQ337"/>
      <c r="BVR337"/>
      <c r="BVU337"/>
      <c r="BVV337"/>
      <c r="BVY337"/>
      <c r="BVZ337"/>
      <c r="BWC337"/>
      <c r="BWD337"/>
      <c r="BWG337"/>
      <c r="BWH337"/>
      <c r="BWK337"/>
      <c r="BWL337"/>
      <c r="BWO337"/>
      <c r="BWP337"/>
      <c r="BWS337"/>
      <c r="BWT337"/>
      <c r="BWW337"/>
      <c r="BWX337"/>
      <c r="BXA337"/>
      <c r="BXB337"/>
      <c r="BXE337"/>
      <c r="BXF337"/>
      <c r="BXI337"/>
      <c r="BXJ337"/>
      <c r="BXM337"/>
      <c r="BXN337"/>
      <c r="BXQ337"/>
      <c r="BXR337"/>
      <c r="BXU337"/>
      <c r="BXV337"/>
      <c r="BXY337"/>
      <c r="BXZ337"/>
      <c r="BYC337"/>
      <c r="BYD337"/>
      <c r="BYG337"/>
      <c r="BYH337"/>
      <c r="BYK337"/>
      <c r="BYL337"/>
      <c r="BYO337"/>
      <c r="BYP337"/>
      <c r="BYS337"/>
      <c r="BYT337"/>
      <c r="BYW337"/>
      <c r="BYX337"/>
      <c r="BZA337"/>
      <c r="BZB337"/>
      <c r="BZE337"/>
      <c r="BZF337"/>
      <c r="BZI337"/>
      <c r="BZJ337"/>
      <c r="BZM337"/>
      <c r="BZN337"/>
      <c r="BZQ337"/>
      <c r="BZR337"/>
      <c r="BZU337"/>
      <c r="BZV337"/>
      <c r="BZY337"/>
      <c r="BZZ337"/>
      <c r="CAC337"/>
      <c r="CAD337"/>
      <c r="CAG337"/>
      <c r="CAH337"/>
      <c r="CAK337"/>
      <c r="CAL337"/>
      <c r="CAO337"/>
      <c r="CAP337"/>
      <c r="CAS337"/>
      <c r="CAT337"/>
      <c r="CAW337"/>
      <c r="CAX337"/>
      <c r="CBA337"/>
      <c r="CBB337"/>
      <c r="CBE337"/>
      <c r="CBF337"/>
      <c r="CBI337"/>
      <c r="CBJ337"/>
      <c r="CBM337"/>
      <c r="CBN337"/>
      <c r="CBQ337"/>
      <c r="CBR337"/>
      <c r="CBU337"/>
      <c r="CBV337"/>
      <c r="CBY337"/>
      <c r="CBZ337"/>
      <c r="CCC337"/>
      <c r="CCD337"/>
      <c r="CCG337"/>
      <c r="CCH337"/>
      <c r="CCK337"/>
      <c r="CCL337"/>
      <c r="CCO337"/>
      <c r="CCP337"/>
      <c r="CCS337"/>
      <c r="CCT337"/>
      <c r="CCW337"/>
      <c r="CCX337"/>
      <c r="CDA337"/>
      <c r="CDB337"/>
      <c r="CDE337"/>
      <c r="CDF337"/>
      <c r="CDI337"/>
      <c r="CDJ337"/>
      <c r="CDM337"/>
      <c r="CDN337"/>
      <c r="CDQ337"/>
      <c r="CDR337"/>
      <c r="CDU337"/>
      <c r="CDV337"/>
      <c r="CDY337"/>
      <c r="CDZ337"/>
      <c r="CEC337"/>
      <c r="CED337"/>
      <c r="CEG337"/>
      <c r="CEH337"/>
      <c r="CEK337"/>
      <c r="CEL337"/>
      <c r="CEO337"/>
      <c r="CEP337"/>
      <c r="CES337"/>
      <c r="CET337"/>
      <c r="CEW337"/>
      <c r="CEX337"/>
      <c r="CFA337"/>
      <c r="CFB337"/>
      <c r="CFE337"/>
      <c r="CFF337"/>
      <c r="CFI337"/>
      <c r="CFJ337"/>
      <c r="CFM337"/>
      <c r="CFN337"/>
      <c r="CFQ337"/>
      <c r="CFR337"/>
      <c r="CFU337"/>
      <c r="CFV337"/>
      <c r="CFY337"/>
      <c r="CFZ337"/>
      <c r="CGC337"/>
      <c r="CGD337"/>
      <c r="CGG337"/>
      <c r="CGH337"/>
      <c r="CGK337"/>
      <c r="CGL337"/>
      <c r="CGO337"/>
      <c r="CGP337"/>
      <c r="CGS337"/>
      <c r="CGT337"/>
      <c r="CGW337"/>
      <c r="CGX337"/>
      <c r="CHA337"/>
      <c r="CHB337"/>
      <c r="CHE337"/>
      <c r="CHF337"/>
      <c r="CHI337"/>
      <c r="CHJ337"/>
      <c r="CHM337"/>
      <c r="CHN337"/>
      <c r="CHQ337"/>
      <c r="CHR337"/>
      <c r="CHU337"/>
      <c r="CHV337"/>
      <c r="CHY337"/>
      <c r="CHZ337"/>
      <c r="CIC337"/>
      <c r="CID337"/>
      <c r="CIG337"/>
      <c r="CIH337"/>
      <c r="CIK337"/>
      <c r="CIL337"/>
      <c r="CIO337"/>
      <c r="CIP337"/>
      <c r="CIS337"/>
      <c r="CIT337"/>
      <c r="CIW337"/>
      <c r="CIX337"/>
      <c r="CJA337"/>
      <c r="CJB337"/>
      <c r="CJE337"/>
      <c r="CJF337"/>
      <c r="CJI337"/>
      <c r="CJJ337"/>
      <c r="CJM337"/>
      <c r="CJN337"/>
      <c r="CJQ337"/>
      <c r="CJR337"/>
      <c r="CJU337"/>
      <c r="CJV337"/>
      <c r="CJY337"/>
      <c r="CJZ337"/>
      <c r="CKC337"/>
      <c r="CKD337"/>
      <c r="CKG337"/>
      <c r="CKH337"/>
      <c r="CKK337"/>
      <c r="CKL337"/>
      <c r="CKO337"/>
      <c r="CKP337"/>
      <c r="CKS337"/>
      <c r="CKT337"/>
      <c r="CKW337"/>
      <c r="CKX337"/>
      <c r="CLA337"/>
      <c r="CLB337"/>
      <c r="CLE337"/>
      <c r="CLF337"/>
      <c r="CLI337"/>
      <c r="CLJ337"/>
      <c r="CLM337"/>
      <c r="CLN337"/>
      <c r="CLQ337"/>
      <c r="CLR337"/>
      <c r="CLU337"/>
      <c r="CLV337"/>
      <c r="CLY337"/>
      <c r="CLZ337"/>
      <c r="CMC337"/>
      <c r="CMD337"/>
      <c r="CMG337"/>
      <c r="CMH337"/>
      <c r="CMK337"/>
      <c r="CML337"/>
      <c r="CMO337"/>
      <c r="CMP337"/>
      <c r="CMS337"/>
      <c r="CMT337"/>
      <c r="CMW337"/>
      <c r="CMX337"/>
      <c r="CNA337"/>
      <c r="CNB337"/>
      <c r="CNE337"/>
      <c r="CNF337"/>
      <c r="CNI337"/>
      <c r="CNJ337"/>
      <c r="CNM337"/>
      <c r="CNN337"/>
      <c r="CNQ337"/>
      <c r="CNR337"/>
      <c r="CNU337"/>
      <c r="CNV337"/>
      <c r="CNY337"/>
      <c r="CNZ337"/>
      <c r="COC337"/>
      <c r="COD337"/>
      <c r="COG337"/>
      <c r="COH337"/>
      <c r="COK337"/>
      <c r="COL337"/>
      <c r="COO337"/>
      <c r="COP337"/>
      <c r="COS337"/>
      <c r="COT337"/>
      <c r="COW337"/>
      <c r="COX337"/>
      <c r="CPA337"/>
      <c r="CPB337"/>
      <c r="CPE337"/>
      <c r="CPF337"/>
      <c r="CPI337"/>
      <c r="CPJ337"/>
      <c r="CPM337"/>
      <c r="CPN337"/>
      <c r="CPQ337"/>
      <c r="CPR337"/>
      <c r="CPU337"/>
      <c r="CPV337"/>
      <c r="CPY337"/>
      <c r="CPZ337"/>
      <c r="CQC337"/>
      <c r="CQD337"/>
      <c r="CQG337"/>
      <c r="CQH337"/>
      <c r="CQK337"/>
      <c r="CQL337"/>
      <c r="CQO337"/>
      <c r="CQP337"/>
      <c r="CQS337"/>
      <c r="CQT337"/>
      <c r="CQW337"/>
      <c r="CQX337"/>
      <c r="CRA337"/>
      <c r="CRB337"/>
      <c r="CRE337"/>
      <c r="CRF337"/>
      <c r="CRI337"/>
      <c r="CRJ337"/>
      <c r="CRM337"/>
      <c r="CRN337"/>
      <c r="CRQ337"/>
      <c r="CRR337"/>
      <c r="CRU337"/>
      <c r="CRV337"/>
      <c r="CRY337"/>
      <c r="CRZ337"/>
      <c r="CSC337"/>
      <c r="CSD337"/>
      <c r="CSG337"/>
      <c r="CSH337"/>
      <c r="CSK337"/>
      <c r="CSL337"/>
      <c r="CSO337"/>
      <c r="CSP337"/>
      <c r="CSS337"/>
      <c r="CST337"/>
      <c r="CSW337"/>
      <c r="CSX337"/>
      <c r="CTA337"/>
      <c r="CTB337"/>
      <c r="CTE337"/>
      <c r="CTF337"/>
      <c r="CTI337"/>
      <c r="CTJ337"/>
      <c r="CTM337"/>
      <c r="CTN337"/>
      <c r="CTQ337"/>
      <c r="CTR337"/>
      <c r="CTU337"/>
      <c r="CTV337"/>
      <c r="CTY337"/>
      <c r="CTZ337"/>
      <c r="CUC337"/>
      <c r="CUD337"/>
      <c r="CUG337"/>
      <c r="CUH337"/>
      <c r="CUK337"/>
      <c r="CUL337"/>
      <c r="CUO337"/>
      <c r="CUP337"/>
      <c r="CUS337"/>
      <c r="CUT337"/>
      <c r="CUW337"/>
      <c r="CUX337"/>
      <c r="CVA337"/>
      <c r="CVB337"/>
      <c r="CVE337"/>
      <c r="CVF337"/>
      <c r="CVI337"/>
      <c r="CVJ337"/>
      <c r="CVM337"/>
      <c r="CVN337"/>
      <c r="CVQ337"/>
      <c r="CVR337"/>
      <c r="CVU337"/>
      <c r="CVV337"/>
      <c r="CVY337"/>
      <c r="CVZ337"/>
      <c r="CWC337"/>
      <c r="CWD337"/>
      <c r="CWG337"/>
      <c r="CWH337"/>
      <c r="CWK337"/>
      <c r="CWL337"/>
      <c r="CWO337"/>
      <c r="CWP337"/>
      <c r="CWS337"/>
      <c r="CWT337"/>
      <c r="CWW337"/>
      <c r="CWX337"/>
      <c r="CXA337"/>
      <c r="CXB337"/>
      <c r="CXE337"/>
      <c r="CXF337"/>
      <c r="CXI337"/>
      <c r="CXJ337"/>
      <c r="CXM337"/>
      <c r="CXN337"/>
      <c r="CXQ337"/>
      <c r="CXR337"/>
      <c r="CXU337"/>
      <c r="CXV337"/>
      <c r="CXY337"/>
      <c r="CXZ337"/>
      <c r="CYC337"/>
      <c r="CYD337"/>
      <c r="CYG337"/>
      <c r="CYH337"/>
      <c r="CYK337"/>
      <c r="CYL337"/>
      <c r="CYO337"/>
      <c r="CYP337"/>
      <c r="CYS337"/>
      <c r="CYT337"/>
      <c r="CYW337"/>
      <c r="CYX337"/>
      <c r="CZA337"/>
      <c r="CZB337"/>
      <c r="CZE337"/>
      <c r="CZF337"/>
      <c r="CZI337"/>
      <c r="CZJ337"/>
      <c r="CZM337"/>
      <c r="CZN337"/>
      <c r="CZQ337"/>
      <c r="CZR337"/>
      <c r="CZU337"/>
      <c r="CZV337"/>
      <c r="CZY337"/>
      <c r="CZZ337"/>
      <c r="DAC337"/>
      <c r="DAD337"/>
      <c r="DAG337"/>
      <c r="DAH337"/>
      <c r="DAK337"/>
      <c r="DAL337"/>
      <c r="DAO337"/>
      <c r="DAP337"/>
      <c r="DAS337"/>
      <c r="DAT337"/>
      <c r="DAW337"/>
      <c r="DAX337"/>
      <c r="DBA337"/>
      <c r="DBB337"/>
      <c r="DBE337"/>
      <c r="DBF337"/>
      <c r="DBI337"/>
      <c r="DBJ337"/>
      <c r="DBM337"/>
      <c r="DBN337"/>
      <c r="DBQ337"/>
      <c r="DBR337"/>
      <c r="DBU337"/>
      <c r="DBV337"/>
      <c r="DBY337"/>
      <c r="DBZ337"/>
      <c r="DCC337"/>
      <c r="DCD337"/>
      <c r="DCG337"/>
      <c r="DCH337"/>
      <c r="DCK337"/>
      <c r="DCL337"/>
      <c r="DCO337"/>
      <c r="DCP337"/>
      <c r="DCS337"/>
      <c r="DCT337"/>
      <c r="DCW337"/>
      <c r="DCX337"/>
      <c r="DDA337"/>
      <c r="DDB337"/>
      <c r="DDE337"/>
      <c r="DDF337"/>
      <c r="DDI337"/>
      <c r="DDJ337"/>
      <c r="DDM337"/>
      <c r="DDN337"/>
      <c r="DDQ337"/>
      <c r="DDR337"/>
      <c r="DDU337"/>
      <c r="DDV337"/>
      <c r="DDY337"/>
      <c r="DDZ337"/>
      <c r="DEC337"/>
      <c r="DED337"/>
      <c r="DEG337"/>
      <c r="DEH337"/>
      <c r="DEK337"/>
      <c r="DEL337"/>
      <c r="DEO337"/>
      <c r="DEP337"/>
      <c r="DES337"/>
      <c r="DET337"/>
      <c r="DEW337"/>
      <c r="DEX337"/>
      <c r="DFA337"/>
      <c r="DFB337"/>
      <c r="DFE337"/>
      <c r="DFF337"/>
      <c r="DFI337"/>
      <c r="DFJ337"/>
      <c r="DFM337"/>
      <c r="DFN337"/>
      <c r="DFQ337"/>
      <c r="DFR337"/>
      <c r="DFU337"/>
      <c r="DFV337"/>
      <c r="DFY337"/>
      <c r="DFZ337"/>
      <c r="DGC337"/>
      <c r="DGD337"/>
      <c r="DGG337"/>
      <c r="DGH337"/>
      <c r="DGK337"/>
      <c r="DGL337"/>
      <c r="DGO337"/>
      <c r="DGP337"/>
      <c r="DGS337"/>
      <c r="DGT337"/>
      <c r="DGW337"/>
      <c r="DGX337"/>
      <c r="DHA337"/>
      <c r="DHB337"/>
      <c r="DHE337"/>
      <c r="DHF337"/>
      <c r="DHI337"/>
      <c r="DHJ337"/>
      <c r="DHM337"/>
      <c r="DHN337"/>
      <c r="DHQ337"/>
      <c r="DHR337"/>
      <c r="DHU337"/>
      <c r="DHV337"/>
      <c r="DHY337"/>
      <c r="DHZ337"/>
      <c r="DIC337"/>
      <c r="DID337"/>
      <c r="DIG337"/>
      <c r="DIH337"/>
      <c r="DIK337"/>
      <c r="DIL337"/>
      <c r="DIO337"/>
      <c r="DIP337"/>
      <c r="DIS337"/>
      <c r="DIT337"/>
      <c r="DIW337"/>
      <c r="DIX337"/>
      <c r="DJA337"/>
      <c r="DJB337"/>
      <c r="DJE337"/>
      <c r="DJF337"/>
      <c r="DJI337"/>
      <c r="DJJ337"/>
      <c r="DJM337"/>
      <c r="DJN337"/>
      <c r="DJQ337"/>
      <c r="DJR337"/>
      <c r="DJU337"/>
      <c r="DJV337"/>
      <c r="DJY337"/>
      <c r="DJZ337"/>
      <c r="DKC337"/>
      <c r="DKD337"/>
      <c r="DKG337"/>
      <c r="DKH337"/>
      <c r="DKK337"/>
      <c r="DKL337"/>
      <c r="DKO337"/>
      <c r="DKP337"/>
      <c r="DKS337"/>
      <c r="DKT337"/>
      <c r="DKW337"/>
      <c r="DKX337"/>
      <c r="DLA337"/>
      <c r="DLB337"/>
      <c r="DLE337"/>
      <c r="DLF337"/>
      <c r="DLI337"/>
      <c r="DLJ337"/>
      <c r="DLM337"/>
      <c r="DLN337"/>
      <c r="DLQ337"/>
      <c r="DLR337"/>
      <c r="DLU337"/>
      <c r="DLV337"/>
      <c r="DLY337"/>
      <c r="DLZ337"/>
      <c r="DMC337"/>
      <c r="DMD337"/>
      <c r="DMG337"/>
      <c r="DMH337"/>
      <c r="DMK337"/>
      <c r="DML337"/>
      <c r="DMO337"/>
      <c r="DMP337"/>
      <c r="DMS337"/>
      <c r="DMT337"/>
      <c r="DMW337"/>
      <c r="DMX337"/>
      <c r="DNA337"/>
      <c r="DNB337"/>
      <c r="DNE337"/>
      <c r="DNF337"/>
      <c r="DNI337"/>
      <c r="DNJ337"/>
      <c r="DNM337"/>
      <c r="DNN337"/>
      <c r="DNQ337"/>
      <c r="DNR337"/>
      <c r="DNU337"/>
      <c r="DNV337"/>
      <c r="DNY337"/>
      <c r="DNZ337"/>
      <c r="DOC337"/>
      <c r="DOD337"/>
      <c r="DOG337"/>
      <c r="DOH337"/>
      <c r="DOK337"/>
      <c r="DOL337"/>
      <c r="DOO337"/>
      <c r="DOP337"/>
      <c r="DOS337"/>
      <c r="DOT337"/>
      <c r="DOW337"/>
      <c r="DOX337"/>
      <c r="DPA337"/>
      <c r="DPB337"/>
      <c r="DPE337"/>
      <c r="DPF337"/>
      <c r="DPI337"/>
      <c r="DPJ337"/>
      <c r="DPM337"/>
      <c r="DPN337"/>
      <c r="DPQ337"/>
      <c r="DPR337"/>
      <c r="DPU337"/>
      <c r="DPV337"/>
      <c r="DPY337"/>
      <c r="DPZ337"/>
      <c r="DQC337"/>
      <c r="DQD337"/>
      <c r="DQG337"/>
      <c r="DQH337"/>
      <c r="DQK337"/>
      <c r="DQL337"/>
      <c r="DQO337"/>
      <c r="DQP337"/>
      <c r="DQS337"/>
      <c r="DQT337"/>
      <c r="DQW337"/>
      <c r="DQX337"/>
      <c r="DRA337"/>
      <c r="DRB337"/>
      <c r="DRE337"/>
      <c r="DRF337"/>
      <c r="DRI337"/>
      <c r="DRJ337"/>
      <c r="DRM337"/>
      <c r="DRN337"/>
      <c r="DRQ337"/>
      <c r="DRR337"/>
      <c r="DRU337"/>
      <c r="DRV337"/>
      <c r="DRY337"/>
      <c r="DRZ337"/>
      <c r="DSC337"/>
      <c r="DSD337"/>
      <c r="DSG337"/>
      <c r="DSH337"/>
      <c r="DSK337"/>
      <c r="DSL337"/>
      <c r="DSO337"/>
      <c r="DSP337"/>
      <c r="DSS337"/>
      <c r="DST337"/>
      <c r="DSW337"/>
      <c r="DSX337"/>
      <c r="DTA337"/>
      <c r="DTB337"/>
      <c r="DTE337"/>
      <c r="DTF337"/>
      <c r="DTI337"/>
      <c r="DTJ337"/>
      <c r="DTM337"/>
      <c r="DTN337"/>
      <c r="DTQ337"/>
      <c r="DTR337"/>
      <c r="DTU337"/>
      <c r="DTV337"/>
      <c r="DTY337"/>
      <c r="DTZ337"/>
      <c r="DUC337"/>
      <c r="DUD337"/>
      <c r="DUG337"/>
      <c r="DUH337"/>
      <c r="DUK337"/>
      <c r="DUL337"/>
      <c r="DUO337"/>
      <c r="DUP337"/>
      <c r="DUS337"/>
      <c r="DUT337"/>
      <c r="DUW337"/>
      <c r="DUX337"/>
      <c r="DVA337"/>
      <c r="DVB337"/>
      <c r="DVE337"/>
      <c r="DVF337"/>
      <c r="DVI337"/>
      <c r="DVJ337"/>
      <c r="DVM337"/>
      <c r="DVN337"/>
      <c r="DVQ337"/>
      <c r="DVR337"/>
      <c r="DVU337"/>
      <c r="DVV337"/>
      <c r="DVY337"/>
      <c r="DVZ337"/>
      <c r="DWC337"/>
      <c r="DWD337"/>
      <c r="DWG337"/>
      <c r="DWH337"/>
      <c r="DWK337"/>
      <c r="DWL337"/>
      <c r="DWO337"/>
      <c r="DWP337"/>
      <c r="DWS337"/>
      <c r="DWT337"/>
      <c r="DWW337"/>
      <c r="DWX337"/>
      <c r="DXA337"/>
      <c r="DXB337"/>
      <c r="DXE337"/>
      <c r="DXF337"/>
      <c r="DXI337"/>
      <c r="DXJ337"/>
      <c r="DXM337"/>
      <c r="DXN337"/>
      <c r="DXQ337"/>
      <c r="DXR337"/>
      <c r="DXU337"/>
      <c r="DXV337"/>
      <c r="DXY337"/>
      <c r="DXZ337"/>
      <c r="DYC337"/>
      <c r="DYD337"/>
      <c r="DYG337"/>
      <c r="DYH337"/>
      <c r="DYK337"/>
      <c r="DYL337"/>
      <c r="DYO337"/>
      <c r="DYP337"/>
      <c r="DYS337"/>
      <c r="DYT337"/>
      <c r="DYW337"/>
      <c r="DYX337"/>
      <c r="DZA337"/>
      <c r="DZB337"/>
      <c r="DZE337"/>
      <c r="DZF337"/>
      <c r="DZI337"/>
      <c r="DZJ337"/>
      <c r="DZM337"/>
      <c r="DZN337"/>
      <c r="DZQ337"/>
      <c r="DZR337"/>
      <c r="DZU337"/>
      <c r="DZV337"/>
      <c r="DZY337"/>
      <c r="DZZ337"/>
      <c r="EAC337"/>
      <c r="EAD337"/>
      <c r="EAG337"/>
      <c r="EAH337"/>
      <c r="EAK337"/>
      <c r="EAL337"/>
      <c r="EAO337"/>
      <c r="EAP337"/>
      <c r="EAS337"/>
      <c r="EAT337"/>
      <c r="EAW337"/>
      <c r="EAX337"/>
      <c r="EBA337"/>
      <c r="EBB337"/>
      <c r="EBE337"/>
      <c r="EBF337"/>
      <c r="EBI337"/>
      <c r="EBJ337"/>
      <c r="EBM337"/>
      <c r="EBN337"/>
      <c r="EBQ337"/>
      <c r="EBR337"/>
      <c r="EBU337"/>
      <c r="EBV337"/>
      <c r="EBY337"/>
      <c r="EBZ337"/>
      <c r="ECC337"/>
      <c r="ECD337"/>
      <c r="ECG337"/>
      <c r="ECH337"/>
      <c r="ECK337"/>
      <c r="ECL337"/>
      <c r="ECO337"/>
      <c r="ECP337"/>
      <c r="ECS337"/>
      <c r="ECT337"/>
      <c r="ECW337"/>
      <c r="ECX337"/>
      <c r="EDA337"/>
      <c r="EDB337"/>
      <c r="EDE337"/>
      <c r="EDF337"/>
      <c r="EDI337"/>
      <c r="EDJ337"/>
      <c r="EDM337"/>
      <c r="EDN337"/>
      <c r="EDQ337"/>
      <c r="EDR337"/>
      <c r="EDU337"/>
      <c r="EDV337"/>
      <c r="EDY337"/>
      <c r="EDZ337"/>
      <c r="EEC337"/>
      <c r="EED337"/>
      <c r="EEG337"/>
      <c r="EEH337"/>
      <c r="EEK337"/>
      <c r="EEL337"/>
      <c r="EEO337"/>
      <c r="EEP337"/>
      <c r="EES337"/>
      <c r="EET337"/>
      <c r="EEW337"/>
      <c r="EEX337"/>
      <c r="EFA337"/>
      <c r="EFB337"/>
      <c r="EFE337"/>
      <c r="EFF337"/>
      <c r="EFI337"/>
      <c r="EFJ337"/>
      <c r="EFM337"/>
      <c r="EFN337"/>
      <c r="EFQ337"/>
      <c r="EFR337"/>
      <c r="EFU337"/>
      <c r="EFV337"/>
      <c r="EFY337"/>
      <c r="EFZ337"/>
      <c r="EGC337"/>
      <c r="EGD337"/>
      <c r="EGG337"/>
      <c r="EGH337"/>
      <c r="EGK337"/>
      <c r="EGL337"/>
      <c r="EGO337"/>
      <c r="EGP337"/>
      <c r="EGS337"/>
      <c r="EGT337"/>
      <c r="EGW337"/>
      <c r="EGX337"/>
      <c r="EHA337"/>
      <c r="EHB337"/>
      <c r="EHE337"/>
      <c r="EHF337"/>
      <c r="EHI337"/>
      <c r="EHJ337"/>
      <c r="EHM337"/>
      <c r="EHN337"/>
      <c r="EHQ337"/>
      <c r="EHR337"/>
      <c r="EHU337"/>
      <c r="EHV337"/>
      <c r="EHY337"/>
      <c r="EHZ337"/>
      <c r="EIC337"/>
      <c r="EID337"/>
      <c r="EIG337"/>
      <c r="EIH337"/>
      <c r="EIK337"/>
      <c r="EIL337"/>
      <c r="EIO337"/>
      <c r="EIP337"/>
      <c r="EIS337"/>
      <c r="EIT337"/>
      <c r="EIW337"/>
      <c r="EIX337"/>
      <c r="EJA337"/>
      <c r="EJB337"/>
      <c r="EJE337"/>
      <c r="EJF337"/>
      <c r="EJI337"/>
      <c r="EJJ337"/>
      <c r="EJM337"/>
      <c r="EJN337"/>
      <c r="EJQ337"/>
      <c r="EJR337"/>
      <c r="EJU337"/>
      <c r="EJV337"/>
      <c r="EJY337"/>
      <c r="EJZ337"/>
      <c r="EKC337"/>
      <c r="EKD337"/>
      <c r="EKG337"/>
      <c r="EKH337"/>
      <c r="EKK337"/>
      <c r="EKL337"/>
      <c r="EKO337"/>
      <c r="EKP337"/>
      <c r="EKS337"/>
      <c r="EKT337"/>
      <c r="EKW337"/>
      <c r="EKX337"/>
      <c r="ELA337"/>
      <c r="ELB337"/>
      <c r="ELE337"/>
      <c r="ELF337"/>
      <c r="ELI337"/>
      <c r="ELJ337"/>
      <c r="ELM337"/>
      <c r="ELN337"/>
      <c r="ELQ337"/>
      <c r="ELR337"/>
      <c r="ELU337"/>
      <c r="ELV337"/>
      <c r="ELY337"/>
      <c r="ELZ337"/>
      <c r="EMC337"/>
      <c r="EMD337"/>
      <c r="EMG337"/>
      <c r="EMH337"/>
      <c r="EMK337"/>
      <c r="EML337"/>
      <c r="EMO337"/>
      <c r="EMP337"/>
      <c r="EMS337"/>
      <c r="EMT337"/>
      <c r="EMW337"/>
      <c r="EMX337"/>
      <c r="ENA337"/>
      <c r="ENB337"/>
      <c r="ENE337"/>
      <c r="ENF337"/>
      <c r="ENI337"/>
      <c r="ENJ337"/>
      <c r="ENM337"/>
      <c r="ENN337"/>
      <c r="ENQ337"/>
      <c r="ENR337"/>
      <c r="ENU337"/>
      <c r="ENV337"/>
      <c r="ENY337"/>
      <c r="ENZ337"/>
      <c r="EOC337"/>
      <c r="EOD337"/>
      <c r="EOG337"/>
      <c r="EOH337"/>
      <c r="EOK337"/>
      <c r="EOL337"/>
      <c r="EOO337"/>
      <c r="EOP337"/>
      <c r="EOS337"/>
      <c r="EOT337"/>
      <c r="EOW337"/>
      <c r="EOX337"/>
      <c r="EPA337"/>
      <c r="EPB337"/>
      <c r="EPE337"/>
      <c r="EPF337"/>
      <c r="EPI337"/>
      <c r="EPJ337"/>
      <c r="EPM337"/>
      <c r="EPN337"/>
      <c r="EPQ337"/>
      <c r="EPR337"/>
      <c r="EPU337"/>
      <c r="EPV337"/>
      <c r="EPY337"/>
      <c r="EPZ337"/>
      <c r="EQC337"/>
      <c r="EQD337"/>
      <c r="EQG337"/>
      <c r="EQH337"/>
      <c r="EQK337"/>
      <c r="EQL337"/>
      <c r="EQO337"/>
      <c r="EQP337"/>
      <c r="EQS337"/>
      <c r="EQT337"/>
      <c r="EQW337"/>
      <c r="EQX337"/>
      <c r="ERA337"/>
      <c r="ERB337"/>
      <c r="ERE337"/>
      <c r="ERF337"/>
      <c r="ERI337"/>
      <c r="ERJ337"/>
      <c r="ERM337"/>
      <c r="ERN337"/>
      <c r="ERQ337"/>
      <c r="ERR337"/>
      <c r="ERU337"/>
      <c r="ERV337"/>
      <c r="ERY337"/>
      <c r="ERZ337"/>
      <c r="ESC337"/>
      <c r="ESD337"/>
      <c r="ESG337"/>
      <c r="ESH337"/>
      <c r="ESK337"/>
      <c r="ESL337"/>
      <c r="ESO337"/>
      <c r="ESP337"/>
      <c r="ESS337"/>
      <c r="EST337"/>
      <c r="ESW337"/>
      <c r="ESX337"/>
      <c r="ETA337"/>
      <c r="ETB337"/>
      <c r="ETE337"/>
      <c r="ETF337"/>
      <c r="ETI337"/>
      <c r="ETJ337"/>
      <c r="ETM337"/>
      <c r="ETN337"/>
      <c r="ETQ337"/>
      <c r="ETR337"/>
      <c r="ETU337"/>
      <c r="ETV337"/>
      <c r="ETY337"/>
      <c r="ETZ337"/>
      <c r="EUC337"/>
      <c r="EUD337"/>
      <c r="EUG337"/>
      <c r="EUH337"/>
      <c r="EUK337"/>
      <c r="EUL337"/>
      <c r="EUO337"/>
      <c r="EUP337"/>
      <c r="EUS337"/>
      <c r="EUT337"/>
      <c r="EUW337"/>
      <c r="EUX337"/>
      <c r="EVA337"/>
      <c r="EVB337"/>
      <c r="EVE337"/>
      <c r="EVF337"/>
      <c r="EVI337"/>
      <c r="EVJ337"/>
      <c r="EVM337"/>
      <c r="EVN337"/>
      <c r="EVQ337"/>
      <c r="EVR337"/>
      <c r="EVU337"/>
      <c r="EVV337"/>
      <c r="EVY337"/>
      <c r="EVZ337"/>
      <c r="EWC337"/>
      <c r="EWD337"/>
      <c r="EWG337"/>
      <c r="EWH337"/>
      <c r="EWK337"/>
      <c r="EWL337"/>
      <c r="EWO337"/>
      <c r="EWP337"/>
      <c r="EWS337"/>
      <c r="EWT337"/>
      <c r="EWW337"/>
      <c r="EWX337"/>
      <c r="EXA337"/>
      <c r="EXB337"/>
      <c r="EXE337"/>
      <c r="EXF337"/>
      <c r="EXI337"/>
      <c r="EXJ337"/>
      <c r="EXM337"/>
      <c r="EXN337"/>
      <c r="EXQ337"/>
      <c r="EXR337"/>
      <c r="EXU337"/>
      <c r="EXV337"/>
      <c r="EXY337"/>
      <c r="EXZ337"/>
      <c r="EYC337"/>
      <c r="EYD337"/>
      <c r="EYG337"/>
      <c r="EYH337"/>
      <c r="EYK337"/>
      <c r="EYL337"/>
      <c r="EYO337"/>
      <c r="EYP337"/>
      <c r="EYS337"/>
      <c r="EYT337"/>
      <c r="EYW337"/>
      <c r="EYX337"/>
      <c r="EZA337"/>
      <c r="EZB337"/>
      <c r="EZE337"/>
      <c r="EZF337"/>
      <c r="EZI337"/>
      <c r="EZJ337"/>
      <c r="EZM337"/>
      <c r="EZN337"/>
      <c r="EZQ337"/>
      <c r="EZR337"/>
      <c r="EZU337"/>
      <c r="EZV337"/>
      <c r="EZY337"/>
      <c r="EZZ337"/>
      <c r="FAC337"/>
      <c r="FAD337"/>
      <c r="FAG337"/>
      <c r="FAH337"/>
      <c r="FAK337"/>
      <c r="FAL337"/>
      <c r="FAO337"/>
      <c r="FAP337"/>
      <c r="FAS337"/>
      <c r="FAT337"/>
      <c r="FAW337"/>
      <c r="FAX337"/>
      <c r="FBA337"/>
      <c r="FBB337"/>
      <c r="FBE337"/>
      <c r="FBF337"/>
      <c r="FBI337"/>
      <c r="FBJ337"/>
      <c r="FBM337"/>
      <c r="FBN337"/>
      <c r="FBQ337"/>
      <c r="FBR337"/>
      <c r="FBU337"/>
      <c r="FBV337"/>
      <c r="FBY337"/>
      <c r="FBZ337"/>
      <c r="FCC337"/>
      <c r="FCD337"/>
      <c r="FCG337"/>
      <c r="FCH337"/>
      <c r="FCK337"/>
      <c r="FCL337"/>
      <c r="FCO337"/>
      <c r="FCP337"/>
      <c r="FCS337"/>
      <c r="FCT337"/>
      <c r="FCW337"/>
      <c r="FCX337"/>
      <c r="FDA337"/>
      <c r="FDB337"/>
      <c r="FDE337"/>
      <c r="FDF337"/>
      <c r="FDI337"/>
      <c r="FDJ337"/>
      <c r="FDM337"/>
      <c r="FDN337"/>
      <c r="FDQ337"/>
      <c r="FDR337"/>
      <c r="FDU337"/>
      <c r="FDV337"/>
      <c r="FDY337"/>
      <c r="FDZ337"/>
      <c r="FEC337"/>
      <c r="FED337"/>
      <c r="FEG337"/>
      <c r="FEH337"/>
      <c r="FEK337"/>
      <c r="FEL337"/>
      <c r="FEO337"/>
      <c r="FEP337"/>
      <c r="FES337"/>
      <c r="FET337"/>
      <c r="FEW337"/>
      <c r="FEX337"/>
      <c r="FFA337"/>
      <c r="FFB337"/>
      <c r="FFE337"/>
      <c r="FFF337"/>
      <c r="FFI337"/>
      <c r="FFJ337"/>
      <c r="FFM337"/>
      <c r="FFN337"/>
      <c r="FFQ337"/>
      <c r="FFR337"/>
      <c r="FFU337"/>
      <c r="FFV337"/>
      <c r="FFY337"/>
      <c r="FFZ337"/>
      <c r="FGC337"/>
      <c r="FGD337"/>
      <c r="FGG337"/>
      <c r="FGH337"/>
      <c r="FGK337"/>
      <c r="FGL337"/>
      <c r="FGO337"/>
      <c r="FGP337"/>
      <c r="FGS337"/>
      <c r="FGT337"/>
      <c r="FGW337"/>
      <c r="FGX337"/>
      <c r="FHA337"/>
      <c r="FHB337"/>
      <c r="FHE337"/>
      <c r="FHF337"/>
      <c r="FHI337"/>
      <c r="FHJ337"/>
      <c r="FHM337"/>
      <c r="FHN337"/>
      <c r="FHQ337"/>
      <c r="FHR337"/>
      <c r="FHU337"/>
      <c r="FHV337"/>
      <c r="FHY337"/>
      <c r="FHZ337"/>
      <c r="FIC337"/>
      <c r="FID337"/>
      <c r="FIG337"/>
      <c r="FIH337"/>
      <c r="FIK337"/>
      <c r="FIL337"/>
      <c r="FIO337"/>
      <c r="FIP337"/>
      <c r="FIS337"/>
      <c r="FIT337"/>
      <c r="FIW337"/>
      <c r="FIX337"/>
      <c r="FJA337"/>
      <c r="FJB337"/>
      <c r="FJE337"/>
      <c r="FJF337"/>
      <c r="FJI337"/>
      <c r="FJJ337"/>
      <c r="FJM337"/>
      <c r="FJN337"/>
      <c r="FJQ337"/>
      <c r="FJR337"/>
      <c r="FJU337"/>
      <c r="FJV337"/>
      <c r="FJY337"/>
      <c r="FJZ337"/>
      <c r="FKC337"/>
      <c r="FKD337"/>
      <c r="FKG337"/>
      <c r="FKH337"/>
      <c r="FKK337"/>
      <c r="FKL337"/>
      <c r="FKO337"/>
      <c r="FKP337"/>
      <c r="FKS337"/>
      <c r="FKT337"/>
      <c r="FKW337"/>
      <c r="FKX337"/>
      <c r="FLA337"/>
      <c r="FLB337"/>
      <c r="FLE337"/>
      <c r="FLF337"/>
      <c r="FLI337"/>
      <c r="FLJ337"/>
      <c r="FLM337"/>
      <c r="FLN337"/>
      <c r="FLQ337"/>
      <c r="FLR337"/>
      <c r="FLU337"/>
      <c r="FLV337"/>
      <c r="FLY337"/>
      <c r="FLZ337"/>
      <c r="FMC337"/>
      <c r="FMD337"/>
      <c r="FMG337"/>
      <c r="FMH337"/>
      <c r="FMK337"/>
      <c r="FML337"/>
      <c r="FMO337"/>
      <c r="FMP337"/>
      <c r="FMS337"/>
      <c r="FMT337"/>
      <c r="FMW337"/>
      <c r="FMX337"/>
      <c r="FNA337"/>
      <c r="FNB337"/>
      <c r="FNE337"/>
      <c r="FNF337"/>
      <c r="FNI337"/>
      <c r="FNJ337"/>
      <c r="FNM337"/>
      <c r="FNN337"/>
      <c r="FNQ337"/>
      <c r="FNR337"/>
      <c r="FNU337"/>
      <c r="FNV337"/>
      <c r="FNY337"/>
      <c r="FNZ337"/>
      <c r="FOC337"/>
      <c r="FOD337"/>
      <c r="FOG337"/>
      <c r="FOH337"/>
      <c r="FOK337"/>
      <c r="FOL337"/>
      <c r="FOO337"/>
      <c r="FOP337"/>
      <c r="FOS337"/>
      <c r="FOT337"/>
      <c r="FOW337"/>
      <c r="FOX337"/>
      <c r="FPA337"/>
      <c r="FPB337"/>
      <c r="FPE337"/>
      <c r="FPF337"/>
      <c r="FPI337"/>
      <c r="FPJ337"/>
      <c r="FPM337"/>
      <c r="FPN337"/>
      <c r="FPQ337"/>
      <c r="FPR337"/>
      <c r="FPU337"/>
      <c r="FPV337"/>
      <c r="FPY337"/>
      <c r="FPZ337"/>
      <c r="FQC337"/>
      <c r="FQD337"/>
      <c r="FQG337"/>
      <c r="FQH337"/>
      <c r="FQK337"/>
      <c r="FQL337"/>
      <c r="FQO337"/>
      <c r="FQP337"/>
      <c r="FQS337"/>
      <c r="FQT337"/>
      <c r="FQW337"/>
      <c r="FQX337"/>
      <c r="FRA337"/>
      <c r="FRB337"/>
      <c r="FRE337"/>
      <c r="FRF337"/>
      <c r="FRI337"/>
      <c r="FRJ337"/>
      <c r="FRM337"/>
      <c r="FRN337"/>
      <c r="FRQ337"/>
      <c r="FRR337"/>
      <c r="FRU337"/>
      <c r="FRV337"/>
      <c r="FRY337"/>
      <c r="FRZ337"/>
      <c r="FSC337"/>
      <c r="FSD337"/>
      <c r="FSG337"/>
      <c r="FSH337"/>
      <c r="FSK337"/>
      <c r="FSL337"/>
      <c r="FSO337"/>
      <c r="FSP337"/>
      <c r="FSS337"/>
      <c r="FST337"/>
      <c r="FSW337"/>
      <c r="FSX337"/>
      <c r="FTA337"/>
      <c r="FTB337"/>
      <c r="FTE337"/>
      <c r="FTF337"/>
      <c r="FTI337"/>
      <c r="FTJ337"/>
      <c r="FTM337"/>
      <c r="FTN337"/>
      <c r="FTQ337"/>
      <c r="FTR337"/>
      <c r="FTU337"/>
      <c r="FTV337"/>
      <c r="FTY337"/>
      <c r="FTZ337"/>
      <c r="FUC337"/>
      <c r="FUD337"/>
      <c r="FUG337"/>
      <c r="FUH337"/>
      <c r="FUK337"/>
      <c r="FUL337"/>
      <c r="FUO337"/>
      <c r="FUP337"/>
      <c r="FUS337"/>
      <c r="FUT337"/>
      <c r="FUW337"/>
      <c r="FUX337"/>
      <c r="FVA337"/>
      <c r="FVB337"/>
      <c r="FVE337"/>
      <c r="FVF337"/>
      <c r="FVI337"/>
      <c r="FVJ337"/>
      <c r="FVM337"/>
      <c r="FVN337"/>
      <c r="FVQ337"/>
      <c r="FVR337"/>
      <c r="FVU337"/>
      <c r="FVV337"/>
      <c r="FVY337"/>
      <c r="FVZ337"/>
      <c r="FWC337"/>
      <c r="FWD337"/>
      <c r="FWG337"/>
      <c r="FWH337"/>
      <c r="FWK337"/>
      <c r="FWL337"/>
      <c r="FWO337"/>
      <c r="FWP337"/>
      <c r="FWS337"/>
      <c r="FWT337"/>
      <c r="FWW337"/>
      <c r="FWX337"/>
      <c r="FXA337"/>
      <c r="FXB337"/>
      <c r="FXE337"/>
      <c r="FXF337"/>
      <c r="FXI337"/>
      <c r="FXJ337"/>
      <c r="FXM337"/>
      <c r="FXN337"/>
      <c r="FXQ337"/>
      <c r="FXR337"/>
      <c r="FXU337"/>
      <c r="FXV337"/>
      <c r="FXY337"/>
      <c r="FXZ337"/>
      <c r="FYC337"/>
      <c r="FYD337"/>
      <c r="FYG337"/>
      <c r="FYH337"/>
      <c r="FYK337"/>
      <c r="FYL337"/>
      <c r="FYO337"/>
      <c r="FYP337"/>
      <c r="FYS337"/>
      <c r="FYT337"/>
      <c r="FYW337"/>
      <c r="FYX337"/>
      <c r="FZA337"/>
      <c r="FZB337"/>
      <c r="FZE337"/>
      <c r="FZF337"/>
      <c r="FZI337"/>
      <c r="FZJ337"/>
      <c r="FZM337"/>
      <c r="FZN337"/>
      <c r="FZQ337"/>
      <c r="FZR337"/>
      <c r="FZU337"/>
      <c r="FZV337"/>
      <c r="FZY337"/>
      <c r="FZZ337"/>
      <c r="GAC337"/>
      <c r="GAD337"/>
      <c r="GAG337"/>
      <c r="GAH337"/>
      <c r="GAK337"/>
      <c r="GAL337"/>
      <c r="GAO337"/>
      <c r="GAP337"/>
      <c r="GAS337"/>
      <c r="GAT337"/>
      <c r="GAW337"/>
      <c r="GAX337"/>
      <c r="GBA337"/>
      <c r="GBB337"/>
      <c r="GBE337"/>
      <c r="GBF337"/>
      <c r="GBI337"/>
      <c r="GBJ337"/>
      <c r="GBM337"/>
      <c r="GBN337"/>
      <c r="GBQ337"/>
      <c r="GBR337"/>
      <c r="GBU337"/>
      <c r="GBV337"/>
      <c r="GBY337"/>
      <c r="GBZ337"/>
      <c r="GCC337"/>
      <c r="GCD337"/>
      <c r="GCG337"/>
      <c r="GCH337"/>
      <c r="GCK337"/>
      <c r="GCL337"/>
      <c r="GCO337"/>
      <c r="GCP337"/>
      <c r="GCS337"/>
      <c r="GCT337"/>
      <c r="GCW337"/>
      <c r="GCX337"/>
      <c r="GDA337"/>
      <c r="GDB337"/>
      <c r="GDE337"/>
      <c r="GDF337"/>
      <c r="GDI337"/>
      <c r="GDJ337"/>
      <c r="GDM337"/>
      <c r="GDN337"/>
      <c r="GDQ337"/>
      <c r="GDR337"/>
      <c r="GDU337"/>
      <c r="GDV337"/>
      <c r="GDY337"/>
      <c r="GDZ337"/>
      <c r="GEC337"/>
      <c r="GED337"/>
      <c r="GEG337"/>
      <c r="GEH337"/>
      <c r="GEK337"/>
      <c r="GEL337"/>
      <c r="GEO337"/>
      <c r="GEP337"/>
      <c r="GES337"/>
      <c r="GET337"/>
      <c r="GEW337"/>
      <c r="GEX337"/>
      <c r="GFA337"/>
      <c r="GFB337"/>
      <c r="GFE337"/>
      <c r="GFF337"/>
      <c r="GFI337"/>
      <c r="GFJ337"/>
      <c r="GFM337"/>
      <c r="GFN337"/>
      <c r="GFQ337"/>
      <c r="GFR337"/>
      <c r="GFU337"/>
      <c r="GFV337"/>
      <c r="GFY337"/>
      <c r="GFZ337"/>
      <c r="GGC337"/>
      <c r="GGD337"/>
      <c r="GGG337"/>
      <c r="GGH337"/>
      <c r="GGK337"/>
      <c r="GGL337"/>
      <c r="GGO337"/>
      <c r="GGP337"/>
      <c r="GGS337"/>
      <c r="GGT337"/>
      <c r="GGW337"/>
      <c r="GGX337"/>
      <c r="GHA337"/>
      <c r="GHB337"/>
      <c r="GHE337"/>
      <c r="GHF337"/>
      <c r="GHI337"/>
      <c r="GHJ337"/>
      <c r="GHM337"/>
      <c r="GHN337"/>
      <c r="GHQ337"/>
      <c r="GHR337"/>
      <c r="GHU337"/>
      <c r="GHV337"/>
      <c r="GHY337"/>
      <c r="GHZ337"/>
      <c r="GIC337"/>
      <c r="GID337"/>
      <c r="GIG337"/>
      <c r="GIH337"/>
      <c r="GIK337"/>
      <c r="GIL337"/>
      <c r="GIO337"/>
      <c r="GIP337"/>
      <c r="GIS337"/>
      <c r="GIT337"/>
      <c r="GIW337"/>
      <c r="GIX337"/>
      <c r="GJA337"/>
      <c r="GJB337"/>
      <c r="GJE337"/>
      <c r="GJF337"/>
      <c r="GJI337"/>
      <c r="GJJ337"/>
      <c r="GJM337"/>
      <c r="GJN337"/>
      <c r="GJQ337"/>
      <c r="GJR337"/>
      <c r="GJU337"/>
      <c r="GJV337"/>
      <c r="GJY337"/>
      <c r="GJZ337"/>
      <c r="GKC337"/>
      <c r="GKD337"/>
      <c r="GKG337"/>
      <c r="GKH337"/>
      <c r="GKK337"/>
      <c r="GKL337"/>
      <c r="GKO337"/>
      <c r="GKP337"/>
      <c r="GKS337"/>
      <c r="GKT337"/>
      <c r="GKW337"/>
      <c r="GKX337"/>
      <c r="GLA337"/>
      <c r="GLB337"/>
      <c r="GLE337"/>
      <c r="GLF337"/>
      <c r="GLI337"/>
      <c r="GLJ337"/>
      <c r="GLM337"/>
      <c r="GLN337"/>
      <c r="GLQ337"/>
      <c r="GLR337"/>
      <c r="GLU337"/>
      <c r="GLV337"/>
      <c r="GLY337"/>
      <c r="GLZ337"/>
      <c r="GMC337"/>
      <c r="GMD337"/>
      <c r="GMG337"/>
      <c r="GMH337"/>
      <c r="GMK337"/>
      <c r="GML337"/>
      <c r="GMO337"/>
      <c r="GMP337"/>
      <c r="GMS337"/>
      <c r="GMT337"/>
      <c r="GMW337"/>
      <c r="GMX337"/>
      <c r="GNA337"/>
      <c r="GNB337"/>
      <c r="GNE337"/>
      <c r="GNF337"/>
      <c r="GNI337"/>
      <c r="GNJ337"/>
      <c r="GNM337"/>
      <c r="GNN337"/>
      <c r="GNQ337"/>
      <c r="GNR337"/>
      <c r="GNU337"/>
      <c r="GNV337"/>
      <c r="GNY337"/>
      <c r="GNZ337"/>
      <c r="GOC337"/>
      <c r="GOD337"/>
      <c r="GOG337"/>
      <c r="GOH337"/>
      <c r="GOK337"/>
      <c r="GOL337"/>
      <c r="GOO337"/>
      <c r="GOP337"/>
      <c r="GOS337"/>
      <c r="GOT337"/>
      <c r="GOW337"/>
      <c r="GOX337"/>
      <c r="GPA337"/>
      <c r="GPB337"/>
      <c r="GPE337"/>
      <c r="GPF337"/>
      <c r="GPI337"/>
      <c r="GPJ337"/>
      <c r="GPM337"/>
      <c r="GPN337"/>
      <c r="GPQ337"/>
      <c r="GPR337"/>
      <c r="GPU337"/>
      <c r="GPV337"/>
      <c r="GPY337"/>
      <c r="GPZ337"/>
      <c r="GQC337"/>
      <c r="GQD337"/>
      <c r="GQG337"/>
      <c r="GQH337"/>
      <c r="GQK337"/>
      <c r="GQL337"/>
      <c r="GQO337"/>
      <c r="GQP337"/>
      <c r="GQS337"/>
      <c r="GQT337"/>
      <c r="GQW337"/>
      <c r="GQX337"/>
      <c r="GRA337"/>
      <c r="GRB337"/>
      <c r="GRE337"/>
      <c r="GRF337"/>
      <c r="GRI337"/>
      <c r="GRJ337"/>
      <c r="GRM337"/>
      <c r="GRN337"/>
      <c r="GRQ337"/>
      <c r="GRR337"/>
      <c r="GRU337"/>
      <c r="GRV337"/>
      <c r="GRY337"/>
      <c r="GRZ337"/>
      <c r="GSC337"/>
      <c r="GSD337"/>
      <c r="GSG337"/>
      <c r="GSH337"/>
      <c r="GSK337"/>
      <c r="GSL337"/>
      <c r="GSO337"/>
      <c r="GSP337"/>
      <c r="GSS337"/>
      <c r="GST337"/>
      <c r="GSW337"/>
      <c r="GSX337"/>
      <c r="GTA337"/>
      <c r="GTB337"/>
      <c r="GTE337"/>
      <c r="GTF337"/>
      <c r="GTI337"/>
      <c r="GTJ337"/>
      <c r="GTM337"/>
      <c r="GTN337"/>
      <c r="GTQ337"/>
      <c r="GTR337"/>
      <c r="GTU337"/>
      <c r="GTV337"/>
      <c r="GTY337"/>
      <c r="GTZ337"/>
      <c r="GUC337"/>
      <c r="GUD337"/>
      <c r="GUG337"/>
      <c r="GUH337"/>
      <c r="GUK337"/>
      <c r="GUL337"/>
      <c r="GUO337"/>
      <c r="GUP337"/>
      <c r="GUS337"/>
      <c r="GUT337"/>
      <c r="GUW337"/>
      <c r="GUX337"/>
      <c r="GVA337"/>
      <c r="GVB337"/>
      <c r="GVE337"/>
      <c r="GVF337"/>
      <c r="GVI337"/>
      <c r="GVJ337"/>
      <c r="GVM337"/>
      <c r="GVN337"/>
      <c r="GVQ337"/>
      <c r="GVR337"/>
      <c r="GVU337"/>
      <c r="GVV337"/>
      <c r="GVY337"/>
      <c r="GVZ337"/>
      <c r="GWC337"/>
      <c r="GWD337"/>
      <c r="GWG337"/>
      <c r="GWH337"/>
      <c r="GWK337"/>
      <c r="GWL337"/>
      <c r="GWO337"/>
      <c r="GWP337"/>
      <c r="GWS337"/>
      <c r="GWT337"/>
      <c r="GWW337"/>
      <c r="GWX337"/>
      <c r="GXA337"/>
      <c r="GXB337"/>
      <c r="GXE337"/>
      <c r="GXF337"/>
      <c r="GXI337"/>
      <c r="GXJ337"/>
      <c r="GXM337"/>
      <c r="GXN337"/>
      <c r="GXQ337"/>
      <c r="GXR337"/>
      <c r="GXU337"/>
      <c r="GXV337"/>
      <c r="GXY337"/>
      <c r="GXZ337"/>
      <c r="GYC337"/>
      <c r="GYD337"/>
      <c r="GYG337"/>
      <c r="GYH337"/>
      <c r="GYK337"/>
      <c r="GYL337"/>
      <c r="GYO337"/>
      <c r="GYP337"/>
      <c r="GYS337"/>
      <c r="GYT337"/>
      <c r="GYW337"/>
      <c r="GYX337"/>
      <c r="GZA337"/>
      <c r="GZB337"/>
      <c r="GZE337"/>
      <c r="GZF337"/>
      <c r="GZI337"/>
      <c r="GZJ337"/>
      <c r="GZM337"/>
      <c r="GZN337"/>
      <c r="GZQ337"/>
      <c r="GZR337"/>
      <c r="GZU337"/>
      <c r="GZV337"/>
      <c r="GZY337"/>
      <c r="GZZ337"/>
      <c r="HAC337"/>
      <c r="HAD337"/>
      <c r="HAG337"/>
      <c r="HAH337"/>
      <c r="HAK337"/>
      <c r="HAL337"/>
      <c r="HAO337"/>
      <c r="HAP337"/>
      <c r="HAS337"/>
      <c r="HAT337"/>
      <c r="HAW337"/>
      <c r="HAX337"/>
      <c r="HBA337"/>
      <c r="HBB337"/>
      <c r="HBE337"/>
      <c r="HBF337"/>
      <c r="HBI337"/>
      <c r="HBJ337"/>
      <c r="HBM337"/>
      <c r="HBN337"/>
      <c r="HBQ337"/>
      <c r="HBR337"/>
      <c r="HBU337"/>
      <c r="HBV337"/>
      <c r="HBY337"/>
      <c r="HBZ337"/>
      <c r="HCC337"/>
      <c r="HCD337"/>
      <c r="HCG337"/>
      <c r="HCH337"/>
      <c r="HCK337"/>
      <c r="HCL337"/>
      <c r="HCO337"/>
      <c r="HCP337"/>
      <c r="HCS337"/>
      <c r="HCT337"/>
      <c r="HCW337"/>
      <c r="HCX337"/>
      <c r="HDA337"/>
      <c r="HDB337"/>
      <c r="HDE337"/>
      <c r="HDF337"/>
      <c r="HDI337"/>
      <c r="HDJ337"/>
      <c r="HDM337"/>
      <c r="HDN337"/>
      <c r="HDQ337"/>
      <c r="HDR337"/>
      <c r="HDU337"/>
      <c r="HDV337"/>
      <c r="HDY337"/>
      <c r="HDZ337"/>
      <c r="HEC337"/>
      <c r="HED337"/>
      <c r="HEG337"/>
      <c r="HEH337"/>
      <c r="HEK337"/>
      <c r="HEL337"/>
      <c r="HEO337"/>
      <c r="HEP337"/>
      <c r="HES337"/>
      <c r="HET337"/>
      <c r="HEW337"/>
      <c r="HEX337"/>
      <c r="HFA337"/>
      <c r="HFB337"/>
      <c r="HFE337"/>
      <c r="HFF337"/>
      <c r="HFI337"/>
      <c r="HFJ337"/>
      <c r="HFM337"/>
      <c r="HFN337"/>
      <c r="HFQ337"/>
      <c r="HFR337"/>
      <c r="HFU337"/>
      <c r="HFV337"/>
      <c r="HFY337"/>
      <c r="HFZ337"/>
      <c r="HGC337"/>
      <c r="HGD337"/>
      <c r="HGG337"/>
      <c r="HGH337"/>
      <c r="HGK337"/>
      <c r="HGL337"/>
      <c r="HGO337"/>
      <c r="HGP337"/>
      <c r="HGS337"/>
      <c r="HGT337"/>
      <c r="HGW337"/>
      <c r="HGX337"/>
      <c r="HHA337"/>
      <c r="HHB337"/>
      <c r="HHE337"/>
      <c r="HHF337"/>
      <c r="HHI337"/>
      <c r="HHJ337"/>
      <c r="HHM337"/>
      <c r="HHN337"/>
      <c r="HHQ337"/>
      <c r="HHR337"/>
      <c r="HHU337"/>
      <c r="HHV337"/>
      <c r="HHY337"/>
      <c r="HHZ337"/>
      <c r="HIC337"/>
      <c r="HID337"/>
      <c r="HIG337"/>
      <c r="HIH337"/>
      <c r="HIK337"/>
      <c r="HIL337"/>
      <c r="HIO337"/>
      <c r="HIP337"/>
      <c r="HIS337"/>
      <c r="HIT337"/>
      <c r="HIW337"/>
      <c r="HIX337"/>
      <c r="HJA337"/>
      <c r="HJB337"/>
      <c r="HJE337"/>
      <c r="HJF337"/>
      <c r="HJI337"/>
      <c r="HJJ337"/>
      <c r="HJM337"/>
      <c r="HJN337"/>
      <c r="HJQ337"/>
      <c r="HJR337"/>
      <c r="HJU337"/>
      <c r="HJV337"/>
      <c r="HJY337"/>
      <c r="HJZ337"/>
      <c r="HKC337"/>
      <c r="HKD337"/>
      <c r="HKG337"/>
      <c r="HKH337"/>
      <c r="HKK337"/>
      <c r="HKL337"/>
      <c r="HKO337"/>
      <c r="HKP337"/>
      <c r="HKS337"/>
      <c r="HKT337"/>
      <c r="HKW337"/>
      <c r="HKX337"/>
      <c r="HLA337"/>
      <c r="HLB337"/>
      <c r="HLE337"/>
      <c r="HLF337"/>
      <c r="HLI337"/>
      <c r="HLJ337"/>
      <c r="HLM337"/>
      <c r="HLN337"/>
      <c r="HLQ337"/>
      <c r="HLR337"/>
      <c r="HLU337"/>
      <c r="HLV337"/>
      <c r="HLY337"/>
      <c r="HLZ337"/>
      <c r="HMC337"/>
      <c r="HMD337"/>
      <c r="HMG337"/>
      <c r="HMH337"/>
      <c r="HMK337"/>
      <c r="HML337"/>
      <c r="HMO337"/>
      <c r="HMP337"/>
      <c r="HMS337"/>
      <c r="HMT337"/>
      <c r="HMW337"/>
      <c r="HMX337"/>
      <c r="HNA337"/>
      <c r="HNB337"/>
      <c r="HNE337"/>
      <c r="HNF337"/>
      <c r="HNI337"/>
      <c r="HNJ337"/>
      <c r="HNM337"/>
      <c r="HNN337"/>
      <c r="HNQ337"/>
      <c r="HNR337"/>
      <c r="HNU337"/>
      <c r="HNV337"/>
      <c r="HNY337"/>
      <c r="HNZ337"/>
      <c r="HOC337"/>
      <c r="HOD337"/>
      <c r="HOG337"/>
      <c r="HOH337"/>
      <c r="HOK337"/>
      <c r="HOL337"/>
      <c r="HOO337"/>
      <c r="HOP337"/>
      <c r="HOS337"/>
      <c r="HOT337"/>
      <c r="HOW337"/>
      <c r="HOX337"/>
      <c r="HPA337"/>
      <c r="HPB337"/>
      <c r="HPE337"/>
      <c r="HPF337"/>
      <c r="HPI337"/>
      <c r="HPJ337"/>
      <c r="HPM337"/>
      <c r="HPN337"/>
      <c r="HPQ337"/>
      <c r="HPR337"/>
      <c r="HPU337"/>
      <c r="HPV337"/>
      <c r="HPY337"/>
      <c r="HPZ337"/>
      <c r="HQC337"/>
      <c r="HQD337"/>
      <c r="HQG337"/>
      <c r="HQH337"/>
      <c r="HQK337"/>
      <c r="HQL337"/>
      <c r="HQO337"/>
      <c r="HQP337"/>
      <c r="HQS337"/>
      <c r="HQT337"/>
      <c r="HQW337"/>
      <c r="HQX337"/>
      <c r="HRA337"/>
      <c r="HRB337"/>
      <c r="HRE337"/>
      <c r="HRF337"/>
      <c r="HRI337"/>
      <c r="HRJ337"/>
      <c r="HRM337"/>
      <c r="HRN337"/>
      <c r="HRQ337"/>
      <c r="HRR337"/>
      <c r="HRU337"/>
      <c r="HRV337"/>
      <c r="HRY337"/>
      <c r="HRZ337"/>
      <c r="HSC337"/>
      <c r="HSD337"/>
      <c r="HSG337"/>
      <c r="HSH337"/>
      <c r="HSK337"/>
      <c r="HSL337"/>
      <c r="HSO337"/>
      <c r="HSP337"/>
      <c r="HSS337"/>
      <c r="HST337"/>
      <c r="HSW337"/>
      <c r="HSX337"/>
      <c r="HTA337"/>
      <c r="HTB337"/>
      <c r="HTE337"/>
      <c r="HTF337"/>
      <c r="HTI337"/>
      <c r="HTJ337"/>
      <c r="HTM337"/>
      <c r="HTN337"/>
      <c r="HTQ337"/>
      <c r="HTR337"/>
      <c r="HTU337"/>
      <c r="HTV337"/>
      <c r="HTY337"/>
      <c r="HTZ337"/>
      <c r="HUC337"/>
      <c r="HUD337"/>
      <c r="HUG337"/>
      <c r="HUH337"/>
      <c r="HUK337"/>
      <c r="HUL337"/>
      <c r="HUO337"/>
      <c r="HUP337"/>
      <c r="HUS337"/>
      <c r="HUT337"/>
      <c r="HUW337"/>
      <c r="HUX337"/>
      <c r="HVA337"/>
      <c r="HVB337"/>
      <c r="HVE337"/>
      <c r="HVF337"/>
      <c r="HVI337"/>
      <c r="HVJ337"/>
      <c r="HVM337"/>
      <c r="HVN337"/>
      <c r="HVQ337"/>
      <c r="HVR337"/>
      <c r="HVU337"/>
      <c r="HVV337"/>
      <c r="HVY337"/>
      <c r="HVZ337"/>
      <c r="HWC337"/>
      <c r="HWD337"/>
      <c r="HWG337"/>
      <c r="HWH337"/>
      <c r="HWK337"/>
      <c r="HWL337"/>
      <c r="HWO337"/>
      <c r="HWP337"/>
      <c r="HWS337"/>
      <c r="HWT337"/>
      <c r="HWW337"/>
      <c r="HWX337"/>
      <c r="HXA337"/>
      <c r="HXB337"/>
      <c r="HXE337"/>
      <c r="HXF337"/>
      <c r="HXI337"/>
      <c r="HXJ337"/>
      <c r="HXM337"/>
      <c r="HXN337"/>
      <c r="HXQ337"/>
      <c r="HXR337"/>
      <c r="HXU337"/>
      <c r="HXV337"/>
      <c r="HXY337"/>
      <c r="HXZ337"/>
      <c r="HYC337"/>
      <c r="HYD337"/>
      <c r="HYG337"/>
      <c r="HYH337"/>
      <c r="HYK337"/>
      <c r="HYL337"/>
      <c r="HYO337"/>
      <c r="HYP337"/>
      <c r="HYS337"/>
      <c r="HYT337"/>
      <c r="HYW337"/>
      <c r="HYX337"/>
      <c r="HZA337"/>
      <c r="HZB337"/>
      <c r="HZE337"/>
      <c r="HZF337"/>
      <c r="HZI337"/>
      <c r="HZJ337"/>
      <c r="HZM337"/>
      <c r="HZN337"/>
      <c r="HZQ337"/>
      <c r="HZR337"/>
      <c r="HZU337"/>
      <c r="HZV337"/>
      <c r="HZY337"/>
      <c r="HZZ337"/>
      <c r="IAC337"/>
      <c r="IAD337"/>
      <c r="IAG337"/>
      <c r="IAH337"/>
      <c r="IAK337"/>
      <c r="IAL337"/>
      <c r="IAO337"/>
      <c r="IAP337"/>
      <c r="IAS337"/>
      <c r="IAT337"/>
      <c r="IAW337"/>
      <c r="IAX337"/>
      <c r="IBA337"/>
      <c r="IBB337"/>
      <c r="IBE337"/>
      <c r="IBF337"/>
      <c r="IBI337"/>
      <c r="IBJ337"/>
      <c r="IBM337"/>
      <c r="IBN337"/>
      <c r="IBQ337"/>
      <c r="IBR337"/>
      <c r="IBU337"/>
      <c r="IBV337"/>
      <c r="IBY337"/>
      <c r="IBZ337"/>
      <c r="ICC337"/>
      <c r="ICD337"/>
      <c r="ICG337"/>
      <c r="ICH337"/>
      <c r="ICK337"/>
      <c r="ICL337"/>
      <c r="ICO337"/>
      <c r="ICP337"/>
      <c r="ICS337"/>
      <c r="ICT337"/>
      <c r="ICW337"/>
      <c r="ICX337"/>
      <c r="IDA337"/>
      <c r="IDB337"/>
      <c r="IDE337"/>
      <c r="IDF337"/>
      <c r="IDI337"/>
      <c r="IDJ337"/>
      <c r="IDM337"/>
      <c r="IDN337"/>
      <c r="IDQ337"/>
      <c r="IDR337"/>
      <c r="IDU337"/>
      <c r="IDV337"/>
      <c r="IDY337"/>
      <c r="IDZ337"/>
      <c r="IEC337"/>
      <c r="IED337"/>
      <c r="IEG337"/>
      <c r="IEH337"/>
      <c r="IEK337"/>
      <c r="IEL337"/>
      <c r="IEO337"/>
      <c r="IEP337"/>
      <c r="IES337"/>
      <c r="IET337"/>
      <c r="IEW337"/>
      <c r="IEX337"/>
      <c r="IFA337"/>
      <c r="IFB337"/>
      <c r="IFE337"/>
      <c r="IFF337"/>
      <c r="IFI337"/>
      <c r="IFJ337"/>
      <c r="IFM337"/>
      <c r="IFN337"/>
      <c r="IFQ337"/>
      <c r="IFR337"/>
      <c r="IFU337"/>
      <c r="IFV337"/>
      <c r="IFY337"/>
      <c r="IFZ337"/>
      <c r="IGC337"/>
      <c r="IGD337"/>
      <c r="IGG337"/>
      <c r="IGH337"/>
      <c r="IGK337"/>
      <c r="IGL337"/>
      <c r="IGO337"/>
      <c r="IGP337"/>
      <c r="IGS337"/>
      <c r="IGT337"/>
      <c r="IGW337"/>
      <c r="IGX337"/>
      <c r="IHA337"/>
      <c r="IHB337"/>
      <c r="IHE337"/>
      <c r="IHF337"/>
      <c r="IHI337"/>
      <c r="IHJ337"/>
      <c r="IHM337"/>
      <c r="IHN337"/>
      <c r="IHQ337"/>
      <c r="IHR337"/>
      <c r="IHU337"/>
      <c r="IHV337"/>
      <c r="IHY337"/>
      <c r="IHZ337"/>
      <c r="IIC337"/>
      <c r="IID337"/>
      <c r="IIG337"/>
      <c r="IIH337"/>
      <c r="IIK337"/>
      <c r="IIL337"/>
      <c r="IIO337"/>
      <c r="IIP337"/>
      <c r="IIS337"/>
      <c r="IIT337"/>
      <c r="IIW337"/>
      <c r="IIX337"/>
      <c r="IJA337"/>
      <c r="IJB337"/>
      <c r="IJE337"/>
      <c r="IJF337"/>
      <c r="IJI337"/>
      <c r="IJJ337"/>
      <c r="IJM337"/>
      <c r="IJN337"/>
      <c r="IJQ337"/>
      <c r="IJR337"/>
      <c r="IJU337"/>
      <c r="IJV337"/>
      <c r="IJY337"/>
      <c r="IJZ337"/>
      <c r="IKC337"/>
      <c r="IKD337"/>
      <c r="IKG337"/>
      <c r="IKH337"/>
      <c r="IKK337"/>
      <c r="IKL337"/>
      <c r="IKO337"/>
      <c r="IKP337"/>
      <c r="IKS337"/>
      <c r="IKT337"/>
      <c r="IKW337"/>
      <c r="IKX337"/>
      <c r="ILA337"/>
      <c r="ILB337"/>
      <c r="ILE337"/>
      <c r="ILF337"/>
      <c r="ILI337"/>
      <c r="ILJ337"/>
      <c r="ILM337"/>
      <c r="ILN337"/>
      <c r="ILQ337"/>
      <c r="ILR337"/>
      <c r="ILU337"/>
      <c r="ILV337"/>
      <c r="ILY337"/>
      <c r="ILZ337"/>
      <c r="IMC337"/>
      <c r="IMD337"/>
      <c r="IMG337"/>
      <c r="IMH337"/>
      <c r="IMK337"/>
      <c r="IML337"/>
      <c r="IMO337"/>
      <c r="IMP337"/>
      <c r="IMS337"/>
      <c r="IMT337"/>
      <c r="IMW337"/>
      <c r="IMX337"/>
      <c r="INA337"/>
      <c r="INB337"/>
      <c r="INE337"/>
      <c r="INF337"/>
      <c r="INI337"/>
      <c r="INJ337"/>
      <c r="INM337"/>
      <c r="INN337"/>
      <c r="INQ337"/>
      <c r="INR337"/>
      <c r="INU337"/>
      <c r="INV337"/>
      <c r="INY337"/>
      <c r="INZ337"/>
      <c r="IOC337"/>
      <c r="IOD337"/>
      <c r="IOG337"/>
      <c r="IOH337"/>
      <c r="IOK337"/>
      <c r="IOL337"/>
      <c r="IOO337"/>
      <c r="IOP337"/>
      <c r="IOS337"/>
      <c r="IOT337"/>
      <c r="IOW337"/>
      <c r="IOX337"/>
      <c r="IPA337"/>
      <c r="IPB337"/>
      <c r="IPE337"/>
      <c r="IPF337"/>
      <c r="IPI337"/>
      <c r="IPJ337"/>
      <c r="IPM337"/>
      <c r="IPN337"/>
      <c r="IPQ337"/>
      <c r="IPR337"/>
      <c r="IPU337"/>
      <c r="IPV337"/>
      <c r="IPY337"/>
      <c r="IPZ337"/>
      <c r="IQC337"/>
      <c r="IQD337"/>
      <c r="IQG337"/>
      <c r="IQH337"/>
      <c r="IQK337"/>
      <c r="IQL337"/>
      <c r="IQO337"/>
      <c r="IQP337"/>
      <c r="IQS337"/>
      <c r="IQT337"/>
      <c r="IQW337"/>
      <c r="IQX337"/>
      <c r="IRA337"/>
      <c r="IRB337"/>
      <c r="IRE337"/>
      <c r="IRF337"/>
      <c r="IRI337"/>
      <c r="IRJ337"/>
      <c r="IRM337"/>
      <c r="IRN337"/>
      <c r="IRQ337"/>
      <c r="IRR337"/>
      <c r="IRU337"/>
      <c r="IRV337"/>
      <c r="IRY337"/>
      <c r="IRZ337"/>
      <c r="ISC337"/>
      <c r="ISD337"/>
      <c r="ISG337"/>
      <c r="ISH337"/>
      <c r="ISK337"/>
      <c r="ISL337"/>
      <c r="ISO337"/>
      <c r="ISP337"/>
      <c r="ISS337"/>
      <c r="IST337"/>
      <c r="ISW337"/>
      <c r="ISX337"/>
      <c r="ITA337"/>
      <c r="ITB337"/>
      <c r="ITE337"/>
      <c r="ITF337"/>
      <c r="ITI337"/>
      <c r="ITJ337"/>
      <c r="ITM337"/>
      <c r="ITN337"/>
      <c r="ITQ337"/>
      <c r="ITR337"/>
      <c r="ITU337"/>
      <c r="ITV337"/>
      <c r="ITY337"/>
      <c r="ITZ337"/>
      <c r="IUC337"/>
      <c r="IUD337"/>
      <c r="IUG337"/>
      <c r="IUH337"/>
      <c r="IUK337"/>
      <c r="IUL337"/>
      <c r="IUO337"/>
      <c r="IUP337"/>
      <c r="IUS337"/>
      <c r="IUT337"/>
      <c r="IUW337"/>
      <c r="IUX337"/>
      <c r="IVA337"/>
      <c r="IVB337"/>
      <c r="IVE337"/>
      <c r="IVF337"/>
      <c r="IVI337"/>
      <c r="IVJ337"/>
      <c r="IVM337"/>
      <c r="IVN337"/>
      <c r="IVQ337"/>
      <c r="IVR337"/>
      <c r="IVU337"/>
      <c r="IVV337"/>
      <c r="IVY337"/>
      <c r="IVZ337"/>
      <c r="IWC337"/>
      <c r="IWD337"/>
      <c r="IWG337"/>
      <c r="IWH337"/>
      <c r="IWK337"/>
      <c r="IWL337"/>
      <c r="IWO337"/>
      <c r="IWP337"/>
      <c r="IWS337"/>
      <c r="IWT337"/>
      <c r="IWW337"/>
      <c r="IWX337"/>
      <c r="IXA337"/>
      <c r="IXB337"/>
      <c r="IXE337"/>
      <c r="IXF337"/>
      <c r="IXI337"/>
      <c r="IXJ337"/>
      <c r="IXM337"/>
      <c r="IXN337"/>
      <c r="IXQ337"/>
      <c r="IXR337"/>
      <c r="IXU337"/>
      <c r="IXV337"/>
      <c r="IXY337"/>
      <c r="IXZ337"/>
      <c r="IYC337"/>
      <c r="IYD337"/>
      <c r="IYG337"/>
      <c r="IYH337"/>
      <c r="IYK337"/>
      <c r="IYL337"/>
      <c r="IYO337"/>
      <c r="IYP337"/>
      <c r="IYS337"/>
      <c r="IYT337"/>
      <c r="IYW337"/>
      <c r="IYX337"/>
      <c r="IZA337"/>
      <c r="IZB337"/>
      <c r="IZE337"/>
      <c r="IZF337"/>
      <c r="IZI337"/>
      <c r="IZJ337"/>
      <c r="IZM337"/>
      <c r="IZN337"/>
      <c r="IZQ337"/>
      <c r="IZR337"/>
      <c r="IZU337"/>
      <c r="IZV337"/>
      <c r="IZY337"/>
      <c r="IZZ337"/>
      <c r="JAC337"/>
      <c r="JAD337"/>
      <c r="JAG337"/>
      <c r="JAH337"/>
      <c r="JAK337"/>
      <c r="JAL337"/>
      <c r="JAO337"/>
      <c r="JAP337"/>
      <c r="JAS337"/>
      <c r="JAT337"/>
      <c r="JAW337"/>
      <c r="JAX337"/>
      <c r="JBA337"/>
      <c r="JBB337"/>
      <c r="JBE337"/>
      <c r="JBF337"/>
      <c r="JBI337"/>
      <c r="JBJ337"/>
      <c r="JBM337"/>
      <c r="JBN337"/>
      <c r="JBQ337"/>
      <c r="JBR337"/>
      <c r="JBU337"/>
      <c r="JBV337"/>
      <c r="JBY337"/>
      <c r="JBZ337"/>
      <c r="JCC337"/>
      <c r="JCD337"/>
      <c r="JCG337"/>
      <c r="JCH337"/>
      <c r="JCK337"/>
      <c r="JCL337"/>
      <c r="JCO337"/>
      <c r="JCP337"/>
      <c r="JCS337"/>
      <c r="JCT337"/>
      <c r="JCW337"/>
      <c r="JCX337"/>
      <c r="JDA337"/>
      <c r="JDB337"/>
      <c r="JDE337"/>
      <c r="JDF337"/>
      <c r="JDI337"/>
      <c r="JDJ337"/>
      <c r="JDM337"/>
      <c r="JDN337"/>
      <c r="JDQ337"/>
      <c r="JDR337"/>
      <c r="JDU337"/>
      <c r="JDV337"/>
      <c r="JDY337"/>
      <c r="JDZ337"/>
      <c r="JEC337"/>
      <c r="JED337"/>
      <c r="JEG337"/>
      <c r="JEH337"/>
      <c r="JEK337"/>
      <c r="JEL337"/>
      <c r="JEO337"/>
      <c r="JEP337"/>
      <c r="JES337"/>
      <c r="JET337"/>
      <c r="JEW337"/>
      <c r="JEX337"/>
      <c r="JFA337"/>
      <c r="JFB337"/>
      <c r="JFE337"/>
      <c r="JFF337"/>
      <c r="JFI337"/>
      <c r="JFJ337"/>
      <c r="JFM337"/>
      <c r="JFN337"/>
      <c r="JFQ337"/>
      <c r="JFR337"/>
      <c r="JFU337"/>
      <c r="JFV337"/>
      <c r="JFY337"/>
      <c r="JFZ337"/>
      <c r="JGC337"/>
      <c r="JGD337"/>
      <c r="JGG337"/>
      <c r="JGH337"/>
      <c r="JGK337"/>
      <c r="JGL337"/>
      <c r="JGO337"/>
      <c r="JGP337"/>
      <c r="JGS337"/>
      <c r="JGT337"/>
      <c r="JGW337"/>
      <c r="JGX337"/>
      <c r="JHA337"/>
      <c r="JHB337"/>
      <c r="JHE337"/>
      <c r="JHF337"/>
      <c r="JHI337"/>
      <c r="JHJ337"/>
      <c r="JHM337"/>
      <c r="JHN337"/>
      <c r="JHQ337"/>
      <c r="JHR337"/>
      <c r="JHU337"/>
      <c r="JHV337"/>
      <c r="JHY337"/>
      <c r="JHZ337"/>
      <c r="JIC337"/>
      <c r="JID337"/>
      <c r="JIG337"/>
      <c r="JIH337"/>
      <c r="JIK337"/>
      <c r="JIL337"/>
      <c r="JIO337"/>
      <c r="JIP337"/>
      <c r="JIS337"/>
      <c r="JIT337"/>
      <c r="JIW337"/>
      <c r="JIX337"/>
      <c r="JJA337"/>
      <c r="JJB337"/>
      <c r="JJE337"/>
      <c r="JJF337"/>
      <c r="JJI337"/>
      <c r="JJJ337"/>
      <c r="JJM337"/>
      <c r="JJN337"/>
      <c r="JJQ337"/>
      <c r="JJR337"/>
      <c r="JJU337"/>
      <c r="JJV337"/>
      <c r="JJY337"/>
      <c r="JJZ337"/>
      <c r="JKC337"/>
      <c r="JKD337"/>
      <c r="JKG337"/>
      <c r="JKH337"/>
      <c r="JKK337"/>
      <c r="JKL337"/>
      <c r="JKO337"/>
      <c r="JKP337"/>
      <c r="JKS337"/>
      <c r="JKT337"/>
      <c r="JKW337"/>
      <c r="JKX337"/>
      <c r="JLA337"/>
      <c r="JLB337"/>
      <c r="JLE337"/>
      <c r="JLF337"/>
      <c r="JLI337"/>
      <c r="JLJ337"/>
      <c r="JLM337"/>
      <c r="JLN337"/>
      <c r="JLQ337"/>
      <c r="JLR337"/>
      <c r="JLU337"/>
      <c r="JLV337"/>
      <c r="JLY337"/>
      <c r="JLZ337"/>
      <c r="JMC337"/>
      <c r="JMD337"/>
      <c r="JMG337"/>
      <c r="JMH337"/>
      <c r="JMK337"/>
      <c r="JML337"/>
      <c r="JMO337"/>
      <c r="JMP337"/>
      <c r="JMS337"/>
      <c r="JMT337"/>
      <c r="JMW337"/>
      <c r="JMX337"/>
      <c r="JNA337"/>
      <c r="JNB337"/>
      <c r="JNE337"/>
      <c r="JNF337"/>
      <c r="JNI337"/>
      <c r="JNJ337"/>
      <c r="JNM337"/>
      <c r="JNN337"/>
      <c r="JNQ337"/>
      <c r="JNR337"/>
      <c r="JNU337"/>
      <c r="JNV337"/>
      <c r="JNY337"/>
      <c r="JNZ337"/>
      <c r="JOC337"/>
      <c r="JOD337"/>
      <c r="JOG337"/>
      <c r="JOH337"/>
      <c r="JOK337"/>
      <c r="JOL337"/>
      <c r="JOO337"/>
      <c r="JOP337"/>
      <c r="JOS337"/>
      <c r="JOT337"/>
      <c r="JOW337"/>
      <c r="JOX337"/>
      <c r="JPA337"/>
      <c r="JPB337"/>
      <c r="JPE337"/>
      <c r="JPF337"/>
      <c r="JPI337"/>
      <c r="JPJ337"/>
      <c r="JPM337"/>
      <c r="JPN337"/>
      <c r="JPQ337"/>
      <c r="JPR337"/>
      <c r="JPU337"/>
      <c r="JPV337"/>
      <c r="JPY337"/>
      <c r="JPZ337"/>
      <c r="JQC337"/>
      <c r="JQD337"/>
      <c r="JQG337"/>
      <c r="JQH337"/>
      <c r="JQK337"/>
      <c r="JQL337"/>
      <c r="JQO337"/>
      <c r="JQP337"/>
      <c r="JQS337"/>
      <c r="JQT337"/>
      <c r="JQW337"/>
      <c r="JQX337"/>
      <c r="JRA337"/>
      <c r="JRB337"/>
      <c r="JRE337"/>
      <c r="JRF337"/>
      <c r="JRI337"/>
      <c r="JRJ337"/>
      <c r="JRM337"/>
      <c r="JRN337"/>
      <c r="JRQ337"/>
      <c r="JRR337"/>
      <c r="JRU337"/>
      <c r="JRV337"/>
      <c r="JRY337"/>
      <c r="JRZ337"/>
      <c r="JSC337"/>
      <c r="JSD337"/>
      <c r="JSG337"/>
      <c r="JSH337"/>
      <c r="JSK337"/>
      <c r="JSL337"/>
      <c r="JSO337"/>
      <c r="JSP337"/>
      <c r="JSS337"/>
      <c r="JST337"/>
      <c r="JSW337"/>
      <c r="JSX337"/>
      <c r="JTA337"/>
      <c r="JTB337"/>
      <c r="JTE337"/>
      <c r="JTF337"/>
      <c r="JTI337"/>
      <c r="JTJ337"/>
      <c r="JTM337"/>
      <c r="JTN337"/>
      <c r="JTQ337"/>
      <c r="JTR337"/>
      <c r="JTU337"/>
      <c r="JTV337"/>
      <c r="JTY337"/>
      <c r="JTZ337"/>
      <c r="JUC337"/>
      <c r="JUD337"/>
      <c r="JUG337"/>
      <c r="JUH337"/>
      <c r="JUK337"/>
      <c r="JUL337"/>
      <c r="JUO337"/>
      <c r="JUP337"/>
      <c r="JUS337"/>
      <c r="JUT337"/>
      <c r="JUW337"/>
      <c r="JUX337"/>
      <c r="JVA337"/>
      <c r="JVB337"/>
      <c r="JVE337"/>
      <c r="JVF337"/>
      <c r="JVI337"/>
      <c r="JVJ337"/>
      <c r="JVM337"/>
      <c r="JVN337"/>
      <c r="JVQ337"/>
      <c r="JVR337"/>
      <c r="JVU337"/>
      <c r="JVV337"/>
      <c r="JVY337"/>
      <c r="JVZ337"/>
      <c r="JWC337"/>
      <c r="JWD337"/>
      <c r="JWG337"/>
      <c r="JWH337"/>
      <c r="JWK337"/>
      <c r="JWL337"/>
      <c r="JWO337"/>
      <c r="JWP337"/>
      <c r="JWS337"/>
      <c r="JWT337"/>
      <c r="JWW337"/>
      <c r="JWX337"/>
      <c r="JXA337"/>
      <c r="JXB337"/>
      <c r="JXE337"/>
      <c r="JXF337"/>
      <c r="JXI337"/>
      <c r="JXJ337"/>
      <c r="JXM337"/>
      <c r="JXN337"/>
      <c r="JXQ337"/>
      <c r="JXR337"/>
      <c r="JXU337"/>
      <c r="JXV337"/>
      <c r="JXY337"/>
      <c r="JXZ337"/>
      <c r="JYC337"/>
      <c r="JYD337"/>
      <c r="JYG337"/>
      <c r="JYH337"/>
      <c r="JYK337"/>
      <c r="JYL337"/>
      <c r="JYO337"/>
      <c r="JYP337"/>
      <c r="JYS337"/>
      <c r="JYT337"/>
      <c r="JYW337"/>
      <c r="JYX337"/>
      <c r="JZA337"/>
      <c r="JZB337"/>
      <c r="JZE337"/>
      <c r="JZF337"/>
      <c r="JZI337"/>
      <c r="JZJ337"/>
      <c r="JZM337"/>
      <c r="JZN337"/>
      <c r="JZQ337"/>
      <c r="JZR337"/>
      <c r="JZU337"/>
      <c r="JZV337"/>
      <c r="JZY337"/>
      <c r="JZZ337"/>
      <c r="KAC337"/>
      <c r="KAD337"/>
      <c r="KAG337"/>
      <c r="KAH337"/>
      <c r="KAK337"/>
      <c r="KAL337"/>
      <c r="KAO337"/>
      <c r="KAP337"/>
      <c r="KAS337"/>
      <c r="KAT337"/>
      <c r="KAW337"/>
      <c r="KAX337"/>
      <c r="KBA337"/>
      <c r="KBB337"/>
      <c r="KBE337"/>
      <c r="KBF337"/>
      <c r="KBI337"/>
      <c r="KBJ337"/>
      <c r="KBM337"/>
      <c r="KBN337"/>
      <c r="KBQ337"/>
      <c r="KBR337"/>
      <c r="KBU337"/>
      <c r="KBV337"/>
      <c r="KBY337"/>
      <c r="KBZ337"/>
      <c r="KCC337"/>
      <c r="KCD337"/>
      <c r="KCG337"/>
      <c r="KCH337"/>
      <c r="KCK337"/>
      <c r="KCL337"/>
      <c r="KCO337"/>
      <c r="KCP337"/>
      <c r="KCS337"/>
      <c r="KCT337"/>
      <c r="KCW337"/>
      <c r="KCX337"/>
      <c r="KDA337"/>
      <c r="KDB337"/>
      <c r="KDE337"/>
      <c r="KDF337"/>
      <c r="KDI337"/>
      <c r="KDJ337"/>
      <c r="KDM337"/>
      <c r="KDN337"/>
      <c r="KDQ337"/>
      <c r="KDR337"/>
      <c r="KDU337"/>
      <c r="KDV337"/>
      <c r="KDY337"/>
      <c r="KDZ337"/>
      <c r="KEC337"/>
      <c r="KED337"/>
      <c r="KEG337"/>
      <c r="KEH337"/>
      <c r="KEK337"/>
      <c r="KEL337"/>
      <c r="KEO337"/>
      <c r="KEP337"/>
      <c r="KES337"/>
      <c r="KET337"/>
      <c r="KEW337"/>
      <c r="KEX337"/>
      <c r="KFA337"/>
      <c r="KFB337"/>
      <c r="KFE337"/>
      <c r="KFF337"/>
      <c r="KFI337"/>
      <c r="KFJ337"/>
      <c r="KFM337"/>
      <c r="KFN337"/>
      <c r="KFQ337"/>
      <c r="KFR337"/>
      <c r="KFU337"/>
      <c r="KFV337"/>
      <c r="KFY337"/>
      <c r="KFZ337"/>
      <c r="KGC337"/>
      <c r="KGD337"/>
      <c r="KGG337"/>
      <c r="KGH337"/>
      <c r="KGK337"/>
      <c r="KGL337"/>
      <c r="KGO337"/>
      <c r="KGP337"/>
      <c r="KGS337"/>
      <c r="KGT337"/>
      <c r="KGW337"/>
      <c r="KGX337"/>
      <c r="KHA337"/>
      <c r="KHB337"/>
      <c r="KHE337"/>
      <c r="KHF337"/>
      <c r="KHI337"/>
      <c r="KHJ337"/>
      <c r="KHM337"/>
      <c r="KHN337"/>
      <c r="KHQ337"/>
      <c r="KHR337"/>
      <c r="KHU337"/>
      <c r="KHV337"/>
      <c r="KHY337"/>
      <c r="KHZ337"/>
      <c r="KIC337"/>
      <c r="KID337"/>
      <c r="KIG337"/>
      <c r="KIH337"/>
      <c r="KIK337"/>
      <c r="KIL337"/>
      <c r="KIO337"/>
      <c r="KIP337"/>
      <c r="KIS337"/>
      <c r="KIT337"/>
      <c r="KIW337"/>
      <c r="KIX337"/>
      <c r="KJA337"/>
      <c r="KJB337"/>
      <c r="KJE337"/>
      <c r="KJF337"/>
      <c r="KJI337"/>
      <c r="KJJ337"/>
      <c r="KJM337"/>
      <c r="KJN337"/>
      <c r="KJQ337"/>
      <c r="KJR337"/>
      <c r="KJU337"/>
      <c r="KJV337"/>
      <c r="KJY337"/>
      <c r="KJZ337"/>
      <c r="KKC337"/>
      <c r="KKD337"/>
      <c r="KKG337"/>
      <c r="KKH337"/>
      <c r="KKK337"/>
      <c r="KKL337"/>
      <c r="KKO337"/>
      <c r="KKP337"/>
      <c r="KKS337"/>
      <c r="KKT337"/>
      <c r="KKW337"/>
      <c r="KKX337"/>
      <c r="KLA337"/>
      <c r="KLB337"/>
      <c r="KLE337"/>
      <c r="KLF337"/>
      <c r="KLI337"/>
      <c r="KLJ337"/>
      <c r="KLM337"/>
      <c r="KLN337"/>
      <c r="KLQ337"/>
      <c r="KLR337"/>
      <c r="KLU337"/>
      <c r="KLV337"/>
      <c r="KLY337"/>
      <c r="KLZ337"/>
      <c r="KMC337"/>
      <c r="KMD337"/>
      <c r="KMG337"/>
      <c r="KMH337"/>
      <c r="KMK337"/>
      <c r="KML337"/>
      <c r="KMO337"/>
      <c r="KMP337"/>
      <c r="KMS337"/>
      <c r="KMT337"/>
      <c r="KMW337"/>
      <c r="KMX337"/>
      <c r="KNA337"/>
      <c r="KNB337"/>
      <c r="KNE337"/>
      <c r="KNF337"/>
      <c r="KNI337"/>
      <c r="KNJ337"/>
      <c r="KNM337"/>
      <c r="KNN337"/>
      <c r="KNQ337"/>
      <c r="KNR337"/>
      <c r="KNU337"/>
      <c r="KNV337"/>
      <c r="KNY337"/>
      <c r="KNZ337"/>
      <c r="KOC337"/>
      <c r="KOD337"/>
      <c r="KOG337"/>
      <c r="KOH337"/>
      <c r="KOK337"/>
      <c r="KOL337"/>
      <c r="KOO337"/>
      <c r="KOP337"/>
      <c r="KOS337"/>
      <c r="KOT337"/>
      <c r="KOW337"/>
      <c r="KOX337"/>
      <c r="KPA337"/>
      <c r="KPB337"/>
      <c r="KPE337"/>
      <c r="KPF337"/>
      <c r="KPI337"/>
      <c r="KPJ337"/>
      <c r="KPM337"/>
      <c r="KPN337"/>
      <c r="KPQ337"/>
      <c r="KPR337"/>
      <c r="KPU337"/>
      <c r="KPV337"/>
      <c r="KPY337"/>
      <c r="KPZ337"/>
      <c r="KQC337"/>
      <c r="KQD337"/>
      <c r="KQG337"/>
      <c r="KQH337"/>
      <c r="KQK337"/>
      <c r="KQL337"/>
      <c r="KQO337"/>
      <c r="KQP337"/>
      <c r="KQS337"/>
      <c r="KQT337"/>
      <c r="KQW337"/>
      <c r="KQX337"/>
      <c r="KRA337"/>
      <c r="KRB337"/>
      <c r="KRE337"/>
      <c r="KRF337"/>
      <c r="KRI337"/>
      <c r="KRJ337"/>
      <c r="KRM337"/>
      <c r="KRN337"/>
      <c r="KRQ337"/>
      <c r="KRR337"/>
      <c r="KRU337"/>
      <c r="KRV337"/>
      <c r="KRY337"/>
      <c r="KRZ337"/>
      <c r="KSC337"/>
      <c r="KSD337"/>
      <c r="KSG337"/>
      <c r="KSH337"/>
      <c r="KSK337"/>
      <c r="KSL337"/>
      <c r="KSO337"/>
      <c r="KSP337"/>
      <c r="KSS337"/>
      <c r="KST337"/>
      <c r="KSW337"/>
      <c r="KSX337"/>
      <c r="KTA337"/>
      <c r="KTB337"/>
      <c r="KTE337"/>
      <c r="KTF337"/>
      <c r="KTI337"/>
      <c r="KTJ337"/>
      <c r="KTM337"/>
      <c r="KTN337"/>
      <c r="KTQ337"/>
      <c r="KTR337"/>
      <c r="KTU337"/>
      <c r="KTV337"/>
      <c r="KTY337"/>
      <c r="KTZ337"/>
      <c r="KUC337"/>
      <c r="KUD337"/>
      <c r="KUG337"/>
      <c r="KUH337"/>
      <c r="KUK337"/>
      <c r="KUL337"/>
      <c r="KUO337"/>
      <c r="KUP337"/>
      <c r="KUS337"/>
      <c r="KUT337"/>
      <c r="KUW337"/>
      <c r="KUX337"/>
      <c r="KVA337"/>
      <c r="KVB337"/>
      <c r="KVE337"/>
      <c r="KVF337"/>
      <c r="KVI337"/>
      <c r="KVJ337"/>
      <c r="KVM337"/>
      <c r="KVN337"/>
      <c r="KVQ337"/>
      <c r="KVR337"/>
      <c r="KVU337"/>
      <c r="KVV337"/>
      <c r="KVY337"/>
      <c r="KVZ337"/>
      <c r="KWC337"/>
      <c r="KWD337"/>
      <c r="KWG337"/>
      <c r="KWH337"/>
      <c r="KWK337"/>
      <c r="KWL337"/>
      <c r="KWO337"/>
      <c r="KWP337"/>
      <c r="KWS337"/>
      <c r="KWT337"/>
      <c r="KWW337"/>
      <c r="KWX337"/>
      <c r="KXA337"/>
      <c r="KXB337"/>
      <c r="KXE337"/>
      <c r="KXF337"/>
      <c r="KXI337"/>
      <c r="KXJ337"/>
      <c r="KXM337"/>
      <c r="KXN337"/>
      <c r="KXQ337"/>
      <c r="KXR337"/>
      <c r="KXU337"/>
      <c r="KXV337"/>
      <c r="KXY337"/>
      <c r="KXZ337"/>
      <c r="KYC337"/>
      <c r="KYD337"/>
      <c r="KYG337"/>
      <c r="KYH337"/>
      <c r="KYK337"/>
      <c r="KYL337"/>
      <c r="KYO337"/>
      <c r="KYP337"/>
      <c r="KYS337"/>
      <c r="KYT337"/>
      <c r="KYW337"/>
      <c r="KYX337"/>
      <c r="KZA337"/>
      <c r="KZB337"/>
      <c r="KZE337"/>
      <c r="KZF337"/>
      <c r="KZI337"/>
      <c r="KZJ337"/>
      <c r="KZM337"/>
      <c r="KZN337"/>
      <c r="KZQ337"/>
      <c r="KZR337"/>
      <c r="KZU337"/>
      <c r="KZV337"/>
      <c r="KZY337"/>
      <c r="KZZ337"/>
      <c r="LAC337"/>
      <c r="LAD337"/>
      <c r="LAG337"/>
      <c r="LAH337"/>
      <c r="LAK337"/>
      <c r="LAL337"/>
      <c r="LAO337"/>
      <c r="LAP337"/>
      <c r="LAS337"/>
      <c r="LAT337"/>
      <c r="LAW337"/>
      <c r="LAX337"/>
      <c r="LBA337"/>
      <c r="LBB337"/>
      <c r="LBE337"/>
      <c r="LBF337"/>
      <c r="LBI337"/>
      <c r="LBJ337"/>
      <c r="LBM337"/>
      <c r="LBN337"/>
      <c r="LBQ337"/>
      <c r="LBR337"/>
      <c r="LBU337"/>
      <c r="LBV337"/>
      <c r="LBY337"/>
      <c r="LBZ337"/>
      <c r="LCC337"/>
      <c r="LCD337"/>
      <c r="LCG337"/>
      <c r="LCH337"/>
      <c r="LCK337"/>
      <c r="LCL337"/>
      <c r="LCO337"/>
      <c r="LCP337"/>
      <c r="LCS337"/>
      <c r="LCT337"/>
      <c r="LCW337"/>
      <c r="LCX337"/>
      <c r="LDA337"/>
      <c r="LDB337"/>
      <c r="LDE337"/>
      <c r="LDF337"/>
      <c r="LDI337"/>
      <c r="LDJ337"/>
      <c r="LDM337"/>
      <c r="LDN337"/>
      <c r="LDQ337"/>
      <c r="LDR337"/>
      <c r="LDU337"/>
      <c r="LDV337"/>
      <c r="LDY337"/>
      <c r="LDZ337"/>
      <c r="LEC337"/>
      <c r="LED337"/>
      <c r="LEG337"/>
      <c r="LEH337"/>
      <c r="LEK337"/>
      <c r="LEL337"/>
      <c r="LEO337"/>
      <c r="LEP337"/>
      <c r="LES337"/>
      <c r="LET337"/>
      <c r="LEW337"/>
      <c r="LEX337"/>
      <c r="LFA337"/>
      <c r="LFB337"/>
      <c r="LFE337"/>
      <c r="LFF337"/>
      <c r="LFI337"/>
      <c r="LFJ337"/>
      <c r="LFM337"/>
      <c r="LFN337"/>
      <c r="LFQ337"/>
      <c r="LFR337"/>
      <c r="LFU337"/>
      <c r="LFV337"/>
      <c r="LFY337"/>
      <c r="LFZ337"/>
      <c r="LGC337"/>
      <c r="LGD337"/>
      <c r="LGG337"/>
      <c r="LGH337"/>
      <c r="LGK337"/>
      <c r="LGL337"/>
      <c r="LGO337"/>
      <c r="LGP337"/>
      <c r="LGS337"/>
      <c r="LGT337"/>
      <c r="LGW337"/>
      <c r="LGX337"/>
      <c r="LHA337"/>
      <c r="LHB337"/>
      <c r="LHE337"/>
      <c r="LHF337"/>
      <c r="LHI337"/>
      <c r="LHJ337"/>
      <c r="LHM337"/>
      <c r="LHN337"/>
      <c r="LHQ337"/>
      <c r="LHR337"/>
      <c r="LHU337"/>
      <c r="LHV337"/>
      <c r="LHY337"/>
      <c r="LHZ337"/>
      <c r="LIC337"/>
      <c r="LID337"/>
      <c r="LIG337"/>
      <c r="LIH337"/>
      <c r="LIK337"/>
      <c r="LIL337"/>
      <c r="LIO337"/>
      <c r="LIP337"/>
      <c r="LIS337"/>
      <c r="LIT337"/>
      <c r="LIW337"/>
      <c r="LIX337"/>
      <c r="LJA337"/>
      <c r="LJB337"/>
      <c r="LJE337"/>
      <c r="LJF337"/>
      <c r="LJI337"/>
      <c r="LJJ337"/>
      <c r="LJM337"/>
      <c r="LJN337"/>
      <c r="LJQ337"/>
      <c r="LJR337"/>
      <c r="LJU337"/>
      <c r="LJV337"/>
      <c r="LJY337"/>
      <c r="LJZ337"/>
      <c r="LKC337"/>
      <c r="LKD337"/>
      <c r="LKG337"/>
      <c r="LKH337"/>
      <c r="LKK337"/>
      <c r="LKL337"/>
      <c r="LKO337"/>
      <c r="LKP337"/>
      <c r="LKS337"/>
      <c r="LKT337"/>
      <c r="LKW337"/>
      <c r="LKX337"/>
      <c r="LLA337"/>
      <c r="LLB337"/>
      <c r="LLE337"/>
      <c r="LLF337"/>
      <c r="LLI337"/>
      <c r="LLJ337"/>
      <c r="LLM337"/>
      <c r="LLN337"/>
      <c r="LLQ337"/>
      <c r="LLR337"/>
      <c r="LLU337"/>
      <c r="LLV337"/>
      <c r="LLY337"/>
      <c r="LLZ337"/>
      <c r="LMC337"/>
      <c r="LMD337"/>
      <c r="LMG337"/>
      <c r="LMH337"/>
      <c r="LMK337"/>
      <c r="LML337"/>
      <c r="LMO337"/>
      <c r="LMP337"/>
      <c r="LMS337"/>
      <c r="LMT337"/>
      <c r="LMW337"/>
      <c r="LMX337"/>
      <c r="LNA337"/>
      <c r="LNB337"/>
      <c r="LNE337"/>
      <c r="LNF337"/>
      <c r="LNI337"/>
      <c r="LNJ337"/>
      <c r="LNM337"/>
      <c r="LNN337"/>
      <c r="LNQ337"/>
      <c r="LNR337"/>
      <c r="LNU337"/>
      <c r="LNV337"/>
      <c r="LNY337"/>
      <c r="LNZ337"/>
      <c r="LOC337"/>
      <c r="LOD337"/>
      <c r="LOG337"/>
      <c r="LOH337"/>
      <c r="LOK337"/>
      <c r="LOL337"/>
      <c r="LOO337"/>
      <c r="LOP337"/>
      <c r="LOS337"/>
      <c r="LOT337"/>
      <c r="LOW337"/>
      <c r="LOX337"/>
      <c r="LPA337"/>
      <c r="LPB337"/>
      <c r="LPE337"/>
      <c r="LPF337"/>
      <c r="LPI337"/>
      <c r="LPJ337"/>
      <c r="LPM337"/>
      <c r="LPN337"/>
      <c r="LPQ337"/>
      <c r="LPR337"/>
      <c r="LPU337"/>
      <c r="LPV337"/>
      <c r="LPY337"/>
      <c r="LPZ337"/>
      <c r="LQC337"/>
      <c r="LQD337"/>
      <c r="LQG337"/>
      <c r="LQH337"/>
      <c r="LQK337"/>
      <c r="LQL337"/>
      <c r="LQO337"/>
      <c r="LQP337"/>
      <c r="LQS337"/>
      <c r="LQT337"/>
      <c r="LQW337"/>
      <c r="LQX337"/>
      <c r="LRA337"/>
      <c r="LRB337"/>
      <c r="LRE337"/>
      <c r="LRF337"/>
      <c r="LRI337"/>
      <c r="LRJ337"/>
      <c r="LRM337"/>
      <c r="LRN337"/>
      <c r="LRQ337"/>
      <c r="LRR337"/>
      <c r="LRU337"/>
      <c r="LRV337"/>
      <c r="LRY337"/>
      <c r="LRZ337"/>
      <c r="LSC337"/>
      <c r="LSD337"/>
      <c r="LSG337"/>
      <c r="LSH337"/>
      <c r="LSK337"/>
      <c r="LSL337"/>
      <c r="LSO337"/>
      <c r="LSP337"/>
      <c r="LSS337"/>
      <c r="LST337"/>
      <c r="LSW337"/>
      <c r="LSX337"/>
      <c r="LTA337"/>
      <c r="LTB337"/>
      <c r="LTE337"/>
      <c r="LTF337"/>
      <c r="LTI337"/>
      <c r="LTJ337"/>
      <c r="LTM337"/>
      <c r="LTN337"/>
      <c r="LTQ337"/>
      <c r="LTR337"/>
      <c r="LTU337"/>
      <c r="LTV337"/>
      <c r="LTY337"/>
      <c r="LTZ337"/>
      <c r="LUC337"/>
      <c r="LUD337"/>
      <c r="LUG337"/>
      <c r="LUH337"/>
      <c r="LUK337"/>
      <c r="LUL337"/>
      <c r="LUO337"/>
      <c r="LUP337"/>
      <c r="LUS337"/>
      <c r="LUT337"/>
      <c r="LUW337"/>
      <c r="LUX337"/>
      <c r="LVA337"/>
      <c r="LVB337"/>
      <c r="LVE337"/>
      <c r="LVF337"/>
      <c r="LVI337"/>
      <c r="LVJ337"/>
      <c r="LVM337"/>
      <c r="LVN337"/>
      <c r="LVQ337"/>
      <c r="LVR337"/>
      <c r="LVU337"/>
      <c r="LVV337"/>
      <c r="LVY337"/>
      <c r="LVZ337"/>
      <c r="LWC337"/>
      <c r="LWD337"/>
      <c r="LWG337"/>
      <c r="LWH337"/>
      <c r="LWK337"/>
      <c r="LWL337"/>
      <c r="LWO337"/>
      <c r="LWP337"/>
      <c r="LWS337"/>
      <c r="LWT337"/>
      <c r="LWW337"/>
      <c r="LWX337"/>
      <c r="LXA337"/>
      <c r="LXB337"/>
      <c r="LXE337"/>
      <c r="LXF337"/>
      <c r="LXI337"/>
      <c r="LXJ337"/>
      <c r="LXM337"/>
      <c r="LXN337"/>
      <c r="LXQ337"/>
      <c r="LXR337"/>
      <c r="LXU337"/>
      <c r="LXV337"/>
      <c r="LXY337"/>
      <c r="LXZ337"/>
      <c r="LYC337"/>
      <c r="LYD337"/>
      <c r="LYG337"/>
      <c r="LYH337"/>
      <c r="LYK337"/>
      <c r="LYL337"/>
      <c r="LYO337"/>
      <c r="LYP337"/>
      <c r="LYS337"/>
      <c r="LYT337"/>
      <c r="LYW337"/>
      <c r="LYX337"/>
      <c r="LZA337"/>
      <c r="LZB337"/>
      <c r="LZE337"/>
      <c r="LZF337"/>
      <c r="LZI337"/>
      <c r="LZJ337"/>
      <c r="LZM337"/>
      <c r="LZN337"/>
      <c r="LZQ337"/>
      <c r="LZR337"/>
      <c r="LZU337"/>
      <c r="LZV337"/>
      <c r="LZY337"/>
      <c r="LZZ337"/>
      <c r="MAC337"/>
      <c r="MAD337"/>
      <c r="MAG337"/>
      <c r="MAH337"/>
      <c r="MAK337"/>
      <c r="MAL337"/>
      <c r="MAO337"/>
      <c r="MAP337"/>
      <c r="MAS337"/>
      <c r="MAT337"/>
      <c r="MAW337"/>
      <c r="MAX337"/>
      <c r="MBA337"/>
      <c r="MBB337"/>
      <c r="MBE337"/>
      <c r="MBF337"/>
      <c r="MBI337"/>
      <c r="MBJ337"/>
      <c r="MBM337"/>
      <c r="MBN337"/>
      <c r="MBQ337"/>
      <c r="MBR337"/>
      <c r="MBU337"/>
      <c r="MBV337"/>
      <c r="MBY337"/>
      <c r="MBZ337"/>
      <c r="MCC337"/>
      <c r="MCD337"/>
      <c r="MCG337"/>
      <c r="MCH337"/>
      <c r="MCK337"/>
      <c r="MCL337"/>
      <c r="MCO337"/>
      <c r="MCP337"/>
      <c r="MCS337"/>
      <c r="MCT337"/>
      <c r="MCW337"/>
      <c r="MCX337"/>
      <c r="MDA337"/>
      <c r="MDB337"/>
      <c r="MDE337"/>
      <c r="MDF337"/>
      <c r="MDI337"/>
      <c r="MDJ337"/>
      <c r="MDM337"/>
      <c r="MDN337"/>
      <c r="MDQ337"/>
      <c r="MDR337"/>
      <c r="MDU337"/>
      <c r="MDV337"/>
      <c r="MDY337"/>
      <c r="MDZ337"/>
      <c r="MEC337"/>
      <c r="MED337"/>
      <c r="MEG337"/>
      <c r="MEH337"/>
      <c r="MEK337"/>
      <c r="MEL337"/>
      <c r="MEO337"/>
      <c r="MEP337"/>
      <c r="MES337"/>
      <c r="MET337"/>
      <c r="MEW337"/>
      <c r="MEX337"/>
      <c r="MFA337"/>
      <c r="MFB337"/>
      <c r="MFE337"/>
      <c r="MFF337"/>
      <c r="MFI337"/>
      <c r="MFJ337"/>
      <c r="MFM337"/>
      <c r="MFN337"/>
      <c r="MFQ337"/>
      <c r="MFR337"/>
      <c r="MFU337"/>
      <c r="MFV337"/>
      <c r="MFY337"/>
      <c r="MFZ337"/>
      <c r="MGC337"/>
      <c r="MGD337"/>
      <c r="MGG337"/>
      <c r="MGH337"/>
      <c r="MGK337"/>
      <c r="MGL337"/>
      <c r="MGO337"/>
      <c r="MGP337"/>
      <c r="MGS337"/>
      <c r="MGT337"/>
      <c r="MGW337"/>
      <c r="MGX337"/>
      <c r="MHA337"/>
      <c r="MHB337"/>
      <c r="MHE337"/>
      <c r="MHF337"/>
      <c r="MHI337"/>
      <c r="MHJ337"/>
      <c r="MHM337"/>
      <c r="MHN337"/>
      <c r="MHQ337"/>
      <c r="MHR337"/>
      <c r="MHU337"/>
      <c r="MHV337"/>
      <c r="MHY337"/>
      <c r="MHZ337"/>
      <c r="MIC337"/>
      <c r="MID337"/>
      <c r="MIG337"/>
      <c r="MIH337"/>
      <c r="MIK337"/>
      <c r="MIL337"/>
      <c r="MIO337"/>
      <c r="MIP337"/>
      <c r="MIS337"/>
      <c r="MIT337"/>
      <c r="MIW337"/>
      <c r="MIX337"/>
      <c r="MJA337"/>
      <c r="MJB337"/>
      <c r="MJE337"/>
      <c r="MJF337"/>
      <c r="MJI337"/>
      <c r="MJJ337"/>
      <c r="MJM337"/>
      <c r="MJN337"/>
      <c r="MJQ337"/>
      <c r="MJR337"/>
      <c r="MJU337"/>
      <c r="MJV337"/>
      <c r="MJY337"/>
      <c r="MJZ337"/>
      <c r="MKC337"/>
      <c r="MKD337"/>
      <c r="MKG337"/>
      <c r="MKH337"/>
      <c r="MKK337"/>
      <c r="MKL337"/>
      <c r="MKO337"/>
      <c r="MKP337"/>
      <c r="MKS337"/>
      <c r="MKT337"/>
      <c r="MKW337"/>
      <c r="MKX337"/>
      <c r="MLA337"/>
      <c r="MLB337"/>
      <c r="MLE337"/>
      <c r="MLF337"/>
      <c r="MLI337"/>
      <c r="MLJ337"/>
      <c r="MLM337"/>
      <c r="MLN337"/>
      <c r="MLQ337"/>
      <c r="MLR337"/>
      <c r="MLU337"/>
      <c r="MLV337"/>
      <c r="MLY337"/>
      <c r="MLZ337"/>
      <c r="MMC337"/>
      <c r="MMD337"/>
      <c r="MMG337"/>
      <c r="MMH337"/>
      <c r="MMK337"/>
      <c r="MML337"/>
      <c r="MMO337"/>
      <c r="MMP337"/>
      <c r="MMS337"/>
      <c r="MMT337"/>
      <c r="MMW337"/>
      <c r="MMX337"/>
      <c r="MNA337"/>
      <c r="MNB337"/>
      <c r="MNE337"/>
      <c r="MNF337"/>
      <c r="MNI337"/>
      <c r="MNJ337"/>
      <c r="MNM337"/>
      <c r="MNN337"/>
      <c r="MNQ337"/>
      <c r="MNR337"/>
      <c r="MNU337"/>
      <c r="MNV337"/>
      <c r="MNY337"/>
      <c r="MNZ337"/>
      <c r="MOC337"/>
      <c r="MOD337"/>
      <c r="MOG337"/>
      <c r="MOH337"/>
      <c r="MOK337"/>
      <c r="MOL337"/>
      <c r="MOO337"/>
      <c r="MOP337"/>
      <c r="MOS337"/>
      <c r="MOT337"/>
      <c r="MOW337"/>
      <c r="MOX337"/>
      <c r="MPA337"/>
      <c r="MPB337"/>
      <c r="MPE337"/>
      <c r="MPF337"/>
      <c r="MPI337"/>
      <c r="MPJ337"/>
      <c r="MPM337"/>
      <c r="MPN337"/>
      <c r="MPQ337"/>
      <c r="MPR337"/>
      <c r="MPU337"/>
      <c r="MPV337"/>
      <c r="MPY337"/>
      <c r="MPZ337"/>
      <c r="MQC337"/>
      <c r="MQD337"/>
      <c r="MQG337"/>
      <c r="MQH337"/>
      <c r="MQK337"/>
      <c r="MQL337"/>
      <c r="MQO337"/>
      <c r="MQP337"/>
      <c r="MQS337"/>
      <c r="MQT337"/>
      <c r="MQW337"/>
      <c r="MQX337"/>
      <c r="MRA337"/>
      <c r="MRB337"/>
      <c r="MRE337"/>
      <c r="MRF337"/>
      <c r="MRI337"/>
      <c r="MRJ337"/>
      <c r="MRM337"/>
      <c r="MRN337"/>
      <c r="MRQ337"/>
      <c r="MRR337"/>
      <c r="MRU337"/>
      <c r="MRV337"/>
      <c r="MRY337"/>
      <c r="MRZ337"/>
      <c r="MSC337"/>
      <c r="MSD337"/>
      <c r="MSG337"/>
      <c r="MSH337"/>
      <c r="MSK337"/>
      <c r="MSL337"/>
      <c r="MSO337"/>
      <c r="MSP337"/>
      <c r="MSS337"/>
      <c r="MST337"/>
      <c r="MSW337"/>
      <c r="MSX337"/>
      <c r="MTA337"/>
      <c r="MTB337"/>
      <c r="MTE337"/>
      <c r="MTF337"/>
      <c r="MTI337"/>
      <c r="MTJ337"/>
      <c r="MTM337"/>
      <c r="MTN337"/>
      <c r="MTQ337"/>
      <c r="MTR337"/>
      <c r="MTU337"/>
      <c r="MTV337"/>
      <c r="MTY337"/>
      <c r="MTZ337"/>
      <c r="MUC337"/>
      <c r="MUD337"/>
      <c r="MUG337"/>
      <c r="MUH337"/>
      <c r="MUK337"/>
      <c r="MUL337"/>
      <c r="MUO337"/>
      <c r="MUP337"/>
      <c r="MUS337"/>
      <c r="MUT337"/>
      <c r="MUW337"/>
      <c r="MUX337"/>
      <c r="MVA337"/>
      <c r="MVB337"/>
      <c r="MVE337"/>
      <c r="MVF337"/>
      <c r="MVI337"/>
      <c r="MVJ337"/>
      <c r="MVM337"/>
      <c r="MVN337"/>
      <c r="MVQ337"/>
      <c r="MVR337"/>
      <c r="MVU337"/>
      <c r="MVV337"/>
      <c r="MVY337"/>
      <c r="MVZ337"/>
      <c r="MWC337"/>
      <c r="MWD337"/>
      <c r="MWG337"/>
      <c r="MWH337"/>
      <c r="MWK337"/>
      <c r="MWL337"/>
      <c r="MWO337"/>
      <c r="MWP337"/>
      <c r="MWS337"/>
      <c r="MWT337"/>
      <c r="MWW337"/>
      <c r="MWX337"/>
      <c r="MXA337"/>
      <c r="MXB337"/>
      <c r="MXE337"/>
      <c r="MXF337"/>
      <c r="MXI337"/>
      <c r="MXJ337"/>
      <c r="MXM337"/>
      <c r="MXN337"/>
      <c r="MXQ337"/>
      <c r="MXR337"/>
      <c r="MXU337"/>
      <c r="MXV337"/>
      <c r="MXY337"/>
      <c r="MXZ337"/>
      <c r="MYC337"/>
      <c r="MYD337"/>
      <c r="MYG337"/>
      <c r="MYH337"/>
      <c r="MYK337"/>
      <c r="MYL337"/>
      <c r="MYO337"/>
      <c r="MYP337"/>
      <c r="MYS337"/>
      <c r="MYT337"/>
      <c r="MYW337"/>
      <c r="MYX337"/>
      <c r="MZA337"/>
      <c r="MZB337"/>
      <c r="MZE337"/>
      <c r="MZF337"/>
      <c r="MZI337"/>
      <c r="MZJ337"/>
      <c r="MZM337"/>
      <c r="MZN337"/>
      <c r="MZQ337"/>
      <c r="MZR337"/>
      <c r="MZU337"/>
      <c r="MZV337"/>
      <c r="MZY337"/>
      <c r="MZZ337"/>
      <c r="NAC337"/>
      <c r="NAD337"/>
      <c r="NAG337"/>
      <c r="NAH337"/>
      <c r="NAK337"/>
      <c r="NAL337"/>
      <c r="NAO337"/>
      <c r="NAP337"/>
      <c r="NAS337"/>
      <c r="NAT337"/>
      <c r="NAW337"/>
      <c r="NAX337"/>
      <c r="NBA337"/>
      <c r="NBB337"/>
      <c r="NBE337"/>
      <c r="NBF337"/>
      <c r="NBI337"/>
      <c r="NBJ337"/>
      <c r="NBM337"/>
      <c r="NBN337"/>
      <c r="NBQ337"/>
      <c r="NBR337"/>
      <c r="NBU337"/>
      <c r="NBV337"/>
      <c r="NBY337"/>
      <c r="NBZ337"/>
      <c r="NCC337"/>
      <c r="NCD337"/>
      <c r="NCG337"/>
      <c r="NCH337"/>
      <c r="NCK337"/>
      <c r="NCL337"/>
      <c r="NCO337"/>
      <c r="NCP337"/>
      <c r="NCS337"/>
      <c r="NCT337"/>
      <c r="NCW337"/>
      <c r="NCX337"/>
      <c r="NDA337"/>
      <c r="NDB337"/>
      <c r="NDE337"/>
      <c r="NDF337"/>
      <c r="NDI337"/>
      <c r="NDJ337"/>
      <c r="NDM337"/>
      <c r="NDN337"/>
      <c r="NDQ337"/>
      <c r="NDR337"/>
      <c r="NDU337"/>
      <c r="NDV337"/>
      <c r="NDY337"/>
      <c r="NDZ337"/>
      <c r="NEC337"/>
      <c r="NED337"/>
      <c r="NEG337"/>
      <c r="NEH337"/>
      <c r="NEK337"/>
      <c r="NEL337"/>
      <c r="NEO337"/>
      <c r="NEP337"/>
      <c r="NES337"/>
      <c r="NET337"/>
      <c r="NEW337"/>
      <c r="NEX337"/>
      <c r="NFA337"/>
      <c r="NFB337"/>
      <c r="NFE337"/>
      <c r="NFF337"/>
      <c r="NFI337"/>
      <c r="NFJ337"/>
      <c r="NFM337"/>
      <c r="NFN337"/>
      <c r="NFQ337"/>
      <c r="NFR337"/>
      <c r="NFU337"/>
      <c r="NFV337"/>
      <c r="NFY337"/>
      <c r="NFZ337"/>
      <c r="NGC337"/>
      <c r="NGD337"/>
      <c r="NGG337"/>
      <c r="NGH337"/>
      <c r="NGK337"/>
      <c r="NGL337"/>
      <c r="NGO337"/>
      <c r="NGP337"/>
      <c r="NGS337"/>
      <c r="NGT337"/>
      <c r="NGW337"/>
      <c r="NGX337"/>
      <c r="NHA337"/>
      <c r="NHB337"/>
      <c r="NHE337"/>
      <c r="NHF337"/>
      <c r="NHI337"/>
      <c r="NHJ337"/>
      <c r="NHM337"/>
      <c r="NHN337"/>
      <c r="NHQ337"/>
      <c r="NHR337"/>
      <c r="NHU337"/>
      <c r="NHV337"/>
      <c r="NHY337"/>
      <c r="NHZ337"/>
      <c r="NIC337"/>
      <c r="NID337"/>
      <c r="NIG337"/>
      <c r="NIH337"/>
      <c r="NIK337"/>
      <c r="NIL337"/>
      <c r="NIO337"/>
      <c r="NIP337"/>
      <c r="NIS337"/>
      <c r="NIT337"/>
      <c r="NIW337"/>
      <c r="NIX337"/>
      <c r="NJA337"/>
      <c r="NJB337"/>
      <c r="NJE337"/>
      <c r="NJF337"/>
      <c r="NJI337"/>
      <c r="NJJ337"/>
      <c r="NJM337"/>
      <c r="NJN337"/>
      <c r="NJQ337"/>
      <c r="NJR337"/>
      <c r="NJU337"/>
      <c r="NJV337"/>
      <c r="NJY337"/>
      <c r="NJZ337"/>
      <c r="NKC337"/>
      <c r="NKD337"/>
      <c r="NKG337"/>
      <c r="NKH337"/>
      <c r="NKK337"/>
      <c r="NKL337"/>
      <c r="NKO337"/>
      <c r="NKP337"/>
      <c r="NKS337"/>
      <c r="NKT337"/>
      <c r="NKW337"/>
      <c r="NKX337"/>
      <c r="NLA337"/>
      <c r="NLB337"/>
      <c r="NLE337"/>
      <c r="NLF337"/>
      <c r="NLI337"/>
      <c r="NLJ337"/>
      <c r="NLM337"/>
      <c r="NLN337"/>
      <c r="NLQ337"/>
      <c r="NLR337"/>
      <c r="NLU337"/>
      <c r="NLV337"/>
      <c r="NLY337"/>
      <c r="NLZ337"/>
      <c r="NMC337"/>
      <c r="NMD337"/>
      <c r="NMG337"/>
      <c r="NMH337"/>
      <c r="NMK337"/>
      <c r="NML337"/>
      <c r="NMO337"/>
      <c r="NMP337"/>
      <c r="NMS337"/>
      <c r="NMT337"/>
      <c r="NMW337"/>
      <c r="NMX337"/>
      <c r="NNA337"/>
      <c r="NNB337"/>
      <c r="NNE337"/>
      <c r="NNF337"/>
      <c r="NNI337"/>
      <c r="NNJ337"/>
      <c r="NNM337"/>
      <c r="NNN337"/>
      <c r="NNQ337"/>
      <c r="NNR337"/>
      <c r="NNU337"/>
      <c r="NNV337"/>
      <c r="NNY337"/>
      <c r="NNZ337"/>
      <c r="NOC337"/>
      <c r="NOD337"/>
      <c r="NOG337"/>
      <c r="NOH337"/>
      <c r="NOK337"/>
      <c r="NOL337"/>
      <c r="NOO337"/>
      <c r="NOP337"/>
      <c r="NOS337"/>
      <c r="NOT337"/>
      <c r="NOW337"/>
      <c r="NOX337"/>
      <c r="NPA337"/>
      <c r="NPB337"/>
      <c r="NPE337"/>
      <c r="NPF337"/>
      <c r="NPI337"/>
      <c r="NPJ337"/>
      <c r="NPM337"/>
      <c r="NPN337"/>
      <c r="NPQ337"/>
      <c r="NPR337"/>
      <c r="NPU337"/>
      <c r="NPV337"/>
      <c r="NPY337"/>
      <c r="NPZ337"/>
      <c r="NQC337"/>
      <c r="NQD337"/>
      <c r="NQG337"/>
      <c r="NQH337"/>
      <c r="NQK337"/>
      <c r="NQL337"/>
      <c r="NQO337"/>
      <c r="NQP337"/>
      <c r="NQS337"/>
      <c r="NQT337"/>
      <c r="NQW337"/>
      <c r="NQX337"/>
      <c r="NRA337"/>
      <c r="NRB337"/>
      <c r="NRE337"/>
      <c r="NRF337"/>
      <c r="NRI337"/>
      <c r="NRJ337"/>
      <c r="NRM337"/>
      <c r="NRN337"/>
      <c r="NRQ337"/>
      <c r="NRR337"/>
      <c r="NRU337"/>
      <c r="NRV337"/>
      <c r="NRY337"/>
      <c r="NRZ337"/>
      <c r="NSC337"/>
      <c r="NSD337"/>
      <c r="NSG337"/>
      <c r="NSH337"/>
      <c r="NSK337"/>
      <c r="NSL337"/>
      <c r="NSO337"/>
      <c r="NSP337"/>
      <c r="NSS337"/>
      <c r="NST337"/>
      <c r="NSW337"/>
      <c r="NSX337"/>
      <c r="NTA337"/>
      <c r="NTB337"/>
      <c r="NTE337"/>
      <c r="NTF337"/>
      <c r="NTI337"/>
      <c r="NTJ337"/>
      <c r="NTM337"/>
      <c r="NTN337"/>
      <c r="NTQ337"/>
      <c r="NTR337"/>
      <c r="NTU337"/>
      <c r="NTV337"/>
      <c r="NTY337"/>
      <c r="NTZ337"/>
      <c r="NUC337"/>
      <c r="NUD337"/>
      <c r="NUG337"/>
      <c r="NUH337"/>
      <c r="NUK337"/>
      <c r="NUL337"/>
      <c r="NUO337"/>
      <c r="NUP337"/>
      <c r="NUS337"/>
      <c r="NUT337"/>
      <c r="NUW337"/>
      <c r="NUX337"/>
      <c r="NVA337"/>
      <c r="NVB337"/>
      <c r="NVE337"/>
      <c r="NVF337"/>
      <c r="NVI337"/>
      <c r="NVJ337"/>
      <c r="NVM337"/>
      <c r="NVN337"/>
      <c r="NVQ337"/>
      <c r="NVR337"/>
      <c r="NVU337"/>
      <c r="NVV337"/>
      <c r="NVY337"/>
      <c r="NVZ337"/>
      <c r="NWC337"/>
      <c r="NWD337"/>
      <c r="NWG337"/>
      <c r="NWH337"/>
      <c r="NWK337"/>
      <c r="NWL337"/>
      <c r="NWO337"/>
      <c r="NWP337"/>
      <c r="NWS337"/>
      <c r="NWT337"/>
      <c r="NWW337"/>
      <c r="NWX337"/>
      <c r="NXA337"/>
      <c r="NXB337"/>
      <c r="NXE337"/>
      <c r="NXF337"/>
      <c r="NXI337"/>
      <c r="NXJ337"/>
      <c r="NXM337"/>
      <c r="NXN337"/>
      <c r="NXQ337"/>
      <c r="NXR337"/>
      <c r="NXU337"/>
      <c r="NXV337"/>
      <c r="NXY337"/>
      <c r="NXZ337"/>
      <c r="NYC337"/>
      <c r="NYD337"/>
      <c r="NYG337"/>
      <c r="NYH337"/>
      <c r="NYK337"/>
      <c r="NYL337"/>
      <c r="NYO337"/>
      <c r="NYP337"/>
      <c r="NYS337"/>
      <c r="NYT337"/>
      <c r="NYW337"/>
      <c r="NYX337"/>
      <c r="NZA337"/>
      <c r="NZB337"/>
      <c r="NZE337"/>
      <c r="NZF337"/>
      <c r="NZI337"/>
      <c r="NZJ337"/>
      <c r="NZM337"/>
      <c r="NZN337"/>
      <c r="NZQ337"/>
      <c r="NZR337"/>
      <c r="NZU337"/>
      <c r="NZV337"/>
      <c r="NZY337"/>
      <c r="NZZ337"/>
      <c r="OAC337"/>
      <c r="OAD337"/>
      <c r="OAG337"/>
      <c r="OAH337"/>
      <c r="OAK337"/>
      <c r="OAL337"/>
      <c r="OAO337"/>
      <c r="OAP337"/>
      <c r="OAS337"/>
      <c r="OAT337"/>
      <c r="OAW337"/>
      <c r="OAX337"/>
      <c r="OBA337"/>
      <c r="OBB337"/>
      <c r="OBE337"/>
      <c r="OBF337"/>
      <c r="OBI337"/>
      <c r="OBJ337"/>
      <c r="OBM337"/>
      <c r="OBN337"/>
      <c r="OBQ337"/>
      <c r="OBR337"/>
      <c r="OBU337"/>
      <c r="OBV337"/>
      <c r="OBY337"/>
      <c r="OBZ337"/>
      <c r="OCC337"/>
      <c r="OCD337"/>
      <c r="OCG337"/>
      <c r="OCH337"/>
      <c r="OCK337"/>
      <c r="OCL337"/>
      <c r="OCO337"/>
      <c r="OCP337"/>
      <c r="OCS337"/>
      <c r="OCT337"/>
      <c r="OCW337"/>
      <c r="OCX337"/>
      <c r="ODA337"/>
      <c r="ODB337"/>
      <c r="ODE337"/>
      <c r="ODF337"/>
      <c r="ODI337"/>
      <c r="ODJ337"/>
      <c r="ODM337"/>
      <c r="ODN337"/>
      <c r="ODQ337"/>
      <c r="ODR337"/>
      <c r="ODU337"/>
      <c r="ODV337"/>
      <c r="ODY337"/>
      <c r="ODZ337"/>
      <c r="OEC337"/>
      <c r="OED337"/>
      <c r="OEG337"/>
      <c r="OEH337"/>
      <c r="OEK337"/>
      <c r="OEL337"/>
      <c r="OEO337"/>
      <c r="OEP337"/>
      <c r="OES337"/>
      <c r="OET337"/>
      <c r="OEW337"/>
      <c r="OEX337"/>
      <c r="OFA337"/>
      <c r="OFB337"/>
      <c r="OFE337"/>
      <c r="OFF337"/>
      <c r="OFI337"/>
      <c r="OFJ337"/>
      <c r="OFM337"/>
      <c r="OFN337"/>
      <c r="OFQ337"/>
      <c r="OFR337"/>
      <c r="OFU337"/>
      <c r="OFV337"/>
      <c r="OFY337"/>
      <c r="OFZ337"/>
      <c r="OGC337"/>
      <c r="OGD337"/>
      <c r="OGG337"/>
      <c r="OGH337"/>
      <c r="OGK337"/>
      <c r="OGL337"/>
      <c r="OGO337"/>
      <c r="OGP337"/>
      <c r="OGS337"/>
      <c r="OGT337"/>
      <c r="OGW337"/>
      <c r="OGX337"/>
      <c r="OHA337"/>
      <c r="OHB337"/>
      <c r="OHE337"/>
      <c r="OHF337"/>
      <c r="OHI337"/>
      <c r="OHJ337"/>
      <c r="OHM337"/>
      <c r="OHN337"/>
      <c r="OHQ337"/>
      <c r="OHR337"/>
      <c r="OHU337"/>
      <c r="OHV337"/>
      <c r="OHY337"/>
      <c r="OHZ337"/>
      <c r="OIC337"/>
      <c r="OID337"/>
      <c r="OIG337"/>
      <c r="OIH337"/>
      <c r="OIK337"/>
      <c r="OIL337"/>
      <c r="OIO337"/>
      <c r="OIP337"/>
      <c r="OIS337"/>
      <c r="OIT337"/>
      <c r="OIW337"/>
      <c r="OIX337"/>
      <c r="OJA337"/>
      <c r="OJB337"/>
      <c r="OJE337"/>
      <c r="OJF337"/>
      <c r="OJI337"/>
      <c r="OJJ337"/>
      <c r="OJM337"/>
      <c r="OJN337"/>
      <c r="OJQ337"/>
      <c r="OJR337"/>
      <c r="OJU337"/>
      <c r="OJV337"/>
      <c r="OJY337"/>
      <c r="OJZ337"/>
      <c r="OKC337"/>
      <c r="OKD337"/>
      <c r="OKG337"/>
      <c r="OKH337"/>
      <c r="OKK337"/>
      <c r="OKL337"/>
      <c r="OKO337"/>
      <c r="OKP337"/>
      <c r="OKS337"/>
      <c r="OKT337"/>
      <c r="OKW337"/>
      <c r="OKX337"/>
      <c r="OLA337"/>
      <c r="OLB337"/>
      <c r="OLE337"/>
      <c r="OLF337"/>
      <c r="OLI337"/>
      <c r="OLJ337"/>
      <c r="OLM337"/>
      <c r="OLN337"/>
      <c r="OLQ337"/>
      <c r="OLR337"/>
      <c r="OLU337"/>
      <c r="OLV337"/>
      <c r="OLY337"/>
      <c r="OLZ337"/>
      <c r="OMC337"/>
      <c r="OMD337"/>
      <c r="OMG337"/>
      <c r="OMH337"/>
      <c r="OMK337"/>
      <c r="OML337"/>
      <c r="OMO337"/>
      <c r="OMP337"/>
      <c r="OMS337"/>
      <c r="OMT337"/>
      <c r="OMW337"/>
      <c r="OMX337"/>
      <c r="ONA337"/>
      <c r="ONB337"/>
      <c r="ONE337"/>
      <c r="ONF337"/>
      <c r="ONI337"/>
      <c r="ONJ337"/>
      <c r="ONM337"/>
      <c r="ONN337"/>
      <c r="ONQ337"/>
      <c r="ONR337"/>
      <c r="ONU337"/>
      <c r="ONV337"/>
      <c r="ONY337"/>
      <c r="ONZ337"/>
      <c r="OOC337"/>
      <c r="OOD337"/>
      <c r="OOG337"/>
      <c r="OOH337"/>
      <c r="OOK337"/>
      <c r="OOL337"/>
      <c r="OOO337"/>
      <c r="OOP337"/>
      <c r="OOS337"/>
      <c r="OOT337"/>
      <c r="OOW337"/>
      <c r="OOX337"/>
      <c r="OPA337"/>
      <c r="OPB337"/>
      <c r="OPE337"/>
      <c r="OPF337"/>
      <c r="OPI337"/>
      <c r="OPJ337"/>
      <c r="OPM337"/>
      <c r="OPN337"/>
      <c r="OPQ337"/>
      <c r="OPR337"/>
      <c r="OPU337"/>
      <c r="OPV337"/>
      <c r="OPY337"/>
      <c r="OPZ337"/>
      <c r="OQC337"/>
      <c r="OQD337"/>
      <c r="OQG337"/>
      <c r="OQH337"/>
      <c r="OQK337"/>
      <c r="OQL337"/>
      <c r="OQO337"/>
      <c r="OQP337"/>
      <c r="OQS337"/>
      <c r="OQT337"/>
      <c r="OQW337"/>
      <c r="OQX337"/>
      <c r="ORA337"/>
      <c r="ORB337"/>
      <c r="ORE337"/>
      <c r="ORF337"/>
      <c r="ORI337"/>
      <c r="ORJ337"/>
      <c r="ORM337"/>
      <c r="ORN337"/>
      <c r="ORQ337"/>
      <c r="ORR337"/>
      <c r="ORU337"/>
      <c r="ORV337"/>
      <c r="ORY337"/>
      <c r="ORZ337"/>
      <c r="OSC337"/>
      <c r="OSD337"/>
      <c r="OSG337"/>
      <c r="OSH337"/>
      <c r="OSK337"/>
      <c r="OSL337"/>
      <c r="OSO337"/>
      <c r="OSP337"/>
      <c r="OSS337"/>
      <c r="OST337"/>
      <c r="OSW337"/>
      <c r="OSX337"/>
      <c r="OTA337"/>
      <c r="OTB337"/>
      <c r="OTE337"/>
      <c r="OTF337"/>
      <c r="OTI337"/>
      <c r="OTJ337"/>
      <c r="OTM337"/>
      <c r="OTN337"/>
      <c r="OTQ337"/>
      <c r="OTR337"/>
      <c r="OTU337"/>
      <c r="OTV337"/>
      <c r="OTY337"/>
      <c r="OTZ337"/>
      <c r="OUC337"/>
      <c r="OUD337"/>
      <c r="OUG337"/>
      <c r="OUH337"/>
      <c r="OUK337"/>
      <c r="OUL337"/>
      <c r="OUO337"/>
      <c r="OUP337"/>
      <c r="OUS337"/>
      <c r="OUT337"/>
      <c r="OUW337"/>
      <c r="OUX337"/>
      <c r="OVA337"/>
      <c r="OVB337"/>
      <c r="OVE337"/>
      <c r="OVF337"/>
      <c r="OVI337"/>
      <c r="OVJ337"/>
      <c r="OVM337"/>
      <c r="OVN337"/>
      <c r="OVQ337"/>
      <c r="OVR337"/>
      <c r="OVU337"/>
      <c r="OVV337"/>
      <c r="OVY337"/>
      <c r="OVZ337"/>
      <c r="OWC337"/>
      <c r="OWD337"/>
      <c r="OWG337"/>
      <c r="OWH337"/>
      <c r="OWK337"/>
      <c r="OWL337"/>
      <c r="OWO337"/>
      <c r="OWP337"/>
      <c r="OWS337"/>
      <c r="OWT337"/>
      <c r="OWW337"/>
      <c r="OWX337"/>
      <c r="OXA337"/>
      <c r="OXB337"/>
      <c r="OXE337"/>
      <c r="OXF337"/>
      <c r="OXI337"/>
      <c r="OXJ337"/>
      <c r="OXM337"/>
      <c r="OXN337"/>
      <c r="OXQ337"/>
      <c r="OXR337"/>
      <c r="OXU337"/>
      <c r="OXV337"/>
      <c r="OXY337"/>
      <c r="OXZ337"/>
      <c r="OYC337"/>
      <c r="OYD337"/>
      <c r="OYG337"/>
      <c r="OYH337"/>
      <c r="OYK337"/>
      <c r="OYL337"/>
      <c r="OYO337"/>
      <c r="OYP337"/>
      <c r="OYS337"/>
      <c r="OYT337"/>
      <c r="OYW337"/>
      <c r="OYX337"/>
      <c r="OZA337"/>
      <c r="OZB337"/>
      <c r="OZE337"/>
      <c r="OZF337"/>
      <c r="OZI337"/>
      <c r="OZJ337"/>
      <c r="OZM337"/>
      <c r="OZN337"/>
      <c r="OZQ337"/>
      <c r="OZR337"/>
      <c r="OZU337"/>
      <c r="OZV337"/>
      <c r="OZY337"/>
      <c r="OZZ337"/>
      <c r="PAC337"/>
      <c r="PAD337"/>
      <c r="PAG337"/>
      <c r="PAH337"/>
      <c r="PAK337"/>
      <c r="PAL337"/>
      <c r="PAO337"/>
      <c r="PAP337"/>
      <c r="PAS337"/>
      <c r="PAT337"/>
      <c r="PAW337"/>
      <c r="PAX337"/>
      <c r="PBA337"/>
      <c r="PBB337"/>
      <c r="PBE337"/>
      <c r="PBF337"/>
      <c r="PBI337"/>
      <c r="PBJ337"/>
      <c r="PBM337"/>
      <c r="PBN337"/>
      <c r="PBQ337"/>
      <c r="PBR337"/>
      <c r="PBU337"/>
      <c r="PBV337"/>
      <c r="PBY337"/>
      <c r="PBZ337"/>
      <c r="PCC337"/>
      <c r="PCD337"/>
      <c r="PCG337"/>
      <c r="PCH337"/>
      <c r="PCK337"/>
      <c r="PCL337"/>
      <c r="PCO337"/>
      <c r="PCP337"/>
      <c r="PCS337"/>
      <c r="PCT337"/>
      <c r="PCW337"/>
      <c r="PCX337"/>
      <c r="PDA337"/>
      <c r="PDB337"/>
      <c r="PDE337"/>
      <c r="PDF337"/>
      <c r="PDI337"/>
      <c r="PDJ337"/>
      <c r="PDM337"/>
      <c r="PDN337"/>
      <c r="PDQ337"/>
      <c r="PDR337"/>
      <c r="PDU337"/>
      <c r="PDV337"/>
      <c r="PDY337"/>
      <c r="PDZ337"/>
      <c r="PEC337"/>
      <c r="PED337"/>
      <c r="PEG337"/>
      <c r="PEH337"/>
      <c r="PEK337"/>
      <c r="PEL337"/>
      <c r="PEO337"/>
      <c r="PEP337"/>
      <c r="PES337"/>
      <c r="PET337"/>
      <c r="PEW337"/>
      <c r="PEX337"/>
      <c r="PFA337"/>
      <c r="PFB337"/>
      <c r="PFE337"/>
      <c r="PFF337"/>
      <c r="PFI337"/>
      <c r="PFJ337"/>
      <c r="PFM337"/>
      <c r="PFN337"/>
      <c r="PFQ337"/>
      <c r="PFR337"/>
      <c r="PFU337"/>
      <c r="PFV337"/>
      <c r="PFY337"/>
      <c r="PFZ337"/>
      <c r="PGC337"/>
      <c r="PGD337"/>
      <c r="PGG337"/>
      <c r="PGH337"/>
      <c r="PGK337"/>
      <c r="PGL337"/>
      <c r="PGO337"/>
      <c r="PGP337"/>
      <c r="PGS337"/>
      <c r="PGT337"/>
      <c r="PGW337"/>
      <c r="PGX337"/>
      <c r="PHA337"/>
      <c r="PHB337"/>
      <c r="PHE337"/>
      <c r="PHF337"/>
      <c r="PHI337"/>
      <c r="PHJ337"/>
      <c r="PHM337"/>
      <c r="PHN337"/>
      <c r="PHQ337"/>
      <c r="PHR337"/>
      <c r="PHU337"/>
      <c r="PHV337"/>
      <c r="PHY337"/>
      <c r="PHZ337"/>
      <c r="PIC337"/>
      <c r="PID337"/>
      <c r="PIG337"/>
      <c r="PIH337"/>
      <c r="PIK337"/>
      <c r="PIL337"/>
      <c r="PIO337"/>
      <c r="PIP337"/>
      <c r="PIS337"/>
      <c r="PIT337"/>
      <c r="PIW337"/>
      <c r="PIX337"/>
      <c r="PJA337"/>
      <c r="PJB337"/>
      <c r="PJE337"/>
      <c r="PJF337"/>
      <c r="PJI337"/>
      <c r="PJJ337"/>
      <c r="PJM337"/>
      <c r="PJN337"/>
      <c r="PJQ337"/>
      <c r="PJR337"/>
      <c r="PJU337"/>
      <c r="PJV337"/>
      <c r="PJY337"/>
      <c r="PJZ337"/>
      <c r="PKC337"/>
      <c r="PKD337"/>
      <c r="PKG337"/>
      <c r="PKH337"/>
      <c r="PKK337"/>
      <c r="PKL337"/>
      <c r="PKO337"/>
      <c r="PKP337"/>
      <c r="PKS337"/>
      <c r="PKT337"/>
      <c r="PKW337"/>
      <c r="PKX337"/>
      <c r="PLA337"/>
      <c r="PLB337"/>
      <c r="PLE337"/>
      <c r="PLF337"/>
      <c r="PLI337"/>
      <c r="PLJ337"/>
      <c r="PLM337"/>
      <c r="PLN337"/>
      <c r="PLQ337"/>
      <c r="PLR337"/>
      <c r="PLU337"/>
      <c r="PLV337"/>
      <c r="PLY337"/>
      <c r="PLZ337"/>
      <c r="PMC337"/>
      <c r="PMD337"/>
      <c r="PMG337"/>
      <c r="PMH337"/>
      <c r="PMK337"/>
      <c r="PML337"/>
      <c r="PMO337"/>
      <c r="PMP337"/>
      <c r="PMS337"/>
      <c r="PMT337"/>
      <c r="PMW337"/>
      <c r="PMX337"/>
      <c r="PNA337"/>
      <c r="PNB337"/>
      <c r="PNE337"/>
      <c r="PNF337"/>
      <c r="PNI337"/>
      <c r="PNJ337"/>
      <c r="PNM337"/>
      <c r="PNN337"/>
      <c r="PNQ337"/>
      <c r="PNR337"/>
      <c r="PNU337"/>
      <c r="PNV337"/>
      <c r="PNY337"/>
      <c r="PNZ337"/>
      <c r="POC337"/>
      <c r="POD337"/>
      <c r="POG337"/>
      <c r="POH337"/>
      <c r="POK337"/>
      <c r="POL337"/>
      <c r="POO337"/>
      <c r="POP337"/>
      <c r="POS337"/>
      <c r="POT337"/>
      <c r="POW337"/>
      <c r="POX337"/>
      <c r="PPA337"/>
      <c r="PPB337"/>
      <c r="PPE337"/>
      <c r="PPF337"/>
      <c r="PPI337"/>
      <c r="PPJ337"/>
      <c r="PPM337"/>
      <c r="PPN337"/>
      <c r="PPQ337"/>
      <c r="PPR337"/>
      <c r="PPU337"/>
      <c r="PPV337"/>
      <c r="PPY337"/>
      <c r="PPZ337"/>
      <c r="PQC337"/>
      <c r="PQD337"/>
      <c r="PQG337"/>
      <c r="PQH337"/>
      <c r="PQK337"/>
      <c r="PQL337"/>
      <c r="PQO337"/>
      <c r="PQP337"/>
      <c r="PQS337"/>
      <c r="PQT337"/>
      <c r="PQW337"/>
      <c r="PQX337"/>
      <c r="PRA337"/>
      <c r="PRB337"/>
      <c r="PRE337"/>
      <c r="PRF337"/>
      <c r="PRI337"/>
      <c r="PRJ337"/>
      <c r="PRM337"/>
      <c r="PRN337"/>
      <c r="PRQ337"/>
      <c r="PRR337"/>
      <c r="PRU337"/>
      <c r="PRV337"/>
      <c r="PRY337"/>
      <c r="PRZ337"/>
      <c r="PSC337"/>
      <c r="PSD337"/>
      <c r="PSG337"/>
      <c r="PSH337"/>
      <c r="PSK337"/>
      <c r="PSL337"/>
      <c r="PSO337"/>
      <c r="PSP337"/>
      <c r="PSS337"/>
      <c r="PST337"/>
      <c r="PSW337"/>
      <c r="PSX337"/>
      <c r="PTA337"/>
      <c r="PTB337"/>
      <c r="PTE337"/>
      <c r="PTF337"/>
      <c r="PTI337"/>
      <c r="PTJ337"/>
      <c r="PTM337"/>
      <c r="PTN337"/>
      <c r="PTQ337"/>
      <c r="PTR337"/>
      <c r="PTU337"/>
      <c r="PTV337"/>
      <c r="PTY337"/>
      <c r="PTZ337"/>
      <c r="PUC337"/>
      <c r="PUD337"/>
      <c r="PUG337"/>
      <c r="PUH337"/>
      <c r="PUK337"/>
      <c r="PUL337"/>
      <c r="PUO337"/>
      <c r="PUP337"/>
      <c r="PUS337"/>
      <c r="PUT337"/>
      <c r="PUW337"/>
      <c r="PUX337"/>
      <c r="PVA337"/>
      <c r="PVB337"/>
      <c r="PVE337"/>
      <c r="PVF337"/>
      <c r="PVI337"/>
      <c r="PVJ337"/>
      <c r="PVM337"/>
      <c r="PVN337"/>
      <c r="PVQ337"/>
      <c r="PVR337"/>
      <c r="PVU337"/>
      <c r="PVV337"/>
      <c r="PVY337"/>
      <c r="PVZ337"/>
      <c r="PWC337"/>
      <c r="PWD337"/>
      <c r="PWG337"/>
      <c r="PWH337"/>
      <c r="PWK337"/>
      <c r="PWL337"/>
      <c r="PWO337"/>
      <c r="PWP337"/>
      <c r="PWS337"/>
      <c r="PWT337"/>
      <c r="PWW337"/>
      <c r="PWX337"/>
      <c r="PXA337"/>
      <c r="PXB337"/>
      <c r="PXE337"/>
      <c r="PXF337"/>
      <c r="PXI337"/>
      <c r="PXJ337"/>
      <c r="PXM337"/>
      <c r="PXN337"/>
      <c r="PXQ337"/>
      <c r="PXR337"/>
      <c r="PXU337"/>
      <c r="PXV337"/>
      <c r="PXY337"/>
      <c r="PXZ337"/>
      <c r="PYC337"/>
      <c r="PYD337"/>
      <c r="PYG337"/>
      <c r="PYH337"/>
      <c r="PYK337"/>
      <c r="PYL337"/>
      <c r="PYO337"/>
      <c r="PYP337"/>
      <c r="PYS337"/>
      <c r="PYT337"/>
      <c r="PYW337"/>
      <c r="PYX337"/>
      <c r="PZA337"/>
      <c r="PZB337"/>
      <c r="PZE337"/>
      <c r="PZF337"/>
      <c r="PZI337"/>
      <c r="PZJ337"/>
      <c r="PZM337"/>
      <c r="PZN337"/>
      <c r="PZQ337"/>
      <c r="PZR337"/>
      <c r="PZU337"/>
      <c r="PZV337"/>
      <c r="PZY337"/>
      <c r="PZZ337"/>
      <c r="QAC337"/>
      <c r="QAD337"/>
      <c r="QAG337"/>
      <c r="QAH337"/>
      <c r="QAK337"/>
      <c r="QAL337"/>
      <c r="QAO337"/>
      <c r="QAP337"/>
      <c r="QAS337"/>
      <c r="QAT337"/>
      <c r="QAW337"/>
      <c r="QAX337"/>
      <c r="QBA337"/>
      <c r="QBB337"/>
      <c r="QBE337"/>
      <c r="QBF337"/>
      <c r="QBI337"/>
      <c r="QBJ337"/>
      <c r="QBM337"/>
      <c r="QBN337"/>
      <c r="QBQ337"/>
      <c r="QBR337"/>
      <c r="QBU337"/>
      <c r="QBV337"/>
      <c r="QBY337"/>
      <c r="QBZ337"/>
      <c r="QCC337"/>
      <c r="QCD337"/>
      <c r="QCG337"/>
      <c r="QCH337"/>
      <c r="QCK337"/>
      <c r="QCL337"/>
      <c r="QCO337"/>
      <c r="QCP337"/>
      <c r="QCS337"/>
      <c r="QCT337"/>
      <c r="QCW337"/>
      <c r="QCX337"/>
      <c r="QDA337"/>
      <c r="QDB337"/>
      <c r="QDE337"/>
      <c r="QDF337"/>
      <c r="QDI337"/>
      <c r="QDJ337"/>
      <c r="QDM337"/>
      <c r="QDN337"/>
      <c r="QDQ337"/>
      <c r="QDR337"/>
      <c r="QDU337"/>
      <c r="QDV337"/>
      <c r="QDY337"/>
      <c r="QDZ337"/>
      <c r="QEC337"/>
      <c r="QED337"/>
      <c r="QEG337"/>
      <c r="QEH337"/>
      <c r="QEK337"/>
      <c r="QEL337"/>
      <c r="QEO337"/>
      <c r="QEP337"/>
      <c r="QES337"/>
      <c r="QET337"/>
      <c r="QEW337"/>
      <c r="QEX337"/>
      <c r="QFA337"/>
      <c r="QFB337"/>
      <c r="QFE337"/>
      <c r="QFF337"/>
      <c r="QFI337"/>
      <c r="QFJ337"/>
      <c r="QFM337"/>
      <c r="QFN337"/>
      <c r="QFQ337"/>
      <c r="QFR337"/>
      <c r="QFU337"/>
      <c r="QFV337"/>
      <c r="QFY337"/>
      <c r="QFZ337"/>
      <c r="QGC337"/>
      <c r="QGD337"/>
      <c r="QGG337"/>
      <c r="QGH337"/>
      <c r="QGK337"/>
      <c r="QGL337"/>
      <c r="QGO337"/>
      <c r="QGP337"/>
      <c r="QGS337"/>
      <c r="QGT337"/>
      <c r="QGW337"/>
      <c r="QGX337"/>
      <c r="QHA337"/>
      <c r="QHB337"/>
      <c r="QHE337"/>
      <c r="QHF337"/>
      <c r="QHI337"/>
      <c r="QHJ337"/>
      <c r="QHM337"/>
      <c r="QHN337"/>
      <c r="QHQ337"/>
      <c r="QHR337"/>
      <c r="QHU337"/>
      <c r="QHV337"/>
      <c r="QHY337"/>
      <c r="QHZ337"/>
      <c r="QIC337"/>
      <c r="QID337"/>
      <c r="QIG337"/>
      <c r="QIH337"/>
      <c r="QIK337"/>
      <c r="QIL337"/>
      <c r="QIO337"/>
      <c r="QIP337"/>
      <c r="QIS337"/>
      <c r="QIT337"/>
      <c r="QIW337"/>
      <c r="QIX337"/>
      <c r="QJA337"/>
      <c r="QJB337"/>
      <c r="QJE337"/>
      <c r="QJF337"/>
      <c r="QJI337"/>
      <c r="QJJ337"/>
      <c r="QJM337"/>
      <c r="QJN337"/>
      <c r="QJQ337"/>
      <c r="QJR337"/>
      <c r="QJU337"/>
      <c r="QJV337"/>
      <c r="QJY337"/>
      <c r="QJZ337"/>
      <c r="QKC337"/>
      <c r="QKD337"/>
      <c r="QKG337"/>
      <c r="QKH337"/>
      <c r="QKK337"/>
      <c r="QKL337"/>
      <c r="QKO337"/>
      <c r="QKP337"/>
      <c r="QKS337"/>
      <c r="QKT337"/>
      <c r="QKW337"/>
      <c r="QKX337"/>
      <c r="QLA337"/>
      <c r="QLB337"/>
      <c r="QLE337"/>
      <c r="QLF337"/>
      <c r="QLI337"/>
      <c r="QLJ337"/>
      <c r="QLM337"/>
      <c r="QLN337"/>
      <c r="QLQ337"/>
      <c r="QLR337"/>
      <c r="QLU337"/>
      <c r="QLV337"/>
      <c r="QLY337"/>
      <c r="QLZ337"/>
      <c r="QMC337"/>
      <c r="QMD337"/>
      <c r="QMG337"/>
      <c r="QMH337"/>
      <c r="QMK337"/>
      <c r="QML337"/>
      <c r="QMO337"/>
      <c r="QMP337"/>
      <c r="QMS337"/>
      <c r="QMT337"/>
      <c r="QMW337"/>
      <c r="QMX337"/>
      <c r="QNA337"/>
      <c r="QNB337"/>
      <c r="QNE337"/>
      <c r="QNF337"/>
      <c r="QNI337"/>
      <c r="QNJ337"/>
      <c r="QNM337"/>
      <c r="QNN337"/>
      <c r="QNQ337"/>
      <c r="QNR337"/>
      <c r="QNU337"/>
      <c r="QNV337"/>
      <c r="QNY337"/>
      <c r="QNZ337"/>
      <c r="QOC337"/>
      <c r="QOD337"/>
      <c r="QOG337"/>
      <c r="QOH337"/>
      <c r="QOK337"/>
      <c r="QOL337"/>
      <c r="QOO337"/>
      <c r="QOP337"/>
      <c r="QOS337"/>
      <c r="QOT337"/>
      <c r="QOW337"/>
      <c r="QOX337"/>
      <c r="QPA337"/>
      <c r="QPB337"/>
      <c r="QPE337"/>
      <c r="QPF337"/>
      <c r="QPI337"/>
      <c r="QPJ337"/>
      <c r="QPM337"/>
      <c r="QPN337"/>
      <c r="QPQ337"/>
      <c r="QPR337"/>
      <c r="QPU337"/>
      <c r="QPV337"/>
      <c r="QPY337"/>
      <c r="QPZ337"/>
      <c r="QQC337"/>
      <c r="QQD337"/>
      <c r="QQG337"/>
      <c r="QQH337"/>
      <c r="QQK337"/>
      <c r="QQL337"/>
      <c r="QQO337"/>
      <c r="QQP337"/>
      <c r="QQS337"/>
      <c r="QQT337"/>
      <c r="QQW337"/>
      <c r="QQX337"/>
      <c r="QRA337"/>
      <c r="QRB337"/>
      <c r="QRE337"/>
      <c r="QRF337"/>
      <c r="QRI337"/>
      <c r="QRJ337"/>
      <c r="QRM337"/>
      <c r="QRN337"/>
      <c r="QRQ337"/>
      <c r="QRR337"/>
      <c r="QRU337"/>
      <c r="QRV337"/>
      <c r="QRY337"/>
      <c r="QRZ337"/>
      <c r="QSC337"/>
      <c r="QSD337"/>
      <c r="QSG337"/>
      <c r="QSH337"/>
      <c r="QSK337"/>
      <c r="QSL337"/>
      <c r="QSO337"/>
      <c r="QSP337"/>
      <c r="QSS337"/>
      <c r="QST337"/>
      <c r="QSW337"/>
      <c r="QSX337"/>
      <c r="QTA337"/>
      <c r="QTB337"/>
      <c r="QTE337"/>
      <c r="QTF337"/>
      <c r="QTI337"/>
      <c r="QTJ337"/>
      <c r="QTM337"/>
      <c r="QTN337"/>
      <c r="QTQ337"/>
      <c r="QTR337"/>
      <c r="QTU337"/>
      <c r="QTV337"/>
      <c r="QTY337"/>
      <c r="QTZ337"/>
      <c r="QUC337"/>
      <c r="QUD337"/>
      <c r="QUG337"/>
      <c r="QUH337"/>
      <c r="QUK337"/>
      <c r="QUL337"/>
      <c r="QUO337"/>
      <c r="QUP337"/>
      <c r="QUS337"/>
      <c r="QUT337"/>
      <c r="QUW337"/>
      <c r="QUX337"/>
      <c r="QVA337"/>
      <c r="QVB337"/>
      <c r="QVE337"/>
      <c r="QVF337"/>
      <c r="QVI337"/>
      <c r="QVJ337"/>
      <c r="QVM337"/>
      <c r="QVN337"/>
      <c r="QVQ337"/>
      <c r="QVR337"/>
      <c r="QVU337"/>
      <c r="QVV337"/>
      <c r="QVY337"/>
      <c r="QVZ337"/>
      <c r="QWC337"/>
      <c r="QWD337"/>
      <c r="QWG337"/>
      <c r="QWH337"/>
      <c r="QWK337"/>
      <c r="QWL337"/>
      <c r="QWO337"/>
      <c r="QWP337"/>
      <c r="QWS337"/>
      <c r="QWT337"/>
      <c r="QWW337"/>
      <c r="QWX337"/>
      <c r="QXA337"/>
      <c r="QXB337"/>
      <c r="QXE337"/>
      <c r="QXF337"/>
      <c r="QXI337"/>
      <c r="QXJ337"/>
      <c r="QXM337"/>
      <c r="QXN337"/>
      <c r="QXQ337"/>
      <c r="QXR337"/>
      <c r="QXU337"/>
      <c r="QXV337"/>
      <c r="QXY337"/>
      <c r="QXZ337"/>
      <c r="QYC337"/>
      <c r="QYD337"/>
      <c r="QYG337"/>
      <c r="QYH337"/>
      <c r="QYK337"/>
      <c r="QYL337"/>
      <c r="QYO337"/>
      <c r="QYP337"/>
      <c r="QYS337"/>
      <c r="QYT337"/>
      <c r="QYW337"/>
      <c r="QYX337"/>
      <c r="QZA337"/>
      <c r="QZB337"/>
      <c r="QZE337"/>
      <c r="QZF337"/>
      <c r="QZI337"/>
      <c r="QZJ337"/>
      <c r="QZM337"/>
      <c r="QZN337"/>
      <c r="QZQ337"/>
      <c r="QZR337"/>
      <c r="QZU337"/>
      <c r="QZV337"/>
      <c r="QZY337"/>
      <c r="QZZ337"/>
      <c r="RAC337"/>
      <c r="RAD337"/>
      <c r="RAG337"/>
      <c r="RAH337"/>
      <c r="RAK337"/>
      <c r="RAL337"/>
      <c r="RAO337"/>
      <c r="RAP337"/>
      <c r="RAS337"/>
      <c r="RAT337"/>
      <c r="RAW337"/>
      <c r="RAX337"/>
      <c r="RBA337"/>
      <c r="RBB337"/>
      <c r="RBE337"/>
      <c r="RBF337"/>
      <c r="RBI337"/>
      <c r="RBJ337"/>
      <c r="RBM337"/>
      <c r="RBN337"/>
      <c r="RBQ337"/>
      <c r="RBR337"/>
      <c r="RBU337"/>
      <c r="RBV337"/>
      <c r="RBY337"/>
      <c r="RBZ337"/>
      <c r="RCC337"/>
      <c r="RCD337"/>
      <c r="RCG337"/>
      <c r="RCH337"/>
      <c r="RCK337"/>
      <c r="RCL337"/>
      <c r="RCO337"/>
      <c r="RCP337"/>
      <c r="RCS337"/>
      <c r="RCT337"/>
      <c r="RCW337"/>
      <c r="RCX337"/>
      <c r="RDA337"/>
      <c r="RDB337"/>
      <c r="RDE337"/>
      <c r="RDF337"/>
      <c r="RDI337"/>
      <c r="RDJ337"/>
      <c r="RDM337"/>
      <c r="RDN337"/>
      <c r="RDQ337"/>
      <c r="RDR337"/>
      <c r="RDU337"/>
      <c r="RDV337"/>
      <c r="RDY337"/>
      <c r="RDZ337"/>
      <c r="REC337"/>
      <c r="RED337"/>
      <c r="REG337"/>
      <c r="REH337"/>
      <c r="REK337"/>
      <c r="REL337"/>
      <c r="REO337"/>
      <c r="REP337"/>
      <c r="RES337"/>
      <c r="RET337"/>
      <c r="REW337"/>
      <c r="REX337"/>
      <c r="RFA337"/>
      <c r="RFB337"/>
      <c r="RFE337"/>
      <c r="RFF337"/>
      <c r="RFI337"/>
      <c r="RFJ337"/>
      <c r="RFM337"/>
      <c r="RFN337"/>
      <c r="RFQ337"/>
      <c r="RFR337"/>
      <c r="RFU337"/>
      <c r="RFV337"/>
      <c r="RFY337"/>
      <c r="RFZ337"/>
      <c r="RGC337"/>
      <c r="RGD337"/>
      <c r="RGG337"/>
      <c r="RGH337"/>
      <c r="RGK337"/>
      <c r="RGL337"/>
      <c r="RGO337"/>
      <c r="RGP337"/>
      <c r="RGS337"/>
      <c r="RGT337"/>
      <c r="RGW337"/>
      <c r="RGX337"/>
      <c r="RHA337"/>
      <c r="RHB337"/>
      <c r="RHE337"/>
      <c r="RHF337"/>
      <c r="RHI337"/>
      <c r="RHJ337"/>
      <c r="RHM337"/>
      <c r="RHN337"/>
      <c r="RHQ337"/>
      <c r="RHR337"/>
      <c r="RHU337"/>
      <c r="RHV337"/>
      <c r="RHY337"/>
      <c r="RHZ337"/>
      <c r="RIC337"/>
      <c r="RID337"/>
      <c r="RIG337"/>
      <c r="RIH337"/>
      <c r="RIK337"/>
      <c r="RIL337"/>
      <c r="RIO337"/>
      <c r="RIP337"/>
      <c r="RIS337"/>
      <c r="RIT337"/>
      <c r="RIW337"/>
      <c r="RIX337"/>
      <c r="RJA337"/>
      <c r="RJB337"/>
      <c r="RJE337"/>
      <c r="RJF337"/>
      <c r="RJI337"/>
      <c r="RJJ337"/>
      <c r="RJM337"/>
      <c r="RJN337"/>
      <c r="RJQ337"/>
      <c r="RJR337"/>
      <c r="RJU337"/>
      <c r="RJV337"/>
      <c r="RJY337"/>
      <c r="RJZ337"/>
      <c r="RKC337"/>
      <c r="RKD337"/>
      <c r="RKG337"/>
      <c r="RKH337"/>
      <c r="RKK337"/>
      <c r="RKL337"/>
      <c r="RKO337"/>
      <c r="RKP337"/>
      <c r="RKS337"/>
      <c r="RKT337"/>
      <c r="RKW337"/>
      <c r="RKX337"/>
      <c r="RLA337"/>
      <c r="RLB337"/>
      <c r="RLE337"/>
      <c r="RLF337"/>
      <c r="RLI337"/>
      <c r="RLJ337"/>
      <c r="RLM337"/>
      <c r="RLN337"/>
      <c r="RLQ337"/>
      <c r="RLR337"/>
      <c r="RLU337"/>
      <c r="RLV337"/>
      <c r="RLY337"/>
      <c r="RLZ337"/>
      <c r="RMC337"/>
      <c r="RMD337"/>
      <c r="RMG337"/>
      <c r="RMH337"/>
      <c r="RMK337"/>
      <c r="RML337"/>
      <c r="RMO337"/>
      <c r="RMP337"/>
      <c r="RMS337"/>
      <c r="RMT337"/>
      <c r="RMW337"/>
      <c r="RMX337"/>
      <c r="RNA337"/>
      <c r="RNB337"/>
      <c r="RNE337"/>
      <c r="RNF337"/>
      <c r="RNI337"/>
      <c r="RNJ337"/>
      <c r="RNM337"/>
      <c r="RNN337"/>
      <c r="RNQ337"/>
      <c r="RNR337"/>
      <c r="RNU337"/>
      <c r="RNV337"/>
      <c r="RNY337"/>
      <c r="RNZ337"/>
      <c r="ROC337"/>
      <c r="ROD337"/>
      <c r="ROG337"/>
      <c r="ROH337"/>
      <c r="ROK337"/>
      <c r="ROL337"/>
      <c r="ROO337"/>
      <c r="ROP337"/>
      <c r="ROS337"/>
      <c r="ROT337"/>
      <c r="ROW337"/>
      <c r="ROX337"/>
      <c r="RPA337"/>
      <c r="RPB337"/>
      <c r="RPE337"/>
      <c r="RPF337"/>
      <c r="RPI337"/>
      <c r="RPJ337"/>
      <c r="RPM337"/>
      <c r="RPN337"/>
      <c r="RPQ337"/>
      <c r="RPR337"/>
      <c r="RPU337"/>
      <c r="RPV337"/>
      <c r="RPY337"/>
      <c r="RPZ337"/>
      <c r="RQC337"/>
      <c r="RQD337"/>
      <c r="RQG337"/>
      <c r="RQH337"/>
      <c r="RQK337"/>
      <c r="RQL337"/>
      <c r="RQO337"/>
      <c r="RQP337"/>
      <c r="RQS337"/>
      <c r="RQT337"/>
      <c r="RQW337"/>
      <c r="RQX337"/>
      <c r="RRA337"/>
      <c r="RRB337"/>
      <c r="RRE337"/>
      <c r="RRF337"/>
      <c r="RRI337"/>
      <c r="RRJ337"/>
      <c r="RRM337"/>
      <c r="RRN337"/>
      <c r="RRQ337"/>
      <c r="RRR337"/>
      <c r="RRU337"/>
      <c r="RRV337"/>
      <c r="RRY337"/>
      <c r="RRZ337"/>
      <c r="RSC337"/>
      <c r="RSD337"/>
      <c r="RSG337"/>
      <c r="RSH337"/>
      <c r="RSK337"/>
      <c r="RSL337"/>
      <c r="RSO337"/>
      <c r="RSP337"/>
      <c r="RSS337"/>
      <c r="RST337"/>
      <c r="RSW337"/>
      <c r="RSX337"/>
      <c r="RTA337"/>
      <c r="RTB337"/>
      <c r="RTE337"/>
      <c r="RTF337"/>
      <c r="RTI337"/>
      <c r="RTJ337"/>
      <c r="RTM337"/>
      <c r="RTN337"/>
      <c r="RTQ337"/>
      <c r="RTR337"/>
      <c r="RTU337"/>
      <c r="RTV337"/>
      <c r="RTY337"/>
      <c r="RTZ337"/>
      <c r="RUC337"/>
      <c r="RUD337"/>
      <c r="RUG337"/>
      <c r="RUH337"/>
      <c r="RUK337"/>
      <c r="RUL337"/>
      <c r="RUO337"/>
      <c r="RUP337"/>
      <c r="RUS337"/>
      <c r="RUT337"/>
      <c r="RUW337"/>
      <c r="RUX337"/>
      <c r="RVA337"/>
      <c r="RVB337"/>
      <c r="RVE337"/>
      <c r="RVF337"/>
      <c r="RVI337"/>
      <c r="RVJ337"/>
      <c r="RVM337"/>
      <c r="RVN337"/>
      <c r="RVQ337"/>
      <c r="RVR337"/>
      <c r="RVU337"/>
      <c r="RVV337"/>
      <c r="RVY337"/>
      <c r="RVZ337"/>
      <c r="RWC337"/>
      <c r="RWD337"/>
      <c r="RWG337"/>
      <c r="RWH337"/>
      <c r="RWK337"/>
      <c r="RWL337"/>
      <c r="RWO337"/>
      <c r="RWP337"/>
      <c r="RWS337"/>
      <c r="RWT337"/>
      <c r="RWW337"/>
      <c r="RWX337"/>
      <c r="RXA337"/>
      <c r="RXB337"/>
      <c r="RXE337"/>
      <c r="RXF337"/>
      <c r="RXI337"/>
      <c r="RXJ337"/>
      <c r="RXM337"/>
      <c r="RXN337"/>
      <c r="RXQ337"/>
      <c r="RXR337"/>
      <c r="RXU337"/>
      <c r="RXV337"/>
      <c r="RXY337"/>
      <c r="RXZ337"/>
      <c r="RYC337"/>
      <c r="RYD337"/>
      <c r="RYG337"/>
      <c r="RYH337"/>
      <c r="RYK337"/>
      <c r="RYL337"/>
      <c r="RYO337"/>
      <c r="RYP337"/>
      <c r="RYS337"/>
      <c r="RYT337"/>
      <c r="RYW337"/>
      <c r="RYX337"/>
      <c r="RZA337"/>
      <c r="RZB337"/>
      <c r="RZE337"/>
      <c r="RZF337"/>
      <c r="RZI337"/>
      <c r="RZJ337"/>
      <c r="RZM337"/>
      <c r="RZN337"/>
      <c r="RZQ337"/>
      <c r="RZR337"/>
      <c r="RZU337"/>
      <c r="RZV337"/>
      <c r="RZY337"/>
      <c r="RZZ337"/>
      <c r="SAC337"/>
      <c r="SAD337"/>
      <c r="SAG337"/>
      <c r="SAH337"/>
      <c r="SAK337"/>
      <c r="SAL337"/>
      <c r="SAO337"/>
      <c r="SAP337"/>
      <c r="SAS337"/>
      <c r="SAT337"/>
      <c r="SAW337"/>
      <c r="SAX337"/>
      <c r="SBA337"/>
      <c r="SBB337"/>
      <c r="SBE337"/>
      <c r="SBF337"/>
      <c r="SBI337"/>
      <c r="SBJ337"/>
      <c r="SBM337"/>
      <c r="SBN337"/>
      <c r="SBQ337"/>
      <c r="SBR337"/>
      <c r="SBU337"/>
      <c r="SBV337"/>
      <c r="SBY337"/>
      <c r="SBZ337"/>
      <c r="SCC337"/>
      <c r="SCD337"/>
      <c r="SCG337"/>
      <c r="SCH337"/>
      <c r="SCK337"/>
      <c r="SCL337"/>
      <c r="SCO337"/>
      <c r="SCP337"/>
      <c r="SCS337"/>
      <c r="SCT337"/>
      <c r="SCW337"/>
      <c r="SCX337"/>
      <c r="SDA337"/>
      <c r="SDB337"/>
      <c r="SDE337"/>
      <c r="SDF337"/>
      <c r="SDI337"/>
      <c r="SDJ337"/>
      <c r="SDM337"/>
      <c r="SDN337"/>
      <c r="SDQ337"/>
      <c r="SDR337"/>
      <c r="SDU337"/>
      <c r="SDV337"/>
      <c r="SDY337"/>
      <c r="SDZ337"/>
      <c r="SEC337"/>
      <c r="SED337"/>
      <c r="SEG337"/>
      <c r="SEH337"/>
      <c r="SEK337"/>
      <c r="SEL337"/>
      <c r="SEO337"/>
      <c r="SEP337"/>
      <c r="SES337"/>
      <c r="SET337"/>
      <c r="SEW337"/>
      <c r="SEX337"/>
      <c r="SFA337"/>
      <c r="SFB337"/>
      <c r="SFE337"/>
      <c r="SFF337"/>
      <c r="SFI337"/>
      <c r="SFJ337"/>
      <c r="SFM337"/>
      <c r="SFN337"/>
      <c r="SFQ337"/>
      <c r="SFR337"/>
      <c r="SFU337"/>
      <c r="SFV337"/>
      <c r="SFY337"/>
      <c r="SFZ337"/>
      <c r="SGC337"/>
      <c r="SGD337"/>
      <c r="SGG337"/>
      <c r="SGH337"/>
      <c r="SGK337"/>
      <c r="SGL337"/>
      <c r="SGO337"/>
      <c r="SGP337"/>
      <c r="SGS337"/>
      <c r="SGT337"/>
      <c r="SGW337"/>
      <c r="SGX337"/>
      <c r="SHA337"/>
      <c r="SHB337"/>
      <c r="SHE337"/>
      <c r="SHF337"/>
      <c r="SHI337"/>
      <c r="SHJ337"/>
      <c r="SHM337"/>
      <c r="SHN337"/>
      <c r="SHQ337"/>
      <c r="SHR337"/>
      <c r="SHU337"/>
      <c r="SHV337"/>
      <c r="SHY337"/>
      <c r="SHZ337"/>
      <c r="SIC337"/>
      <c r="SID337"/>
      <c r="SIG337"/>
      <c r="SIH337"/>
      <c r="SIK337"/>
      <c r="SIL337"/>
      <c r="SIO337"/>
      <c r="SIP337"/>
      <c r="SIS337"/>
      <c r="SIT337"/>
      <c r="SIW337"/>
      <c r="SIX337"/>
      <c r="SJA337"/>
      <c r="SJB337"/>
      <c r="SJE337"/>
      <c r="SJF337"/>
      <c r="SJI337"/>
      <c r="SJJ337"/>
      <c r="SJM337"/>
      <c r="SJN337"/>
      <c r="SJQ337"/>
      <c r="SJR337"/>
      <c r="SJU337"/>
      <c r="SJV337"/>
      <c r="SJY337"/>
      <c r="SJZ337"/>
      <c r="SKC337"/>
      <c r="SKD337"/>
      <c r="SKG337"/>
      <c r="SKH337"/>
      <c r="SKK337"/>
      <c r="SKL337"/>
      <c r="SKO337"/>
      <c r="SKP337"/>
      <c r="SKS337"/>
      <c r="SKT337"/>
      <c r="SKW337"/>
      <c r="SKX337"/>
      <c r="SLA337"/>
      <c r="SLB337"/>
      <c r="SLE337"/>
      <c r="SLF337"/>
      <c r="SLI337"/>
      <c r="SLJ337"/>
      <c r="SLM337"/>
      <c r="SLN337"/>
      <c r="SLQ337"/>
      <c r="SLR337"/>
      <c r="SLU337"/>
      <c r="SLV337"/>
      <c r="SLY337"/>
      <c r="SLZ337"/>
      <c r="SMC337"/>
      <c r="SMD337"/>
      <c r="SMG337"/>
      <c r="SMH337"/>
      <c r="SMK337"/>
      <c r="SML337"/>
      <c r="SMO337"/>
      <c r="SMP337"/>
      <c r="SMS337"/>
      <c r="SMT337"/>
      <c r="SMW337"/>
      <c r="SMX337"/>
      <c r="SNA337"/>
      <c r="SNB337"/>
      <c r="SNE337"/>
      <c r="SNF337"/>
      <c r="SNI337"/>
      <c r="SNJ337"/>
      <c r="SNM337"/>
      <c r="SNN337"/>
      <c r="SNQ337"/>
      <c r="SNR337"/>
      <c r="SNU337"/>
      <c r="SNV337"/>
      <c r="SNY337"/>
      <c r="SNZ337"/>
      <c r="SOC337"/>
      <c r="SOD337"/>
      <c r="SOG337"/>
      <c r="SOH337"/>
      <c r="SOK337"/>
      <c r="SOL337"/>
      <c r="SOO337"/>
      <c r="SOP337"/>
      <c r="SOS337"/>
      <c r="SOT337"/>
      <c r="SOW337"/>
      <c r="SOX337"/>
      <c r="SPA337"/>
      <c r="SPB337"/>
      <c r="SPE337"/>
      <c r="SPF337"/>
      <c r="SPI337"/>
      <c r="SPJ337"/>
      <c r="SPM337"/>
      <c r="SPN337"/>
      <c r="SPQ337"/>
      <c r="SPR337"/>
      <c r="SPU337"/>
      <c r="SPV337"/>
      <c r="SPY337"/>
      <c r="SPZ337"/>
      <c r="SQC337"/>
      <c r="SQD337"/>
      <c r="SQG337"/>
      <c r="SQH337"/>
      <c r="SQK337"/>
      <c r="SQL337"/>
      <c r="SQO337"/>
      <c r="SQP337"/>
      <c r="SQS337"/>
      <c r="SQT337"/>
      <c r="SQW337"/>
      <c r="SQX337"/>
      <c r="SRA337"/>
      <c r="SRB337"/>
      <c r="SRE337"/>
      <c r="SRF337"/>
      <c r="SRI337"/>
      <c r="SRJ337"/>
      <c r="SRM337"/>
      <c r="SRN337"/>
      <c r="SRQ337"/>
      <c r="SRR337"/>
      <c r="SRU337"/>
      <c r="SRV337"/>
      <c r="SRY337"/>
      <c r="SRZ337"/>
      <c r="SSC337"/>
      <c r="SSD337"/>
      <c r="SSG337"/>
      <c r="SSH337"/>
      <c r="SSK337"/>
      <c r="SSL337"/>
      <c r="SSO337"/>
      <c r="SSP337"/>
      <c r="SSS337"/>
      <c r="SST337"/>
      <c r="SSW337"/>
      <c r="SSX337"/>
      <c r="STA337"/>
      <c r="STB337"/>
      <c r="STE337"/>
      <c r="STF337"/>
      <c r="STI337"/>
      <c r="STJ337"/>
      <c r="STM337"/>
      <c r="STN337"/>
      <c r="STQ337"/>
      <c r="STR337"/>
      <c r="STU337"/>
      <c r="STV337"/>
      <c r="STY337"/>
      <c r="STZ337"/>
      <c r="SUC337"/>
      <c r="SUD337"/>
      <c r="SUG337"/>
      <c r="SUH337"/>
      <c r="SUK337"/>
      <c r="SUL337"/>
      <c r="SUO337"/>
      <c r="SUP337"/>
      <c r="SUS337"/>
      <c r="SUT337"/>
      <c r="SUW337"/>
      <c r="SUX337"/>
      <c r="SVA337"/>
      <c r="SVB337"/>
      <c r="SVE337"/>
      <c r="SVF337"/>
      <c r="SVI337"/>
      <c r="SVJ337"/>
      <c r="SVM337"/>
      <c r="SVN337"/>
      <c r="SVQ337"/>
      <c r="SVR337"/>
      <c r="SVU337"/>
      <c r="SVV337"/>
      <c r="SVY337"/>
      <c r="SVZ337"/>
      <c r="SWC337"/>
      <c r="SWD337"/>
      <c r="SWG337"/>
      <c r="SWH337"/>
      <c r="SWK337"/>
      <c r="SWL337"/>
      <c r="SWO337"/>
      <c r="SWP337"/>
      <c r="SWS337"/>
      <c r="SWT337"/>
      <c r="SWW337"/>
      <c r="SWX337"/>
      <c r="SXA337"/>
      <c r="SXB337"/>
      <c r="SXE337"/>
      <c r="SXF337"/>
      <c r="SXI337"/>
      <c r="SXJ337"/>
      <c r="SXM337"/>
      <c r="SXN337"/>
      <c r="SXQ337"/>
      <c r="SXR337"/>
      <c r="SXU337"/>
      <c r="SXV337"/>
      <c r="SXY337"/>
      <c r="SXZ337"/>
      <c r="SYC337"/>
      <c r="SYD337"/>
      <c r="SYG337"/>
      <c r="SYH337"/>
      <c r="SYK337"/>
      <c r="SYL337"/>
      <c r="SYO337"/>
      <c r="SYP337"/>
      <c r="SYS337"/>
      <c r="SYT337"/>
      <c r="SYW337"/>
      <c r="SYX337"/>
      <c r="SZA337"/>
      <c r="SZB337"/>
      <c r="SZE337"/>
      <c r="SZF337"/>
      <c r="SZI337"/>
      <c r="SZJ337"/>
      <c r="SZM337"/>
      <c r="SZN337"/>
      <c r="SZQ337"/>
      <c r="SZR337"/>
      <c r="SZU337"/>
      <c r="SZV337"/>
      <c r="SZY337"/>
      <c r="SZZ337"/>
      <c r="TAC337"/>
      <c r="TAD337"/>
      <c r="TAG337"/>
      <c r="TAH337"/>
      <c r="TAK337"/>
      <c r="TAL337"/>
      <c r="TAO337"/>
      <c r="TAP337"/>
      <c r="TAS337"/>
      <c r="TAT337"/>
      <c r="TAW337"/>
      <c r="TAX337"/>
      <c r="TBA337"/>
      <c r="TBB337"/>
      <c r="TBE337"/>
      <c r="TBF337"/>
      <c r="TBI337"/>
      <c r="TBJ337"/>
      <c r="TBM337"/>
      <c r="TBN337"/>
      <c r="TBQ337"/>
      <c r="TBR337"/>
      <c r="TBU337"/>
      <c r="TBV337"/>
      <c r="TBY337"/>
      <c r="TBZ337"/>
      <c r="TCC337"/>
      <c r="TCD337"/>
      <c r="TCG337"/>
      <c r="TCH337"/>
      <c r="TCK337"/>
      <c r="TCL337"/>
      <c r="TCO337"/>
      <c r="TCP337"/>
      <c r="TCS337"/>
      <c r="TCT337"/>
      <c r="TCW337"/>
      <c r="TCX337"/>
      <c r="TDA337"/>
      <c r="TDB337"/>
      <c r="TDE337"/>
      <c r="TDF337"/>
      <c r="TDI337"/>
      <c r="TDJ337"/>
      <c r="TDM337"/>
      <c r="TDN337"/>
      <c r="TDQ337"/>
      <c r="TDR337"/>
      <c r="TDU337"/>
      <c r="TDV337"/>
      <c r="TDY337"/>
      <c r="TDZ337"/>
      <c r="TEC337"/>
      <c r="TED337"/>
      <c r="TEG337"/>
      <c r="TEH337"/>
      <c r="TEK337"/>
      <c r="TEL337"/>
      <c r="TEO337"/>
      <c r="TEP337"/>
      <c r="TES337"/>
      <c r="TET337"/>
      <c r="TEW337"/>
      <c r="TEX337"/>
      <c r="TFA337"/>
      <c r="TFB337"/>
      <c r="TFE337"/>
      <c r="TFF337"/>
      <c r="TFI337"/>
      <c r="TFJ337"/>
      <c r="TFM337"/>
      <c r="TFN337"/>
      <c r="TFQ337"/>
      <c r="TFR337"/>
      <c r="TFU337"/>
      <c r="TFV337"/>
      <c r="TFY337"/>
      <c r="TFZ337"/>
      <c r="TGC337"/>
      <c r="TGD337"/>
      <c r="TGG337"/>
      <c r="TGH337"/>
      <c r="TGK337"/>
      <c r="TGL337"/>
      <c r="TGO337"/>
      <c r="TGP337"/>
      <c r="TGS337"/>
      <c r="TGT337"/>
      <c r="TGW337"/>
      <c r="TGX337"/>
      <c r="THA337"/>
      <c r="THB337"/>
      <c r="THE337"/>
      <c r="THF337"/>
      <c r="THI337"/>
      <c r="THJ337"/>
      <c r="THM337"/>
      <c r="THN337"/>
      <c r="THQ337"/>
      <c r="THR337"/>
      <c r="THU337"/>
      <c r="THV337"/>
      <c r="THY337"/>
      <c r="THZ337"/>
      <c r="TIC337"/>
      <c r="TID337"/>
      <c r="TIG337"/>
      <c r="TIH337"/>
      <c r="TIK337"/>
      <c r="TIL337"/>
      <c r="TIO337"/>
      <c r="TIP337"/>
      <c r="TIS337"/>
      <c r="TIT337"/>
      <c r="TIW337"/>
      <c r="TIX337"/>
      <c r="TJA337"/>
      <c r="TJB337"/>
      <c r="TJE337"/>
      <c r="TJF337"/>
      <c r="TJI337"/>
      <c r="TJJ337"/>
      <c r="TJM337"/>
      <c r="TJN337"/>
      <c r="TJQ337"/>
      <c r="TJR337"/>
      <c r="TJU337"/>
      <c r="TJV337"/>
      <c r="TJY337"/>
      <c r="TJZ337"/>
      <c r="TKC337"/>
      <c r="TKD337"/>
      <c r="TKG337"/>
      <c r="TKH337"/>
      <c r="TKK337"/>
      <c r="TKL337"/>
      <c r="TKO337"/>
      <c r="TKP337"/>
      <c r="TKS337"/>
      <c r="TKT337"/>
      <c r="TKW337"/>
      <c r="TKX337"/>
      <c r="TLA337"/>
      <c r="TLB337"/>
      <c r="TLE337"/>
      <c r="TLF337"/>
      <c r="TLI337"/>
      <c r="TLJ337"/>
      <c r="TLM337"/>
      <c r="TLN337"/>
      <c r="TLQ337"/>
      <c r="TLR337"/>
      <c r="TLU337"/>
      <c r="TLV337"/>
      <c r="TLY337"/>
      <c r="TLZ337"/>
      <c r="TMC337"/>
      <c r="TMD337"/>
      <c r="TMG337"/>
      <c r="TMH337"/>
      <c r="TMK337"/>
      <c r="TML337"/>
      <c r="TMO337"/>
      <c r="TMP337"/>
      <c r="TMS337"/>
      <c r="TMT337"/>
      <c r="TMW337"/>
      <c r="TMX337"/>
      <c r="TNA337"/>
      <c r="TNB337"/>
      <c r="TNE337"/>
      <c r="TNF337"/>
      <c r="TNI337"/>
      <c r="TNJ337"/>
      <c r="TNM337"/>
      <c r="TNN337"/>
      <c r="TNQ337"/>
      <c r="TNR337"/>
      <c r="TNU337"/>
      <c r="TNV337"/>
      <c r="TNY337"/>
      <c r="TNZ337"/>
      <c r="TOC337"/>
      <c r="TOD337"/>
      <c r="TOG337"/>
      <c r="TOH337"/>
      <c r="TOK337"/>
      <c r="TOL337"/>
      <c r="TOO337"/>
      <c r="TOP337"/>
      <c r="TOS337"/>
      <c r="TOT337"/>
      <c r="TOW337"/>
      <c r="TOX337"/>
      <c r="TPA337"/>
      <c r="TPB337"/>
      <c r="TPE337"/>
      <c r="TPF337"/>
      <c r="TPI337"/>
      <c r="TPJ337"/>
      <c r="TPM337"/>
      <c r="TPN337"/>
      <c r="TPQ337"/>
      <c r="TPR337"/>
      <c r="TPU337"/>
      <c r="TPV337"/>
      <c r="TPY337"/>
      <c r="TPZ337"/>
      <c r="TQC337"/>
      <c r="TQD337"/>
      <c r="TQG337"/>
      <c r="TQH337"/>
      <c r="TQK337"/>
      <c r="TQL337"/>
      <c r="TQO337"/>
      <c r="TQP337"/>
      <c r="TQS337"/>
      <c r="TQT337"/>
      <c r="TQW337"/>
      <c r="TQX337"/>
      <c r="TRA337"/>
      <c r="TRB337"/>
      <c r="TRE337"/>
      <c r="TRF337"/>
      <c r="TRI337"/>
      <c r="TRJ337"/>
      <c r="TRM337"/>
      <c r="TRN337"/>
      <c r="TRQ337"/>
      <c r="TRR337"/>
      <c r="TRU337"/>
      <c r="TRV337"/>
      <c r="TRY337"/>
      <c r="TRZ337"/>
      <c r="TSC337"/>
      <c r="TSD337"/>
      <c r="TSG337"/>
      <c r="TSH337"/>
      <c r="TSK337"/>
      <c r="TSL337"/>
      <c r="TSO337"/>
      <c r="TSP337"/>
      <c r="TSS337"/>
      <c r="TST337"/>
      <c r="TSW337"/>
      <c r="TSX337"/>
      <c r="TTA337"/>
      <c r="TTB337"/>
      <c r="TTE337"/>
      <c r="TTF337"/>
      <c r="TTI337"/>
      <c r="TTJ337"/>
      <c r="TTM337"/>
      <c r="TTN337"/>
      <c r="TTQ337"/>
      <c r="TTR337"/>
      <c r="TTU337"/>
      <c r="TTV337"/>
      <c r="TTY337"/>
      <c r="TTZ337"/>
      <c r="TUC337"/>
      <c r="TUD337"/>
      <c r="TUG337"/>
      <c r="TUH337"/>
      <c r="TUK337"/>
      <c r="TUL337"/>
      <c r="TUO337"/>
      <c r="TUP337"/>
      <c r="TUS337"/>
      <c r="TUT337"/>
      <c r="TUW337"/>
      <c r="TUX337"/>
      <c r="TVA337"/>
      <c r="TVB337"/>
      <c r="TVE337"/>
      <c r="TVF337"/>
      <c r="TVI337"/>
      <c r="TVJ337"/>
      <c r="TVM337"/>
      <c r="TVN337"/>
      <c r="TVQ337"/>
      <c r="TVR337"/>
      <c r="TVU337"/>
      <c r="TVV337"/>
      <c r="TVY337"/>
      <c r="TVZ337"/>
      <c r="TWC337"/>
      <c r="TWD337"/>
      <c r="TWG337"/>
      <c r="TWH337"/>
      <c r="TWK337"/>
      <c r="TWL337"/>
      <c r="TWO337"/>
      <c r="TWP337"/>
      <c r="TWS337"/>
      <c r="TWT337"/>
      <c r="TWW337"/>
      <c r="TWX337"/>
      <c r="TXA337"/>
      <c r="TXB337"/>
      <c r="TXE337"/>
      <c r="TXF337"/>
      <c r="TXI337"/>
      <c r="TXJ337"/>
      <c r="TXM337"/>
      <c r="TXN337"/>
      <c r="TXQ337"/>
      <c r="TXR337"/>
      <c r="TXU337"/>
      <c r="TXV337"/>
      <c r="TXY337"/>
      <c r="TXZ337"/>
      <c r="TYC337"/>
      <c r="TYD337"/>
      <c r="TYG337"/>
      <c r="TYH337"/>
      <c r="TYK337"/>
      <c r="TYL337"/>
      <c r="TYO337"/>
      <c r="TYP337"/>
      <c r="TYS337"/>
      <c r="TYT337"/>
      <c r="TYW337"/>
      <c r="TYX337"/>
      <c r="TZA337"/>
      <c r="TZB337"/>
      <c r="TZE337"/>
      <c r="TZF337"/>
      <c r="TZI337"/>
      <c r="TZJ337"/>
      <c r="TZM337"/>
      <c r="TZN337"/>
      <c r="TZQ337"/>
      <c r="TZR337"/>
      <c r="TZU337"/>
      <c r="TZV337"/>
      <c r="TZY337"/>
      <c r="TZZ337"/>
      <c r="UAC337"/>
      <c r="UAD337"/>
      <c r="UAG337"/>
      <c r="UAH337"/>
      <c r="UAK337"/>
      <c r="UAL337"/>
      <c r="UAO337"/>
      <c r="UAP337"/>
      <c r="UAS337"/>
      <c r="UAT337"/>
      <c r="UAW337"/>
      <c r="UAX337"/>
      <c r="UBA337"/>
      <c r="UBB337"/>
      <c r="UBE337"/>
      <c r="UBF337"/>
      <c r="UBI337"/>
      <c r="UBJ337"/>
      <c r="UBM337"/>
      <c r="UBN337"/>
      <c r="UBQ337"/>
      <c r="UBR337"/>
      <c r="UBU337"/>
      <c r="UBV337"/>
      <c r="UBY337"/>
      <c r="UBZ337"/>
      <c r="UCC337"/>
      <c r="UCD337"/>
      <c r="UCG337"/>
      <c r="UCH337"/>
      <c r="UCK337"/>
      <c r="UCL337"/>
      <c r="UCO337"/>
      <c r="UCP337"/>
      <c r="UCS337"/>
      <c r="UCT337"/>
      <c r="UCW337"/>
      <c r="UCX337"/>
      <c r="UDA337"/>
      <c r="UDB337"/>
      <c r="UDE337"/>
      <c r="UDF337"/>
      <c r="UDI337"/>
      <c r="UDJ337"/>
      <c r="UDM337"/>
      <c r="UDN337"/>
      <c r="UDQ337"/>
      <c r="UDR337"/>
      <c r="UDU337"/>
      <c r="UDV337"/>
      <c r="UDY337"/>
      <c r="UDZ337"/>
      <c r="UEC337"/>
      <c r="UED337"/>
      <c r="UEG337"/>
      <c r="UEH337"/>
      <c r="UEK337"/>
      <c r="UEL337"/>
      <c r="UEO337"/>
      <c r="UEP337"/>
      <c r="UES337"/>
      <c r="UET337"/>
      <c r="UEW337"/>
      <c r="UEX337"/>
      <c r="UFA337"/>
      <c r="UFB337"/>
      <c r="UFE337"/>
      <c r="UFF337"/>
      <c r="UFI337"/>
      <c r="UFJ337"/>
      <c r="UFM337"/>
      <c r="UFN337"/>
      <c r="UFQ337"/>
      <c r="UFR337"/>
      <c r="UFU337"/>
      <c r="UFV337"/>
      <c r="UFY337"/>
      <c r="UFZ337"/>
      <c r="UGC337"/>
      <c r="UGD337"/>
      <c r="UGG337"/>
      <c r="UGH337"/>
      <c r="UGK337"/>
      <c r="UGL337"/>
      <c r="UGO337"/>
      <c r="UGP337"/>
      <c r="UGS337"/>
      <c r="UGT337"/>
      <c r="UGW337"/>
      <c r="UGX337"/>
      <c r="UHA337"/>
      <c r="UHB337"/>
      <c r="UHE337"/>
      <c r="UHF337"/>
      <c r="UHI337"/>
      <c r="UHJ337"/>
      <c r="UHM337"/>
      <c r="UHN337"/>
      <c r="UHQ337"/>
      <c r="UHR337"/>
      <c r="UHU337"/>
      <c r="UHV337"/>
      <c r="UHY337"/>
      <c r="UHZ337"/>
      <c r="UIC337"/>
      <c r="UID337"/>
      <c r="UIG337"/>
      <c r="UIH337"/>
      <c r="UIK337"/>
      <c r="UIL337"/>
      <c r="UIO337"/>
      <c r="UIP337"/>
      <c r="UIS337"/>
      <c r="UIT337"/>
      <c r="UIW337"/>
      <c r="UIX337"/>
      <c r="UJA337"/>
      <c r="UJB337"/>
      <c r="UJE337"/>
      <c r="UJF337"/>
      <c r="UJI337"/>
      <c r="UJJ337"/>
      <c r="UJM337"/>
      <c r="UJN337"/>
      <c r="UJQ337"/>
      <c r="UJR337"/>
      <c r="UJU337"/>
      <c r="UJV337"/>
      <c r="UJY337"/>
      <c r="UJZ337"/>
      <c r="UKC337"/>
      <c r="UKD337"/>
      <c r="UKG337"/>
      <c r="UKH337"/>
      <c r="UKK337"/>
      <c r="UKL337"/>
      <c r="UKO337"/>
      <c r="UKP337"/>
      <c r="UKS337"/>
      <c r="UKT337"/>
      <c r="UKW337"/>
      <c r="UKX337"/>
      <c r="ULA337"/>
      <c r="ULB337"/>
      <c r="ULE337"/>
      <c r="ULF337"/>
      <c r="ULI337"/>
      <c r="ULJ337"/>
      <c r="ULM337"/>
      <c r="ULN337"/>
      <c r="ULQ337"/>
      <c r="ULR337"/>
      <c r="ULU337"/>
      <c r="ULV337"/>
      <c r="ULY337"/>
      <c r="ULZ337"/>
      <c r="UMC337"/>
      <c r="UMD337"/>
      <c r="UMG337"/>
      <c r="UMH337"/>
      <c r="UMK337"/>
      <c r="UML337"/>
      <c r="UMO337"/>
      <c r="UMP337"/>
      <c r="UMS337"/>
      <c r="UMT337"/>
      <c r="UMW337"/>
      <c r="UMX337"/>
      <c r="UNA337"/>
      <c r="UNB337"/>
      <c r="UNE337"/>
      <c r="UNF337"/>
      <c r="UNI337"/>
      <c r="UNJ337"/>
      <c r="UNM337"/>
      <c r="UNN337"/>
      <c r="UNQ337"/>
      <c r="UNR337"/>
      <c r="UNU337"/>
      <c r="UNV337"/>
      <c r="UNY337"/>
      <c r="UNZ337"/>
      <c r="UOC337"/>
      <c r="UOD337"/>
      <c r="UOG337"/>
      <c r="UOH337"/>
      <c r="UOK337"/>
      <c r="UOL337"/>
      <c r="UOO337"/>
      <c r="UOP337"/>
      <c r="UOS337"/>
      <c r="UOT337"/>
      <c r="UOW337"/>
      <c r="UOX337"/>
      <c r="UPA337"/>
      <c r="UPB337"/>
      <c r="UPE337"/>
      <c r="UPF337"/>
      <c r="UPI337"/>
      <c r="UPJ337"/>
      <c r="UPM337"/>
      <c r="UPN337"/>
      <c r="UPQ337"/>
      <c r="UPR337"/>
      <c r="UPU337"/>
      <c r="UPV337"/>
      <c r="UPY337"/>
      <c r="UPZ337"/>
      <c r="UQC337"/>
      <c r="UQD337"/>
      <c r="UQG337"/>
      <c r="UQH337"/>
      <c r="UQK337"/>
      <c r="UQL337"/>
      <c r="UQO337"/>
      <c r="UQP337"/>
      <c r="UQS337"/>
      <c r="UQT337"/>
      <c r="UQW337"/>
      <c r="UQX337"/>
      <c r="URA337"/>
      <c r="URB337"/>
      <c r="URE337"/>
      <c r="URF337"/>
      <c r="URI337"/>
      <c r="URJ337"/>
      <c r="URM337"/>
      <c r="URN337"/>
      <c r="URQ337"/>
      <c r="URR337"/>
      <c r="URU337"/>
      <c r="URV337"/>
      <c r="URY337"/>
      <c r="URZ337"/>
      <c r="USC337"/>
      <c r="USD337"/>
      <c r="USG337"/>
      <c r="USH337"/>
      <c r="USK337"/>
      <c r="USL337"/>
      <c r="USO337"/>
      <c r="USP337"/>
      <c r="USS337"/>
      <c r="UST337"/>
      <c r="USW337"/>
      <c r="USX337"/>
      <c r="UTA337"/>
      <c r="UTB337"/>
      <c r="UTE337"/>
      <c r="UTF337"/>
      <c r="UTI337"/>
      <c r="UTJ337"/>
      <c r="UTM337"/>
      <c r="UTN337"/>
      <c r="UTQ337"/>
      <c r="UTR337"/>
      <c r="UTU337"/>
      <c r="UTV337"/>
      <c r="UTY337"/>
      <c r="UTZ337"/>
      <c r="UUC337"/>
      <c r="UUD337"/>
      <c r="UUG337"/>
      <c r="UUH337"/>
      <c r="UUK337"/>
      <c r="UUL337"/>
      <c r="UUO337"/>
      <c r="UUP337"/>
      <c r="UUS337"/>
      <c r="UUT337"/>
      <c r="UUW337"/>
      <c r="UUX337"/>
      <c r="UVA337"/>
      <c r="UVB337"/>
      <c r="UVE337"/>
      <c r="UVF337"/>
      <c r="UVI337"/>
      <c r="UVJ337"/>
      <c r="UVM337"/>
      <c r="UVN337"/>
      <c r="UVQ337"/>
      <c r="UVR337"/>
      <c r="UVU337"/>
      <c r="UVV337"/>
      <c r="UVY337"/>
      <c r="UVZ337"/>
      <c r="UWC337"/>
      <c r="UWD337"/>
      <c r="UWG337"/>
      <c r="UWH337"/>
      <c r="UWK337"/>
      <c r="UWL337"/>
      <c r="UWO337"/>
      <c r="UWP337"/>
      <c r="UWS337"/>
      <c r="UWT337"/>
      <c r="UWW337"/>
      <c r="UWX337"/>
      <c r="UXA337"/>
      <c r="UXB337"/>
      <c r="UXE337"/>
      <c r="UXF337"/>
      <c r="UXI337"/>
      <c r="UXJ337"/>
      <c r="UXM337"/>
      <c r="UXN337"/>
      <c r="UXQ337"/>
      <c r="UXR337"/>
      <c r="UXU337"/>
      <c r="UXV337"/>
      <c r="UXY337"/>
      <c r="UXZ337"/>
      <c r="UYC337"/>
      <c r="UYD337"/>
      <c r="UYG337"/>
      <c r="UYH337"/>
      <c r="UYK337"/>
      <c r="UYL337"/>
      <c r="UYO337"/>
      <c r="UYP337"/>
      <c r="UYS337"/>
      <c r="UYT337"/>
      <c r="UYW337"/>
      <c r="UYX337"/>
      <c r="UZA337"/>
      <c r="UZB337"/>
      <c r="UZE337"/>
      <c r="UZF337"/>
      <c r="UZI337"/>
      <c r="UZJ337"/>
      <c r="UZM337"/>
      <c r="UZN337"/>
      <c r="UZQ337"/>
      <c r="UZR337"/>
      <c r="UZU337"/>
      <c r="UZV337"/>
      <c r="UZY337"/>
      <c r="UZZ337"/>
      <c r="VAC337"/>
      <c r="VAD337"/>
      <c r="VAG337"/>
      <c r="VAH337"/>
      <c r="VAK337"/>
      <c r="VAL337"/>
      <c r="VAO337"/>
      <c r="VAP337"/>
      <c r="VAS337"/>
      <c r="VAT337"/>
      <c r="VAW337"/>
      <c r="VAX337"/>
      <c r="VBA337"/>
      <c r="VBB337"/>
      <c r="VBE337"/>
      <c r="VBF337"/>
      <c r="VBI337"/>
      <c r="VBJ337"/>
      <c r="VBM337"/>
      <c r="VBN337"/>
      <c r="VBQ337"/>
      <c r="VBR337"/>
      <c r="VBU337"/>
      <c r="VBV337"/>
      <c r="VBY337"/>
      <c r="VBZ337"/>
      <c r="VCC337"/>
      <c r="VCD337"/>
      <c r="VCG337"/>
      <c r="VCH337"/>
      <c r="VCK337"/>
      <c r="VCL337"/>
      <c r="VCO337"/>
      <c r="VCP337"/>
      <c r="VCS337"/>
      <c r="VCT337"/>
      <c r="VCW337"/>
      <c r="VCX337"/>
      <c r="VDA337"/>
      <c r="VDB337"/>
      <c r="VDE337"/>
      <c r="VDF337"/>
      <c r="VDI337"/>
      <c r="VDJ337"/>
      <c r="VDM337"/>
      <c r="VDN337"/>
      <c r="VDQ337"/>
      <c r="VDR337"/>
      <c r="VDU337"/>
      <c r="VDV337"/>
      <c r="VDY337"/>
      <c r="VDZ337"/>
      <c r="VEC337"/>
      <c r="VED337"/>
      <c r="VEG337"/>
      <c r="VEH337"/>
      <c r="VEK337"/>
      <c r="VEL337"/>
      <c r="VEO337"/>
      <c r="VEP337"/>
      <c r="VES337"/>
      <c r="VET337"/>
      <c r="VEW337"/>
      <c r="VEX337"/>
      <c r="VFA337"/>
      <c r="VFB337"/>
      <c r="VFE337"/>
      <c r="VFF337"/>
      <c r="VFI337"/>
      <c r="VFJ337"/>
      <c r="VFM337"/>
      <c r="VFN337"/>
      <c r="VFQ337"/>
      <c r="VFR337"/>
      <c r="VFU337"/>
      <c r="VFV337"/>
      <c r="VFY337"/>
      <c r="VFZ337"/>
      <c r="VGC337"/>
      <c r="VGD337"/>
      <c r="VGG337"/>
      <c r="VGH337"/>
      <c r="VGK337"/>
      <c r="VGL337"/>
      <c r="VGO337"/>
      <c r="VGP337"/>
      <c r="VGS337"/>
      <c r="VGT337"/>
      <c r="VGW337"/>
      <c r="VGX337"/>
      <c r="VHA337"/>
      <c r="VHB337"/>
      <c r="VHE337"/>
      <c r="VHF337"/>
      <c r="VHI337"/>
      <c r="VHJ337"/>
      <c r="VHM337"/>
      <c r="VHN337"/>
      <c r="VHQ337"/>
      <c r="VHR337"/>
      <c r="VHU337"/>
      <c r="VHV337"/>
      <c r="VHY337"/>
      <c r="VHZ337"/>
      <c r="VIC337"/>
      <c r="VID337"/>
      <c r="VIG337"/>
      <c r="VIH337"/>
      <c r="VIK337"/>
      <c r="VIL337"/>
      <c r="VIO337"/>
      <c r="VIP337"/>
      <c r="VIS337"/>
      <c r="VIT337"/>
      <c r="VIW337"/>
      <c r="VIX337"/>
      <c r="VJA337"/>
      <c r="VJB337"/>
      <c r="VJE337"/>
      <c r="VJF337"/>
      <c r="VJI337"/>
      <c r="VJJ337"/>
      <c r="VJM337"/>
      <c r="VJN337"/>
      <c r="VJQ337"/>
      <c r="VJR337"/>
      <c r="VJU337"/>
      <c r="VJV337"/>
      <c r="VJY337"/>
      <c r="VJZ337"/>
      <c r="VKC337"/>
      <c r="VKD337"/>
      <c r="VKG337"/>
      <c r="VKH337"/>
      <c r="VKK337"/>
      <c r="VKL337"/>
      <c r="VKO337"/>
      <c r="VKP337"/>
      <c r="VKS337"/>
      <c r="VKT337"/>
      <c r="VKW337"/>
      <c r="VKX337"/>
      <c r="VLA337"/>
      <c r="VLB337"/>
      <c r="VLE337"/>
      <c r="VLF337"/>
      <c r="VLI337"/>
      <c r="VLJ337"/>
      <c r="VLM337"/>
      <c r="VLN337"/>
      <c r="VLQ337"/>
      <c r="VLR337"/>
      <c r="VLU337"/>
      <c r="VLV337"/>
      <c r="VLY337"/>
      <c r="VLZ337"/>
      <c r="VMC337"/>
      <c r="VMD337"/>
      <c r="VMG337"/>
      <c r="VMH337"/>
      <c r="VMK337"/>
      <c r="VML337"/>
      <c r="VMO337"/>
      <c r="VMP337"/>
      <c r="VMS337"/>
      <c r="VMT337"/>
      <c r="VMW337"/>
      <c r="VMX337"/>
      <c r="VNA337"/>
      <c r="VNB337"/>
      <c r="VNE337"/>
      <c r="VNF337"/>
      <c r="VNI337"/>
      <c r="VNJ337"/>
      <c r="VNM337"/>
      <c r="VNN337"/>
      <c r="VNQ337"/>
      <c r="VNR337"/>
      <c r="VNU337"/>
      <c r="VNV337"/>
      <c r="VNY337"/>
      <c r="VNZ337"/>
      <c r="VOC337"/>
      <c r="VOD337"/>
      <c r="VOG337"/>
      <c r="VOH337"/>
      <c r="VOK337"/>
      <c r="VOL337"/>
      <c r="VOO337"/>
      <c r="VOP337"/>
      <c r="VOS337"/>
      <c r="VOT337"/>
      <c r="VOW337"/>
      <c r="VOX337"/>
      <c r="VPA337"/>
      <c r="VPB337"/>
      <c r="VPE337"/>
      <c r="VPF337"/>
      <c r="VPI337"/>
      <c r="VPJ337"/>
      <c r="VPM337"/>
      <c r="VPN337"/>
      <c r="VPQ337"/>
      <c r="VPR337"/>
      <c r="VPU337"/>
      <c r="VPV337"/>
      <c r="VPY337"/>
      <c r="VPZ337"/>
      <c r="VQC337"/>
      <c r="VQD337"/>
      <c r="VQG337"/>
      <c r="VQH337"/>
      <c r="VQK337"/>
      <c r="VQL337"/>
      <c r="VQO337"/>
      <c r="VQP337"/>
      <c r="VQS337"/>
      <c r="VQT337"/>
      <c r="VQW337"/>
      <c r="VQX337"/>
      <c r="VRA337"/>
      <c r="VRB337"/>
      <c r="VRE337"/>
      <c r="VRF337"/>
      <c r="VRI337"/>
      <c r="VRJ337"/>
      <c r="VRM337"/>
      <c r="VRN337"/>
      <c r="VRQ337"/>
      <c r="VRR337"/>
      <c r="VRU337"/>
      <c r="VRV337"/>
      <c r="VRY337"/>
      <c r="VRZ337"/>
      <c r="VSC337"/>
      <c r="VSD337"/>
      <c r="VSG337"/>
      <c r="VSH337"/>
      <c r="VSK337"/>
      <c r="VSL337"/>
      <c r="VSO337"/>
      <c r="VSP337"/>
      <c r="VSS337"/>
      <c r="VST337"/>
      <c r="VSW337"/>
      <c r="VSX337"/>
      <c r="VTA337"/>
      <c r="VTB337"/>
      <c r="VTE337"/>
      <c r="VTF337"/>
      <c r="VTI337"/>
      <c r="VTJ337"/>
      <c r="VTM337"/>
      <c r="VTN337"/>
      <c r="VTQ337"/>
      <c r="VTR337"/>
      <c r="VTU337"/>
      <c r="VTV337"/>
      <c r="VTY337"/>
      <c r="VTZ337"/>
      <c r="VUC337"/>
      <c r="VUD337"/>
      <c r="VUG337"/>
      <c r="VUH337"/>
      <c r="VUK337"/>
      <c r="VUL337"/>
      <c r="VUO337"/>
      <c r="VUP337"/>
      <c r="VUS337"/>
      <c r="VUT337"/>
      <c r="VUW337"/>
      <c r="VUX337"/>
      <c r="VVA337"/>
      <c r="VVB337"/>
      <c r="VVE337"/>
      <c r="VVF337"/>
      <c r="VVI337"/>
      <c r="VVJ337"/>
      <c r="VVM337"/>
      <c r="VVN337"/>
      <c r="VVQ337"/>
      <c r="VVR337"/>
      <c r="VVU337"/>
      <c r="VVV337"/>
      <c r="VVY337"/>
      <c r="VVZ337"/>
      <c r="VWC337"/>
      <c r="VWD337"/>
      <c r="VWG337"/>
      <c r="VWH337"/>
      <c r="VWK337"/>
      <c r="VWL337"/>
      <c r="VWO337"/>
      <c r="VWP337"/>
      <c r="VWS337"/>
      <c r="VWT337"/>
      <c r="VWW337"/>
      <c r="VWX337"/>
      <c r="VXA337"/>
      <c r="VXB337"/>
      <c r="VXE337"/>
      <c r="VXF337"/>
      <c r="VXI337"/>
      <c r="VXJ337"/>
      <c r="VXM337"/>
      <c r="VXN337"/>
      <c r="VXQ337"/>
      <c r="VXR337"/>
      <c r="VXU337"/>
      <c r="VXV337"/>
      <c r="VXY337"/>
      <c r="VXZ337"/>
      <c r="VYC337"/>
      <c r="VYD337"/>
      <c r="VYG337"/>
      <c r="VYH337"/>
      <c r="VYK337"/>
      <c r="VYL337"/>
      <c r="VYO337"/>
      <c r="VYP337"/>
      <c r="VYS337"/>
      <c r="VYT337"/>
      <c r="VYW337"/>
      <c r="VYX337"/>
      <c r="VZA337"/>
      <c r="VZB337"/>
      <c r="VZE337"/>
      <c r="VZF337"/>
      <c r="VZI337"/>
      <c r="VZJ337"/>
      <c r="VZM337"/>
      <c r="VZN337"/>
      <c r="VZQ337"/>
      <c r="VZR337"/>
      <c r="VZU337"/>
      <c r="VZV337"/>
      <c r="VZY337"/>
      <c r="VZZ337"/>
      <c r="WAC337"/>
      <c r="WAD337"/>
      <c r="WAG337"/>
      <c r="WAH337"/>
      <c r="WAK337"/>
      <c r="WAL337"/>
      <c r="WAO337"/>
      <c r="WAP337"/>
      <c r="WAS337"/>
      <c r="WAT337"/>
      <c r="WAW337"/>
      <c r="WAX337"/>
      <c r="WBA337"/>
      <c r="WBB337"/>
      <c r="WBE337"/>
      <c r="WBF337"/>
      <c r="WBI337"/>
      <c r="WBJ337"/>
      <c r="WBM337"/>
      <c r="WBN337"/>
      <c r="WBQ337"/>
      <c r="WBR337"/>
      <c r="WBU337"/>
      <c r="WBV337"/>
      <c r="WBY337"/>
      <c r="WBZ337"/>
      <c r="WCC337"/>
      <c r="WCD337"/>
      <c r="WCG337"/>
      <c r="WCH337"/>
      <c r="WCK337"/>
      <c r="WCL337"/>
      <c r="WCO337"/>
      <c r="WCP337"/>
      <c r="WCS337"/>
      <c r="WCT337"/>
      <c r="WCW337"/>
      <c r="WCX337"/>
      <c r="WDA337"/>
      <c r="WDB337"/>
      <c r="WDE337"/>
      <c r="WDF337"/>
      <c r="WDI337"/>
      <c r="WDJ337"/>
      <c r="WDM337"/>
      <c r="WDN337"/>
      <c r="WDQ337"/>
      <c r="WDR337"/>
      <c r="WDU337"/>
      <c r="WDV337"/>
      <c r="WDY337"/>
      <c r="WDZ337"/>
      <c r="WEC337"/>
      <c r="WED337"/>
      <c r="WEG337"/>
      <c r="WEH337"/>
      <c r="WEK337"/>
      <c r="WEL337"/>
      <c r="WEO337"/>
      <c r="WEP337"/>
      <c r="WES337"/>
      <c r="WET337"/>
      <c r="WEW337"/>
      <c r="WEX337"/>
      <c r="WFA337"/>
      <c r="WFB337"/>
      <c r="WFE337"/>
      <c r="WFF337"/>
      <c r="WFI337"/>
      <c r="WFJ337"/>
      <c r="WFM337"/>
      <c r="WFN337"/>
      <c r="WFQ337"/>
      <c r="WFR337"/>
      <c r="WFU337"/>
      <c r="WFV337"/>
      <c r="WFY337"/>
      <c r="WFZ337"/>
      <c r="WGC337"/>
      <c r="WGD337"/>
      <c r="WGG337"/>
      <c r="WGH337"/>
      <c r="WGK337"/>
      <c r="WGL337"/>
      <c r="WGO337"/>
      <c r="WGP337"/>
      <c r="WGS337"/>
      <c r="WGT337"/>
      <c r="WGW337"/>
      <c r="WGX337"/>
      <c r="WHA337"/>
      <c r="WHB337"/>
      <c r="WHE337"/>
      <c r="WHF337"/>
      <c r="WHI337"/>
      <c r="WHJ337"/>
      <c r="WHM337"/>
      <c r="WHN337"/>
      <c r="WHQ337"/>
      <c r="WHR337"/>
      <c r="WHU337"/>
      <c r="WHV337"/>
      <c r="WHY337"/>
      <c r="WHZ337"/>
      <c r="WIC337"/>
      <c r="WID337"/>
      <c r="WIG337"/>
      <c r="WIH337"/>
      <c r="WIK337"/>
      <c r="WIL337"/>
      <c r="WIO337"/>
      <c r="WIP337"/>
      <c r="WIS337"/>
      <c r="WIT337"/>
      <c r="WIW337"/>
      <c r="WIX337"/>
      <c r="WJA337"/>
      <c r="WJB337"/>
      <c r="WJE337"/>
      <c r="WJF337"/>
      <c r="WJI337"/>
      <c r="WJJ337"/>
      <c r="WJM337"/>
      <c r="WJN337"/>
      <c r="WJQ337"/>
      <c r="WJR337"/>
      <c r="WJU337"/>
      <c r="WJV337"/>
      <c r="WJY337"/>
      <c r="WJZ337"/>
      <c r="WKC337"/>
      <c r="WKD337"/>
      <c r="WKG337"/>
      <c r="WKH337"/>
      <c r="WKK337"/>
      <c r="WKL337"/>
      <c r="WKO337"/>
      <c r="WKP337"/>
      <c r="WKS337"/>
      <c r="WKT337"/>
      <c r="WKW337"/>
      <c r="WKX337"/>
      <c r="WLA337"/>
      <c r="WLB337"/>
      <c r="WLE337"/>
      <c r="WLF337"/>
      <c r="WLI337"/>
      <c r="WLJ337"/>
      <c r="WLM337"/>
      <c r="WLN337"/>
      <c r="WLQ337"/>
      <c r="WLR337"/>
      <c r="WLU337"/>
      <c r="WLV337"/>
      <c r="WLY337"/>
      <c r="WLZ337"/>
      <c r="WMC337"/>
      <c r="WMD337"/>
      <c r="WMG337"/>
      <c r="WMH337"/>
      <c r="WMK337"/>
      <c r="WML337"/>
      <c r="WMO337"/>
      <c r="WMP337"/>
      <c r="WMS337"/>
      <c r="WMT337"/>
      <c r="WMW337"/>
      <c r="WMX337"/>
      <c r="WNA337"/>
      <c r="WNB337"/>
      <c r="WNE337"/>
      <c r="WNF337"/>
      <c r="WNI337"/>
      <c r="WNJ337"/>
      <c r="WNM337"/>
      <c r="WNN337"/>
      <c r="WNQ337"/>
      <c r="WNR337"/>
      <c r="WNU337"/>
      <c r="WNV337"/>
      <c r="WNY337"/>
      <c r="WNZ337"/>
      <c r="WOC337"/>
      <c r="WOD337"/>
      <c r="WOG337"/>
      <c r="WOH337"/>
      <c r="WOK337"/>
      <c r="WOL337"/>
      <c r="WOO337"/>
      <c r="WOP337"/>
      <c r="WOS337"/>
      <c r="WOT337"/>
      <c r="WOW337"/>
      <c r="WOX337"/>
      <c r="WPA337"/>
      <c r="WPB337"/>
      <c r="WPE337"/>
      <c r="WPF337"/>
      <c r="WPI337"/>
      <c r="WPJ337"/>
      <c r="WPM337"/>
      <c r="WPN337"/>
      <c r="WPQ337"/>
      <c r="WPR337"/>
      <c r="WPU337"/>
      <c r="WPV337"/>
      <c r="WPY337"/>
      <c r="WPZ337"/>
      <c r="WQC337"/>
      <c r="WQD337"/>
      <c r="WQG337"/>
      <c r="WQH337"/>
      <c r="WQK337"/>
      <c r="WQL337"/>
      <c r="WQO337"/>
      <c r="WQP337"/>
      <c r="WQS337"/>
      <c r="WQT337"/>
      <c r="WQW337"/>
      <c r="WQX337"/>
      <c r="WRA337"/>
      <c r="WRB337"/>
      <c r="WRE337"/>
      <c r="WRF337"/>
      <c r="WRI337"/>
      <c r="WRJ337"/>
      <c r="WRM337"/>
      <c r="WRN337"/>
      <c r="WRQ337"/>
      <c r="WRR337"/>
      <c r="WRU337"/>
      <c r="WRV337"/>
      <c r="WRY337"/>
      <c r="WRZ337"/>
      <c r="WSC337"/>
      <c r="WSD337"/>
      <c r="WSG337"/>
      <c r="WSH337"/>
      <c r="WSK337"/>
      <c r="WSL337"/>
      <c r="WSO337"/>
      <c r="WSP337"/>
      <c r="WSS337"/>
      <c r="WST337"/>
      <c r="WSW337"/>
      <c r="WSX337"/>
      <c r="WTA337"/>
      <c r="WTB337"/>
      <c r="WTE337"/>
      <c r="WTF337"/>
      <c r="WTI337"/>
      <c r="WTJ337"/>
      <c r="WTM337"/>
      <c r="WTN337"/>
      <c r="WTQ337"/>
      <c r="WTR337"/>
      <c r="WTU337"/>
      <c r="WTV337"/>
      <c r="WTY337"/>
      <c r="WTZ337"/>
      <c r="WUC337"/>
      <c r="WUD337"/>
      <c r="WUG337"/>
      <c r="WUH337"/>
      <c r="WUK337"/>
      <c r="WUL337"/>
      <c r="WUO337"/>
      <c r="WUP337"/>
      <c r="WUS337"/>
      <c r="WUT337"/>
      <c r="WUW337"/>
      <c r="WUX337"/>
      <c r="WVA337"/>
      <c r="WVB337"/>
      <c r="WVE337"/>
      <c r="WVF337"/>
      <c r="WVI337"/>
      <c r="WVJ337"/>
      <c r="WVM337"/>
      <c r="WVN337"/>
      <c r="WVQ337"/>
      <c r="WVR337"/>
      <c r="WVU337"/>
      <c r="WVV337"/>
      <c r="WVY337"/>
      <c r="WVZ337"/>
      <c r="WWC337"/>
      <c r="WWD337"/>
      <c r="WWG337"/>
      <c r="WWH337"/>
      <c r="WWK337"/>
      <c r="WWL337"/>
      <c r="WWO337"/>
      <c r="WWP337"/>
      <c r="WWS337"/>
      <c r="WWT337"/>
      <c r="WWW337"/>
      <c r="WWX337"/>
      <c r="WXA337"/>
      <c r="WXB337"/>
      <c r="WXE337"/>
      <c r="WXF337"/>
      <c r="WXI337"/>
      <c r="WXJ337"/>
      <c r="WXM337"/>
      <c r="WXN337"/>
      <c r="WXQ337"/>
      <c r="WXR337"/>
      <c r="WXU337"/>
      <c r="WXV337"/>
      <c r="WXY337"/>
      <c r="WXZ337"/>
      <c r="WYC337"/>
      <c r="WYD337"/>
      <c r="WYG337"/>
      <c r="WYH337"/>
      <c r="WYK337"/>
      <c r="WYL337"/>
      <c r="WYO337"/>
      <c r="WYP337"/>
      <c r="WYS337"/>
      <c r="WYT337"/>
      <c r="WYW337"/>
      <c r="WYX337"/>
      <c r="WZA337"/>
      <c r="WZB337"/>
      <c r="WZE337"/>
      <c r="WZF337"/>
      <c r="WZI337"/>
      <c r="WZJ337"/>
      <c r="WZM337"/>
      <c r="WZN337"/>
      <c r="WZQ337"/>
      <c r="WZR337"/>
      <c r="WZU337"/>
      <c r="WZV337"/>
      <c r="WZY337"/>
      <c r="WZZ337"/>
      <c r="XAC337"/>
      <c r="XAD337"/>
      <c r="XAG337"/>
      <c r="XAH337"/>
      <c r="XAK337"/>
      <c r="XAL337"/>
      <c r="XAO337"/>
      <c r="XAP337"/>
      <c r="XAS337"/>
      <c r="XAT337"/>
      <c r="XAW337"/>
      <c r="XAX337"/>
      <c r="XBA337"/>
      <c r="XBB337"/>
      <c r="XBE337"/>
      <c r="XBF337"/>
      <c r="XBI337"/>
      <c r="XBJ337"/>
      <c r="XBM337"/>
      <c r="XBN337"/>
      <c r="XBQ337"/>
      <c r="XBR337"/>
      <c r="XBU337"/>
      <c r="XBV337"/>
      <c r="XBY337"/>
      <c r="XBZ337"/>
      <c r="XCC337"/>
      <c r="XCD337"/>
      <c r="XCG337"/>
      <c r="XCH337"/>
      <c r="XCK337"/>
      <c r="XCL337"/>
      <c r="XCO337"/>
      <c r="XCP337"/>
      <c r="XCS337"/>
      <c r="XCT337"/>
      <c r="XCW337"/>
      <c r="XCX337"/>
      <c r="XDA337"/>
      <c r="XDB337"/>
      <c r="XDE337"/>
      <c r="XDF337"/>
      <c r="XDI337"/>
      <c r="XDJ337"/>
      <c r="XDM337"/>
      <c r="XDN337"/>
      <c r="XDQ337"/>
      <c r="XDR337"/>
      <c r="XDU337"/>
      <c r="XDV337"/>
      <c r="XDY337"/>
      <c r="XDZ337"/>
      <c r="XEC337"/>
      <c r="XED337"/>
      <c r="XEG337"/>
      <c r="XEH337"/>
      <c r="XEK337"/>
      <c r="XEL337"/>
      <c r="XEO337"/>
      <c r="XEP337"/>
      <c r="XES337"/>
      <c r="XET337"/>
      <c r="XEW337"/>
      <c r="XEX337"/>
      <c r="XFA337"/>
      <c r="XFB337"/>
    </row>
    <row r="338" spans="1:1022 1025:2046 2049:3070 3073:4094 4097:5118 5121:6142 6145:7166 7169:8190 8193:9214 9217:10238 10241:11262 11265:12286 12289:13310 13313:14334 14337:15358 15361:16382" s="13" customFormat="1" outlineLevel="1" x14ac:dyDescent="0.3">
      <c r="A338" t="s">
        <v>1225</v>
      </c>
      <c r="B338" t="s">
        <v>168</v>
      </c>
      <c r="C338" s="13" t="s">
        <v>9</v>
      </c>
      <c r="D338" s="13" t="s">
        <v>1226</v>
      </c>
      <c r="E338" t="s">
        <v>5975</v>
      </c>
      <c r="F338"/>
      <c r="I338"/>
      <c r="J338" t="s">
        <v>6846</v>
      </c>
      <c r="K338" t="s">
        <v>6839</v>
      </c>
      <c r="M338"/>
      <c r="N338"/>
      <c r="Q338"/>
      <c r="R338"/>
      <c r="U338"/>
      <c r="V338"/>
      <c r="Y338"/>
      <c r="Z338"/>
      <c r="AC338"/>
      <c r="AD338"/>
      <c r="AG338"/>
      <c r="AH338"/>
      <c r="AK338"/>
      <c r="AL338"/>
      <c r="AO338"/>
      <c r="AP338"/>
      <c r="AS338"/>
      <c r="AT338"/>
      <c r="AW338"/>
      <c r="AX338"/>
      <c r="BA338"/>
      <c r="BB338"/>
      <c r="BE338"/>
      <c r="BF338"/>
      <c r="BI338"/>
      <c r="BJ338"/>
      <c r="BM338"/>
      <c r="BN338"/>
      <c r="BQ338"/>
      <c r="BR338"/>
      <c r="BU338"/>
      <c r="BV338"/>
      <c r="BY338"/>
      <c r="BZ338"/>
      <c r="CC338"/>
      <c r="CD338"/>
      <c r="CG338"/>
      <c r="CH338"/>
      <c r="CK338"/>
      <c r="CL338"/>
      <c r="CO338"/>
      <c r="CP338"/>
      <c r="CS338"/>
      <c r="CT338"/>
      <c r="CW338"/>
      <c r="CX338"/>
      <c r="DA338"/>
      <c r="DB338"/>
      <c r="DE338"/>
      <c r="DF338"/>
      <c r="DI338"/>
      <c r="DJ338"/>
      <c r="DM338"/>
      <c r="DN338"/>
      <c r="DQ338"/>
      <c r="DR338"/>
      <c r="DU338"/>
      <c r="DV338"/>
      <c r="DY338"/>
      <c r="DZ338"/>
      <c r="EC338"/>
      <c r="ED338"/>
      <c r="EG338"/>
      <c r="EH338"/>
      <c r="EK338"/>
      <c r="EL338"/>
      <c r="EO338"/>
      <c r="EP338"/>
      <c r="ES338"/>
      <c r="ET338"/>
      <c r="EW338"/>
      <c r="EX338"/>
      <c r="FA338"/>
      <c r="FB338"/>
      <c r="FE338"/>
      <c r="FF338"/>
      <c r="FI338"/>
      <c r="FJ338"/>
      <c r="FM338"/>
      <c r="FN338"/>
      <c r="FQ338"/>
      <c r="FR338"/>
      <c r="FU338"/>
      <c r="FV338"/>
      <c r="FY338"/>
      <c r="FZ338"/>
      <c r="GC338"/>
      <c r="GD338"/>
      <c r="GG338"/>
      <c r="GH338"/>
      <c r="GK338"/>
      <c r="GL338"/>
      <c r="GO338"/>
      <c r="GP338"/>
      <c r="GS338"/>
      <c r="GT338"/>
      <c r="GW338"/>
      <c r="GX338"/>
      <c r="HA338"/>
      <c r="HB338"/>
      <c r="HE338"/>
      <c r="HF338"/>
      <c r="HI338"/>
      <c r="HJ338"/>
      <c r="HM338"/>
      <c r="HN338"/>
      <c r="HQ338"/>
      <c r="HR338"/>
      <c r="HU338"/>
      <c r="HV338"/>
      <c r="HY338"/>
      <c r="HZ338"/>
      <c r="IC338"/>
      <c r="ID338"/>
      <c r="IG338"/>
      <c r="IH338"/>
      <c r="IK338"/>
      <c r="IL338"/>
      <c r="IO338"/>
      <c r="IP338"/>
      <c r="IS338"/>
      <c r="IT338"/>
      <c r="IW338"/>
      <c r="IX338"/>
      <c r="JA338"/>
      <c r="JB338"/>
      <c r="JE338"/>
      <c r="JF338"/>
      <c r="JI338"/>
      <c r="JJ338"/>
      <c r="JM338"/>
      <c r="JN338"/>
      <c r="JQ338"/>
      <c r="JR338"/>
      <c r="JU338"/>
      <c r="JV338"/>
      <c r="JY338"/>
      <c r="JZ338"/>
      <c r="KC338"/>
      <c r="KD338"/>
      <c r="KG338"/>
      <c r="KH338"/>
      <c r="KK338"/>
      <c r="KL338"/>
      <c r="KO338"/>
      <c r="KP338"/>
      <c r="KS338"/>
      <c r="KT338"/>
      <c r="KW338"/>
      <c r="KX338"/>
      <c r="LA338"/>
      <c r="LB338"/>
      <c r="LE338"/>
      <c r="LF338"/>
      <c r="LI338"/>
      <c r="LJ338"/>
      <c r="LM338"/>
      <c r="LN338"/>
      <c r="LQ338"/>
      <c r="LR338"/>
      <c r="LU338"/>
      <c r="LV338"/>
      <c r="LY338"/>
      <c r="LZ338"/>
      <c r="MC338"/>
      <c r="MD338"/>
      <c r="MG338"/>
      <c r="MH338"/>
      <c r="MK338"/>
      <c r="ML338"/>
      <c r="MO338"/>
      <c r="MP338"/>
      <c r="MS338"/>
      <c r="MT338"/>
      <c r="MW338"/>
      <c r="MX338"/>
      <c r="NA338"/>
      <c r="NB338"/>
      <c r="NE338"/>
      <c r="NF338"/>
      <c r="NI338"/>
      <c r="NJ338"/>
      <c r="NM338"/>
      <c r="NN338"/>
      <c r="NQ338"/>
      <c r="NR338"/>
      <c r="NU338"/>
      <c r="NV338"/>
      <c r="NY338"/>
      <c r="NZ338"/>
      <c r="OC338"/>
      <c r="OD338"/>
      <c r="OG338"/>
      <c r="OH338"/>
      <c r="OK338"/>
      <c r="OL338"/>
      <c r="OO338"/>
      <c r="OP338"/>
      <c r="OS338"/>
      <c r="OT338"/>
      <c r="OW338"/>
      <c r="OX338"/>
      <c r="PA338"/>
      <c r="PB338"/>
      <c r="PE338"/>
      <c r="PF338"/>
      <c r="PI338"/>
      <c r="PJ338"/>
      <c r="PM338"/>
      <c r="PN338"/>
      <c r="PQ338"/>
      <c r="PR338"/>
      <c r="PU338"/>
      <c r="PV338"/>
      <c r="PY338"/>
      <c r="PZ338"/>
      <c r="QC338"/>
      <c r="QD338"/>
      <c r="QG338"/>
      <c r="QH338"/>
      <c r="QK338"/>
      <c r="QL338"/>
      <c r="QO338"/>
      <c r="QP338"/>
      <c r="QS338"/>
      <c r="QT338"/>
      <c r="QW338"/>
      <c r="QX338"/>
      <c r="RA338"/>
      <c r="RB338"/>
      <c r="RE338"/>
      <c r="RF338"/>
      <c r="RI338"/>
      <c r="RJ338"/>
      <c r="RM338"/>
      <c r="RN338"/>
      <c r="RQ338"/>
      <c r="RR338"/>
      <c r="RU338"/>
      <c r="RV338"/>
      <c r="RY338"/>
      <c r="RZ338"/>
      <c r="SC338"/>
      <c r="SD338"/>
      <c r="SG338"/>
      <c r="SH338"/>
      <c r="SK338"/>
      <c r="SL338"/>
      <c r="SO338"/>
      <c r="SP338"/>
      <c r="SS338"/>
      <c r="ST338"/>
      <c r="SW338"/>
      <c r="SX338"/>
      <c r="TA338"/>
      <c r="TB338"/>
      <c r="TE338"/>
      <c r="TF338"/>
      <c r="TI338"/>
      <c r="TJ338"/>
      <c r="TM338"/>
      <c r="TN338"/>
      <c r="TQ338"/>
      <c r="TR338"/>
      <c r="TU338"/>
      <c r="TV338"/>
      <c r="TY338"/>
      <c r="TZ338"/>
      <c r="UC338"/>
      <c r="UD338"/>
      <c r="UG338"/>
      <c r="UH338"/>
      <c r="UK338"/>
      <c r="UL338"/>
      <c r="UO338"/>
      <c r="UP338"/>
      <c r="US338"/>
      <c r="UT338"/>
      <c r="UW338"/>
      <c r="UX338"/>
      <c r="VA338"/>
      <c r="VB338"/>
      <c r="VE338"/>
      <c r="VF338"/>
      <c r="VI338"/>
      <c r="VJ338"/>
      <c r="VM338"/>
      <c r="VN338"/>
      <c r="VQ338"/>
      <c r="VR338"/>
      <c r="VU338"/>
      <c r="VV338"/>
      <c r="VY338"/>
      <c r="VZ338"/>
      <c r="WC338"/>
      <c r="WD338"/>
      <c r="WG338"/>
      <c r="WH338"/>
      <c r="WK338"/>
      <c r="WL338"/>
      <c r="WO338"/>
      <c r="WP338"/>
      <c r="WS338"/>
      <c r="WT338"/>
      <c r="WW338"/>
      <c r="WX338"/>
      <c r="XA338"/>
      <c r="XB338"/>
      <c r="XE338"/>
      <c r="XF338"/>
      <c r="XI338"/>
      <c r="XJ338"/>
      <c r="XM338"/>
      <c r="XN338"/>
      <c r="XQ338"/>
      <c r="XR338"/>
      <c r="XU338"/>
      <c r="XV338"/>
      <c r="XY338"/>
      <c r="XZ338"/>
      <c r="YC338"/>
      <c r="YD338"/>
      <c r="YG338"/>
      <c r="YH338"/>
      <c r="YK338"/>
      <c r="YL338"/>
      <c r="YO338"/>
      <c r="YP338"/>
      <c r="YS338"/>
      <c r="YT338"/>
      <c r="YW338"/>
      <c r="YX338"/>
      <c r="ZA338"/>
      <c r="ZB338"/>
      <c r="ZE338"/>
      <c r="ZF338"/>
      <c r="ZI338"/>
      <c r="ZJ338"/>
      <c r="ZM338"/>
      <c r="ZN338"/>
      <c r="ZQ338"/>
      <c r="ZR338"/>
      <c r="ZU338"/>
      <c r="ZV338"/>
      <c r="ZY338"/>
      <c r="ZZ338"/>
      <c r="AAC338"/>
      <c r="AAD338"/>
      <c r="AAG338"/>
      <c r="AAH338"/>
      <c r="AAK338"/>
      <c r="AAL338"/>
      <c r="AAO338"/>
      <c r="AAP338"/>
      <c r="AAS338"/>
      <c r="AAT338"/>
      <c r="AAW338"/>
      <c r="AAX338"/>
      <c r="ABA338"/>
      <c r="ABB338"/>
      <c r="ABE338"/>
      <c r="ABF338"/>
      <c r="ABI338"/>
      <c r="ABJ338"/>
      <c r="ABM338"/>
      <c r="ABN338"/>
      <c r="ABQ338"/>
      <c r="ABR338"/>
      <c r="ABU338"/>
      <c r="ABV338"/>
      <c r="ABY338"/>
      <c r="ABZ338"/>
      <c r="ACC338"/>
      <c r="ACD338"/>
      <c r="ACG338"/>
      <c r="ACH338"/>
      <c r="ACK338"/>
      <c r="ACL338"/>
      <c r="ACO338"/>
      <c r="ACP338"/>
      <c r="ACS338"/>
      <c r="ACT338"/>
      <c r="ACW338"/>
      <c r="ACX338"/>
      <c r="ADA338"/>
      <c r="ADB338"/>
      <c r="ADE338"/>
      <c r="ADF338"/>
      <c r="ADI338"/>
      <c r="ADJ338"/>
      <c r="ADM338"/>
      <c r="ADN338"/>
      <c r="ADQ338"/>
      <c r="ADR338"/>
      <c r="ADU338"/>
      <c r="ADV338"/>
      <c r="ADY338"/>
      <c r="ADZ338"/>
      <c r="AEC338"/>
      <c r="AED338"/>
      <c r="AEG338"/>
      <c r="AEH338"/>
      <c r="AEK338"/>
      <c r="AEL338"/>
      <c r="AEO338"/>
      <c r="AEP338"/>
      <c r="AES338"/>
      <c r="AET338"/>
      <c r="AEW338"/>
      <c r="AEX338"/>
      <c r="AFA338"/>
      <c r="AFB338"/>
      <c r="AFE338"/>
      <c r="AFF338"/>
      <c r="AFI338"/>
      <c r="AFJ338"/>
      <c r="AFM338"/>
      <c r="AFN338"/>
      <c r="AFQ338"/>
      <c r="AFR338"/>
      <c r="AFU338"/>
      <c r="AFV338"/>
      <c r="AFY338"/>
      <c r="AFZ338"/>
      <c r="AGC338"/>
      <c r="AGD338"/>
      <c r="AGG338"/>
      <c r="AGH338"/>
      <c r="AGK338"/>
      <c r="AGL338"/>
      <c r="AGO338"/>
      <c r="AGP338"/>
      <c r="AGS338"/>
      <c r="AGT338"/>
      <c r="AGW338"/>
      <c r="AGX338"/>
      <c r="AHA338"/>
      <c r="AHB338"/>
      <c r="AHE338"/>
      <c r="AHF338"/>
      <c r="AHI338"/>
      <c r="AHJ338"/>
      <c r="AHM338"/>
      <c r="AHN338"/>
      <c r="AHQ338"/>
      <c r="AHR338"/>
      <c r="AHU338"/>
      <c r="AHV338"/>
      <c r="AHY338"/>
      <c r="AHZ338"/>
      <c r="AIC338"/>
      <c r="AID338"/>
      <c r="AIG338"/>
      <c r="AIH338"/>
      <c r="AIK338"/>
      <c r="AIL338"/>
      <c r="AIO338"/>
      <c r="AIP338"/>
      <c r="AIS338"/>
      <c r="AIT338"/>
      <c r="AIW338"/>
      <c r="AIX338"/>
      <c r="AJA338"/>
      <c r="AJB338"/>
      <c r="AJE338"/>
      <c r="AJF338"/>
      <c r="AJI338"/>
      <c r="AJJ338"/>
      <c r="AJM338"/>
      <c r="AJN338"/>
      <c r="AJQ338"/>
      <c r="AJR338"/>
      <c r="AJU338"/>
      <c r="AJV338"/>
      <c r="AJY338"/>
      <c r="AJZ338"/>
      <c r="AKC338"/>
      <c r="AKD338"/>
      <c r="AKG338"/>
      <c r="AKH338"/>
      <c r="AKK338"/>
      <c r="AKL338"/>
      <c r="AKO338"/>
      <c r="AKP338"/>
      <c r="AKS338"/>
      <c r="AKT338"/>
      <c r="AKW338"/>
      <c r="AKX338"/>
      <c r="ALA338"/>
      <c r="ALB338"/>
      <c r="ALE338"/>
      <c r="ALF338"/>
      <c r="ALI338"/>
      <c r="ALJ338"/>
      <c r="ALM338"/>
      <c r="ALN338"/>
      <c r="ALQ338"/>
      <c r="ALR338"/>
      <c r="ALU338"/>
      <c r="ALV338"/>
      <c r="ALY338"/>
      <c r="ALZ338"/>
      <c r="AMC338"/>
      <c r="AMD338"/>
      <c r="AMG338"/>
      <c r="AMH338"/>
      <c r="AMK338"/>
      <c r="AML338"/>
      <c r="AMO338"/>
      <c r="AMP338"/>
      <c r="AMS338"/>
      <c r="AMT338"/>
      <c r="AMW338"/>
      <c r="AMX338"/>
      <c r="ANA338"/>
      <c r="ANB338"/>
      <c r="ANE338"/>
      <c r="ANF338"/>
      <c r="ANI338"/>
      <c r="ANJ338"/>
      <c r="ANM338"/>
      <c r="ANN338"/>
      <c r="ANQ338"/>
      <c r="ANR338"/>
      <c r="ANU338"/>
      <c r="ANV338"/>
      <c r="ANY338"/>
      <c r="ANZ338"/>
      <c r="AOC338"/>
      <c r="AOD338"/>
      <c r="AOG338"/>
      <c r="AOH338"/>
      <c r="AOK338"/>
      <c r="AOL338"/>
      <c r="AOO338"/>
      <c r="AOP338"/>
      <c r="AOS338"/>
      <c r="AOT338"/>
      <c r="AOW338"/>
      <c r="AOX338"/>
      <c r="APA338"/>
      <c r="APB338"/>
      <c r="APE338"/>
      <c r="APF338"/>
      <c r="API338"/>
      <c r="APJ338"/>
      <c r="APM338"/>
      <c r="APN338"/>
      <c r="APQ338"/>
      <c r="APR338"/>
      <c r="APU338"/>
      <c r="APV338"/>
      <c r="APY338"/>
      <c r="APZ338"/>
      <c r="AQC338"/>
      <c r="AQD338"/>
      <c r="AQG338"/>
      <c r="AQH338"/>
      <c r="AQK338"/>
      <c r="AQL338"/>
      <c r="AQO338"/>
      <c r="AQP338"/>
      <c r="AQS338"/>
      <c r="AQT338"/>
      <c r="AQW338"/>
      <c r="AQX338"/>
      <c r="ARA338"/>
      <c r="ARB338"/>
      <c r="ARE338"/>
      <c r="ARF338"/>
      <c r="ARI338"/>
      <c r="ARJ338"/>
      <c r="ARM338"/>
      <c r="ARN338"/>
      <c r="ARQ338"/>
      <c r="ARR338"/>
      <c r="ARU338"/>
      <c r="ARV338"/>
      <c r="ARY338"/>
      <c r="ARZ338"/>
      <c r="ASC338"/>
      <c r="ASD338"/>
      <c r="ASG338"/>
      <c r="ASH338"/>
      <c r="ASK338"/>
      <c r="ASL338"/>
      <c r="ASO338"/>
      <c r="ASP338"/>
      <c r="ASS338"/>
      <c r="AST338"/>
      <c r="ASW338"/>
      <c r="ASX338"/>
      <c r="ATA338"/>
      <c r="ATB338"/>
      <c r="ATE338"/>
      <c r="ATF338"/>
      <c r="ATI338"/>
      <c r="ATJ338"/>
      <c r="ATM338"/>
      <c r="ATN338"/>
      <c r="ATQ338"/>
      <c r="ATR338"/>
      <c r="ATU338"/>
      <c r="ATV338"/>
      <c r="ATY338"/>
      <c r="ATZ338"/>
      <c r="AUC338"/>
      <c r="AUD338"/>
      <c r="AUG338"/>
      <c r="AUH338"/>
      <c r="AUK338"/>
      <c r="AUL338"/>
      <c r="AUO338"/>
      <c r="AUP338"/>
      <c r="AUS338"/>
      <c r="AUT338"/>
      <c r="AUW338"/>
      <c r="AUX338"/>
      <c r="AVA338"/>
      <c r="AVB338"/>
      <c r="AVE338"/>
      <c r="AVF338"/>
      <c r="AVI338"/>
      <c r="AVJ338"/>
      <c r="AVM338"/>
      <c r="AVN338"/>
      <c r="AVQ338"/>
      <c r="AVR338"/>
      <c r="AVU338"/>
      <c r="AVV338"/>
      <c r="AVY338"/>
      <c r="AVZ338"/>
      <c r="AWC338"/>
      <c r="AWD338"/>
      <c r="AWG338"/>
      <c r="AWH338"/>
      <c r="AWK338"/>
      <c r="AWL338"/>
      <c r="AWO338"/>
      <c r="AWP338"/>
      <c r="AWS338"/>
      <c r="AWT338"/>
      <c r="AWW338"/>
      <c r="AWX338"/>
      <c r="AXA338"/>
      <c r="AXB338"/>
      <c r="AXE338"/>
      <c r="AXF338"/>
      <c r="AXI338"/>
      <c r="AXJ338"/>
      <c r="AXM338"/>
      <c r="AXN338"/>
      <c r="AXQ338"/>
      <c r="AXR338"/>
      <c r="AXU338"/>
      <c r="AXV338"/>
      <c r="AXY338"/>
      <c r="AXZ338"/>
      <c r="AYC338"/>
      <c r="AYD338"/>
      <c r="AYG338"/>
      <c r="AYH338"/>
      <c r="AYK338"/>
      <c r="AYL338"/>
      <c r="AYO338"/>
      <c r="AYP338"/>
      <c r="AYS338"/>
      <c r="AYT338"/>
      <c r="AYW338"/>
      <c r="AYX338"/>
      <c r="AZA338"/>
      <c r="AZB338"/>
      <c r="AZE338"/>
      <c r="AZF338"/>
      <c r="AZI338"/>
      <c r="AZJ338"/>
      <c r="AZM338"/>
      <c r="AZN338"/>
      <c r="AZQ338"/>
      <c r="AZR338"/>
      <c r="AZU338"/>
      <c r="AZV338"/>
      <c r="AZY338"/>
      <c r="AZZ338"/>
      <c r="BAC338"/>
      <c r="BAD338"/>
      <c r="BAG338"/>
      <c r="BAH338"/>
      <c r="BAK338"/>
      <c r="BAL338"/>
      <c r="BAO338"/>
      <c r="BAP338"/>
      <c r="BAS338"/>
      <c r="BAT338"/>
      <c r="BAW338"/>
      <c r="BAX338"/>
      <c r="BBA338"/>
      <c r="BBB338"/>
      <c r="BBE338"/>
      <c r="BBF338"/>
      <c r="BBI338"/>
      <c r="BBJ338"/>
      <c r="BBM338"/>
      <c r="BBN338"/>
      <c r="BBQ338"/>
      <c r="BBR338"/>
      <c r="BBU338"/>
      <c r="BBV338"/>
      <c r="BBY338"/>
      <c r="BBZ338"/>
      <c r="BCC338"/>
      <c r="BCD338"/>
      <c r="BCG338"/>
      <c r="BCH338"/>
      <c r="BCK338"/>
      <c r="BCL338"/>
      <c r="BCO338"/>
      <c r="BCP338"/>
      <c r="BCS338"/>
      <c r="BCT338"/>
      <c r="BCW338"/>
      <c r="BCX338"/>
      <c r="BDA338"/>
      <c r="BDB338"/>
      <c r="BDE338"/>
      <c r="BDF338"/>
      <c r="BDI338"/>
      <c r="BDJ338"/>
      <c r="BDM338"/>
      <c r="BDN338"/>
      <c r="BDQ338"/>
      <c r="BDR338"/>
      <c r="BDU338"/>
      <c r="BDV338"/>
      <c r="BDY338"/>
      <c r="BDZ338"/>
      <c r="BEC338"/>
      <c r="BED338"/>
      <c r="BEG338"/>
      <c r="BEH338"/>
      <c r="BEK338"/>
      <c r="BEL338"/>
      <c r="BEO338"/>
      <c r="BEP338"/>
      <c r="BES338"/>
      <c r="BET338"/>
      <c r="BEW338"/>
      <c r="BEX338"/>
      <c r="BFA338"/>
      <c r="BFB338"/>
      <c r="BFE338"/>
      <c r="BFF338"/>
      <c r="BFI338"/>
      <c r="BFJ338"/>
      <c r="BFM338"/>
      <c r="BFN338"/>
      <c r="BFQ338"/>
      <c r="BFR338"/>
      <c r="BFU338"/>
      <c r="BFV338"/>
      <c r="BFY338"/>
      <c r="BFZ338"/>
      <c r="BGC338"/>
      <c r="BGD338"/>
      <c r="BGG338"/>
      <c r="BGH338"/>
      <c r="BGK338"/>
      <c r="BGL338"/>
      <c r="BGO338"/>
      <c r="BGP338"/>
      <c r="BGS338"/>
      <c r="BGT338"/>
      <c r="BGW338"/>
      <c r="BGX338"/>
      <c r="BHA338"/>
      <c r="BHB338"/>
      <c r="BHE338"/>
      <c r="BHF338"/>
      <c r="BHI338"/>
      <c r="BHJ338"/>
      <c r="BHM338"/>
      <c r="BHN338"/>
      <c r="BHQ338"/>
      <c r="BHR338"/>
      <c r="BHU338"/>
      <c r="BHV338"/>
      <c r="BHY338"/>
      <c r="BHZ338"/>
      <c r="BIC338"/>
      <c r="BID338"/>
      <c r="BIG338"/>
      <c r="BIH338"/>
      <c r="BIK338"/>
      <c r="BIL338"/>
      <c r="BIO338"/>
      <c r="BIP338"/>
      <c r="BIS338"/>
      <c r="BIT338"/>
      <c r="BIW338"/>
      <c r="BIX338"/>
      <c r="BJA338"/>
      <c r="BJB338"/>
      <c r="BJE338"/>
      <c r="BJF338"/>
      <c r="BJI338"/>
      <c r="BJJ338"/>
      <c r="BJM338"/>
      <c r="BJN338"/>
      <c r="BJQ338"/>
      <c r="BJR338"/>
      <c r="BJU338"/>
      <c r="BJV338"/>
      <c r="BJY338"/>
      <c r="BJZ338"/>
      <c r="BKC338"/>
      <c r="BKD338"/>
      <c r="BKG338"/>
      <c r="BKH338"/>
      <c r="BKK338"/>
      <c r="BKL338"/>
      <c r="BKO338"/>
      <c r="BKP338"/>
      <c r="BKS338"/>
      <c r="BKT338"/>
      <c r="BKW338"/>
      <c r="BKX338"/>
      <c r="BLA338"/>
      <c r="BLB338"/>
      <c r="BLE338"/>
      <c r="BLF338"/>
      <c r="BLI338"/>
      <c r="BLJ338"/>
      <c r="BLM338"/>
      <c r="BLN338"/>
      <c r="BLQ338"/>
      <c r="BLR338"/>
      <c r="BLU338"/>
      <c r="BLV338"/>
      <c r="BLY338"/>
      <c r="BLZ338"/>
      <c r="BMC338"/>
      <c r="BMD338"/>
      <c r="BMG338"/>
      <c r="BMH338"/>
      <c r="BMK338"/>
      <c r="BML338"/>
      <c r="BMO338"/>
      <c r="BMP338"/>
      <c r="BMS338"/>
      <c r="BMT338"/>
      <c r="BMW338"/>
      <c r="BMX338"/>
      <c r="BNA338"/>
      <c r="BNB338"/>
      <c r="BNE338"/>
      <c r="BNF338"/>
      <c r="BNI338"/>
      <c r="BNJ338"/>
      <c r="BNM338"/>
      <c r="BNN338"/>
      <c r="BNQ338"/>
      <c r="BNR338"/>
      <c r="BNU338"/>
      <c r="BNV338"/>
      <c r="BNY338"/>
      <c r="BNZ338"/>
      <c r="BOC338"/>
      <c r="BOD338"/>
      <c r="BOG338"/>
      <c r="BOH338"/>
      <c r="BOK338"/>
      <c r="BOL338"/>
      <c r="BOO338"/>
      <c r="BOP338"/>
      <c r="BOS338"/>
      <c r="BOT338"/>
      <c r="BOW338"/>
      <c r="BOX338"/>
      <c r="BPA338"/>
      <c r="BPB338"/>
      <c r="BPE338"/>
      <c r="BPF338"/>
      <c r="BPI338"/>
      <c r="BPJ338"/>
      <c r="BPM338"/>
      <c r="BPN338"/>
      <c r="BPQ338"/>
      <c r="BPR338"/>
      <c r="BPU338"/>
      <c r="BPV338"/>
      <c r="BPY338"/>
      <c r="BPZ338"/>
      <c r="BQC338"/>
      <c r="BQD338"/>
      <c r="BQG338"/>
      <c r="BQH338"/>
      <c r="BQK338"/>
      <c r="BQL338"/>
      <c r="BQO338"/>
      <c r="BQP338"/>
      <c r="BQS338"/>
      <c r="BQT338"/>
      <c r="BQW338"/>
      <c r="BQX338"/>
      <c r="BRA338"/>
      <c r="BRB338"/>
      <c r="BRE338"/>
      <c r="BRF338"/>
      <c r="BRI338"/>
      <c r="BRJ338"/>
      <c r="BRM338"/>
      <c r="BRN338"/>
      <c r="BRQ338"/>
      <c r="BRR338"/>
      <c r="BRU338"/>
      <c r="BRV338"/>
      <c r="BRY338"/>
      <c r="BRZ338"/>
      <c r="BSC338"/>
      <c r="BSD338"/>
      <c r="BSG338"/>
      <c r="BSH338"/>
      <c r="BSK338"/>
      <c r="BSL338"/>
      <c r="BSO338"/>
      <c r="BSP338"/>
      <c r="BSS338"/>
      <c r="BST338"/>
      <c r="BSW338"/>
      <c r="BSX338"/>
      <c r="BTA338"/>
      <c r="BTB338"/>
      <c r="BTE338"/>
      <c r="BTF338"/>
      <c r="BTI338"/>
      <c r="BTJ338"/>
      <c r="BTM338"/>
      <c r="BTN338"/>
      <c r="BTQ338"/>
      <c r="BTR338"/>
      <c r="BTU338"/>
      <c r="BTV338"/>
      <c r="BTY338"/>
      <c r="BTZ338"/>
      <c r="BUC338"/>
      <c r="BUD338"/>
      <c r="BUG338"/>
      <c r="BUH338"/>
      <c r="BUK338"/>
      <c r="BUL338"/>
      <c r="BUO338"/>
      <c r="BUP338"/>
      <c r="BUS338"/>
      <c r="BUT338"/>
      <c r="BUW338"/>
      <c r="BUX338"/>
      <c r="BVA338"/>
      <c r="BVB338"/>
      <c r="BVE338"/>
      <c r="BVF338"/>
      <c r="BVI338"/>
      <c r="BVJ338"/>
      <c r="BVM338"/>
      <c r="BVN338"/>
      <c r="BVQ338"/>
      <c r="BVR338"/>
      <c r="BVU338"/>
      <c r="BVV338"/>
      <c r="BVY338"/>
      <c r="BVZ338"/>
      <c r="BWC338"/>
      <c r="BWD338"/>
      <c r="BWG338"/>
      <c r="BWH338"/>
      <c r="BWK338"/>
      <c r="BWL338"/>
      <c r="BWO338"/>
      <c r="BWP338"/>
      <c r="BWS338"/>
      <c r="BWT338"/>
      <c r="BWW338"/>
      <c r="BWX338"/>
      <c r="BXA338"/>
      <c r="BXB338"/>
      <c r="BXE338"/>
      <c r="BXF338"/>
      <c r="BXI338"/>
      <c r="BXJ338"/>
      <c r="BXM338"/>
      <c r="BXN338"/>
      <c r="BXQ338"/>
      <c r="BXR338"/>
      <c r="BXU338"/>
      <c r="BXV338"/>
      <c r="BXY338"/>
      <c r="BXZ338"/>
      <c r="BYC338"/>
      <c r="BYD338"/>
      <c r="BYG338"/>
      <c r="BYH338"/>
      <c r="BYK338"/>
      <c r="BYL338"/>
      <c r="BYO338"/>
      <c r="BYP338"/>
      <c r="BYS338"/>
      <c r="BYT338"/>
      <c r="BYW338"/>
      <c r="BYX338"/>
      <c r="BZA338"/>
      <c r="BZB338"/>
      <c r="BZE338"/>
      <c r="BZF338"/>
      <c r="BZI338"/>
      <c r="BZJ338"/>
      <c r="BZM338"/>
      <c r="BZN338"/>
      <c r="BZQ338"/>
      <c r="BZR338"/>
      <c r="BZU338"/>
      <c r="BZV338"/>
      <c r="BZY338"/>
      <c r="BZZ338"/>
      <c r="CAC338"/>
      <c r="CAD338"/>
      <c r="CAG338"/>
      <c r="CAH338"/>
      <c r="CAK338"/>
      <c r="CAL338"/>
      <c r="CAO338"/>
      <c r="CAP338"/>
      <c r="CAS338"/>
      <c r="CAT338"/>
      <c r="CAW338"/>
      <c r="CAX338"/>
      <c r="CBA338"/>
      <c r="CBB338"/>
      <c r="CBE338"/>
      <c r="CBF338"/>
      <c r="CBI338"/>
      <c r="CBJ338"/>
      <c r="CBM338"/>
      <c r="CBN338"/>
      <c r="CBQ338"/>
      <c r="CBR338"/>
      <c r="CBU338"/>
      <c r="CBV338"/>
      <c r="CBY338"/>
      <c r="CBZ338"/>
      <c r="CCC338"/>
      <c r="CCD338"/>
      <c r="CCG338"/>
      <c r="CCH338"/>
      <c r="CCK338"/>
      <c r="CCL338"/>
      <c r="CCO338"/>
      <c r="CCP338"/>
      <c r="CCS338"/>
      <c r="CCT338"/>
      <c r="CCW338"/>
      <c r="CCX338"/>
      <c r="CDA338"/>
      <c r="CDB338"/>
      <c r="CDE338"/>
      <c r="CDF338"/>
      <c r="CDI338"/>
      <c r="CDJ338"/>
      <c r="CDM338"/>
      <c r="CDN338"/>
      <c r="CDQ338"/>
      <c r="CDR338"/>
      <c r="CDU338"/>
      <c r="CDV338"/>
      <c r="CDY338"/>
      <c r="CDZ338"/>
      <c r="CEC338"/>
      <c r="CED338"/>
      <c r="CEG338"/>
      <c r="CEH338"/>
      <c r="CEK338"/>
      <c r="CEL338"/>
      <c r="CEO338"/>
      <c r="CEP338"/>
      <c r="CES338"/>
      <c r="CET338"/>
      <c r="CEW338"/>
      <c r="CEX338"/>
      <c r="CFA338"/>
      <c r="CFB338"/>
      <c r="CFE338"/>
      <c r="CFF338"/>
      <c r="CFI338"/>
      <c r="CFJ338"/>
      <c r="CFM338"/>
      <c r="CFN338"/>
      <c r="CFQ338"/>
      <c r="CFR338"/>
      <c r="CFU338"/>
      <c r="CFV338"/>
      <c r="CFY338"/>
      <c r="CFZ338"/>
      <c r="CGC338"/>
      <c r="CGD338"/>
      <c r="CGG338"/>
      <c r="CGH338"/>
      <c r="CGK338"/>
      <c r="CGL338"/>
      <c r="CGO338"/>
      <c r="CGP338"/>
      <c r="CGS338"/>
      <c r="CGT338"/>
      <c r="CGW338"/>
      <c r="CGX338"/>
      <c r="CHA338"/>
      <c r="CHB338"/>
      <c r="CHE338"/>
      <c r="CHF338"/>
      <c r="CHI338"/>
      <c r="CHJ338"/>
      <c r="CHM338"/>
      <c r="CHN338"/>
      <c r="CHQ338"/>
      <c r="CHR338"/>
      <c r="CHU338"/>
      <c r="CHV338"/>
      <c r="CHY338"/>
      <c r="CHZ338"/>
      <c r="CIC338"/>
      <c r="CID338"/>
      <c r="CIG338"/>
      <c r="CIH338"/>
      <c r="CIK338"/>
      <c r="CIL338"/>
      <c r="CIO338"/>
      <c r="CIP338"/>
      <c r="CIS338"/>
      <c r="CIT338"/>
      <c r="CIW338"/>
      <c r="CIX338"/>
      <c r="CJA338"/>
      <c r="CJB338"/>
      <c r="CJE338"/>
      <c r="CJF338"/>
      <c r="CJI338"/>
      <c r="CJJ338"/>
      <c r="CJM338"/>
      <c r="CJN338"/>
      <c r="CJQ338"/>
      <c r="CJR338"/>
      <c r="CJU338"/>
      <c r="CJV338"/>
      <c r="CJY338"/>
      <c r="CJZ338"/>
      <c r="CKC338"/>
      <c r="CKD338"/>
      <c r="CKG338"/>
      <c r="CKH338"/>
      <c r="CKK338"/>
      <c r="CKL338"/>
      <c r="CKO338"/>
      <c r="CKP338"/>
      <c r="CKS338"/>
      <c r="CKT338"/>
      <c r="CKW338"/>
      <c r="CKX338"/>
      <c r="CLA338"/>
      <c r="CLB338"/>
      <c r="CLE338"/>
      <c r="CLF338"/>
      <c r="CLI338"/>
      <c r="CLJ338"/>
      <c r="CLM338"/>
      <c r="CLN338"/>
      <c r="CLQ338"/>
      <c r="CLR338"/>
      <c r="CLU338"/>
      <c r="CLV338"/>
      <c r="CLY338"/>
      <c r="CLZ338"/>
      <c r="CMC338"/>
      <c r="CMD338"/>
      <c r="CMG338"/>
      <c r="CMH338"/>
      <c r="CMK338"/>
      <c r="CML338"/>
      <c r="CMO338"/>
      <c r="CMP338"/>
      <c r="CMS338"/>
      <c r="CMT338"/>
      <c r="CMW338"/>
      <c r="CMX338"/>
      <c r="CNA338"/>
      <c r="CNB338"/>
      <c r="CNE338"/>
      <c r="CNF338"/>
      <c r="CNI338"/>
      <c r="CNJ338"/>
      <c r="CNM338"/>
      <c r="CNN338"/>
      <c r="CNQ338"/>
      <c r="CNR338"/>
      <c r="CNU338"/>
      <c r="CNV338"/>
      <c r="CNY338"/>
      <c r="CNZ338"/>
      <c r="COC338"/>
      <c r="COD338"/>
      <c r="COG338"/>
      <c r="COH338"/>
      <c r="COK338"/>
      <c r="COL338"/>
      <c r="COO338"/>
      <c r="COP338"/>
      <c r="COS338"/>
      <c r="COT338"/>
      <c r="COW338"/>
      <c r="COX338"/>
      <c r="CPA338"/>
      <c r="CPB338"/>
      <c r="CPE338"/>
      <c r="CPF338"/>
      <c r="CPI338"/>
      <c r="CPJ338"/>
      <c r="CPM338"/>
      <c r="CPN338"/>
      <c r="CPQ338"/>
      <c r="CPR338"/>
      <c r="CPU338"/>
      <c r="CPV338"/>
      <c r="CPY338"/>
      <c r="CPZ338"/>
      <c r="CQC338"/>
      <c r="CQD338"/>
      <c r="CQG338"/>
      <c r="CQH338"/>
      <c r="CQK338"/>
      <c r="CQL338"/>
      <c r="CQO338"/>
      <c r="CQP338"/>
      <c r="CQS338"/>
      <c r="CQT338"/>
      <c r="CQW338"/>
      <c r="CQX338"/>
      <c r="CRA338"/>
      <c r="CRB338"/>
      <c r="CRE338"/>
      <c r="CRF338"/>
      <c r="CRI338"/>
      <c r="CRJ338"/>
      <c r="CRM338"/>
      <c r="CRN338"/>
      <c r="CRQ338"/>
      <c r="CRR338"/>
      <c r="CRU338"/>
      <c r="CRV338"/>
      <c r="CRY338"/>
      <c r="CRZ338"/>
      <c r="CSC338"/>
      <c r="CSD338"/>
      <c r="CSG338"/>
      <c r="CSH338"/>
      <c r="CSK338"/>
      <c r="CSL338"/>
      <c r="CSO338"/>
      <c r="CSP338"/>
      <c r="CSS338"/>
      <c r="CST338"/>
      <c r="CSW338"/>
      <c r="CSX338"/>
      <c r="CTA338"/>
      <c r="CTB338"/>
      <c r="CTE338"/>
      <c r="CTF338"/>
      <c r="CTI338"/>
      <c r="CTJ338"/>
      <c r="CTM338"/>
      <c r="CTN338"/>
      <c r="CTQ338"/>
      <c r="CTR338"/>
      <c r="CTU338"/>
      <c r="CTV338"/>
      <c r="CTY338"/>
      <c r="CTZ338"/>
      <c r="CUC338"/>
      <c r="CUD338"/>
      <c r="CUG338"/>
      <c r="CUH338"/>
      <c r="CUK338"/>
      <c r="CUL338"/>
      <c r="CUO338"/>
      <c r="CUP338"/>
      <c r="CUS338"/>
      <c r="CUT338"/>
      <c r="CUW338"/>
      <c r="CUX338"/>
      <c r="CVA338"/>
      <c r="CVB338"/>
      <c r="CVE338"/>
      <c r="CVF338"/>
      <c r="CVI338"/>
      <c r="CVJ338"/>
      <c r="CVM338"/>
      <c r="CVN338"/>
      <c r="CVQ338"/>
      <c r="CVR338"/>
      <c r="CVU338"/>
      <c r="CVV338"/>
      <c r="CVY338"/>
      <c r="CVZ338"/>
      <c r="CWC338"/>
      <c r="CWD338"/>
      <c r="CWG338"/>
      <c r="CWH338"/>
      <c r="CWK338"/>
      <c r="CWL338"/>
      <c r="CWO338"/>
      <c r="CWP338"/>
      <c r="CWS338"/>
      <c r="CWT338"/>
      <c r="CWW338"/>
      <c r="CWX338"/>
      <c r="CXA338"/>
      <c r="CXB338"/>
      <c r="CXE338"/>
      <c r="CXF338"/>
      <c r="CXI338"/>
      <c r="CXJ338"/>
      <c r="CXM338"/>
      <c r="CXN338"/>
      <c r="CXQ338"/>
      <c r="CXR338"/>
      <c r="CXU338"/>
      <c r="CXV338"/>
      <c r="CXY338"/>
      <c r="CXZ338"/>
      <c r="CYC338"/>
      <c r="CYD338"/>
      <c r="CYG338"/>
      <c r="CYH338"/>
      <c r="CYK338"/>
      <c r="CYL338"/>
      <c r="CYO338"/>
      <c r="CYP338"/>
      <c r="CYS338"/>
      <c r="CYT338"/>
      <c r="CYW338"/>
      <c r="CYX338"/>
      <c r="CZA338"/>
      <c r="CZB338"/>
      <c r="CZE338"/>
      <c r="CZF338"/>
      <c r="CZI338"/>
      <c r="CZJ338"/>
      <c r="CZM338"/>
      <c r="CZN338"/>
      <c r="CZQ338"/>
      <c r="CZR338"/>
      <c r="CZU338"/>
      <c r="CZV338"/>
      <c r="CZY338"/>
      <c r="CZZ338"/>
      <c r="DAC338"/>
      <c r="DAD338"/>
      <c r="DAG338"/>
      <c r="DAH338"/>
      <c r="DAK338"/>
      <c r="DAL338"/>
      <c r="DAO338"/>
      <c r="DAP338"/>
      <c r="DAS338"/>
      <c r="DAT338"/>
      <c r="DAW338"/>
      <c r="DAX338"/>
      <c r="DBA338"/>
      <c r="DBB338"/>
      <c r="DBE338"/>
      <c r="DBF338"/>
      <c r="DBI338"/>
      <c r="DBJ338"/>
      <c r="DBM338"/>
      <c r="DBN338"/>
      <c r="DBQ338"/>
      <c r="DBR338"/>
      <c r="DBU338"/>
      <c r="DBV338"/>
      <c r="DBY338"/>
      <c r="DBZ338"/>
      <c r="DCC338"/>
      <c r="DCD338"/>
      <c r="DCG338"/>
      <c r="DCH338"/>
      <c r="DCK338"/>
      <c r="DCL338"/>
      <c r="DCO338"/>
      <c r="DCP338"/>
      <c r="DCS338"/>
      <c r="DCT338"/>
      <c r="DCW338"/>
      <c r="DCX338"/>
      <c r="DDA338"/>
      <c r="DDB338"/>
      <c r="DDE338"/>
      <c r="DDF338"/>
      <c r="DDI338"/>
      <c r="DDJ338"/>
      <c r="DDM338"/>
      <c r="DDN338"/>
      <c r="DDQ338"/>
      <c r="DDR338"/>
      <c r="DDU338"/>
      <c r="DDV338"/>
      <c r="DDY338"/>
      <c r="DDZ338"/>
      <c r="DEC338"/>
      <c r="DED338"/>
      <c r="DEG338"/>
      <c r="DEH338"/>
      <c r="DEK338"/>
      <c r="DEL338"/>
      <c r="DEO338"/>
      <c r="DEP338"/>
      <c r="DES338"/>
      <c r="DET338"/>
      <c r="DEW338"/>
      <c r="DEX338"/>
      <c r="DFA338"/>
      <c r="DFB338"/>
      <c r="DFE338"/>
      <c r="DFF338"/>
      <c r="DFI338"/>
      <c r="DFJ338"/>
      <c r="DFM338"/>
      <c r="DFN338"/>
      <c r="DFQ338"/>
      <c r="DFR338"/>
      <c r="DFU338"/>
      <c r="DFV338"/>
      <c r="DFY338"/>
      <c r="DFZ338"/>
      <c r="DGC338"/>
      <c r="DGD338"/>
      <c r="DGG338"/>
      <c r="DGH338"/>
      <c r="DGK338"/>
      <c r="DGL338"/>
      <c r="DGO338"/>
      <c r="DGP338"/>
      <c r="DGS338"/>
      <c r="DGT338"/>
      <c r="DGW338"/>
      <c r="DGX338"/>
      <c r="DHA338"/>
      <c r="DHB338"/>
      <c r="DHE338"/>
      <c r="DHF338"/>
      <c r="DHI338"/>
      <c r="DHJ338"/>
      <c r="DHM338"/>
      <c r="DHN338"/>
      <c r="DHQ338"/>
      <c r="DHR338"/>
      <c r="DHU338"/>
      <c r="DHV338"/>
      <c r="DHY338"/>
      <c r="DHZ338"/>
      <c r="DIC338"/>
      <c r="DID338"/>
      <c r="DIG338"/>
      <c r="DIH338"/>
      <c r="DIK338"/>
      <c r="DIL338"/>
      <c r="DIO338"/>
      <c r="DIP338"/>
      <c r="DIS338"/>
      <c r="DIT338"/>
      <c r="DIW338"/>
      <c r="DIX338"/>
      <c r="DJA338"/>
      <c r="DJB338"/>
      <c r="DJE338"/>
      <c r="DJF338"/>
      <c r="DJI338"/>
      <c r="DJJ338"/>
      <c r="DJM338"/>
      <c r="DJN338"/>
      <c r="DJQ338"/>
      <c r="DJR338"/>
      <c r="DJU338"/>
      <c r="DJV338"/>
      <c r="DJY338"/>
      <c r="DJZ338"/>
      <c r="DKC338"/>
      <c r="DKD338"/>
      <c r="DKG338"/>
      <c r="DKH338"/>
      <c r="DKK338"/>
      <c r="DKL338"/>
      <c r="DKO338"/>
      <c r="DKP338"/>
      <c r="DKS338"/>
      <c r="DKT338"/>
      <c r="DKW338"/>
      <c r="DKX338"/>
      <c r="DLA338"/>
      <c r="DLB338"/>
      <c r="DLE338"/>
      <c r="DLF338"/>
      <c r="DLI338"/>
      <c r="DLJ338"/>
      <c r="DLM338"/>
      <c r="DLN338"/>
      <c r="DLQ338"/>
      <c r="DLR338"/>
      <c r="DLU338"/>
      <c r="DLV338"/>
      <c r="DLY338"/>
      <c r="DLZ338"/>
      <c r="DMC338"/>
      <c r="DMD338"/>
      <c r="DMG338"/>
      <c r="DMH338"/>
      <c r="DMK338"/>
      <c r="DML338"/>
      <c r="DMO338"/>
      <c r="DMP338"/>
      <c r="DMS338"/>
      <c r="DMT338"/>
      <c r="DMW338"/>
      <c r="DMX338"/>
      <c r="DNA338"/>
      <c r="DNB338"/>
      <c r="DNE338"/>
      <c r="DNF338"/>
      <c r="DNI338"/>
      <c r="DNJ338"/>
      <c r="DNM338"/>
      <c r="DNN338"/>
      <c r="DNQ338"/>
      <c r="DNR338"/>
      <c r="DNU338"/>
      <c r="DNV338"/>
      <c r="DNY338"/>
      <c r="DNZ338"/>
      <c r="DOC338"/>
      <c r="DOD338"/>
      <c r="DOG338"/>
      <c r="DOH338"/>
      <c r="DOK338"/>
      <c r="DOL338"/>
      <c r="DOO338"/>
      <c r="DOP338"/>
      <c r="DOS338"/>
      <c r="DOT338"/>
      <c r="DOW338"/>
      <c r="DOX338"/>
      <c r="DPA338"/>
      <c r="DPB338"/>
      <c r="DPE338"/>
      <c r="DPF338"/>
      <c r="DPI338"/>
      <c r="DPJ338"/>
      <c r="DPM338"/>
      <c r="DPN338"/>
      <c r="DPQ338"/>
      <c r="DPR338"/>
      <c r="DPU338"/>
      <c r="DPV338"/>
      <c r="DPY338"/>
      <c r="DPZ338"/>
      <c r="DQC338"/>
      <c r="DQD338"/>
      <c r="DQG338"/>
      <c r="DQH338"/>
      <c r="DQK338"/>
      <c r="DQL338"/>
      <c r="DQO338"/>
      <c r="DQP338"/>
      <c r="DQS338"/>
      <c r="DQT338"/>
      <c r="DQW338"/>
      <c r="DQX338"/>
      <c r="DRA338"/>
      <c r="DRB338"/>
      <c r="DRE338"/>
      <c r="DRF338"/>
      <c r="DRI338"/>
      <c r="DRJ338"/>
      <c r="DRM338"/>
      <c r="DRN338"/>
      <c r="DRQ338"/>
      <c r="DRR338"/>
      <c r="DRU338"/>
      <c r="DRV338"/>
      <c r="DRY338"/>
      <c r="DRZ338"/>
      <c r="DSC338"/>
      <c r="DSD338"/>
      <c r="DSG338"/>
      <c r="DSH338"/>
      <c r="DSK338"/>
      <c r="DSL338"/>
      <c r="DSO338"/>
      <c r="DSP338"/>
      <c r="DSS338"/>
      <c r="DST338"/>
      <c r="DSW338"/>
      <c r="DSX338"/>
      <c r="DTA338"/>
      <c r="DTB338"/>
      <c r="DTE338"/>
      <c r="DTF338"/>
      <c r="DTI338"/>
      <c r="DTJ338"/>
      <c r="DTM338"/>
      <c r="DTN338"/>
      <c r="DTQ338"/>
      <c r="DTR338"/>
      <c r="DTU338"/>
      <c r="DTV338"/>
      <c r="DTY338"/>
      <c r="DTZ338"/>
      <c r="DUC338"/>
      <c r="DUD338"/>
      <c r="DUG338"/>
      <c r="DUH338"/>
      <c r="DUK338"/>
      <c r="DUL338"/>
      <c r="DUO338"/>
      <c r="DUP338"/>
      <c r="DUS338"/>
      <c r="DUT338"/>
      <c r="DUW338"/>
      <c r="DUX338"/>
      <c r="DVA338"/>
      <c r="DVB338"/>
      <c r="DVE338"/>
      <c r="DVF338"/>
      <c r="DVI338"/>
      <c r="DVJ338"/>
      <c r="DVM338"/>
      <c r="DVN338"/>
      <c r="DVQ338"/>
      <c r="DVR338"/>
      <c r="DVU338"/>
      <c r="DVV338"/>
      <c r="DVY338"/>
      <c r="DVZ338"/>
      <c r="DWC338"/>
      <c r="DWD338"/>
      <c r="DWG338"/>
      <c r="DWH338"/>
      <c r="DWK338"/>
      <c r="DWL338"/>
      <c r="DWO338"/>
      <c r="DWP338"/>
      <c r="DWS338"/>
      <c r="DWT338"/>
      <c r="DWW338"/>
      <c r="DWX338"/>
      <c r="DXA338"/>
      <c r="DXB338"/>
      <c r="DXE338"/>
      <c r="DXF338"/>
      <c r="DXI338"/>
      <c r="DXJ338"/>
      <c r="DXM338"/>
      <c r="DXN338"/>
      <c r="DXQ338"/>
      <c r="DXR338"/>
      <c r="DXU338"/>
      <c r="DXV338"/>
      <c r="DXY338"/>
      <c r="DXZ338"/>
      <c r="DYC338"/>
      <c r="DYD338"/>
      <c r="DYG338"/>
      <c r="DYH338"/>
      <c r="DYK338"/>
      <c r="DYL338"/>
      <c r="DYO338"/>
      <c r="DYP338"/>
      <c r="DYS338"/>
      <c r="DYT338"/>
      <c r="DYW338"/>
      <c r="DYX338"/>
      <c r="DZA338"/>
      <c r="DZB338"/>
      <c r="DZE338"/>
      <c r="DZF338"/>
      <c r="DZI338"/>
      <c r="DZJ338"/>
      <c r="DZM338"/>
      <c r="DZN338"/>
      <c r="DZQ338"/>
      <c r="DZR338"/>
      <c r="DZU338"/>
      <c r="DZV338"/>
      <c r="DZY338"/>
      <c r="DZZ338"/>
      <c r="EAC338"/>
      <c r="EAD338"/>
      <c r="EAG338"/>
      <c r="EAH338"/>
      <c r="EAK338"/>
      <c r="EAL338"/>
      <c r="EAO338"/>
      <c r="EAP338"/>
      <c r="EAS338"/>
      <c r="EAT338"/>
      <c r="EAW338"/>
      <c r="EAX338"/>
      <c r="EBA338"/>
      <c r="EBB338"/>
      <c r="EBE338"/>
      <c r="EBF338"/>
      <c r="EBI338"/>
      <c r="EBJ338"/>
      <c r="EBM338"/>
      <c r="EBN338"/>
      <c r="EBQ338"/>
      <c r="EBR338"/>
      <c r="EBU338"/>
      <c r="EBV338"/>
      <c r="EBY338"/>
      <c r="EBZ338"/>
      <c r="ECC338"/>
      <c r="ECD338"/>
      <c r="ECG338"/>
      <c r="ECH338"/>
      <c r="ECK338"/>
      <c r="ECL338"/>
      <c r="ECO338"/>
      <c r="ECP338"/>
      <c r="ECS338"/>
      <c r="ECT338"/>
      <c r="ECW338"/>
      <c r="ECX338"/>
      <c r="EDA338"/>
      <c r="EDB338"/>
      <c r="EDE338"/>
      <c r="EDF338"/>
      <c r="EDI338"/>
      <c r="EDJ338"/>
      <c r="EDM338"/>
      <c r="EDN338"/>
      <c r="EDQ338"/>
      <c r="EDR338"/>
      <c r="EDU338"/>
      <c r="EDV338"/>
      <c r="EDY338"/>
      <c r="EDZ338"/>
      <c r="EEC338"/>
      <c r="EED338"/>
      <c r="EEG338"/>
      <c r="EEH338"/>
      <c r="EEK338"/>
      <c r="EEL338"/>
      <c r="EEO338"/>
      <c r="EEP338"/>
      <c r="EES338"/>
      <c r="EET338"/>
      <c r="EEW338"/>
      <c r="EEX338"/>
      <c r="EFA338"/>
      <c r="EFB338"/>
      <c r="EFE338"/>
      <c r="EFF338"/>
      <c r="EFI338"/>
      <c r="EFJ338"/>
      <c r="EFM338"/>
      <c r="EFN338"/>
      <c r="EFQ338"/>
      <c r="EFR338"/>
      <c r="EFU338"/>
      <c r="EFV338"/>
      <c r="EFY338"/>
      <c r="EFZ338"/>
      <c r="EGC338"/>
      <c r="EGD338"/>
      <c r="EGG338"/>
      <c r="EGH338"/>
      <c r="EGK338"/>
      <c r="EGL338"/>
      <c r="EGO338"/>
      <c r="EGP338"/>
      <c r="EGS338"/>
      <c r="EGT338"/>
      <c r="EGW338"/>
      <c r="EGX338"/>
      <c r="EHA338"/>
      <c r="EHB338"/>
      <c r="EHE338"/>
      <c r="EHF338"/>
      <c r="EHI338"/>
      <c r="EHJ338"/>
      <c r="EHM338"/>
      <c r="EHN338"/>
      <c r="EHQ338"/>
      <c r="EHR338"/>
      <c r="EHU338"/>
      <c r="EHV338"/>
      <c r="EHY338"/>
      <c r="EHZ338"/>
      <c r="EIC338"/>
      <c r="EID338"/>
      <c r="EIG338"/>
      <c r="EIH338"/>
      <c r="EIK338"/>
      <c r="EIL338"/>
      <c r="EIO338"/>
      <c r="EIP338"/>
      <c r="EIS338"/>
      <c r="EIT338"/>
      <c r="EIW338"/>
      <c r="EIX338"/>
      <c r="EJA338"/>
      <c r="EJB338"/>
      <c r="EJE338"/>
      <c r="EJF338"/>
      <c r="EJI338"/>
      <c r="EJJ338"/>
      <c r="EJM338"/>
      <c r="EJN338"/>
      <c r="EJQ338"/>
      <c r="EJR338"/>
      <c r="EJU338"/>
      <c r="EJV338"/>
      <c r="EJY338"/>
      <c r="EJZ338"/>
      <c r="EKC338"/>
      <c r="EKD338"/>
      <c r="EKG338"/>
      <c r="EKH338"/>
      <c r="EKK338"/>
      <c r="EKL338"/>
      <c r="EKO338"/>
      <c r="EKP338"/>
      <c r="EKS338"/>
      <c r="EKT338"/>
      <c r="EKW338"/>
      <c r="EKX338"/>
      <c r="ELA338"/>
      <c r="ELB338"/>
      <c r="ELE338"/>
      <c r="ELF338"/>
      <c r="ELI338"/>
      <c r="ELJ338"/>
      <c r="ELM338"/>
      <c r="ELN338"/>
      <c r="ELQ338"/>
      <c r="ELR338"/>
      <c r="ELU338"/>
      <c r="ELV338"/>
      <c r="ELY338"/>
      <c r="ELZ338"/>
      <c r="EMC338"/>
      <c r="EMD338"/>
      <c r="EMG338"/>
      <c r="EMH338"/>
      <c r="EMK338"/>
      <c r="EML338"/>
      <c r="EMO338"/>
      <c r="EMP338"/>
      <c r="EMS338"/>
      <c r="EMT338"/>
      <c r="EMW338"/>
      <c r="EMX338"/>
      <c r="ENA338"/>
      <c r="ENB338"/>
      <c r="ENE338"/>
      <c r="ENF338"/>
      <c r="ENI338"/>
      <c r="ENJ338"/>
      <c r="ENM338"/>
      <c r="ENN338"/>
      <c r="ENQ338"/>
      <c r="ENR338"/>
      <c r="ENU338"/>
      <c r="ENV338"/>
      <c r="ENY338"/>
      <c r="ENZ338"/>
      <c r="EOC338"/>
      <c r="EOD338"/>
      <c r="EOG338"/>
      <c r="EOH338"/>
      <c r="EOK338"/>
      <c r="EOL338"/>
      <c r="EOO338"/>
      <c r="EOP338"/>
      <c r="EOS338"/>
      <c r="EOT338"/>
      <c r="EOW338"/>
      <c r="EOX338"/>
      <c r="EPA338"/>
      <c r="EPB338"/>
      <c r="EPE338"/>
      <c r="EPF338"/>
      <c r="EPI338"/>
      <c r="EPJ338"/>
      <c r="EPM338"/>
      <c r="EPN338"/>
      <c r="EPQ338"/>
      <c r="EPR338"/>
      <c r="EPU338"/>
      <c r="EPV338"/>
      <c r="EPY338"/>
      <c r="EPZ338"/>
      <c r="EQC338"/>
      <c r="EQD338"/>
      <c r="EQG338"/>
      <c r="EQH338"/>
      <c r="EQK338"/>
      <c r="EQL338"/>
      <c r="EQO338"/>
      <c r="EQP338"/>
      <c r="EQS338"/>
      <c r="EQT338"/>
      <c r="EQW338"/>
      <c r="EQX338"/>
      <c r="ERA338"/>
      <c r="ERB338"/>
      <c r="ERE338"/>
      <c r="ERF338"/>
      <c r="ERI338"/>
      <c r="ERJ338"/>
      <c r="ERM338"/>
      <c r="ERN338"/>
      <c r="ERQ338"/>
      <c r="ERR338"/>
      <c r="ERU338"/>
      <c r="ERV338"/>
      <c r="ERY338"/>
      <c r="ERZ338"/>
      <c r="ESC338"/>
      <c r="ESD338"/>
      <c r="ESG338"/>
      <c r="ESH338"/>
      <c r="ESK338"/>
      <c r="ESL338"/>
      <c r="ESO338"/>
      <c r="ESP338"/>
      <c r="ESS338"/>
      <c r="EST338"/>
      <c r="ESW338"/>
      <c r="ESX338"/>
      <c r="ETA338"/>
      <c r="ETB338"/>
      <c r="ETE338"/>
      <c r="ETF338"/>
      <c r="ETI338"/>
      <c r="ETJ338"/>
      <c r="ETM338"/>
      <c r="ETN338"/>
      <c r="ETQ338"/>
      <c r="ETR338"/>
      <c r="ETU338"/>
      <c r="ETV338"/>
      <c r="ETY338"/>
      <c r="ETZ338"/>
      <c r="EUC338"/>
      <c r="EUD338"/>
      <c r="EUG338"/>
      <c r="EUH338"/>
      <c r="EUK338"/>
      <c r="EUL338"/>
      <c r="EUO338"/>
      <c r="EUP338"/>
      <c r="EUS338"/>
      <c r="EUT338"/>
      <c r="EUW338"/>
      <c r="EUX338"/>
      <c r="EVA338"/>
      <c r="EVB338"/>
      <c r="EVE338"/>
      <c r="EVF338"/>
      <c r="EVI338"/>
      <c r="EVJ338"/>
      <c r="EVM338"/>
      <c r="EVN338"/>
      <c r="EVQ338"/>
      <c r="EVR338"/>
      <c r="EVU338"/>
      <c r="EVV338"/>
      <c r="EVY338"/>
      <c r="EVZ338"/>
      <c r="EWC338"/>
      <c r="EWD338"/>
      <c r="EWG338"/>
      <c r="EWH338"/>
      <c r="EWK338"/>
      <c r="EWL338"/>
      <c r="EWO338"/>
      <c r="EWP338"/>
      <c r="EWS338"/>
      <c r="EWT338"/>
      <c r="EWW338"/>
      <c r="EWX338"/>
      <c r="EXA338"/>
      <c r="EXB338"/>
      <c r="EXE338"/>
      <c r="EXF338"/>
      <c r="EXI338"/>
      <c r="EXJ338"/>
      <c r="EXM338"/>
      <c r="EXN338"/>
      <c r="EXQ338"/>
      <c r="EXR338"/>
      <c r="EXU338"/>
      <c r="EXV338"/>
      <c r="EXY338"/>
      <c r="EXZ338"/>
      <c r="EYC338"/>
      <c r="EYD338"/>
      <c r="EYG338"/>
      <c r="EYH338"/>
      <c r="EYK338"/>
      <c r="EYL338"/>
      <c r="EYO338"/>
      <c r="EYP338"/>
      <c r="EYS338"/>
      <c r="EYT338"/>
      <c r="EYW338"/>
      <c r="EYX338"/>
      <c r="EZA338"/>
      <c r="EZB338"/>
      <c r="EZE338"/>
      <c r="EZF338"/>
      <c r="EZI338"/>
      <c r="EZJ338"/>
      <c r="EZM338"/>
      <c r="EZN338"/>
      <c r="EZQ338"/>
      <c r="EZR338"/>
      <c r="EZU338"/>
      <c r="EZV338"/>
      <c r="EZY338"/>
      <c r="EZZ338"/>
      <c r="FAC338"/>
      <c r="FAD338"/>
      <c r="FAG338"/>
      <c r="FAH338"/>
      <c r="FAK338"/>
      <c r="FAL338"/>
      <c r="FAO338"/>
      <c r="FAP338"/>
      <c r="FAS338"/>
      <c r="FAT338"/>
      <c r="FAW338"/>
      <c r="FAX338"/>
      <c r="FBA338"/>
      <c r="FBB338"/>
      <c r="FBE338"/>
      <c r="FBF338"/>
      <c r="FBI338"/>
      <c r="FBJ338"/>
      <c r="FBM338"/>
      <c r="FBN338"/>
      <c r="FBQ338"/>
      <c r="FBR338"/>
      <c r="FBU338"/>
      <c r="FBV338"/>
      <c r="FBY338"/>
      <c r="FBZ338"/>
      <c r="FCC338"/>
      <c r="FCD338"/>
      <c r="FCG338"/>
      <c r="FCH338"/>
      <c r="FCK338"/>
      <c r="FCL338"/>
      <c r="FCO338"/>
      <c r="FCP338"/>
      <c r="FCS338"/>
      <c r="FCT338"/>
      <c r="FCW338"/>
      <c r="FCX338"/>
      <c r="FDA338"/>
      <c r="FDB338"/>
      <c r="FDE338"/>
      <c r="FDF338"/>
      <c r="FDI338"/>
      <c r="FDJ338"/>
      <c r="FDM338"/>
      <c r="FDN338"/>
      <c r="FDQ338"/>
      <c r="FDR338"/>
      <c r="FDU338"/>
      <c r="FDV338"/>
      <c r="FDY338"/>
      <c r="FDZ338"/>
      <c r="FEC338"/>
      <c r="FED338"/>
      <c r="FEG338"/>
      <c r="FEH338"/>
      <c r="FEK338"/>
      <c r="FEL338"/>
      <c r="FEO338"/>
      <c r="FEP338"/>
      <c r="FES338"/>
      <c r="FET338"/>
      <c r="FEW338"/>
      <c r="FEX338"/>
      <c r="FFA338"/>
      <c r="FFB338"/>
      <c r="FFE338"/>
      <c r="FFF338"/>
      <c r="FFI338"/>
      <c r="FFJ338"/>
      <c r="FFM338"/>
      <c r="FFN338"/>
      <c r="FFQ338"/>
      <c r="FFR338"/>
      <c r="FFU338"/>
      <c r="FFV338"/>
      <c r="FFY338"/>
      <c r="FFZ338"/>
      <c r="FGC338"/>
      <c r="FGD338"/>
      <c r="FGG338"/>
      <c r="FGH338"/>
      <c r="FGK338"/>
      <c r="FGL338"/>
      <c r="FGO338"/>
      <c r="FGP338"/>
      <c r="FGS338"/>
      <c r="FGT338"/>
      <c r="FGW338"/>
      <c r="FGX338"/>
      <c r="FHA338"/>
      <c r="FHB338"/>
      <c r="FHE338"/>
      <c r="FHF338"/>
      <c r="FHI338"/>
      <c r="FHJ338"/>
      <c r="FHM338"/>
      <c r="FHN338"/>
      <c r="FHQ338"/>
      <c r="FHR338"/>
      <c r="FHU338"/>
      <c r="FHV338"/>
      <c r="FHY338"/>
      <c r="FHZ338"/>
      <c r="FIC338"/>
      <c r="FID338"/>
      <c r="FIG338"/>
      <c r="FIH338"/>
      <c r="FIK338"/>
      <c r="FIL338"/>
      <c r="FIO338"/>
      <c r="FIP338"/>
      <c r="FIS338"/>
      <c r="FIT338"/>
      <c r="FIW338"/>
      <c r="FIX338"/>
      <c r="FJA338"/>
      <c r="FJB338"/>
      <c r="FJE338"/>
      <c r="FJF338"/>
      <c r="FJI338"/>
      <c r="FJJ338"/>
      <c r="FJM338"/>
      <c r="FJN338"/>
      <c r="FJQ338"/>
      <c r="FJR338"/>
      <c r="FJU338"/>
      <c r="FJV338"/>
      <c r="FJY338"/>
      <c r="FJZ338"/>
      <c r="FKC338"/>
      <c r="FKD338"/>
      <c r="FKG338"/>
      <c r="FKH338"/>
      <c r="FKK338"/>
      <c r="FKL338"/>
      <c r="FKO338"/>
      <c r="FKP338"/>
      <c r="FKS338"/>
      <c r="FKT338"/>
      <c r="FKW338"/>
      <c r="FKX338"/>
      <c r="FLA338"/>
      <c r="FLB338"/>
      <c r="FLE338"/>
      <c r="FLF338"/>
      <c r="FLI338"/>
      <c r="FLJ338"/>
      <c r="FLM338"/>
      <c r="FLN338"/>
      <c r="FLQ338"/>
      <c r="FLR338"/>
      <c r="FLU338"/>
      <c r="FLV338"/>
      <c r="FLY338"/>
      <c r="FLZ338"/>
      <c r="FMC338"/>
      <c r="FMD338"/>
      <c r="FMG338"/>
      <c r="FMH338"/>
      <c r="FMK338"/>
      <c r="FML338"/>
      <c r="FMO338"/>
      <c r="FMP338"/>
      <c r="FMS338"/>
      <c r="FMT338"/>
      <c r="FMW338"/>
      <c r="FMX338"/>
      <c r="FNA338"/>
      <c r="FNB338"/>
      <c r="FNE338"/>
      <c r="FNF338"/>
      <c r="FNI338"/>
      <c r="FNJ338"/>
      <c r="FNM338"/>
      <c r="FNN338"/>
      <c r="FNQ338"/>
      <c r="FNR338"/>
      <c r="FNU338"/>
      <c r="FNV338"/>
      <c r="FNY338"/>
      <c r="FNZ338"/>
      <c r="FOC338"/>
      <c r="FOD338"/>
      <c r="FOG338"/>
      <c r="FOH338"/>
      <c r="FOK338"/>
      <c r="FOL338"/>
      <c r="FOO338"/>
      <c r="FOP338"/>
      <c r="FOS338"/>
      <c r="FOT338"/>
      <c r="FOW338"/>
      <c r="FOX338"/>
      <c r="FPA338"/>
      <c r="FPB338"/>
      <c r="FPE338"/>
      <c r="FPF338"/>
      <c r="FPI338"/>
      <c r="FPJ338"/>
      <c r="FPM338"/>
      <c r="FPN338"/>
      <c r="FPQ338"/>
      <c r="FPR338"/>
      <c r="FPU338"/>
      <c r="FPV338"/>
      <c r="FPY338"/>
      <c r="FPZ338"/>
      <c r="FQC338"/>
      <c r="FQD338"/>
      <c r="FQG338"/>
      <c r="FQH338"/>
      <c r="FQK338"/>
      <c r="FQL338"/>
      <c r="FQO338"/>
      <c r="FQP338"/>
      <c r="FQS338"/>
      <c r="FQT338"/>
      <c r="FQW338"/>
      <c r="FQX338"/>
      <c r="FRA338"/>
      <c r="FRB338"/>
      <c r="FRE338"/>
      <c r="FRF338"/>
      <c r="FRI338"/>
      <c r="FRJ338"/>
      <c r="FRM338"/>
      <c r="FRN338"/>
      <c r="FRQ338"/>
      <c r="FRR338"/>
      <c r="FRU338"/>
      <c r="FRV338"/>
      <c r="FRY338"/>
      <c r="FRZ338"/>
      <c r="FSC338"/>
      <c r="FSD338"/>
      <c r="FSG338"/>
      <c r="FSH338"/>
      <c r="FSK338"/>
      <c r="FSL338"/>
      <c r="FSO338"/>
      <c r="FSP338"/>
      <c r="FSS338"/>
      <c r="FST338"/>
      <c r="FSW338"/>
      <c r="FSX338"/>
      <c r="FTA338"/>
      <c r="FTB338"/>
      <c r="FTE338"/>
      <c r="FTF338"/>
      <c r="FTI338"/>
      <c r="FTJ338"/>
      <c r="FTM338"/>
      <c r="FTN338"/>
      <c r="FTQ338"/>
      <c r="FTR338"/>
      <c r="FTU338"/>
      <c r="FTV338"/>
      <c r="FTY338"/>
      <c r="FTZ338"/>
      <c r="FUC338"/>
      <c r="FUD338"/>
      <c r="FUG338"/>
      <c r="FUH338"/>
      <c r="FUK338"/>
      <c r="FUL338"/>
      <c r="FUO338"/>
      <c r="FUP338"/>
      <c r="FUS338"/>
      <c r="FUT338"/>
      <c r="FUW338"/>
      <c r="FUX338"/>
      <c r="FVA338"/>
      <c r="FVB338"/>
      <c r="FVE338"/>
      <c r="FVF338"/>
      <c r="FVI338"/>
      <c r="FVJ338"/>
      <c r="FVM338"/>
      <c r="FVN338"/>
      <c r="FVQ338"/>
      <c r="FVR338"/>
      <c r="FVU338"/>
      <c r="FVV338"/>
      <c r="FVY338"/>
      <c r="FVZ338"/>
      <c r="FWC338"/>
      <c r="FWD338"/>
      <c r="FWG338"/>
      <c r="FWH338"/>
      <c r="FWK338"/>
      <c r="FWL338"/>
      <c r="FWO338"/>
      <c r="FWP338"/>
      <c r="FWS338"/>
      <c r="FWT338"/>
      <c r="FWW338"/>
      <c r="FWX338"/>
      <c r="FXA338"/>
      <c r="FXB338"/>
      <c r="FXE338"/>
      <c r="FXF338"/>
      <c r="FXI338"/>
      <c r="FXJ338"/>
      <c r="FXM338"/>
      <c r="FXN338"/>
      <c r="FXQ338"/>
      <c r="FXR338"/>
      <c r="FXU338"/>
      <c r="FXV338"/>
      <c r="FXY338"/>
      <c r="FXZ338"/>
      <c r="FYC338"/>
      <c r="FYD338"/>
      <c r="FYG338"/>
      <c r="FYH338"/>
      <c r="FYK338"/>
      <c r="FYL338"/>
      <c r="FYO338"/>
      <c r="FYP338"/>
      <c r="FYS338"/>
      <c r="FYT338"/>
      <c r="FYW338"/>
      <c r="FYX338"/>
      <c r="FZA338"/>
      <c r="FZB338"/>
      <c r="FZE338"/>
      <c r="FZF338"/>
      <c r="FZI338"/>
      <c r="FZJ338"/>
      <c r="FZM338"/>
      <c r="FZN338"/>
      <c r="FZQ338"/>
      <c r="FZR338"/>
      <c r="FZU338"/>
      <c r="FZV338"/>
      <c r="FZY338"/>
      <c r="FZZ338"/>
      <c r="GAC338"/>
      <c r="GAD338"/>
      <c r="GAG338"/>
      <c r="GAH338"/>
      <c r="GAK338"/>
      <c r="GAL338"/>
      <c r="GAO338"/>
      <c r="GAP338"/>
      <c r="GAS338"/>
      <c r="GAT338"/>
      <c r="GAW338"/>
      <c r="GAX338"/>
      <c r="GBA338"/>
      <c r="GBB338"/>
      <c r="GBE338"/>
      <c r="GBF338"/>
      <c r="GBI338"/>
      <c r="GBJ338"/>
      <c r="GBM338"/>
      <c r="GBN338"/>
      <c r="GBQ338"/>
      <c r="GBR338"/>
      <c r="GBU338"/>
      <c r="GBV338"/>
      <c r="GBY338"/>
      <c r="GBZ338"/>
      <c r="GCC338"/>
      <c r="GCD338"/>
      <c r="GCG338"/>
      <c r="GCH338"/>
      <c r="GCK338"/>
      <c r="GCL338"/>
      <c r="GCO338"/>
      <c r="GCP338"/>
      <c r="GCS338"/>
      <c r="GCT338"/>
      <c r="GCW338"/>
      <c r="GCX338"/>
      <c r="GDA338"/>
      <c r="GDB338"/>
      <c r="GDE338"/>
      <c r="GDF338"/>
      <c r="GDI338"/>
      <c r="GDJ338"/>
      <c r="GDM338"/>
      <c r="GDN338"/>
      <c r="GDQ338"/>
      <c r="GDR338"/>
      <c r="GDU338"/>
      <c r="GDV338"/>
      <c r="GDY338"/>
      <c r="GDZ338"/>
      <c r="GEC338"/>
      <c r="GED338"/>
      <c r="GEG338"/>
      <c r="GEH338"/>
      <c r="GEK338"/>
      <c r="GEL338"/>
      <c r="GEO338"/>
      <c r="GEP338"/>
      <c r="GES338"/>
      <c r="GET338"/>
      <c r="GEW338"/>
      <c r="GEX338"/>
      <c r="GFA338"/>
      <c r="GFB338"/>
      <c r="GFE338"/>
      <c r="GFF338"/>
      <c r="GFI338"/>
      <c r="GFJ338"/>
      <c r="GFM338"/>
      <c r="GFN338"/>
      <c r="GFQ338"/>
      <c r="GFR338"/>
      <c r="GFU338"/>
      <c r="GFV338"/>
      <c r="GFY338"/>
      <c r="GFZ338"/>
      <c r="GGC338"/>
      <c r="GGD338"/>
      <c r="GGG338"/>
      <c r="GGH338"/>
      <c r="GGK338"/>
      <c r="GGL338"/>
      <c r="GGO338"/>
      <c r="GGP338"/>
      <c r="GGS338"/>
      <c r="GGT338"/>
      <c r="GGW338"/>
      <c r="GGX338"/>
      <c r="GHA338"/>
      <c r="GHB338"/>
      <c r="GHE338"/>
      <c r="GHF338"/>
      <c r="GHI338"/>
      <c r="GHJ338"/>
      <c r="GHM338"/>
      <c r="GHN338"/>
      <c r="GHQ338"/>
      <c r="GHR338"/>
      <c r="GHU338"/>
      <c r="GHV338"/>
      <c r="GHY338"/>
      <c r="GHZ338"/>
      <c r="GIC338"/>
      <c r="GID338"/>
      <c r="GIG338"/>
      <c r="GIH338"/>
      <c r="GIK338"/>
      <c r="GIL338"/>
      <c r="GIO338"/>
      <c r="GIP338"/>
      <c r="GIS338"/>
      <c r="GIT338"/>
      <c r="GIW338"/>
      <c r="GIX338"/>
      <c r="GJA338"/>
      <c r="GJB338"/>
      <c r="GJE338"/>
      <c r="GJF338"/>
      <c r="GJI338"/>
      <c r="GJJ338"/>
      <c r="GJM338"/>
      <c r="GJN338"/>
      <c r="GJQ338"/>
      <c r="GJR338"/>
      <c r="GJU338"/>
      <c r="GJV338"/>
      <c r="GJY338"/>
      <c r="GJZ338"/>
      <c r="GKC338"/>
      <c r="GKD338"/>
      <c r="GKG338"/>
      <c r="GKH338"/>
      <c r="GKK338"/>
      <c r="GKL338"/>
      <c r="GKO338"/>
      <c r="GKP338"/>
      <c r="GKS338"/>
      <c r="GKT338"/>
      <c r="GKW338"/>
      <c r="GKX338"/>
      <c r="GLA338"/>
      <c r="GLB338"/>
      <c r="GLE338"/>
      <c r="GLF338"/>
      <c r="GLI338"/>
      <c r="GLJ338"/>
      <c r="GLM338"/>
      <c r="GLN338"/>
      <c r="GLQ338"/>
      <c r="GLR338"/>
      <c r="GLU338"/>
      <c r="GLV338"/>
      <c r="GLY338"/>
      <c r="GLZ338"/>
      <c r="GMC338"/>
      <c r="GMD338"/>
      <c r="GMG338"/>
      <c r="GMH338"/>
      <c r="GMK338"/>
      <c r="GML338"/>
      <c r="GMO338"/>
      <c r="GMP338"/>
      <c r="GMS338"/>
      <c r="GMT338"/>
      <c r="GMW338"/>
      <c r="GMX338"/>
      <c r="GNA338"/>
      <c r="GNB338"/>
      <c r="GNE338"/>
      <c r="GNF338"/>
      <c r="GNI338"/>
      <c r="GNJ338"/>
      <c r="GNM338"/>
      <c r="GNN338"/>
      <c r="GNQ338"/>
      <c r="GNR338"/>
      <c r="GNU338"/>
      <c r="GNV338"/>
      <c r="GNY338"/>
      <c r="GNZ338"/>
      <c r="GOC338"/>
      <c r="GOD338"/>
      <c r="GOG338"/>
      <c r="GOH338"/>
      <c r="GOK338"/>
      <c r="GOL338"/>
      <c r="GOO338"/>
      <c r="GOP338"/>
      <c r="GOS338"/>
      <c r="GOT338"/>
      <c r="GOW338"/>
      <c r="GOX338"/>
      <c r="GPA338"/>
      <c r="GPB338"/>
      <c r="GPE338"/>
      <c r="GPF338"/>
      <c r="GPI338"/>
      <c r="GPJ338"/>
      <c r="GPM338"/>
      <c r="GPN338"/>
      <c r="GPQ338"/>
      <c r="GPR338"/>
      <c r="GPU338"/>
      <c r="GPV338"/>
      <c r="GPY338"/>
      <c r="GPZ338"/>
      <c r="GQC338"/>
      <c r="GQD338"/>
      <c r="GQG338"/>
      <c r="GQH338"/>
      <c r="GQK338"/>
      <c r="GQL338"/>
      <c r="GQO338"/>
      <c r="GQP338"/>
      <c r="GQS338"/>
      <c r="GQT338"/>
      <c r="GQW338"/>
      <c r="GQX338"/>
      <c r="GRA338"/>
      <c r="GRB338"/>
      <c r="GRE338"/>
      <c r="GRF338"/>
      <c r="GRI338"/>
      <c r="GRJ338"/>
      <c r="GRM338"/>
      <c r="GRN338"/>
      <c r="GRQ338"/>
      <c r="GRR338"/>
      <c r="GRU338"/>
      <c r="GRV338"/>
      <c r="GRY338"/>
      <c r="GRZ338"/>
      <c r="GSC338"/>
      <c r="GSD338"/>
      <c r="GSG338"/>
      <c r="GSH338"/>
      <c r="GSK338"/>
      <c r="GSL338"/>
      <c r="GSO338"/>
      <c r="GSP338"/>
      <c r="GSS338"/>
      <c r="GST338"/>
      <c r="GSW338"/>
      <c r="GSX338"/>
      <c r="GTA338"/>
      <c r="GTB338"/>
      <c r="GTE338"/>
      <c r="GTF338"/>
      <c r="GTI338"/>
      <c r="GTJ338"/>
      <c r="GTM338"/>
      <c r="GTN338"/>
      <c r="GTQ338"/>
      <c r="GTR338"/>
      <c r="GTU338"/>
      <c r="GTV338"/>
      <c r="GTY338"/>
      <c r="GTZ338"/>
      <c r="GUC338"/>
      <c r="GUD338"/>
      <c r="GUG338"/>
      <c r="GUH338"/>
      <c r="GUK338"/>
      <c r="GUL338"/>
      <c r="GUO338"/>
      <c r="GUP338"/>
      <c r="GUS338"/>
      <c r="GUT338"/>
      <c r="GUW338"/>
      <c r="GUX338"/>
      <c r="GVA338"/>
      <c r="GVB338"/>
      <c r="GVE338"/>
      <c r="GVF338"/>
      <c r="GVI338"/>
      <c r="GVJ338"/>
      <c r="GVM338"/>
      <c r="GVN338"/>
      <c r="GVQ338"/>
      <c r="GVR338"/>
      <c r="GVU338"/>
      <c r="GVV338"/>
      <c r="GVY338"/>
      <c r="GVZ338"/>
      <c r="GWC338"/>
      <c r="GWD338"/>
      <c r="GWG338"/>
      <c r="GWH338"/>
      <c r="GWK338"/>
      <c r="GWL338"/>
      <c r="GWO338"/>
      <c r="GWP338"/>
      <c r="GWS338"/>
      <c r="GWT338"/>
      <c r="GWW338"/>
      <c r="GWX338"/>
      <c r="GXA338"/>
      <c r="GXB338"/>
      <c r="GXE338"/>
      <c r="GXF338"/>
      <c r="GXI338"/>
      <c r="GXJ338"/>
      <c r="GXM338"/>
      <c r="GXN338"/>
      <c r="GXQ338"/>
      <c r="GXR338"/>
      <c r="GXU338"/>
      <c r="GXV338"/>
      <c r="GXY338"/>
      <c r="GXZ338"/>
      <c r="GYC338"/>
      <c r="GYD338"/>
      <c r="GYG338"/>
      <c r="GYH338"/>
      <c r="GYK338"/>
      <c r="GYL338"/>
      <c r="GYO338"/>
      <c r="GYP338"/>
      <c r="GYS338"/>
      <c r="GYT338"/>
      <c r="GYW338"/>
      <c r="GYX338"/>
      <c r="GZA338"/>
      <c r="GZB338"/>
      <c r="GZE338"/>
      <c r="GZF338"/>
      <c r="GZI338"/>
      <c r="GZJ338"/>
      <c r="GZM338"/>
      <c r="GZN338"/>
      <c r="GZQ338"/>
      <c r="GZR338"/>
      <c r="GZU338"/>
      <c r="GZV338"/>
      <c r="GZY338"/>
      <c r="GZZ338"/>
      <c r="HAC338"/>
      <c r="HAD338"/>
      <c r="HAG338"/>
      <c r="HAH338"/>
      <c r="HAK338"/>
      <c r="HAL338"/>
      <c r="HAO338"/>
      <c r="HAP338"/>
      <c r="HAS338"/>
      <c r="HAT338"/>
      <c r="HAW338"/>
      <c r="HAX338"/>
      <c r="HBA338"/>
      <c r="HBB338"/>
      <c r="HBE338"/>
      <c r="HBF338"/>
      <c r="HBI338"/>
      <c r="HBJ338"/>
      <c r="HBM338"/>
      <c r="HBN338"/>
      <c r="HBQ338"/>
      <c r="HBR338"/>
      <c r="HBU338"/>
      <c r="HBV338"/>
      <c r="HBY338"/>
      <c r="HBZ338"/>
      <c r="HCC338"/>
      <c r="HCD338"/>
      <c r="HCG338"/>
      <c r="HCH338"/>
      <c r="HCK338"/>
      <c r="HCL338"/>
      <c r="HCO338"/>
      <c r="HCP338"/>
      <c r="HCS338"/>
      <c r="HCT338"/>
      <c r="HCW338"/>
      <c r="HCX338"/>
      <c r="HDA338"/>
      <c r="HDB338"/>
      <c r="HDE338"/>
      <c r="HDF338"/>
      <c r="HDI338"/>
      <c r="HDJ338"/>
      <c r="HDM338"/>
      <c r="HDN338"/>
      <c r="HDQ338"/>
      <c r="HDR338"/>
      <c r="HDU338"/>
      <c r="HDV338"/>
      <c r="HDY338"/>
      <c r="HDZ338"/>
      <c r="HEC338"/>
      <c r="HED338"/>
      <c r="HEG338"/>
      <c r="HEH338"/>
      <c r="HEK338"/>
      <c r="HEL338"/>
      <c r="HEO338"/>
      <c r="HEP338"/>
      <c r="HES338"/>
      <c r="HET338"/>
      <c r="HEW338"/>
      <c r="HEX338"/>
      <c r="HFA338"/>
      <c r="HFB338"/>
      <c r="HFE338"/>
      <c r="HFF338"/>
      <c r="HFI338"/>
      <c r="HFJ338"/>
      <c r="HFM338"/>
      <c r="HFN338"/>
      <c r="HFQ338"/>
      <c r="HFR338"/>
      <c r="HFU338"/>
      <c r="HFV338"/>
      <c r="HFY338"/>
      <c r="HFZ338"/>
      <c r="HGC338"/>
      <c r="HGD338"/>
      <c r="HGG338"/>
      <c r="HGH338"/>
      <c r="HGK338"/>
      <c r="HGL338"/>
      <c r="HGO338"/>
      <c r="HGP338"/>
      <c r="HGS338"/>
      <c r="HGT338"/>
      <c r="HGW338"/>
      <c r="HGX338"/>
      <c r="HHA338"/>
      <c r="HHB338"/>
      <c r="HHE338"/>
      <c r="HHF338"/>
      <c r="HHI338"/>
      <c r="HHJ338"/>
      <c r="HHM338"/>
      <c r="HHN338"/>
      <c r="HHQ338"/>
      <c r="HHR338"/>
      <c r="HHU338"/>
      <c r="HHV338"/>
      <c r="HHY338"/>
      <c r="HHZ338"/>
      <c r="HIC338"/>
      <c r="HID338"/>
      <c r="HIG338"/>
      <c r="HIH338"/>
      <c r="HIK338"/>
      <c r="HIL338"/>
      <c r="HIO338"/>
      <c r="HIP338"/>
      <c r="HIS338"/>
      <c r="HIT338"/>
      <c r="HIW338"/>
      <c r="HIX338"/>
      <c r="HJA338"/>
      <c r="HJB338"/>
      <c r="HJE338"/>
      <c r="HJF338"/>
      <c r="HJI338"/>
      <c r="HJJ338"/>
      <c r="HJM338"/>
      <c r="HJN338"/>
      <c r="HJQ338"/>
      <c r="HJR338"/>
      <c r="HJU338"/>
      <c r="HJV338"/>
      <c r="HJY338"/>
      <c r="HJZ338"/>
      <c r="HKC338"/>
      <c r="HKD338"/>
      <c r="HKG338"/>
      <c r="HKH338"/>
      <c r="HKK338"/>
      <c r="HKL338"/>
      <c r="HKO338"/>
      <c r="HKP338"/>
      <c r="HKS338"/>
      <c r="HKT338"/>
      <c r="HKW338"/>
      <c r="HKX338"/>
      <c r="HLA338"/>
      <c r="HLB338"/>
      <c r="HLE338"/>
      <c r="HLF338"/>
      <c r="HLI338"/>
      <c r="HLJ338"/>
      <c r="HLM338"/>
      <c r="HLN338"/>
      <c r="HLQ338"/>
      <c r="HLR338"/>
      <c r="HLU338"/>
      <c r="HLV338"/>
      <c r="HLY338"/>
      <c r="HLZ338"/>
      <c r="HMC338"/>
      <c r="HMD338"/>
      <c r="HMG338"/>
      <c r="HMH338"/>
      <c r="HMK338"/>
      <c r="HML338"/>
      <c r="HMO338"/>
      <c r="HMP338"/>
      <c r="HMS338"/>
      <c r="HMT338"/>
      <c r="HMW338"/>
      <c r="HMX338"/>
      <c r="HNA338"/>
      <c r="HNB338"/>
      <c r="HNE338"/>
      <c r="HNF338"/>
      <c r="HNI338"/>
      <c r="HNJ338"/>
      <c r="HNM338"/>
      <c r="HNN338"/>
      <c r="HNQ338"/>
      <c r="HNR338"/>
      <c r="HNU338"/>
      <c r="HNV338"/>
      <c r="HNY338"/>
      <c r="HNZ338"/>
      <c r="HOC338"/>
      <c r="HOD338"/>
      <c r="HOG338"/>
      <c r="HOH338"/>
      <c r="HOK338"/>
      <c r="HOL338"/>
      <c r="HOO338"/>
      <c r="HOP338"/>
      <c r="HOS338"/>
      <c r="HOT338"/>
      <c r="HOW338"/>
      <c r="HOX338"/>
      <c r="HPA338"/>
      <c r="HPB338"/>
      <c r="HPE338"/>
      <c r="HPF338"/>
      <c r="HPI338"/>
      <c r="HPJ338"/>
      <c r="HPM338"/>
      <c r="HPN338"/>
      <c r="HPQ338"/>
      <c r="HPR338"/>
      <c r="HPU338"/>
      <c r="HPV338"/>
      <c r="HPY338"/>
      <c r="HPZ338"/>
      <c r="HQC338"/>
      <c r="HQD338"/>
      <c r="HQG338"/>
      <c r="HQH338"/>
      <c r="HQK338"/>
      <c r="HQL338"/>
      <c r="HQO338"/>
      <c r="HQP338"/>
      <c r="HQS338"/>
      <c r="HQT338"/>
      <c r="HQW338"/>
      <c r="HQX338"/>
      <c r="HRA338"/>
      <c r="HRB338"/>
      <c r="HRE338"/>
      <c r="HRF338"/>
      <c r="HRI338"/>
      <c r="HRJ338"/>
      <c r="HRM338"/>
      <c r="HRN338"/>
      <c r="HRQ338"/>
      <c r="HRR338"/>
      <c r="HRU338"/>
      <c r="HRV338"/>
      <c r="HRY338"/>
      <c r="HRZ338"/>
      <c r="HSC338"/>
      <c r="HSD338"/>
      <c r="HSG338"/>
      <c r="HSH338"/>
      <c r="HSK338"/>
      <c r="HSL338"/>
      <c r="HSO338"/>
      <c r="HSP338"/>
      <c r="HSS338"/>
      <c r="HST338"/>
      <c r="HSW338"/>
      <c r="HSX338"/>
      <c r="HTA338"/>
      <c r="HTB338"/>
      <c r="HTE338"/>
      <c r="HTF338"/>
      <c r="HTI338"/>
      <c r="HTJ338"/>
      <c r="HTM338"/>
      <c r="HTN338"/>
      <c r="HTQ338"/>
      <c r="HTR338"/>
      <c r="HTU338"/>
      <c r="HTV338"/>
      <c r="HTY338"/>
      <c r="HTZ338"/>
      <c r="HUC338"/>
      <c r="HUD338"/>
      <c r="HUG338"/>
      <c r="HUH338"/>
      <c r="HUK338"/>
      <c r="HUL338"/>
      <c r="HUO338"/>
      <c r="HUP338"/>
      <c r="HUS338"/>
      <c r="HUT338"/>
      <c r="HUW338"/>
      <c r="HUX338"/>
      <c r="HVA338"/>
      <c r="HVB338"/>
      <c r="HVE338"/>
      <c r="HVF338"/>
      <c r="HVI338"/>
      <c r="HVJ338"/>
      <c r="HVM338"/>
      <c r="HVN338"/>
      <c r="HVQ338"/>
      <c r="HVR338"/>
      <c r="HVU338"/>
      <c r="HVV338"/>
      <c r="HVY338"/>
      <c r="HVZ338"/>
      <c r="HWC338"/>
      <c r="HWD338"/>
      <c r="HWG338"/>
      <c r="HWH338"/>
      <c r="HWK338"/>
      <c r="HWL338"/>
      <c r="HWO338"/>
      <c r="HWP338"/>
      <c r="HWS338"/>
      <c r="HWT338"/>
      <c r="HWW338"/>
      <c r="HWX338"/>
      <c r="HXA338"/>
      <c r="HXB338"/>
      <c r="HXE338"/>
      <c r="HXF338"/>
      <c r="HXI338"/>
      <c r="HXJ338"/>
      <c r="HXM338"/>
      <c r="HXN338"/>
      <c r="HXQ338"/>
      <c r="HXR338"/>
      <c r="HXU338"/>
      <c r="HXV338"/>
      <c r="HXY338"/>
      <c r="HXZ338"/>
      <c r="HYC338"/>
      <c r="HYD338"/>
      <c r="HYG338"/>
      <c r="HYH338"/>
      <c r="HYK338"/>
      <c r="HYL338"/>
      <c r="HYO338"/>
      <c r="HYP338"/>
      <c r="HYS338"/>
      <c r="HYT338"/>
      <c r="HYW338"/>
      <c r="HYX338"/>
      <c r="HZA338"/>
      <c r="HZB338"/>
      <c r="HZE338"/>
      <c r="HZF338"/>
      <c r="HZI338"/>
      <c r="HZJ338"/>
      <c r="HZM338"/>
      <c r="HZN338"/>
      <c r="HZQ338"/>
      <c r="HZR338"/>
      <c r="HZU338"/>
      <c r="HZV338"/>
      <c r="HZY338"/>
      <c r="HZZ338"/>
      <c r="IAC338"/>
      <c r="IAD338"/>
      <c r="IAG338"/>
      <c r="IAH338"/>
      <c r="IAK338"/>
      <c r="IAL338"/>
      <c r="IAO338"/>
      <c r="IAP338"/>
      <c r="IAS338"/>
      <c r="IAT338"/>
      <c r="IAW338"/>
      <c r="IAX338"/>
      <c r="IBA338"/>
      <c r="IBB338"/>
      <c r="IBE338"/>
      <c r="IBF338"/>
      <c r="IBI338"/>
      <c r="IBJ338"/>
      <c r="IBM338"/>
      <c r="IBN338"/>
      <c r="IBQ338"/>
      <c r="IBR338"/>
      <c r="IBU338"/>
      <c r="IBV338"/>
      <c r="IBY338"/>
      <c r="IBZ338"/>
      <c r="ICC338"/>
      <c r="ICD338"/>
      <c r="ICG338"/>
      <c r="ICH338"/>
      <c r="ICK338"/>
      <c r="ICL338"/>
      <c r="ICO338"/>
      <c r="ICP338"/>
      <c r="ICS338"/>
      <c r="ICT338"/>
      <c r="ICW338"/>
      <c r="ICX338"/>
      <c r="IDA338"/>
      <c r="IDB338"/>
      <c r="IDE338"/>
      <c r="IDF338"/>
      <c r="IDI338"/>
      <c r="IDJ338"/>
      <c r="IDM338"/>
      <c r="IDN338"/>
      <c r="IDQ338"/>
      <c r="IDR338"/>
      <c r="IDU338"/>
      <c r="IDV338"/>
      <c r="IDY338"/>
      <c r="IDZ338"/>
      <c r="IEC338"/>
      <c r="IED338"/>
      <c r="IEG338"/>
      <c r="IEH338"/>
      <c r="IEK338"/>
      <c r="IEL338"/>
      <c r="IEO338"/>
      <c r="IEP338"/>
      <c r="IES338"/>
      <c r="IET338"/>
      <c r="IEW338"/>
      <c r="IEX338"/>
      <c r="IFA338"/>
      <c r="IFB338"/>
      <c r="IFE338"/>
      <c r="IFF338"/>
      <c r="IFI338"/>
      <c r="IFJ338"/>
      <c r="IFM338"/>
      <c r="IFN338"/>
      <c r="IFQ338"/>
      <c r="IFR338"/>
      <c r="IFU338"/>
      <c r="IFV338"/>
      <c r="IFY338"/>
      <c r="IFZ338"/>
      <c r="IGC338"/>
      <c r="IGD338"/>
      <c r="IGG338"/>
      <c r="IGH338"/>
      <c r="IGK338"/>
      <c r="IGL338"/>
      <c r="IGO338"/>
      <c r="IGP338"/>
      <c r="IGS338"/>
      <c r="IGT338"/>
      <c r="IGW338"/>
      <c r="IGX338"/>
      <c r="IHA338"/>
      <c r="IHB338"/>
      <c r="IHE338"/>
      <c r="IHF338"/>
      <c r="IHI338"/>
      <c r="IHJ338"/>
      <c r="IHM338"/>
      <c r="IHN338"/>
      <c r="IHQ338"/>
      <c r="IHR338"/>
      <c r="IHU338"/>
      <c r="IHV338"/>
      <c r="IHY338"/>
      <c r="IHZ338"/>
      <c r="IIC338"/>
      <c r="IID338"/>
      <c r="IIG338"/>
      <c r="IIH338"/>
      <c r="IIK338"/>
      <c r="IIL338"/>
      <c r="IIO338"/>
      <c r="IIP338"/>
      <c r="IIS338"/>
      <c r="IIT338"/>
      <c r="IIW338"/>
      <c r="IIX338"/>
      <c r="IJA338"/>
      <c r="IJB338"/>
      <c r="IJE338"/>
      <c r="IJF338"/>
      <c r="IJI338"/>
      <c r="IJJ338"/>
      <c r="IJM338"/>
      <c r="IJN338"/>
      <c r="IJQ338"/>
      <c r="IJR338"/>
      <c r="IJU338"/>
      <c r="IJV338"/>
      <c r="IJY338"/>
      <c r="IJZ338"/>
      <c r="IKC338"/>
      <c r="IKD338"/>
      <c r="IKG338"/>
      <c r="IKH338"/>
      <c r="IKK338"/>
      <c r="IKL338"/>
      <c r="IKO338"/>
      <c r="IKP338"/>
      <c r="IKS338"/>
      <c r="IKT338"/>
      <c r="IKW338"/>
      <c r="IKX338"/>
      <c r="ILA338"/>
      <c r="ILB338"/>
      <c r="ILE338"/>
      <c r="ILF338"/>
      <c r="ILI338"/>
      <c r="ILJ338"/>
      <c r="ILM338"/>
      <c r="ILN338"/>
      <c r="ILQ338"/>
      <c r="ILR338"/>
      <c r="ILU338"/>
      <c r="ILV338"/>
      <c r="ILY338"/>
      <c r="ILZ338"/>
      <c r="IMC338"/>
      <c r="IMD338"/>
      <c r="IMG338"/>
      <c r="IMH338"/>
      <c r="IMK338"/>
      <c r="IML338"/>
      <c r="IMO338"/>
      <c r="IMP338"/>
      <c r="IMS338"/>
      <c r="IMT338"/>
      <c r="IMW338"/>
      <c r="IMX338"/>
      <c r="INA338"/>
      <c r="INB338"/>
      <c r="INE338"/>
      <c r="INF338"/>
      <c r="INI338"/>
      <c r="INJ338"/>
      <c r="INM338"/>
      <c r="INN338"/>
      <c r="INQ338"/>
      <c r="INR338"/>
      <c r="INU338"/>
      <c r="INV338"/>
      <c r="INY338"/>
      <c r="INZ338"/>
      <c r="IOC338"/>
      <c r="IOD338"/>
      <c r="IOG338"/>
      <c r="IOH338"/>
      <c r="IOK338"/>
      <c r="IOL338"/>
      <c r="IOO338"/>
      <c r="IOP338"/>
      <c r="IOS338"/>
      <c r="IOT338"/>
      <c r="IOW338"/>
      <c r="IOX338"/>
      <c r="IPA338"/>
      <c r="IPB338"/>
      <c r="IPE338"/>
      <c r="IPF338"/>
      <c r="IPI338"/>
      <c r="IPJ338"/>
      <c r="IPM338"/>
      <c r="IPN338"/>
      <c r="IPQ338"/>
      <c r="IPR338"/>
      <c r="IPU338"/>
      <c r="IPV338"/>
      <c r="IPY338"/>
      <c r="IPZ338"/>
      <c r="IQC338"/>
      <c r="IQD338"/>
      <c r="IQG338"/>
      <c r="IQH338"/>
      <c r="IQK338"/>
      <c r="IQL338"/>
      <c r="IQO338"/>
      <c r="IQP338"/>
      <c r="IQS338"/>
      <c r="IQT338"/>
      <c r="IQW338"/>
      <c r="IQX338"/>
      <c r="IRA338"/>
      <c r="IRB338"/>
      <c r="IRE338"/>
      <c r="IRF338"/>
      <c r="IRI338"/>
      <c r="IRJ338"/>
      <c r="IRM338"/>
      <c r="IRN338"/>
      <c r="IRQ338"/>
      <c r="IRR338"/>
      <c r="IRU338"/>
      <c r="IRV338"/>
      <c r="IRY338"/>
      <c r="IRZ338"/>
      <c r="ISC338"/>
      <c r="ISD338"/>
      <c r="ISG338"/>
      <c r="ISH338"/>
      <c r="ISK338"/>
      <c r="ISL338"/>
      <c r="ISO338"/>
      <c r="ISP338"/>
      <c r="ISS338"/>
      <c r="IST338"/>
      <c r="ISW338"/>
      <c r="ISX338"/>
      <c r="ITA338"/>
      <c r="ITB338"/>
      <c r="ITE338"/>
      <c r="ITF338"/>
      <c r="ITI338"/>
      <c r="ITJ338"/>
      <c r="ITM338"/>
      <c r="ITN338"/>
      <c r="ITQ338"/>
      <c r="ITR338"/>
      <c r="ITU338"/>
      <c r="ITV338"/>
      <c r="ITY338"/>
      <c r="ITZ338"/>
      <c r="IUC338"/>
      <c r="IUD338"/>
      <c r="IUG338"/>
      <c r="IUH338"/>
      <c r="IUK338"/>
      <c r="IUL338"/>
      <c r="IUO338"/>
      <c r="IUP338"/>
      <c r="IUS338"/>
      <c r="IUT338"/>
      <c r="IUW338"/>
      <c r="IUX338"/>
      <c r="IVA338"/>
      <c r="IVB338"/>
      <c r="IVE338"/>
      <c r="IVF338"/>
      <c r="IVI338"/>
      <c r="IVJ338"/>
      <c r="IVM338"/>
      <c r="IVN338"/>
      <c r="IVQ338"/>
      <c r="IVR338"/>
      <c r="IVU338"/>
      <c r="IVV338"/>
      <c r="IVY338"/>
      <c r="IVZ338"/>
      <c r="IWC338"/>
      <c r="IWD338"/>
      <c r="IWG338"/>
      <c r="IWH338"/>
      <c r="IWK338"/>
      <c r="IWL338"/>
      <c r="IWO338"/>
      <c r="IWP338"/>
      <c r="IWS338"/>
      <c r="IWT338"/>
      <c r="IWW338"/>
      <c r="IWX338"/>
      <c r="IXA338"/>
      <c r="IXB338"/>
      <c r="IXE338"/>
      <c r="IXF338"/>
      <c r="IXI338"/>
      <c r="IXJ338"/>
      <c r="IXM338"/>
      <c r="IXN338"/>
      <c r="IXQ338"/>
      <c r="IXR338"/>
      <c r="IXU338"/>
      <c r="IXV338"/>
      <c r="IXY338"/>
      <c r="IXZ338"/>
      <c r="IYC338"/>
      <c r="IYD338"/>
      <c r="IYG338"/>
      <c r="IYH338"/>
      <c r="IYK338"/>
      <c r="IYL338"/>
      <c r="IYO338"/>
      <c r="IYP338"/>
      <c r="IYS338"/>
      <c r="IYT338"/>
      <c r="IYW338"/>
      <c r="IYX338"/>
      <c r="IZA338"/>
      <c r="IZB338"/>
      <c r="IZE338"/>
      <c r="IZF338"/>
      <c r="IZI338"/>
      <c r="IZJ338"/>
      <c r="IZM338"/>
      <c r="IZN338"/>
      <c r="IZQ338"/>
      <c r="IZR338"/>
      <c r="IZU338"/>
      <c r="IZV338"/>
      <c r="IZY338"/>
      <c r="IZZ338"/>
      <c r="JAC338"/>
      <c r="JAD338"/>
      <c r="JAG338"/>
      <c r="JAH338"/>
      <c r="JAK338"/>
      <c r="JAL338"/>
      <c r="JAO338"/>
      <c r="JAP338"/>
      <c r="JAS338"/>
      <c r="JAT338"/>
      <c r="JAW338"/>
      <c r="JAX338"/>
      <c r="JBA338"/>
      <c r="JBB338"/>
      <c r="JBE338"/>
      <c r="JBF338"/>
      <c r="JBI338"/>
      <c r="JBJ338"/>
      <c r="JBM338"/>
      <c r="JBN338"/>
      <c r="JBQ338"/>
      <c r="JBR338"/>
      <c r="JBU338"/>
      <c r="JBV338"/>
      <c r="JBY338"/>
      <c r="JBZ338"/>
      <c r="JCC338"/>
      <c r="JCD338"/>
      <c r="JCG338"/>
      <c r="JCH338"/>
      <c r="JCK338"/>
      <c r="JCL338"/>
      <c r="JCO338"/>
      <c r="JCP338"/>
      <c r="JCS338"/>
      <c r="JCT338"/>
      <c r="JCW338"/>
      <c r="JCX338"/>
      <c r="JDA338"/>
      <c r="JDB338"/>
      <c r="JDE338"/>
      <c r="JDF338"/>
      <c r="JDI338"/>
      <c r="JDJ338"/>
      <c r="JDM338"/>
      <c r="JDN338"/>
      <c r="JDQ338"/>
      <c r="JDR338"/>
      <c r="JDU338"/>
      <c r="JDV338"/>
      <c r="JDY338"/>
      <c r="JDZ338"/>
      <c r="JEC338"/>
      <c r="JED338"/>
      <c r="JEG338"/>
      <c r="JEH338"/>
      <c r="JEK338"/>
      <c r="JEL338"/>
      <c r="JEO338"/>
      <c r="JEP338"/>
      <c r="JES338"/>
      <c r="JET338"/>
      <c r="JEW338"/>
      <c r="JEX338"/>
      <c r="JFA338"/>
      <c r="JFB338"/>
      <c r="JFE338"/>
      <c r="JFF338"/>
      <c r="JFI338"/>
      <c r="JFJ338"/>
      <c r="JFM338"/>
      <c r="JFN338"/>
      <c r="JFQ338"/>
      <c r="JFR338"/>
      <c r="JFU338"/>
      <c r="JFV338"/>
      <c r="JFY338"/>
      <c r="JFZ338"/>
      <c r="JGC338"/>
      <c r="JGD338"/>
      <c r="JGG338"/>
      <c r="JGH338"/>
      <c r="JGK338"/>
      <c r="JGL338"/>
      <c r="JGO338"/>
      <c r="JGP338"/>
      <c r="JGS338"/>
      <c r="JGT338"/>
      <c r="JGW338"/>
      <c r="JGX338"/>
      <c r="JHA338"/>
      <c r="JHB338"/>
      <c r="JHE338"/>
      <c r="JHF338"/>
      <c r="JHI338"/>
      <c r="JHJ338"/>
      <c r="JHM338"/>
      <c r="JHN338"/>
      <c r="JHQ338"/>
      <c r="JHR338"/>
      <c r="JHU338"/>
      <c r="JHV338"/>
      <c r="JHY338"/>
      <c r="JHZ338"/>
      <c r="JIC338"/>
      <c r="JID338"/>
      <c r="JIG338"/>
      <c r="JIH338"/>
      <c r="JIK338"/>
      <c r="JIL338"/>
      <c r="JIO338"/>
      <c r="JIP338"/>
      <c r="JIS338"/>
      <c r="JIT338"/>
      <c r="JIW338"/>
      <c r="JIX338"/>
      <c r="JJA338"/>
      <c r="JJB338"/>
      <c r="JJE338"/>
      <c r="JJF338"/>
      <c r="JJI338"/>
      <c r="JJJ338"/>
      <c r="JJM338"/>
      <c r="JJN338"/>
      <c r="JJQ338"/>
      <c r="JJR338"/>
      <c r="JJU338"/>
      <c r="JJV338"/>
      <c r="JJY338"/>
      <c r="JJZ338"/>
      <c r="JKC338"/>
      <c r="JKD338"/>
      <c r="JKG338"/>
      <c r="JKH338"/>
      <c r="JKK338"/>
      <c r="JKL338"/>
      <c r="JKO338"/>
      <c r="JKP338"/>
      <c r="JKS338"/>
      <c r="JKT338"/>
      <c r="JKW338"/>
      <c r="JKX338"/>
      <c r="JLA338"/>
      <c r="JLB338"/>
      <c r="JLE338"/>
      <c r="JLF338"/>
      <c r="JLI338"/>
      <c r="JLJ338"/>
      <c r="JLM338"/>
      <c r="JLN338"/>
      <c r="JLQ338"/>
      <c r="JLR338"/>
      <c r="JLU338"/>
      <c r="JLV338"/>
      <c r="JLY338"/>
      <c r="JLZ338"/>
      <c r="JMC338"/>
      <c r="JMD338"/>
      <c r="JMG338"/>
      <c r="JMH338"/>
      <c r="JMK338"/>
      <c r="JML338"/>
      <c r="JMO338"/>
      <c r="JMP338"/>
      <c r="JMS338"/>
      <c r="JMT338"/>
      <c r="JMW338"/>
      <c r="JMX338"/>
      <c r="JNA338"/>
      <c r="JNB338"/>
      <c r="JNE338"/>
      <c r="JNF338"/>
      <c r="JNI338"/>
      <c r="JNJ338"/>
      <c r="JNM338"/>
      <c r="JNN338"/>
      <c r="JNQ338"/>
      <c r="JNR338"/>
      <c r="JNU338"/>
      <c r="JNV338"/>
      <c r="JNY338"/>
      <c r="JNZ338"/>
      <c r="JOC338"/>
      <c r="JOD338"/>
      <c r="JOG338"/>
      <c r="JOH338"/>
      <c r="JOK338"/>
      <c r="JOL338"/>
      <c r="JOO338"/>
      <c r="JOP338"/>
      <c r="JOS338"/>
      <c r="JOT338"/>
      <c r="JOW338"/>
      <c r="JOX338"/>
      <c r="JPA338"/>
      <c r="JPB338"/>
      <c r="JPE338"/>
      <c r="JPF338"/>
      <c r="JPI338"/>
      <c r="JPJ338"/>
      <c r="JPM338"/>
      <c r="JPN338"/>
      <c r="JPQ338"/>
      <c r="JPR338"/>
      <c r="JPU338"/>
      <c r="JPV338"/>
      <c r="JPY338"/>
      <c r="JPZ338"/>
      <c r="JQC338"/>
      <c r="JQD338"/>
      <c r="JQG338"/>
      <c r="JQH338"/>
      <c r="JQK338"/>
      <c r="JQL338"/>
      <c r="JQO338"/>
      <c r="JQP338"/>
      <c r="JQS338"/>
      <c r="JQT338"/>
      <c r="JQW338"/>
      <c r="JQX338"/>
      <c r="JRA338"/>
      <c r="JRB338"/>
      <c r="JRE338"/>
      <c r="JRF338"/>
      <c r="JRI338"/>
      <c r="JRJ338"/>
      <c r="JRM338"/>
      <c r="JRN338"/>
      <c r="JRQ338"/>
      <c r="JRR338"/>
      <c r="JRU338"/>
      <c r="JRV338"/>
      <c r="JRY338"/>
      <c r="JRZ338"/>
      <c r="JSC338"/>
      <c r="JSD338"/>
      <c r="JSG338"/>
      <c r="JSH338"/>
      <c r="JSK338"/>
      <c r="JSL338"/>
      <c r="JSO338"/>
      <c r="JSP338"/>
      <c r="JSS338"/>
      <c r="JST338"/>
      <c r="JSW338"/>
      <c r="JSX338"/>
      <c r="JTA338"/>
      <c r="JTB338"/>
      <c r="JTE338"/>
      <c r="JTF338"/>
      <c r="JTI338"/>
      <c r="JTJ338"/>
      <c r="JTM338"/>
      <c r="JTN338"/>
      <c r="JTQ338"/>
      <c r="JTR338"/>
      <c r="JTU338"/>
      <c r="JTV338"/>
      <c r="JTY338"/>
      <c r="JTZ338"/>
      <c r="JUC338"/>
      <c r="JUD338"/>
      <c r="JUG338"/>
      <c r="JUH338"/>
      <c r="JUK338"/>
      <c r="JUL338"/>
      <c r="JUO338"/>
      <c r="JUP338"/>
      <c r="JUS338"/>
      <c r="JUT338"/>
      <c r="JUW338"/>
      <c r="JUX338"/>
      <c r="JVA338"/>
      <c r="JVB338"/>
      <c r="JVE338"/>
      <c r="JVF338"/>
      <c r="JVI338"/>
      <c r="JVJ338"/>
      <c r="JVM338"/>
      <c r="JVN338"/>
      <c r="JVQ338"/>
      <c r="JVR338"/>
      <c r="JVU338"/>
      <c r="JVV338"/>
      <c r="JVY338"/>
      <c r="JVZ338"/>
      <c r="JWC338"/>
      <c r="JWD338"/>
      <c r="JWG338"/>
      <c r="JWH338"/>
      <c r="JWK338"/>
      <c r="JWL338"/>
      <c r="JWO338"/>
      <c r="JWP338"/>
      <c r="JWS338"/>
      <c r="JWT338"/>
      <c r="JWW338"/>
      <c r="JWX338"/>
      <c r="JXA338"/>
      <c r="JXB338"/>
      <c r="JXE338"/>
      <c r="JXF338"/>
      <c r="JXI338"/>
      <c r="JXJ338"/>
      <c r="JXM338"/>
      <c r="JXN338"/>
      <c r="JXQ338"/>
      <c r="JXR338"/>
      <c r="JXU338"/>
      <c r="JXV338"/>
      <c r="JXY338"/>
      <c r="JXZ338"/>
      <c r="JYC338"/>
      <c r="JYD338"/>
      <c r="JYG338"/>
      <c r="JYH338"/>
      <c r="JYK338"/>
      <c r="JYL338"/>
      <c r="JYO338"/>
      <c r="JYP338"/>
      <c r="JYS338"/>
      <c r="JYT338"/>
      <c r="JYW338"/>
      <c r="JYX338"/>
      <c r="JZA338"/>
      <c r="JZB338"/>
      <c r="JZE338"/>
      <c r="JZF338"/>
      <c r="JZI338"/>
      <c r="JZJ338"/>
      <c r="JZM338"/>
      <c r="JZN338"/>
      <c r="JZQ338"/>
      <c r="JZR338"/>
      <c r="JZU338"/>
      <c r="JZV338"/>
      <c r="JZY338"/>
      <c r="JZZ338"/>
      <c r="KAC338"/>
      <c r="KAD338"/>
      <c r="KAG338"/>
      <c r="KAH338"/>
      <c r="KAK338"/>
      <c r="KAL338"/>
      <c r="KAO338"/>
      <c r="KAP338"/>
      <c r="KAS338"/>
      <c r="KAT338"/>
      <c r="KAW338"/>
      <c r="KAX338"/>
      <c r="KBA338"/>
      <c r="KBB338"/>
      <c r="KBE338"/>
      <c r="KBF338"/>
      <c r="KBI338"/>
      <c r="KBJ338"/>
      <c r="KBM338"/>
      <c r="KBN338"/>
      <c r="KBQ338"/>
      <c r="KBR338"/>
      <c r="KBU338"/>
      <c r="KBV338"/>
      <c r="KBY338"/>
      <c r="KBZ338"/>
      <c r="KCC338"/>
      <c r="KCD338"/>
      <c r="KCG338"/>
      <c r="KCH338"/>
      <c r="KCK338"/>
      <c r="KCL338"/>
      <c r="KCO338"/>
      <c r="KCP338"/>
      <c r="KCS338"/>
      <c r="KCT338"/>
      <c r="KCW338"/>
      <c r="KCX338"/>
      <c r="KDA338"/>
      <c r="KDB338"/>
      <c r="KDE338"/>
      <c r="KDF338"/>
      <c r="KDI338"/>
      <c r="KDJ338"/>
      <c r="KDM338"/>
      <c r="KDN338"/>
      <c r="KDQ338"/>
      <c r="KDR338"/>
      <c r="KDU338"/>
      <c r="KDV338"/>
      <c r="KDY338"/>
      <c r="KDZ338"/>
      <c r="KEC338"/>
      <c r="KED338"/>
      <c r="KEG338"/>
      <c r="KEH338"/>
      <c r="KEK338"/>
      <c r="KEL338"/>
      <c r="KEO338"/>
      <c r="KEP338"/>
      <c r="KES338"/>
      <c r="KET338"/>
      <c r="KEW338"/>
      <c r="KEX338"/>
      <c r="KFA338"/>
      <c r="KFB338"/>
      <c r="KFE338"/>
      <c r="KFF338"/>
      <c r="KFI338"/>
      <c r="KFJ338"/>
      <c r="KFM338"/>
      <c r="KFN338"/>
      <c r="KFQ338"/>
      <c r="KFR338"/>
      <c r="KFU338"/>
      <c r="KFV338"/>
      <c r="KFY338"/>
      <c r="KFZ338"/>
      <c r="KGC338"/>
      <c r="KGD338"/>
      <c r="KGG338"/>
      <c r="KGH338"/>
      <c r="KGK338"/>
      <c r="KGL338"/>
      <c r="KGO338"/>
      <c r="KGP338"/>
      <c r="KGS338"/>
      <c r="KGT338"/>
      <c r="KGW338"/>
      <c r="KGX338"/>
      <c r="KHA338"/>
      <c r="KHB338"/>
      <c r="KHE338"/>
      <c r="KHF338"/>
      <c r="KHI338"/>
      <c r="KHJ338"/>
      <c r="KHM338"/>
      <c r="KHN338"/>
      <c r="KHQ338"/>
      <c r="KHR338"/>
      <c r="KHU338"/>
      <c r="KHV338"/>
      <c r="KHY338"/>
      <c r="KHZ338"/>
      <c r="KIC338"/>
      <c r="KID338"/>
      <c r="KIG338"/>
      <c r="KIH338"/>
      <c r="KIK338"/>
      <c r="KIL338"/>
      <c r="KIO338"/>
      <c r="KIP338"/>
      <c r="KIS338"/>
      <c r="KIT338"/>
      <c r="KIW338"/>
      <c r="KIX338"/>
      <c r="KJA338"/>
      <c r="KJB338"/>
      <c r="KJE338"/>
      <c r="KJF338"/>
      <c r="KJI338"/>
      <c r="KJJ338"/>
      <c r="KJM338"/>
      <c r="KJN338"/>
      <c r="KJQ338"/>
      <c r="KJR338"/>
      <c r="KJU338"/>
      <c r="KJV338"/>
      <c r="KJY338"/>
      <c r="KJZ338"/>
      <c r="KKC338"/>
      <c r="KKD338"/>
      <c r="KKG338"/>
      <c r="KKH338"/>
      <c r="KKK338"/>
      <c r="KKL338"/>
      <c r="KKO338"/>
      <c r="KKP338"/>
      <c r="KKS338"/>
      <c r="KKT338"/>
      <c r="KKW338"/>
      <c r="KKX338"/>
      <c r="KLA338"/>
      <c r="KLB338"/>
      <c r="KLE338"/>
      <c r="KLF338"/>
      <c r="KLI338"/>
      <c r="KLJ338"/>
      <c r="KLM338"/>
      <c r="KLN338"/>
      <c r="KLQ338"/>
      <c r="KLR338"/>
      <c r="KLU338"/>
      <c r="KLV338"/>
      <c r="KLY338"/>
      <c r="KLZ338"/>
      <c r="KMC338"/>
      <c r="KMD338"/>
      <c r="KMG338"/>
      <c r="KMH338"/>
      <c r="KMK338"/>
      <c r="KML338"/>
      <c r="KMO338"/>
      <c r="KMP338"/>
      <c r="KMS338"/>
      <c r="KMT338"/>
      <c r="KMW338"/>
      <c r="KMX338"/>
      <c r="KNA338"/>
      <c r="KNB338"/>
      <c r="KNE338"/>
      <c r="KNF338"/>
      <c r="KNI338"/>
      <c r="KNJ338"/>
      <c r="KNM338"/>
      <c r="KNN338"/>
      <c r="KNQ338"/>
      <c r="KNR338"/>
      <c r="KNU338"/>
      <c r="KNV338"/>
      <c r="KNY338"/>
      <c r="KNZ338"/>
      <c r="KOC338"/>
      <c r="KOD338"/>
      <c r="KOG338"/>
      <c r="KOH338"/>
      <c r="KOK338"/>
      <c r="KOL338"/>
      <c r="KOO338"/>
      <c r="KOP338"/>
      <c r="KOS338"/>
      <c r="KOT338"/>
      <c r="KOW338"/>
      <c r="KOX338"/>
      <c r="KPA338"/>
      <c r="KPB338"/>
      <c r="KPE338"/>
      <c r="KPF338"/>
      <c r="KPI338"/>
      <c r="KPJ338"/>
      <c r="KPM338"/>
      <c r="KPN338"/>
      <c r="KPQ338"/>
      <c r="KPR338"/>
      <c r="KPU338"/>
      <c r="KPV338"/>
      <c r="KPY338"/>
      <c r="KPZ338"/>
      <c r="KQC338"/>
      <c r="KQD338"/>
      <c r="KQG338"/>
      <c r="KQH338"/>
      <c r="KQK338"/>
      <c r="KQL338"/>
      <c r="KQO338"/>
      <c r="KQP338"/>
      <c r="KQS338"/>
      <c r="KQT338"/>
      <c r="KQW338"/>
      <c r="KQX338"/>
      <c r="KRA338"/>
      <c r="KRB338"/>
      <c r="KRE338"/>
      <c r="KRF338"/>
      <c r="KRI338"/>
      <c r="KRJ338"/>
      <c r="KRM338"/>
      <c r="KRN338"/>
      <c r="KRQ338"/>
      <c r="KRR338"/>
      <c r="KRU338"/>
      <c r="KRV338"/>
      <c r="KRY338"/>
      <c r="KRZ338"/>
      <c r="KSC338"/>
      <c r="KSD338"/>
      <c r="KSG338"/>
      <c r="KSH338"/>
      <c r="KSK338"/>
      <c r="KSL338"/>
      <c r="KSO338"/>
      <c r="KSP338"/>
      <c r="KSS338"/>
      <c r="KST338"/>
      <c r="KSW338"/>
      <c r="KSX338"/>
      <c r="KTA338"/>
      <c r="KTB338"/>
      <c r="KTE338"/>
      <c r="KTF338"/>
      <c r="KTI338"/>
      <c r="KTJ338"/>
      <c r="KTM338"/>
      <c r="KTN338"/>
      <c r="KTQ338"/>
      <c r="KTR338"/>
      <c r="KTU338"/>
      <c r="KTV338"/>
      <c r="KTY338"/>
      <c r="KTZ338"/>
      <c r="KUC338"/>
      <c r="KUD338"/>
      <c r="KUG338"/>
      <c r="KUH338"/>
      <c r="KUK338"/>
      <c r="KUL338"/>
      <c r="KUO338"/>
      <c r="KUP338"/>
      <c r="KUS338"/>
      <c r="KUT338"/>
      <c r="KUW338"/>
      <c r="KUX338"/>
      <c r="KVA338"/>
      <c r="KVB338"/>
      <c r="KVE338"/>
      <c r="KVF338"/>
      <c r="KVI338"/>
      <c r="KVJ338"/>
      <c r="KVM338"/>
      <c r="KVN338"/>
      <c r="KVQ338"/>
      <c r="KVR338"/>
      <c r="KVU338"/>
      <c r="KVV338"/>
      <c r="KVY338"/>
      <c r="KVZ338"/>
      <c r="KWC338"/>
      <c r="KWD338"/>
      <c r="KWG338"/>
      <c r="KWH338"/>
      <c r="KWK338"/>
      <c r="KWL338"/>
      <c r="KWO338"/>
      <c r="KWP338"/>
      <c r="KWS338"/>
      <c r="KWT338"/>
      <c r="KWW338"/>
      <c r="KWX338"/>
      <c r="KXA338"/>
      <c r="KXB338"/>
      <c r="KXE338"/>
      <c r="KXF338"/>
      <c r="KXI338"/>
      <c r="KXJ338"/>
      <c r="KXM338"/>
      <c r="KXN338"/>
      <c r="KXQ338"/>
      <c r="KXR338"/>
      <c r="KXU338"/>
      <c r="KXV338"/>
      <c r="KXY338"/>
      <c r="KXZ338"/>
      <c r="KYC338"/>
      <c r="KYD338"/>
      <c r="KYG338"/>
      <c r="KYH338"/>
      <c r="KYK338"/>
      <c r="KYL338"/>
      <c r="KYO338"/>
      <c r="KYP338"/>
      <c r="KYS338"/>
      <c r="KYT338"/>
      <c r="KYW338"/>
      <c r="KYX338"/>
      <c r="KZA338"/>
      <c r="KZB338"/>
      <c r="KZE338"/>
      <c r="KZF338"/>
      <c r="KZI338"/>
      <c r="KZJ338"/>
      <c r="KZM338"/>
      <c r="KZN338"/>
      <c r="KZQ338"/>
      <c r="KZR338"/>
      <c r="KZU338"/>
      <c r="KZV338"/>
      <c r="KZY338"/>
      <c r="KZZ338"/>
      <c r="LAC338"/>
      <c r="LAD338"/>
      <c r="LAG338"/>
      <c r="LAH338"/>
      <c r="LAK338"/>
      <c r="LAL338"/>
      <c r="LAO338"/>
      <c r="LAP338"/>
      <c r="LAS338"/>
      <c r="LAT338"/>
      <c r="LAW338"/>
      <c r="LAX338"/>
      <c r="LBA338"/>
      <c r="LBB338"/>
      <c r="LBE338"/>
      <c r="LBF338"/>
      <c r="LBI338"/>
      <c r="LBJ338"/>
      <c r="LBM338"/>
      <c r="LBN338"/>
      <c r="LBQ338"/>
      <c r="LBR338"/>
      <c r="LBU338"/>
      <c r="LBV338"/>
      <c r="LBY338"/>
      <c r="LBZ338"/>
      <c r="LCC338"/>
      <c r="LCD338"/>
      <c r="LCG338"/>
      <c r="LCH338"/>
      <c r="LCK338"/>
      <c r="LCL338"/>
      <c r="LCO338"/>
      <c r="LCP338"/>
      <c r="LCS338"/>
      <c r="LCT338"/>
      <c r="LCW338"/>
      <c r="LCX338"/>
      <c r="LDA338"/>
      <c r="LDB338"/>
      <c r="LDE338"/>
      <c r="LDF338"/>
      <c r="LDI338"/>
      <c r="LDJ338"/>
      <c r="LDM338"/>
      <c r="LDN338"/>
      <c r="LDQ338"/>
      <c r="LDR338"/>
      <c r="LDU338"/>
      <c r="LDV338"/>
      <c r="LDY338"/>
      <c r="LDZ338"/>
      <c r="LEC338"/>
      <c r="LED338"/>
      <c r="LEG338"/>
      <c r="LEH338"/>
      <c r="LEK338"/>
      <c r="LEL338"/>
      <c r="LEO338"/>
      <c r="LEP338"/>
      <c r="LES338"/>
      <c r="LET338"/>
      <c r="LEW338"/>
      <c r="LEX338"/>
      <c r="LFA338"/>
      <c r="LFB338"/>
      <c r="LFE338"/>
      <c r="LFF338"/>
      <c r="LFI338"/>
      <c r="LFJ338"/>
      <c r="LFM338"/>
      <c r="LFN338"/>
      <c r="LFQ338"/>
      <c r="LFR338"/>
      <c r="LFU338"/>
      <c r="LFV338"/>
      <c r="LFY338"/>
      <c r="LFZ338"/>
      <c r="LGC338"/>
      <c r="LGD338"/>
      <c r="LGG338"/>
      <c r="LGH338"/>
      <c r="LGK338"/>
      <c r="LGL338"/>
      <c r="LGO338"/>
      <c r="LGP338"/>
      <c r="LGS338"/>
      <c r="LGT338"/>
      <c r="LGW338"/>
      <c r="LGX338"/>
      <c r="LHA338"/>
      <c r="LHB338"/>
      <c r="LHE338"/>
      <c r="LHF338"/>
      <c r="LHI338"/>
      <c r="LHJ338"/>
      <c r="LHM338"/>
      <c r="LHN338"/>
      <c r="LHQ338"/>
      <c r="LHR338"/>
      <c r="LHU338"/>
      <c r="LHV338"/>
      <c r="LHY338"/>
      <c r="LHZ338"/>
      <c r="LIC338"/>
      <c r="LID338"/>
      <c r="LIG338"/>
      <c r="LIH338"/>
      <c r="LIK338"/>
      <c r="LIL338"/>
      <c r="LIO338"/>
      <c r="LIP338"/>
      <c r="LIS338"/>
      <c r="LIT338"/>
      <c r="LIW338"/>
      <c r="LIX338"/>
      <c r="LJA338"/>
      <c r="LJB338"/>
      <c r="LJE338"/>
      <c r="LJF338"/>
      <c r="LJI338"/>
      <c r="LJJ338"/>
      <c r="LJM338"/>
      <c r="LJN338"/>
      <c r="LJQ338"/>
      <c r="LJR338"/>
      <c r="LJU338"/>
      <c r="LJV338"/>
      <c r="LJY338"/>
      <c r="LJZ338"/>
      <c r="LKC338"/>
      <c r="LKD338"/>
      <c r="LKG338"/>
      <c r="LKH338"/>
      <c r="LKK338"/>
      <c r="LKL338"/>
      <c r="LKO338"/>
      <c r="LKP338"/>
      <c r="LKS338"/>
      <c r="LKT338"/>
      <c r="LKW338"/>
      <c r="LKX338"/>
      <c r="LLA338"/>
      <c r="LLB338"/>
      <c r="LLE338"/>
      <c r="LLF338"/>
      <c r="LLI338"/>
      <c r="LLJ338"/>
      <c r="LLM338"/>
      <c r="LLN338"/>
      <c r="LLQ338"/>
      <c r="LLR338"/>
      <c r="LLU338"/>
      <c r="LLV338"/>
      <c r="LLY338"/>
      <c r="LLZ338"/>
      <c r="LMC338"/>
      <c r="LMD338"/>
      <c r="LMG338"/>
      <c r="LMH338"/>
      <c r="LMK338"/>
      <c r="LML338"/>
      <c r="LMO338"/>
      <c r="LMP338"/>
      <c r="LMS338"/>
      <c r="LMT338"/>
      <c r="LMW338"/>
      <c r="LMX338"/>
      <c r="LNA338"/>
      <c r="LNB338"/>
      <c r="LNE338"/>
      <c r="LNF338"/>
      <c r="LNI338"/>
      <c r="LNJ338"/>
      <c r="LNM338"/>
      <c r="LNN338"/>
      <c r="LNQ338"/>
      <c r="LNR338"/>
      <c r="LNU338"/>
      <c r="LNV338"/>
      <c r="LNY338"/>
      <c r="LNZ338"/>
      <c r="LOC338"/>
      <c r="LOD338"/>
      <c r="LOG338"/>
      <c r="LOH338"/>
      <c r="LOK338"/>
      <c r="LOL338"/>
      <c r="LOO338"/>
      <c r="LOP338"/>
      <c r="LOS338"/>
      <c r="LOT338"/>
      <c r="LOW338"/>
      <c r="LOX338"/>
      <c r="LPA338"/>
      <c r="LPB338"/>
      <c r="LPE338"/>
      <c r="LPF338"/>
      <c r="LPI338"/>
      <c r="LPJ338"/>
      <c r="LPM338"/>
      <c r="LPN338"/>
      <c r="LPQ338"/>
      <c r="LPR338"/>
      <c r="LPU338"/>
      <c r="LPV338"/>
      <c r="LPY338"/>
      <c r="LPZ338"/>
      <c r="LQC338"/>
      <c r="LQD338"/>
      <c r="LQG338"/>
      <c r="LQH338"/>
      <c r="LQK338"/>
      <c r="LQL338"/>
      <c r="LQO338"/>
      <c r="LQP338"/>
      <c r="LQS338"/>
      <c r="LQT338"/>
      <c r="LQW338"/>
      <c r="LQX338"/>
      <c r="LRA338"/>
      <c r="LRB338"/>
      <c r="LRE338"/>
      <c r="LRF338"/>
      <c r="LRI338"/>
      <c r="LRJ338"/>
      <c r="LRM338"/>
      <c r="LRN338"/>
      <c r="LRQ338"/>
      <c r="LRR338"/>
      <c r="LRU338"/>
      <c r="LRV338"/>
      <c r="LRY338"/>
      <c r="LRZ338"/>
      <c r="LSC338"/>
      <c r="LSD338"/>
      <c r="LSG338"/>
      <c r="LSH338"/>
      <c r="LSK338"/>
      <c r="LSL338"/>
      <c r="LSO338"/>
      <c r="LSP338"/>
      <c r="LSS338"/>
      <c r="LST338"/>
      <c r="LSW338"/>
      <c r="LSX338"/>
      <c r="LTA338"/>
      <c r="LTB338"/>
      <c r="LTE338"/>
      <c r="LTF338"/>
      <c r="LTI338"/>
      <c r="LTJ338"/>
      <c r="LTM338"/>
      <c r="LTN338"/>
      <c r="LTQ338"/>
      <c r="LTR338"/>
      <c r="LTU338"/>
      <c r="LTV338"/>
      <c r="LTY338"/>
      <c r="LTZ338"/>
      <c r="LUC338"/>
      <c r="LUD338"/>
      <c r="LUG338"/>
      <c r="LUH338"/>
      <c r="LUK338"/>
      <c r="LUL338"/>
      <c r="LUO338"/>
      <c r="LUP338"/>
      <c r="LUS338"/>
      <c r="LUT338"/>
      <c r="LUW338"/>
      <c r="LUX338"/>
      <c r="LVA338"/>
      <c r="LVB338"/>
      <c r="LVE338"/>
      <c r="LVF338"/>
      <c r="LVI338"/>
      <c r="LVJ338"/>
      <c r="LVM338"/>
      <c r="LVN338"/>
      <c r="LVQ338"/>
      <c r="LVR338"/>
      <c r="LVU338"/>
      <c r="LVV338"/>
      <c r="LVY338"/>
      <c r="LVZ338"/>
      <c r="LWC338"/>
      <c r="LWD338"/>
      <c r="LWG338"/>
      <c r="LWH338"/>
      <c r="LWK338"/>
      <c r="LWL338"/>
      <c r="LWO338"/>
      <c r="LWP338"/>
      <c r="LWS338"/>
      <c r="LWT338"/>
      <c r="LWW338"/>
      <c r="LWX338"/>
      <c r="LXA338"/>
      <c r="LXB338"/>
      <c r="LXE338"/>
      <c r="LXF338"/>
      <c r="LXI338"/>
      <c r="LXJ338"/>
      <c r="LXM338"/>
      <c r="LXN338"/>
      <c r="LXQ338"/>
      <c r="LXR338"/>
      <c r="LXU338"/>
      <c r="LXV338"/>
      <c r="LXY338"/>
      <c r="LXZ338"/>
      <c r="LYC338"/>
      <c r="LYD338"/>
      <c r="LYG338"/>
      <c r="LYH338"/>
      <c r="LYK338"/>
      <c r="LYL338"/>
      <c r="LYO338"/>
      <c r="LYP338"/>
      <c r="LYS338"/>
      <c r="LYT338"/>
      <c r="LYW338"/>
      <c r="LYX338"/>
      <c r="LZA338"/>
      <c r="LZB338"/>
      <c r="LZE338"/>
      <c r="LZF338"/>
      <c r="LZI338"/>
      <c r="LZJ338"/>
      <c r="LZM338"/>
      <c r="LZN338"/>
      <c r="LZQ338"/>
      <c r="LZR338"/>
      <c r="LZU338"/>
      <c r="LZV338"/>
      <c r="LZY338"/>
      <c r="LZZ338"/>
      <c r="MAC338"/>
      <c r="MAD338"/>
      <c r="MAG338"/>
      <c r="MAH338"/>
      <c r="MAK338"/>
      <c r="MAL338"/>
      <c r="MAO338"/>
      <c r="MAP338"/>
      <c r="MAS338"/>
      <c r="MAT338"/>
      <c r="MAW338"/>
      <c r="MAX338"/>
      <c r="MBA338"/>
      <c r="MBB338"/>
      <c r="MBE338"/>
      <c r="MBF338"/>
      <c r="MBI338"/>
      <c r="MBJ338"/>
      <c r="MBM338"/>
      <c r="MBN338"/>
      <c r="MBQ338"/>
      <c r="MBR338"/>
      <c r="MBU338"/>
      <c r="MBV338"/>
      <c r="MBY338"/>
      <c r="MBZ338"/>
      <c r="MCC338"/>
      <c r="MCD338"/>
      <c r="MCG338"/>
      <c r="MCH338"/>
      <c r="MCK338"/>
      <c r="MCL338"/>
      <c r="MCO338"/>
      <c r="MCP338"/>
      <c r="MCS338"/>
      <c r="MCT338"/>
      <c r="MCW338"/>
      <c r="MCX338"/>
      <c r="MDA338"/>
      <c r="MDB338"/>
      <c r="MDE338"/>
      <c r="MDF338"/>
      <c r="MDI338"/>
      <c r="MDJ338"/>
      <c r="MDM338"/>
      <c r="MDN338"/>
      <c r="MDQ338"/>
      <c r="MDR338"/>
      <c r="MDU338"/>
      <c r="MDV338"/>
      <c r="MDY338"/>
      <c r="MDZ338"/>
      <c r="MEC338"/>
      <c r="MED338"/>
      <c r="MEG338"/>
      <c r="MEH338"/>
      <c r="MEK338"/>
      <c r="MEL338"/>
      <c r="MEO338"/>
      <c r="MEP338"/>
      <c r="MES338"/>
      <c r="MET338"/>
      <c r="MEW338"/>
      <c r="MEX338"/>
      <c r="MFA338"/>
      <c r="MFB338"/>
      <c r="MFE338"/>
      <c r="MFF338"/>
      <c r="MFI338"/>
      <c r="MFJ338"/>
      <c r="MFM338"/>
      <c r="MFN338"/>
      <c r="MFQ338"/>
      <c r="MFR338"/>
      <c r="MFU338"/>
      <c r="MFV338"/>
      <c r="MFY338"/>
      <c r="MFZ338"/>
      <c r="MGC338"/>
      <c r="MGD338"/>
      <c r="MGG338"/>
      <c r="MGH338"/>
      <c r="MGK338"/>
      <c r="MGL338"/>
      <c r="MGO338"/>
      <c r="MGP338"/>
      <c r="MGS338"/>
      <c r="MGT338"/>
      <c r="MGW338"/>
      <c r="MGX338"/>
      <c r="MHA338"/>
      <c r="MHB338"/>
      <c r="MHE338"/>
      <c r="MHF338"/>
      <c r="MHI338"/>
      <c r="MHJ338"/>
      <c r="MHM338"/>
      <c r="MHN338"/>
      <c r="MHQ338"/>
      <c r="MHR338"/>
      <c r="MHU338"/>
      <c r="MHV338"/>
      <c r="MHY338"/>
      <c r="MHZ338"/>
      <c r="MIC338"/>
      <c r="MID338"/>
      <c r="MIG338"/>
      <c r="MIH338"/>
      <c r="MIK338"/>
      <c r="MIL338"/>
      <c r="MIO338"/>
      <c r="MIP338"/>
      <c r="MIS338"/>
      <c r="MIT338"/>
      <c r="MIW338"/>
      <c r="MIX338"/>
      <c r="MJA338"/>
      <c r="MJB338"/>
      <c r="MJE338"/>
      <c r="MJF338"/>
      <c r="MJI338"/>
      <c r="MJJ338"/>
      <c r="MJM338"/>
      <c r="MJN338"/>
      <c r="MJQ338"/>
      <c r="MJR338"/>
      <c r="MJU338"/>
      <c r="MJV338"/>
      <c r="MJY338"/>
      <c r="MJZ338"/>
      <c r="MKC338"/>
      <c r="MKD338"/>
      <c r="MKG338"/>
      <c r="MKH338"/>
      <c r="MKK338"/>
      <c r="MKL338"/>
      <c r="MKO338"/>
      <c r="MKP338"/>
      <c r="MKS338"/>
      <c r="MKT338"/>
      <c r="MKW338"/>
      <c r="MKX338"/>
      <c r="MLA338"/>
      <c r="MLB338"/>
      <c r="MLE338"/>
      <c r="MLF338"/>
      <c r="MLI338"/>
      <c r="MLJ338"/>
      <c r="MLM338"/>
      <c r="MLN338"/>
      <c r="MLQ338"/>
      <c r="MLR338"/>
      <c r="MLU338"/>
      <c r="MLV338"/>
      <c r="MLY338"/>
      <c r="MLZ338"/>
      <c r="MMC338"/>
      <c r="MMD338"/>
      <c r="MMG338"/>
      <c r="MMH338"/>
      <c r="MMK338"/>
      <c r="MML338"/>
      <c r="MMO338"/>
      <c r="MMP338"/>
      <c r="MMS338"/>
      <c r="MMT338"/>
      <c r="MMW338"/>
      <c r="MMX338"/>
      <c r="MNA338"/>
      <c r="MNB338"/>
      <c r="MNE338"/>
      <c r="MNF338"/>
      <c r="MNI338"/>
      <c r="MNJ338"/>
      <c r="MNM338"/>
      <c r="MNN338"/>
      <c r="MNQ338"/>
      <c r="MNR338"/>
      <c r="MNU338"/>
      <c r="MNV338"/>
      <c r="MNY338"/>
      <c r="MNZ338"/>
      <c r="MOC338"/>
      <c r="MOD338"/>
      <c r="MOG338"/>
      <c r="MOH338"/>
      <c r="MOK338"/>
      <c r="MOL338"/>
      <c r="MOO338"/>
      <c r="MOP338"/>
      <c r="MOS338"/>
      <c r="MOT338"/>
      <c r="MOW338"/>
      <c r="MOX338"/>
      <c r="MPA338"/>
      <c r="MPB338"/>
      <c r="MPE338"/>
      <c r="MPF338"/>
      <c r="MPI338"/>
      <c r="MPJ338"/>
      <c r="MPM338"/>
      <c r="MPN338"/>
      <c r="MPQ338"/>
      <c r="MPR338"/>
      <c r="MPU338"/>
      <c r="MPV338"/>
      <c r="MPY338"/>
      <c r="MPZ338"/>
      <c r="MQC338"/>
      <c r="MQD338"/>
      <c r="MQG338"/>
      <c r="MQH338"/>
      <c r="MQK338"/>
      <c r="MQL338"/>
      <c r="MQO338"/>
      <c r="MQP338"/>
      <c r="MQS338"/>
      <c r="MQT338"/>
      <c r="MQW338"/>
      <c r="MQX338"/>
      <c r="MRA338"/>
      <c r="MRB338"/>
      <c r="MRE338"/>
      <c r="MRF338"/>
      <c r="MRI338"/>
      <c r="MRJ338"/>
      <c r="MRM338"/>
      <c r="MRN338"/>
      <c r="MRQ338"/>
      <c r="MRR338"/>
      <c r="MRU338"/>
      <c r="MRV338"/>
      <c r="MRY338"/>
      <c r="MRZ338"/>
      <c r="MSC338"/>
      <c r="MSD338"/>
      <c r="MSG338"/>
      <c r="MSH338"/>
      <c r="MSK338"/>
      <c r="MSL338"/>
      <c r="MSO338"/>
      <c r="MSP338"/>
      <c r="MSS338"/>
      <c r="MST338"/>
      <c r="MSW338"/>
      <c r="MSX338"/>
      <c r="MTA338"/>
      <c r="MTB338"/>
      <c r="MTE338"/>
      <c r="MTF338"/>
      <c r="MTI338"/>
      <c r="MTJ338"/>
      <c r="MTM338"/>
      <c r="MTN338"/>
      <c r="MTQ338"/>
      <c r="MTR338"/>
      <c r="MTU338"/>
      <c r="MTV338"/>
      <c r="MTY338"/>
      <c r="MTZ338"/>
      <c r="MUC338"/>
      <c r="MUD338"/>
      <c r="MUG338"/>
      <c r="MUH338"/>
      <c r="MUK338"/>
      <c r="MUL338"/>
      <c r="MUO338"/>
      <c r="MUP338"/>
      <c r="MUS338"/>
      <c r="MUT338"/>
      <c r="MUW338"/>
      <c r="MUX338"/>
      <c r="MVA338"/>
      <c r="MVB338"/>
      <c r="MVE338"/>
      <c r="MVF338"/>
      <c r="MVI338"/>
      <c r="MVJ338"/>
      <c r="MVM338"/>
      <c r="MVN338"/>
      <c r="MVQ338"/>
      <c r="MVR338"/>
      <c r="MVU338"/>
      <c r="MVV338"/>
      <c r="MVY338"/>
      <c r="MVZ338"/>
      <c r="MWC338"/>
      <c r="MWD338"/>
      <c r="MWG338"/>
      <c r="MWH338"/>
      <c r="MWK338"/>
      <c r="MWL338"/>
      <c r="MWO338"/>
      <c r="MWP338"/>
      <c r="MWS338"/>
      <c r="MWT338"/>
      <c r="MWW338"/>
      <c r="MWX338"/>
      <c r="MXA338"/>
      <c r="MXB338"/>
      <c r="MXE338"/>
      <c r="MXF338"/>
      <c r="MXI338"/>
      <c r="MXJ338"/>
      <c r="MXM338"/>
      <c r="MXN338"/>
      <c r="MXQ338"/>
      <c r="MXR338"/>
      <c r="MXU338"/>
      <c r="MXV338"/>
      <c r="MXY338"/>
      <c r="MXZ338"/>
      <c r="MYC338"/>
      <c r="MYD338"/>
      <c r="MYG338"/>
      <c r="MYH338"/>
      <c r="MYK338"/>
      <c r="MYL338"/>
      <c r="MYO338"/>
      <c r="MYP338"/>
      <c r="MYS338"/>
      <c r="MYT338"/>
      <c r="MYW338"/>
      <c r="MYX338"/>
      <c r="MZA338"/>
      <c r="MZB338"/>
      <c r="MZE338"/>
      <c r="MZF338"/>
      <c r="MZI338"/>
      <c r="MZJ338"/>
      <c r="MZM338"/>
      <c r="MZN338"/>
      <c r="MZQ338"/>
      <c r="MZR338"/>
      <c r="MZU338"/>
      <c r="MZV338"/>
      <c r="MZY338"/>
      <c r="MZZ338"/>
      <c r="NAC338"/>
      <c r="NAD338"/>
      <c r="NAG338"/>
      <c r="NAH338"/>
      <c r="NAK338"/>
      <c r="NAL338"/>
      <c r="NAO338"/>
      <c r="NAP338"/>
      <c r="NAS338"/>
      <c r="NAT338"/>
      <c r="NAW338"/>
      <c r="NAX338"/>
      <c r="NBA338"/>
      <c r="NBB338"/>
      <c r="NBE338"/>
      <c r="NBF338"/>
      <c r="NBI338"/>
      <c r="NBJ338"/>
      <c r="NBM338"/>
      <c r="NBN338"/>
      <c r="NBQ338"/>
      <c r="NBR338"/>
      <c r="NBU338"/>
      <c r="NBV338"/>
      <c r="NBY338"/>
      <c r="NBZ338"/>
      <c r="NCC338"/>
      <c r="NCD338"/>
      <c r="NCG338"/>
      <c r="NCH338"/>
      <c r="NCK338"/>
      <c r="NCL338"/>
      <c r="NCO338"/>
      <c r="NCP338"/>
      <c r="NCS338"/>
      <c r="NCT338"/>
      <c r="NCW338"/>
      <c r="NCX338"/>
      <c r="NDA338"/>
      <c r="NDB338"/>
      <c r="NDE338"/>
      <c r="NDF338"/>
      <c r="NDI338"/>
      <c r="NDJ338"/>
      <c r="NDM338"/>
      <c r="NDN338"/>
      <c r="NDQ338"/>
      <c r="NDR338"/>
      <c r="NDU338"/>
      <c r="NDV338"/>
      <c r="NDY338"/>
      <c r="NDZ338"/>
      <c r="NEC338"/>
      <c r="NED338"/>
      <c r="NEG338"/>
      <c r="NEH338"/>
      <c r="NEK338"/>
      <c r="NEL338"/>
      <c r="NEO338"/>
      <c r="NEP338"/>
      <c r="NES338"/>
      <c r="NET338"/>
      <c r="NEW338"/>
      <c r="NEX338"/>
      <c r="NFA338"/>
      <c r="NFB338"/>
      <c r="NFE338"/>
      <c r="NFF338"/>
      <c r="NFI338"/>
      <c r="NFJ338"/>
      <c r="NFM338"/>
      <c r="NFN338"/>
      <c r="NFQ338"/>
      <c r="NFR338"/>
      <c r="NFU338"/>
      <c r="NFV338"/>
      <c r="NFY338"/>
      <c r="NFZ338"/>
      <c r="NGC338"/>
      <c r="NGD338"/>
      <c r="NGG338"/>
      <c r="NGH338"/>
      <c r="NGK338"/>
      <c r="NGL338"/>
      <c r="NGO338"/>
      <c r="NGP338"/>
      <c r="NGS338"/>
      <c r="NGT338"/>
      <c r="NGW338"/>
      <c r="NGX338"/>
      <c r="NHA338"/>
      <c r="NHB338"/>
      <c r="NHE338"/>
      <c r="NHF338"/>
      <c r="NHI338"/>
      <c r="NHJ338"/>
      <c r="NHM338"/>
      <c r="NHN338"/>
      <c r="NHQ338"/>
      <c r="NHR338"/>
      <c r="NHU338"/>
      <c r="NHV338"/>
      <c r="NHY338"/>
      <c r="NHZ338"/>
      <c r="NIC338"/>
      <c r="NID338"/>
      <c r="NIG338"/>
      <c r="NIH338"/>
      <c r="NIK338"/>
      <c r="NIL338"/>
      <c r="NIO338"/>
      <c r="NIP338"/>
      <c r="NIS338"/>
      <c r="NIT338"/>
      <c r="NIW338"/>
      <c r="NIX338"/>
      <c r="NJA338"/>
      <c r="NJB338"/>
      <c r="NJE338"/>
      <c r="NJF338"/>
      <c r="NJI338"/>
      <c r="NJJ338"/>
      <c r="NJM338"/>
      <c r="NJN338"/>
      <c r="NJQ338"/>
      <c r="NJR338"/>
      <c r="NJU338"/>
      <c r="NJV338"/>
      <c r="NJY338"/>
      <c r="NJZ338"/>
      <c r="NKC338"/>
      <c r="NKD338"/>
      <c r="NKG338"/>
      <c r="NKH338"/>
      <c r="NKK338"/>
      <c r="NKL338"/>
      <c r="NKO338"/>
      <c r="NKP338"/>
      <c r="NKS338"/>
      <c r="NKT338"/>
      <c r="NKW338"/>
      <c r="NKX338"/>
      <c r="NLA338"/>
      <c r="NLB338"/>
      <c r="NLE338"/>
      <c r="NLF338"/>
      <c r="NLI338"/>
      <c r="NLJ338"/>
      <c r="NLM338"/>
      <c r="NLN338"/>
      <c r="NLQ338"/>
      <c r="NLR338"/>
      <c r="NLU338"/>
      <c r="NLV338"/>
      <c r="NLY338"/>
      <c r="NLZ338"/>
      <c r="NMC338"/>
      <c r="NMD338"/>
      <c r="NMG338"/>
      <c r="NMH338"/>
      <c r="NMK338"/>
      <c r="NML338"/>
      <c r="NMO338"/>
      <c r="NMP338"/>
      <c r="NMS338"/>
      <c r="NMT338"/>
      <c r="NMW338"/>
      <c r="NMX338"/>
      <c r="NNA338"/>
      <c r="NNB338"/>
      <c r="NNE338"/>
      <c r="NNF338"/>
      <c r="NNI338"/>
      <c r="NNJ338"/>
      <c r="NNM338"/>
      <c r="NNN338"/>
      <c r="NNQ338"/>
      <c r="NNR338"/>
      <c r="NNU338"/>
      <c r="NNV338"/>
      <c r="NNY338"/>
      <c r="NNZ338"/>
      <c r="NOC338"/>
      <c r="NOD338"/>
      <c r="NOG338"/>
      <c r="NOH338"/>
      <c r="NOK338"/>
      <c r="NOL338"/>
      <c r="NOO338"/>
      <c r="NOP338"/>
      <c r="NOS338"/>
      <c r="NOT338"/>
      <c r="NOW338"/>
      <c r="NOX338"/>
      <c r="NPA338"/>
      <c r="NPB338"/>
      <c r="NPE338"/>
      <c r="NPF338"/>
      <c r="NPI338"/>
      <c r="NPJ338"/>
      <c r="NPM338"/>
      <c r="NPN338"/>
      <c r="NPQ338"/>
      <c r="NPR338"/>
      <c r="NPU338"/>
      <c r="NPV338"/>
      <c r="NPY338"/>
      <c r="NPZ338"/>
      <c r="NQC338"/>
      <c r="NQD338"/>
      <c r="NQG338"/>
      <c r="NQH338"/>
      <c r="NQK338"/>
      <c r="NQL338"/>
      <c r="NQO338"/>
      <c r="NQP338"/>
      <c r="NQS338"/>
      <c r="NQT338"/>
      <c r="NQW338"/>
      <c r="NQX338"/>
      <c r="NRA338"/>
      <c r="NRB338"/>
      <c r="NRE338"/>
      <c r="NRF338"/>
      <c r="NRI338"/>
      <c r="NRJ338"/>
      <c r="NRM338"/>
      <c r="NRN338"/>
      <c r="NRQ338"/>
      <c r="NRR338"/>
      <c r="NRU338"/>
      <c r="NRV338"/>
      <c r="NRY338"/>
      <c r="NRZ338"/>
      <c r="NSC338"/>
      <c r="NSD338"/>
      <c r="NSG338"/>
      <c r="NSH338"/>
      <c r="NSK338"/>
      <c r="NSL338"/>
      <c r="NSO338"/>
      <c r="NSP338"/>
      <c r="NSS338"/>
      <c r="NST338"/>
      <c r="NSW338"/>
      <c r="NSX338"/>
      <c r="NTA338"/>
      <c r="NTB338"/>
      <c r="NTE338"/>
      <c r="NTF338"/>
      <c r="NTI338"/>
      <c r="NTJ338"/>
      <c r="NTM338"/>
      <c r="NTN338"/>
      <c r="NTQ338"/>
      <c r="NTR338"/>
      <c r="NTU338"/>
      <c r="NTV338"/>
      <c r="NTY338"/>
      <c r="NTZ338"/>
      <c r="NUC338"/>
      <c r="NUD338"/>
      <c r="NUG338"/>
      <c r="NUH338"/>
      <c r="NUK338"/>
      <c r="NUL338"/>
      <c r="NUO338"/>
      <c r="NUP338"/>
      <c r="NUS338"/>
      <c r="NUT338"/>
      <c r="NUW338"/>
      <c r="NUX338"/>
      <c r="NVA338"/>
      <c r="NVB338"/>
      <c r="NVE338"/>
      <c r="NVF338"/>
      <c r="NVI338"/>
      <c r="NVJ338"/>
      <c r="NVM338"/>
      <c r="NVN338"/>
      <c r="NVQ338"/>
      <c r="NVR338"/>
      <c r="NVU338"/>
      <c r="NVV338"/>
      <c r="NVY338"/>
      <c r="NVZ338"/>
      <c r="NWC338"/>
      <c r="NWD338"/>
      <c r="NWG338"/>
      <c r="NWH338"/>
      <c r="NWK338"/>
      <c r="NWL338"/>
      <c r="NWO338"/>
      <c r="NWP338"/>
      <c r="NWS338"/>
      <c r="NWT338"/>
      <c r="NWW338"/>
      <c r="NWX338"/>
      <c r="NXA338"/>
      <c r="NXB338"/>
      <c r="NXE338"/>
      <c r="NXF338"/>
      <c r="NXI338"/>
      <c r="NXJ338"/>
      <c r="NXM338"/>
      <c r="NXN338"/>
      <c r="NXQ338"/>
      <c r="NXR338"/>
      <c r="NXU338"/>
      <c r="NXV338"/>
      <c r="NXY338"/>
      <c r="NXZ338"/>
      <c r="NYC338"/>
      <c r="NYD338"/>
      <c r="NYG338"/>
      <c r="NYH338"/>
      <c r="NYK338"/>
      <c r="NYL338"/>
      <c r="NYO338"/>
      <c r="NYP338"/>
      <c r="NYS338"/>
      <c r="NYT338"/>
      <c r="NYW338"/>
      <c r="NYX338"/>
      <c r="NZA338"/>
      <c r="NZB338"/>
      <c r="NZE338"/>
      <c r="NZF338"/>
      <c r="NZI338"/>
      <c r="NZJ338"/>
      <c r="NZM338"/>
      <c r="NZN338"/>
      <c r="NZQ338"/>
      <c r="NZR338"/>
      <c r="NZU338"/>
      <c r="NZV338"/>
      <c r="NZY338"/>
      <c r="NZZ338"/>
      <c r="OAC338"/>
      <c r="OAD338"/>
      <c r="OAG338"/>
      <c r="OAH338"/>
      <c r="OAK338"/>
      <c r="OAL338"/>
      <c r="OAO338"/>
      <c r="OAP338"/>
      <c r="OAS338"/>
      <c r="OAT338"/>
      <c r="OAW338"/>
      <c r="OAX338"/>
      <c r="OBA338"/>
      <c r="OBB338"/>
      <c r="OBE338"/>
      <c r="OBF338"/>
      <c r="OBI338"/>
      <c r="OBJ338"/>
      <c r="OBM338"/>
      <c r="OBN338"/>
      <c r="OBQ338"/>
      <c r="OBR338"/>
      <c r="OBU338"/>
      <c r="OBV338"/>
      <c r="OBY338"/>
      <c r="OBZ338"/>
      <c r="OCC338"/>
      <c r="OCD338"/>
      <c r="OCG338"/>
      <c r="OCH338"/>
      <c r="OCK338"/>
      <c r="OCL338"/>
      <c r="OCO338"/>
      <c r="OCP338"/>
      <c r="OCS338"/>
      <c r="OCT338"/>
      <c r="OCW338"/>
      <c r="OCX338"/>
      <c r="ODA338"/>
      <c r="ODB338"/>
      <c r="ODE338"/>
      <c r="ODF338"/>
      <c r="ODI338"/>
      <c r="ODJ338"/>
      <c r="ODM338"/>
      <c r="ODN338"/>
      <c r="ODQ338"/>
      <c r="ODR338"/>
      <c r="ODU338"/>
      <c r="ODV338"/>
      <c r="ODY338"/>
      <c r="ODZ338"/>
      <c r="OEC338"/>
      <c r="OED338"/>
      <c r="OEG338"/>
      <c r="OEH338"/>
      <c r="OEK338"/>
      <c r="OEL338"/>
      <c r="OEO338"/>
      <c r="OEP338"/>
      <c r="OES338"/>
      <c r="OET338"/>
      <c r="OEW338"/>
      <c r="OEX338"/>
      <c r="OFA338"/>
      <c r="OFB338"/>
      <c r="OFE338"/>
      <c r="OFF338"/>
      <c r="OFI338"/>
      <c r="OFJ338"/>
      <c r="OFM338"/>
      <c r="OFN338"/>
      <c r="OFQ338"/>
      <c r="OFR338"/>
      <c r="OFU338"/>
      <c r="OFV338"/>
      <c r="OFY338"/>
      <c r="OFZ338"/>
      <c r="OGC338"/>
      <c r="OGD338"/>
      <c r="OGG338"/>
      <c r="OGH338"/>
      <c r="OGK338"/>
      <c r="OGL338"/>
      <c r="OGO338"/>
      <c r="OGP338"/>
      <c r="OGS338"/>
      <c r="OGT338"/>
      <c r="OGW338"/>
      <c r="OGX338"/>
      <c r="OHA338"/>
      <c r="OHB338"/>
      <c r="OHE338"/>
      <c r="OHF338"/>
      <c r="OHI338"/>
      <c r="OHJ338"/>
      <c r="OHM338"/>
      <c r="OHN338"/>
      <c r="OHQ338"/>
      <c r="OHR338"/>
      <c r="OHU338"/>
      <c r="OHV338"/>
      <c r="OHY338"/>
      <c r="OHZ338"/>
      <c r="OIC338"/>
      <c r="OID338"/>
      <c r="OIG338"/>
      <c r="OIH338"/>
      <c r="OIK338"/>
      <c r="OIL338"/>
      <c r="OIO338"/>
      <c r="OIP338"/>
      <c r="OIS338"/>
      <c r="OIT338"/>
      <c r="OIW338"/>
      <c r="OIX338"/>
      <c r="OJA338"/>
      <c r="OJB338"/>
      <c r="OJE338"/>
      <c r="OJF338"/>
      <c r="OJI338"/>
      <c r="OJJ338"/>
      <c r="OJM338"/>
      <c r="OJN338"/>
      <c r="OJQ338"/>
      <c r="OJR338"/>
      <c r="OJU338"/>
      <c r="OJV338"/>
      <c r="OJY338"/>
      <c r="OJZ338"/>
      <c r="OKC338"/>
      <c r="OKD338"/>
      <c r="OKG338"/>
      <c r="OKH338"/>
      <c r="OKK338"/>
      <c r="OKL338"/>
      <c r="OKO338"/>
      <c r="OKP338"/>
      <c r="OKS338"/>
      <c r="OKT338"/>
      <c r="OKW338"/>
      <c r="OKX338"/>
      <c r="OLA338"/>
      <c r="OLB338"/>
      <c r="OLE338"/>
      <c r="OLF338"/>
      <c r="OLI338"/>
      <c r="OLJ338"/>
      <c r="OLM338"/>
      <c r="OLN338"/>
      <c r="OLQ338"/>
      <c r="OLR338"/>
      <c r="OLU338"/>
      <c r="OLV338"/>
      <c r="OLY338"/>
      <c r="OLZ338"/>
      <c r="OMC338"/>
      <c r="OMD338"/>
      <c r="OMG338"/>
      <c r="OMH338"/>
      <c r="OMK338"/>
      <c r="OML338"/>
      <c r="OMO338"/>
      <c r="OMP338"/>
      <c r="OMS338"/>
      <c r="OMT338"/>
      <c r="OMW338"/>
      <c r="OMX338"/>
      <c r="ONA338"/>
      <c r="ONB338"/>
      <c r="ONE338"/>
      <c r="ONF338"/>
      <c r="ONI338"/>
      <c r="ONJ338"/>
      <c r="ONM338"/>
      <c r="ONN338"/>
      <c r="ONQ338"/>
      <c r="ONR338"/>
      <c r="ONU338"/>
      <c r="ONV338"/>
      <c r="ONY338"/>
      <c r="ONZ338"/>
      <c r="OOC338"/>
      <c r="OOD338"/>
      <c r="OOG338"/>
      <c r="OOH338"/>
      <c r="OOK338"/>
      <c r="OOL338"/>
      <c r="OOO338"/>
      <c r="OOP338"/>
      <c r="OOS338"/>
      <c r="OOT338"/>
      <c r="OOW338"/>
      <c r="OOX338"/>
      <c r="OPA338"/>
      <c r="OPB338"/>
      <c r="OPE338"/>
      <c r="OPF338"/>
      <c r="OPI338"/>
      <c r="OPJ338"/>
      <c r="OPM338"/>
      <c r="OPN338"/>
      <c r="OPQ338"/>
      <c r="OPR338"/>
      <c r="OPU338"/>
      <c r="OPV338"/>
      <c r="OPY338"/>
      <c r="OPZ338"/>
      <c r="OQC338"/>
      <c r="OQD338"/>
      <c r="OQG338"/>
      <c r="OQH338"/>
      <c r="OQK338"/>
      <c r="OQL338"/>
      <c r="OQO338"/>
      <c r="OQP338"/>
      <c r="OQS338"/>
      <c r="OQT338"/>
      <c r="OQW338"/>
      <c r="OQX338"/>
      <c r="ORA338"/>
      <c r="ORB338"/>
      <c r="ORE338"/>
      <c r="ORF338"/>
      <c r="ORI338"/>
      <c r="ORJ338"/>
      <c r="ORM338"/>
      <c r="ORN338"/>
      <c r="ORQ338"/>
      <c r="ORR338"/>
      <c r="ORU338"/>
      <c r="ORV338"/>
      <c r="ORY338"/>
      <c r="ORZ338"/>
      <c r="OSC338"/>
      <c r="OSD338"/>
      <c r="OSG338"/>
      <c r="OSH338"/>
      <c r="OSK338"/>
      <c r="OSL338"/>
      <c r="OSO338"/>
      <c r="OSP338"/>
      <c r="OSS338"/>
      <c r="OST338"/>
      <c r="OSW338"/>
      <c r="OSX338"/>
      <c r="OTA338"/>
      <c r="OTB338"/>
      <c r="OTE338"/>
      <c r="OTF338"/>
      <c r="OTI338"/>
      <c r="OTJ338"/>
      <c r="OTM338"/>
      <c r="OTN338"/>
      <c r="OTQ338"/>
      <c r="OTR338"/>
      <c r="OTU338"/>
      <c r="OTV338"/>
      <c r="OTY338"/>
      <c r="OTZ338"/>
      <c r="OUC338"/>
      <c r="OUD338"/>
      <c r="OUG338"/>
      <c r="OUH338"/>
      <c r="OUK338"/>
      <c r="OUL338"/>
      <c r="OUO338"/>
      <c r="OUP338"/>
      <c r="OUS338"/>
      <c r="OUT338"/>
      <c r="OUW338"/>
      <c r="OUX338"/>
      <c r="OVA338"/>
      <c r="OVB338"/>
      <c r="OVE338"/>
      <c r="OVF338"/>
      <c r="OVI338"/>
      <c r="OVJ338"/>
      <c r="OVM338"/>
      <c r="OVN338"/>
      <c r="OVQ338"/>
      <c r="OVR338"/>
      <c r="OVU338"/>
      <c r="OVV338"/>
      <c r="OVY338"/>
      <c r="OVZ338"/>
      <c r="OWC338"/>
      <c r="OWD338"/>
      <c r="OWG338"/>
      <c r="OWH338"/>
      <c r="OWK338"/>
      <c r="OWL338"/>
      <c r="OWO338"/>
      <c r="OWP338"/>
      <c r="OWS338"/>
      <c r="OWT338"/>
      <c r="OWW338"/>
      <c r="OWX338"/>
      <c r="OXA338"/>
      <c r="OXB338"/>
      <c r="OXE338"/>
      <c r="OXF338"/>
      <c r="OXI338"/>
      <c r="OXJ338"/>
      <c r="OXM338"/>
      <c r="OXN338"/>
      <c r="OXQ338"/>
      <c r="OXR338"/>
      <c r="OXU338"/>
      <c r="OXV338"/>
      <c r="OXY338"/>
      <c r="OXZ338"/>
      <c r="OYC338"/>
      <c r="OYD338"/>
      <c r="OYG338"/>
      <c r="OYH338"/>
      <c r="OYK338"/>
      <c r="OYL338"/>
      <c r="OYO338"/>
      <c r="OYP338"/>
      <c r="OYS338"/>
      <c r="OYT338"/>
      <c r="OYW338"/>
      <c r="OYX338"/>
      <c r="OZA338"/>
      <c r="OZB338"/>
      <c r="OZE338"/>
      <c r="OZF338"/>
      <c r="OZI338"/>
      <c r="OZJ338"/>
      <c r="OZM338"/>
      <c r="OZN338"/>
      <c r="OZQ338"/>
      <c r="OZR338"/>
      <c r="OZU338"/>
      <c r="OZV338"/>
      <c r="OZY338"/>
      <c r="OZZ338"/>
      <c r="PAC338"/>
      <c r="PAD338"/>
      <c r="PAG338"/>
      <c r="PAH338"/>
      <c r="PAK338"/>
      <c r="PAL338"/>
      <c r="PAO338"/>
      <c r="PAP338"/>
      <c r="PAS338"/>
      <c r="PAT338"/>
      <c r="PAW338"/>
      <c r="PAX338"/>
      <c r="PBA338"/>
      <c r="PBB338"/>
      <c r="PBE338"/>
      <c r="PBF338"/>
      <c r="PBI338"/>
      <c r="PBJ338"/>
      <c r="PBM338"/>
      <c r="PBN338"/>
      <c r="PBQ338"/>
      <c r="PBR338"/>
      <c r="PBU338"/>
      <c r="PBV338"/>
      <c r="PBY338"/>
      <c r="PBZ338"/>
      <c r="PCC338"/>
      <c r="PCD338"/>
      <c r="PCG338"/>
      <c r="PCH338"/>
      <c r="PCK338"/>
      <c r="PCL338"/>
      <c r="PCO338"/>
      <c r="PCP338"/>
      <c r="PCS338"/>
      <c r="PCT338"/>
      <c r="PCW338"/>
      <c r="PCX338"/>
      <c r="PDA338"/>
      <c r="PDB338"/>
      <c r="PDE338"/>
      <c r="PDF338"/>
      <c r="PDI338"/>
      <c r="PDJ338"/>
      <c r="PDM338"/>
      <c r="PDN338"/>
      <c r="PDQ338"/>
      <c r="PDR338"/>
      <c r="PDU338"/>
      <c r="PDV338"/>
      <c r="PDY338"/>
      <c r="PDZ338"/>
      <c r="PEC338"/>
      <c r="PED338"/>
      <c r="PEG338"/>
      <c r="PEH338"/>
      <c r="PEK338"/>
      <c r="PEL338"/>
      <c r="PEO338"/>
      <c r="PEP338"/>
      <c r="PES338"/>
      <c r="PET338"/>
      <c r="PEW338"/>
      <c r="PEX338"/>
      <c r="PFA338"/>
      <c r="PFB338"/>
      <c r="PFE338"/>
      <c r="PFF338"/>
      <c r="PFI338"/>
      <c r="PFJ338"/>
      <c r="PFM338"/>
      <c r="PFN338"/>
      <c r="PFQ338"/>
      <c r="PFR338"/>
      <c r="PFU338"/>
      <c r="PFV338"/>
      <c r="PFY338"/>
      <c r="PFZ338"/>
      <c r="PGC338"/>
      <c r="PGD338"/>
      <c r="PGG338"/>
      <c r="PGH338"/>
      <c r="PGK338"/>
      <c r="PGL338"/>
      <c r="PGO338"/>
      <c r="PGP338"/>
      <c r="PGS338"/>
      <c r="PGT338"/>
      <c r="PGW338"/>
      <c r="PGX338"/>
      <c r="PHA338"/>
      <c r="PHB338"/>
      <c r="PHE338"/>
      <c r="PHF338"/>
      <c r="PHI338"/>
      <c r="PHJ338"/>
      <c r="PHM338"/>
      <c r="PHN338"/>
      <c r="PHQ338"/>
      <c r="PHR338"/>
      <c r="PHU338"/>
      <c r="PHV338"/>
      <c r="PHY338"/>
      <c r="PHZ338"/>
      <c r="PIC338"/>
      <c r="PID338"/>
      <c r="PIG338"/>
      <c r="PIH338"/>
      <c r="PIK338"/>
      <c r="PIL338"/>
      <c r="PIO338"/>
      <c r="PIP338"/>
      <c r="PIS338"/>
      <c r="PIT338"/>
      <c r="PIW338"/>
      <c r="PIX338"/>
      <c r="PJA338"/>
      <c r="PJB338"/>
      <c r="PJE338"/>
      <c r="PJF338"/>
      <c r="PJI338"/>
      <c r="PJJ338"/>
      <c r="PJM338"/>
      <c r="PJN338"/>
      <c r="PJQ338"/>
      <c r="PJR338"/>
      <c r="PJU338"/>
      <c r="PJV338"/>
      <c r="PJY338"/>
      <c r="PJZ338"/>
      <c r="PKC338"/>
      <c r="PKD338"/>
      <c r="PKG338"/>
      <c r="PKH338"/>
      <c r="PKK338"/>
      <c r="PKL338"/>
      <c r="PKO338"/>
      <c r="PKP338"/>
      <c r="PKS338"/>
      <c r="PKT338"/>
      <c r="PKW338"/>
      <c r="PKX338"/>
      <c r="PLA338"/>
      <c r="PLB338"/>
      <c r="PLE338"/>
      <c r="PLF338"/>
      <c r="PLI338"/>
      <c r="PLJ338"/>
      <c r="PLM338"/>
      <c r="PLN338"/>
      <c r="PLQ338"/>
      <c r="PLR338"/>
      <c r="PLU338"/>
      <c r="PLV338"/>
      <c r="PLY338"/>
      <c r="PLZ338"/>
      <c r="PMC338"/>
      <c r="PMD338"/>
      <c r="PMG338"/>
      <c r="PMH338"/>
      <c r="PMK338"/>
      <c r="PML338"/>
      <c r="PMO338"/>
      <c r="PMP338"/>
      <c r="PMS338"/>
      <c r="PMT338"/>
      <c r="PMW338"/>
      <c r="PMX338"/>
      <c r="PNA338"/>
      <c r="PNB338"/>
      <c r="PNE338"/>
      <c r="PNF338"/>
      <c r="PNI338"/>
      <c r="PNJ338"/>
      <c r="PNM338"/>
      <c r="PNN338"/>
      <c r="PNQ338"/>
      <c r="PNR338"/>
      <c r="PNU338"/>
      <c r="PNV338"/>
      <c r="PNY338"/>
      <c r="PNZ338"/>
      <c r="POC338"/>
      <c r="POD338"/>
      <c r="POG338"/>
      <c r="POH338"/>
      <c r="POK338"/>
      <c r="POL338"/>
      <c r="POO338"/>
      <c r="POP338"/>
      <c r="POS338"/>
      <c r="POT338"/>
      <c r="POW338"/>
      <c r="POX338"/>
      <c r="PPA338"/>
      <c r="PPB338"/>
      <c r="PPE338"/>
      <c r="PPF338"/>
      <c r="PPI338"/>
      <c r="PPJ338"/>
      <c r="PPM338"/>
      <c r="PPN338"/>
      <c r="PPQ338"/>
      <c r="PPR338"/>
      <c r="PPU338"/>
      <c r="PPV338"/>
      <c r="PPY338"/>
      <c r="PPZ338"/>
      <c r="PQC338"/>
      <c r="PQD338"/>
      <c r="PQG338"/>
      <c r="PQH338"/>
      <c r="PQK338"/>
      <c r="PQL338"/>
      <c r="PQO338"/>
      <c r="PQP338"/>
      <c r="PQS338"/>
      <c r="PQT338"/>
      <c r="PQW338"/>
      <c r="PQX338"/>
      <c r="PRA338"/>
      <c r="PRB338"/>
      <c r="PRE338"/>
      <c r="PRF338"/>
      <c r="PRI338"/>
      <c r="PRJ338"/>
      <c r="PRM338"/>
      <c r="PRN338"/>
      <c r="PRQ338"/>
      <c r="PRR338"/>
      <c r="PRU338"/>
      <c r="PRV338"/>
      <c r="PRY338"/>
      <c r="PRZ338"/>
      <c r="PSC338"/>
      <c r="PSD338"/>
      <c r="PSG338"/>
      <c r="PSH338"/>
      <c r="PSK338"/>
      <c r="PSL338"/>
      <c r="PSO338"/>
      <c r="PSP338"/>
      <c r="PSS338"/>
      <c r="PST338"/>
      <c r="PSW338"/>
      <c r="PSX338"/>
      <c r="PTA338"/>
      <c r="PTB338"/>
      <c r="PTE338"/>
      <c r="PTF338"/>
      <c r="PTI338"/>
      <c r="PTJ338"/>
      <c r="PTM338"/>
      <c r="PTN338"/>
      <c r="PTQ338"/>
      <c r="PTR338"/>
      <c r="PTU338"/>
      <c r="PTV338"/>
      <c r="PTY338"/>
      <c r="PTZ338"/>
      <c r="PUC338"/>
      <c r="PUD338"/>
      <c r="PUG338"/>
      <c r="PUH338"/>
      <c r="PUK338"/>
      <c r="PUL338"/>
      <c r="PUO338"/>
      <c r="PUP338"/>
      <c r="PUS338"/>
      <c r="PUT338"/>
      <c r="PUW338"/>
      <c r="PUX338"/>
      <c r="PVA338"/>
      <c r="PVB338"/>
      <c r="PVE338"/>
      <c r="PVF338"/>
      <c r="PVI338"/>
      <c r="PVJ338"/>
      <c r="PVM338"/>
      <c r="PVN338"/>
      <c r="PVQ338"/>
      <c r="PVR338"/>
      <c r="PVU338"/>
      <c r="PVV338"/>
      <c r="PVY338"/>
      <c r="PVZ338"/>
      <c r="PWC338"/>
      <c r="PWD338"/>
      <c r="PWG338"/>
      <c r="PWH338"/>
      <c r="PWK338"/>
      <c r="PWL338"/>
      <c r="PWO338"/>
      <c r="PWP338"/>
      <c r="PWS338"/>
      <c r="PWT338"/>
      <c r="PWW338"/>
      <c r="PWX338"/>
      <c r="PXA338"/>
      <c r="PXB338"/>
      <c r="PXE338"/>
      <c r="PXF338"/>
      <c r="PXI338"/>
      <c r="PXJ338"/>
      <c r="PXM338"/>
      <c r="PXN338"/>
      <c r="PXQ338"/>
      <c r="PXR338"/>
      <c r="PXU338"/>
      <c r="PXV338"/>
      <c r="PXY338"/>
      <c r="PXZ338"/>
      <c r="PYC338"/>
      <c r="PYD338"/>
      <c r="PYG338"/>
      <c r="PYH338"/>
      <c r="PYK338"/>
      <c r="PYL338"/>
      <c r="PYO338"/>
      <c r="PYP338"/>
      <c r="PYS338"/>
      <c r="PYT338"/>
      <c r="PYW338"/>
      <c r="PYX338"/>
      <c r="PZA338"/>
      <c r="PZB338"/>
      <c r="PZE338"/>
      <c r="PZF338"/>
      <c r="PZI338"/>
      <c r="PZJ338"/>
      <c r="PZM338"/>
      <c r="PZN338"/>
      <c r="PZQ338"/>
      <c r="PZR338"/>
      <c r="PZU338"/>
      <c r="PZV338"/>
      <c r="PZY338"/>
      <c r="PZZ338"/>
      <c r="QAC338"/>
      <c r="QAD338"/>
      <c r="QAG338"/>
      <c r="QAH338"/>
      <c r="QAK338"/>
      <c r="QAL338"/>
      <c r="QAO338"/>
      <c r="QAP338"/>
      <c r="QAS338"/>
      <c r="QAT338"/>
      <c r="QAW338"/>
      <c r="QAX338"/>
      <c r="QBA338"/>
      <c r="QBB338"/>
      <c r="QBE338"/>
      <c r="QBF338"/>
      <c r="QBI338"/>
      <c r="QBJ338"/>
      <c r="QBM338"/>
      <c r="QBN338"/>
      <c r="QBQ338"/>
      <c r="QBR338"/>
      <c r="QBU338"/>
      <c r="QBV338"/>
      <c r="QBY338"/>
      <c r="QBZ338"/>
      <c r="QCC338"/>
      <c r="QCD338"/>
      <c r="QCG338"/>
      <c r="QCH338"/>
      <c r="QCK338"/>
      <c r="QCL338"/>
      <c r="QCO338"/>
      <c r="QCP338"/>
      <c r="QCS338"/>
      <c r="QCT338"/>
      <c r="QCW338"/>
      <c r="QCX338"/>
      <c r="QDA338"/>
      <c r="QDB338"/>
      <c r="QDE338"/>
      <c r="QDF338"/>
      <c r="QDI338"/>
      <c r="QDJ338"/>
      <c r="QDM338"/>
      <c r="QDN338"/>
      <c r="QDQ338"/>
      <c r="QDR338"/>
      <c r="QDU338"/>
      <c r="QDV338"/>
      <c r="QDY338"/>
      <c r="QDZ338"/>
      <c r="QEC338"/>
      <c r="QED338"/>
      <c r="QEG338"/>
      <c r="QEH338"/>
      <c r="QEK338"/>
      <c r="QEL338"/>
      <c r="QEO338"/>
      <c r="QEP338"/>
      <c r="QES338"/>
      <c r="QET338"/>
      <c r="QEW338"/>
      <c r="QEX338"/>
      <c r="QFA338"/>
      <c r="QFB338"/>
      <c r="QFE338"/>
      <c r="QFF338"/>
      <c r="QFI338"/>
      <c r="QFJ338"/>
      <c r="QFM338"/>
      <c r="QFN338"/>
      <c r="QFQ338"/>
      <c r="QFR338"/>
      <c r="QFU338"/>
      <c r="QFV338"/>
      <c r="QFY338"/>
      <c r="QFZ338"/>
      <c r="QGC338"/>
      <c r="QGD338"/>
      <c r="QGG338"/>
      <c r="QGH338"/>
      <c r="QGK338"/>
      <c r="QGL338"/>
      <c r="QGO338"/>
      <c r="QGP338"/>
      <c r="QGS338"/>
      <c r="QGT338"/>
      <c r="QGW338"/>
      <c r="QGX338"/>
      <c r="QHA338"/>
      <c r="QHB338"/>
      <c r="QHE338"/>
      <c r="QHF338"/>
      <c r="QHI338"/>
      <c r="QHJ338"/>
      <c r="QHM338"/>
      <c r="QHN338"/>
      <c r="QHQ338"/>
      <c r="QHR338"/>
      <c r="QHU338"/>
      <c r="QHV338"/>
      <c r="QHY338"/>
      <c r="QHZ338"/>
      <c r="QIC338"/>
      <c r="QID338"/>
      <c r="QIG338"/>
      <c r="QIH338"/>
      <c r="QIK338"/>
      <c r="QIL338"/>
      <c r="QIO338"/>
      <c r="QIP338"/>
      <c r="QIS338"/>
      <c r="QIT338"/>
      <c r="QIW338"/>
      <c r="QIX338"/>
      <c r="QJA338"/>
      <c r="QJB338"/>
      <c r="QJE338"/>
      <c r="QJF338"/>
      <c r="QJI338"/>
      <c r="QJJ338"/>
      <c r="QJM338"/>
      <c r="QJN338"/>
      <c r="QJQ338"/>
      <c r="QJR338"/>
      <c r="QJU338"/>
      <c r="QJV338"/>
      <c r="QJY338"/>
      <c r="QJZ338"/>
      <c r="QKC338"/>
      <c r="QKD338"/>
      <c r="QKG338"/>
      <c r="QKH338"/>
      <c r="QKK338"/>
      <c r="QKL338"/>
      <c r="QKO338"/>
      <c r="QKP338"/>
      <c r="QKS338"/>
      <c r="QKT338"/>
      <c r="QKW338"/>
      <c r="QKX338"/>
      <c r="QLA338"/>
      <c r="QLB338"/>
      <c r="QLE338"/>
      <c r="QLF338"/>
      <c r="QLI338"/>
      <c r="QLJ338"/>
      <c r="QLM338"/>
      <c r="QLN338"/>
      <c r="QLQ338"/>
      <c r="QLR338"/>
      <c r="QLU338"/>
      <c r="QLV338"/>
      <c r="QLY338"/>
      <c r="QLZ338"/>
      <c r="QMC338"/>
      <c r="QMD338"/>
      <c r="QMG338"/>
      <c r="QMH338"/>
      <c r="QMK338"/>
      <c r="QML338"/>
      <c r="QMO338"/>
      <c r="QMP338"/>
      <c r="QMS338"/>
      <c r="QMT338"/>
      <c r="QMW338"/>
      <c r="QMX338"/>
      <c r="QNA338"/>
      <c r="QNB338"/>
      <c r="QNE338"/>
      <c r="QNF338"/>
      <c r="QNI338"/>
      <c r="QNJ338"/>
      <c r="QNM338"/>
      <c r="QNN338"/>
      <c r="QNQ338"/>
      <c r="QNR338"/>
      <c r="QNU338"/>
      <c r="QNV338"/>
      <c r="QNY338"/>
      <c r="QNZ338"/>
      <c r="QOC338"/>
      <c r="QOD338"/>
      <c r="QOG338"/>
      <c r="QOH338"/>
      <c r="QOK338"/>
      <c r="QOL338"/>
      <c r="QOO338"/>
      <c r="QOP338"/>
      <c r="QOS338"/>
      <c r="QOT338"/>
      <c r="QOW338"/>
      <c r="QOX338"/>
      <c r="QPA338"/>
      <c r="QPB338"/>
      <c r="QPE338"/>
      <c r="QPF338"/>
      <c r="QPI338"/>
      <c r="QPJ338"/>
      <c r="QPM338"/>
      <c r="QPN338"/>
      <c r="QPQ338"/>
      <c r="QPR338"/>
      <c r="QPU338"/>
      <c r="QPV338"/>
      <c r="QPY338"/>
      <c r="QPZ338"/>
      <c r="QQC338"/>
      <c r="QQD338"/>
      <c r="QQG338"/>
      <c r="QQH338"/>
      <c r="QQK338"/>
      <c r="QQL338"/>
      <c r="QQO338"/>
      <c r="QQP338"/>
      <c r="QQS338"/>
      <c r="QQT338"/>
      <c r="QQW338"/>
      <c r="QQX338"/>
      <c r="QRA338"/>
      <c r="QRB338"/>
      <c r="QRE338"/>
      <c r="QRF338"/>
      <c r="QRI338"/>
      <c r="QRJ338"/>
      <c r="QRM338"/>
      <c r="QRN338"/>
      <c r="QRQ338"/>
      <c r="QRR338"/>
      <c r="QRU338"/>
      <c r="QRV338"/>
      <c r="QRY338"/>
      <c r="QRZ338"/>
      <c r="QSC338"/>
      <c r="QSD338"/>
      <c r="QSG338"/>
      <c r="QSH338"/>
      <c r="QSK338"/>
      <c r="QSL338"/>
      <c r="QSO338"/>
      <c r="QSP338"/>
      <c r="QSS338"/>
      <c r="QST338"/>
      <c r="QSW338"/>
      <c r="QSX338"/>
      <c r="QTA338"/>
      <c r="QTB338"/>
      <c r="QTE338"/>
      <c r="QTF338"/>
      <c r="QTI338"/>
      <c r="QTJ338"/>
      <c r="QTM338"/>
      <c r="QTN338"/>
      <c r="QTQ338"/>
      <c r="QTR338"/>
      <c r="QTU338"/>
      <c r="QTV338"/>
      <c r="QTY338"/>
      <c r="QTZ338"/>
      <c r="QUC338"/>
      <c r="QUD338"/>
      <c r="QUG338"/>
      <c r="QUH338"/>
      <c r="QUK338"/>
      <c r="QUL338"/>
      <c r="QUO338"/>
      <c r="QUP338"/>
      <c r="QUS338"/>
      <c r="QUT338"/>
      <c r="QUW338"/>
      <c r="QUX338"/>
      <c r="QVA338"/>
      <c r="QVB338"/>
      <c r="QVE338"/>
      <c r="QVF338"/>
      <c r="QVI338"/>
      <c r="QVJ338"/>
      <c r="QVM338"/>
      <c r="QVN338"/>
      <c r="QVQ338"/>
      <c r="QVR338"/>
      <c r="QVU338"/>
      <c r="QVV338"/>
      <c r="QVY338"/>
      <c r="QVZ338"/>
      <c r="QWC338"/>
      <c r="QWD338"/>
      <c r="QWG338"/>
      <c r="QWH338"/>
      <c r="QWK338"/>
      <c r="QWL338"/>
      <c r="QWO338"/>
      <c r="QWP338"/>
      <c r="QWS338"/>
      <c r="QWT338"/>
      <c r="QWW338"/>
      <c r="QWX338"/>
      <c r="QXA338"/>
      <c r="QXB338"/>
      <c r="QXE338"/>
      <c r="QXF338"/>
      <c r="QXI338"/>
      <c r="QXJ338"/>
      <c r="QXM338"/>
      <c r="QXN338"/>
      <c r="QXQ338"/>
      <c r="QXR338"/>
      <c r="QXU338"/>
      <c r="QXV338"/>
      <c r="QXY338"/>
      <c r="QXZ338"/>
      <c r="QYC338"/>
      <c r="QYD338"/>
      <c r="QYG338"/>
      <c r="QYH338"/>
      <c r="QYK338"/>
      <c r="QYL338"/>
      <c r="QYO338"/>
      <c r="QYP338"/>
      <c r="QYS338"/>
      <c r="QYT338"/>
      <c r="QYW338"/>
      <c r="QYX338"/>
      <c r="QZA338"/>
      <c r="QZB338"/>
      <c r="QZE338"/>
      <c r="QZF338"/>
      <c r="QZI338"/>
      <c r="QZJ338"/>
      <c r="QZM338"/>
      <c r="QZN338"/>
      <c r="QZQ338"/>
      <c r="QZR338"/>
      <c r="QZU338"/>
      <c r="QZV338"/>
      <c r="QZY338"/>
      <c r="QZZ338"/>
      <c r="RAC338"/>
      <c r="RAD338"/>
      <c r="RAG338"/>
      <c r="RAH338"/>
      <c r="RAK338"/>
      <c r="RAL338"/>
      <c r="RAO338"/>
      <c r="RAP338"/>
      <c r="RAS338"/>
      <c r="RAT338"/>
      <c r="RAW338"/>
      <c r="RAX338"/>
      <c r="RBA338"/>
      <c r="RBB338"/>
      <c r="RBE338"/>
      <c r="RBF338"/>
      <c r="RBI338"/>
      <c r="RBJ338"/>
      <c r="RBM338"/>
      <c r="RBN338"/>
      <c r="RBQ338"/>
      <c r="RBR338"/>
      <c r="RBU338"/>
      <c r="RBV338"/>
      <c r="RBY338"/>
      <c r="RBZ338"/>
      <c r="RCC338"/>
      <c r="RCD338"/>
      <c r="RCG338"/>
      <c r="RCH338"/>
      <c r="RCK338"/>
      <c r="RCL338"/>
      <c r="RCO338"/>
      <c r="RCP338"/>
      <c r="RCS338"/>
      <c r="RCT338"/>
      <c r="RCW338"/>
      <c r="RCX338"/>
      <c r="RDA338"/>
      <c r="RDB338"/>
      <c r="RDE338"/>
      <c r="RDF338"/>
      <c r="RDI338"/>
      <c r="RDJ338"/>
      <c r="RDM338"/>
      <c r="RDN338"/>
      <c r="RDQ338"/>
      <c r="RDR338"/>
      <c r="RDU338"/>
      <c r="RDV338"/>
      <c r="RDY338"/>
      <c r="RDZ338"/>
      <c r="REC338"/>
      <c r="RED338"/>
      <c r="REG338"/>
      <c r="REH338"/>
      <c r="REK338"/>
      <c r="REL338"/>
      <c r="REO338"/>
      <c r="REP338"/>
      <c r="RES338"/>
      <c r="RET338"/>
      <c r="REW338"/>
      <c r="REX338"/>
      <c r="RFA338"/>
      <c r="RFB338"/>
      <c r="RFE338"/>
      <c r="RFF338"/>
      <c r="RFI338"/>
      <c r="RFJ338"/>
      <c r="RFM338"/>
      <c r="RFN338"/>
      <c r="RFQ338"/>
      <c r="RFR338"/>
      <c r="RFU338"/>
      <c r="RFV338"/>
      <c r="RFY338"/>
      <c r="RFZ338"/>
      <c r="RGC338"/>
      <c r="RGD338"/>
      <c r="RGG338"/>
      <c r="RGH338"/>
      <c r="RGK338"/>
      <c r="RGL338"/>
      <c r="RGO338"/>
      <c r="RGP338"/>
      <c r="RGS338"/>
      <c r="RGT338"/>
      <c r="RGW338"/>
      <c r="RGX338"/>
      <c r="RHA338"/>
      <c r="RHB338"/>
      <c r="RHE338"/>
      <c r="RHF338"/>
      <c r="RHI338"/>
      <c r="RHJ338"/>
      <c r="RHM338"/>
      <c r="RHN338"/>
      <c r="RHQ338"/>
      <c r="RHR338"/>
      <c r="RHU338"/>
      <c r="RHV338"/>
      <c r="RHY338"/>
      <c r="RHZ338"/>
      <c r="RIC338"/>
      <c r="RID338"/>
      <c r="RIG338"/>
      <c r="RIH338"/>
      <c r="RIK338"/>
      <c r="RIL338"/>
      <c r="RIO338"/>
      <c r="RIP338"/>
      <c r="RIS338"/>
      <c r="RIT338"/>
      <c r="RIW338"/>
      <c r="RIX338"/>
      <c r="RJA338"/>
      <c r="RJB338"/>
      <c r="RJE338"/>
      <c r="RJF338"/>
      <c r="RJI338"/>
      <c r="RJJ338"/>
      <c r="RJM338"/>
      <c r="RJN338"/>
      <c r="RJQ338"/>
      <c r="RJR338"/>
      <c r="RJU338"/>
      <c r="RJV338"/>
      <c r="RJY338"/>
      <c r="RJZ338"/>
      <c r="RKC338"/>
      <c r="RKD338"/>
      <c r="RKG338"/>
      <c r="RKH338"/>
      <c r="RKK338"/>
      <c r="RKL338"/>
      <c r="RKO338"/>
      <c r="RKP338"/>
      <c r="RKS338"/>
      <c r="RKT338"/>
      <c r="RKW338"/>
      <c r="RKX338"/>
      <c r="RLA338"/>
      <c r="RLB338"/>
      <c r="RLE338"/>
      <c r="RLF338"/>
      <c r="RLI338"/>
      <c r="RLJ338"/>
      <c r="RLM338"/>
      <c r="RLN338"/>
      <c r="RLQ338"/>
      <c r="RLR338"/>
      <c r="RLU338"/>
      <c r="RLV338"/>
      <c r="RLY338"/>
      <c r="RLZ338"/>
      <c r="RMC338"/>
      <c r="RMD338"/>
      <c r="RMG338"/>
      <c r="RMH338"/>
      <c r="RMK338"/>
      <c r="RML338"/>
      <c r="RMO338"/>
      <c r="RMP338"/>
      <c r="RMS338"/>
      <c r="RMT338"/>
      <c r="RMW338"/>
      <c r="RMX338"/>
      <c r="RNA338"/>
      <c r="RNB338"/>
      <c r="RNE338"/>
      <c r="RNF338"/>
      <c r="RNI338"/>
      <c r="RNJ338"/>
      <c r="RNM338"/>
      <c r="RNN338"/>
      <c r="RNQ338"/>
      <c r="RNR338"/>
      <c r="RNU338"/>
      <c r="RNV338"/>
      <c r="RNY338"/>
      <c r="RNZ338"/>
      <c r="ROC338"/>
      <c r="ROD338"/>
      <c r="ROG338"/>
      <c r="ROH338"/>
      <c r="ROK338"/>
      <c r="ROL338"/>
      <c r="ROO338"/>
      <c r="ROP338"/>
      <c r="ROS338"/>
      <c r="ROT338"/>
      <c r="ROW338"/>
      <c r="ROX338"/>
      <c r="RPA338"/>
      <c r="RPB338"/>
      <c r="RPE338"/>
      <c r="RPF338"/>
      <c r="RPI338"/>
      <c r="RPJ338"/>
      <c r="RPM338"/>
      <c r="RPN338"/>
      <c r="RPQ338"/>
      <c r="RPR338"/>
      <c r="RPU338"/>
      <c r="RPV338"/>
      <c r="RPY338"/>
      <c r="RPZ338"/>
      <c r="RQC338"/>
      <c r="RQD338"/>
      <c r="RQG338"/>
      <c r="RQH338"/>
      <c r="RQK338"/>
      <c r="RQL338"/>
      <c r="RQO338"/>
      <c r="RQP338"/>
      <c r="RQS338"/>
      <c r="RQT338"/>
      <c r="RQW338"/>
      <c r="RQX338"/>
      <c r="RRA338"/>
      <c r="RRB338"/>
      <c r="RRE338"/>
      <c r="RRF338"/>
      <c r="RRI338"/>
      <c r="RRJ338"/>
      <c r="RRM338"/>
      <c r="RRN338"/>
      <c r="RRQ338"/>
      <c r="RRR338"/>
      <c r="RRU338"/>
      <c r="RRV338"/>
      <c r="RRY338"/>
      <c r="RRZ338"/>
      <c r="RSC338"/>
      <c r="RSD338"/>
      <c r="RSG338"/>
      <c r="RSH338"/>
      <c r="RSK338"/>
      <c r="RSL338"/>
      <c r="RSO338"/>
      <c r="RSP338"/>
      <c r="RSS338"/>
      <c r="RST338"/>
      <c r="RSW338"/>
      <c r="RSX338"/>
      <c r="RTA338"/>
      <c r="RTB338"/>
      <c r="RTE338"/>
      <c r="RTF338"/>
      <c r="RTI338"/>
      <c r="RTJ338"/>
      <c r="RTM338"/>
      <c r="RTN338"/>
      <c r="RTQ338"/>
      <c r="RTR338"/>
      <c r="RTU338"/>
      <c r="RTV338"/>
      <c r="RTY338"/>
      <c r="RTZ338"/>
      <c r="RUC338"/>
      <c r="RUD338"/>
      <c r="RUG338"/>
      <c r="RUH338"/>
      <c r="RUK338"/>
      <c r="RUL338"/>
      <c r="RUO338"/>
      <c r="RUP338"/>
      <c r="RUS338"/>
      <c r="RUT338"/>
      <c r="RUW338"/>
      <c r="RUX338"/>
      <c r="RVA338"/>
      <c r="RVB338"/>
      <c r="RVE338"/>
      <c r="RVF338"/>
      <c r="RVI338"/>
      <c r="RVJ338"/>
      <c r="RVM338"/>
      <c r="RVN338"/>
      <c r="RVQ338"/>
      <c r="RVR338"/>
      <c r="RVU338"/>
      <c r="RVV338"/>
      <c r="RVY338"/>
      <c r="RVZ338"/>
      <c r="RWC338"/>
      <c r="RWD338"/>
      <c r="RWG338"/>
      <c r="RWH338"/>
      <c r="RWK338"/>
      <c r="RWL338"/>
      <c r="RWO338"/>
      <c r="RWP338"/>
      <c r="RWS338"/>
      <c r="RWT338"/>
      <c r="RWW338"/>
      <c r="RWX338"/>
      <c r="RXA338"/>
      <c r="RXB338"/>
      <c r="RXE338"/>
      <c r="RXF338"/>
      <c r="RXI338"/>
      <c r="RXJ338"/>
      <c r="RXM338"/>
      <c r="RXN338"/>
      <c r="RXQ338"/>
      <c r="RXR338"/>
      <c r="RXU338"/>
      <c r="RXV338"/>
      <c r="RXY338"/>
      <c r="RXZ338"/>
      <c r="RYC338"/>
      <c r="RYD338"/>
      <c r="RYG338"/>
      <c r="RYH338"/>
      <c r="RYK338"/>
      <c r="RYL338"/>
      <c r="RYO338"/>
      <c r="RYP338"/>
      <c r="RYS338"/>
      <c r="RYT338"/>
      <c r="RYW338"/>
      <c r="RYX338"/>
      <c r="RZA338"/>
      <c r="RZB338"/>
      <c r="RZE338"/>
      <c r="RZF338"/>
      <c r="RZI338"/>
      <c r="RZJ338"/>
      <c r="RZM338"/>
      <c r="RZN338"/>
      <c r="RZQ338"/>
      <c r="RZR338"/>
      <c r="RZU338"/>
      <c r="RZV338"/>
      <c r="RZY338"/>
      <c r="RZZ338"/>
      <c r="SAC338"/>
      <c r="SAD338"/>
      <c r="SAG338"/>
      <c r="SAH338"/>
      <c r="SAK338"/>
      <c r="SAL338"/>
      <c r="SAO338"/>
      <c r="SAP338"/>
      <c r="SAS338"/>
      <c r="SAT338"/>
      <c r="SAW338"/>
      <c r="SAX338"/>
      <c r="SBA338"/>
      <c r="SBB338"/>
      <c r="SBE338"/>
      <c r="SBF338"/>
      <c r="SBI338"/>
      <c r="SBJ338"/>
      <c r="SBM338"/>
      <c r="SBN338"/>
      <c r="SBQ338"/>
      <c r="SBR338"/>
      <c r="SBU338"/>
      <c r="SBV338"/>
      <c r="SBY338"/>
      <c r="SBZ338"/>
      <c r="SCC338"/>
      <c r="SCD338"/>
      <c r="SCG338"/>
      <c r="SCH338"/>
      <c r="SCK338"/>
      <c r="SCL338"/>
      <c r="SCO338"/>
      <c r="SCP338"/>
      <c r="SCS338"/>
      <c r="SCT338"/>
      <c r="SCW338"/>
      <c r="SCX338"/>
      <c r="SDA338"/>
      <c r="SDB338"/>
      <c r="SDE338"/>
      <c r="SDF338"/>
      <c r="SDI338"/>
      <c r="SDJ338"/>
      <c r="SDM338"/>
      <c r="SDN338"/>
      <c r="SDQ338"/>
      <c r="SDR338"/>
      <c r="SDU338"/>
      <c r="SDV338"/>
      <c r="SDY338"/>
      <c r="SDZ338"/>
      <c r="SEC338"/>
      <c r="SED338"/>
      <c r="SEG338"/>
      <c r="SEH338"/>
      <c r="SEK338"/>
      <c r="SEL338"/>
      <c r="SEO338"/>
      <c r="SEP338"/>
      <c r="SES338"/>
      <c r="SET338"/>
      <c r="SEW338"/>
      <c r="SEX338"/>
      <c r="SFA338"/>
      <c r="SFB338"/>
      <c r="SFE338"/>
      <c r="SFF338"/>
      <c r="SFI338"/>
      <c r="SFJ338"/>
      <c r="SFM338"/>
      <c r="SFN338"/>
      <c r="SFQ338"/>
      <c r="SFR338"/>
      <c r="SFU338"/>
      <c r="SFV338"/>
      <c r="SFY338"/>
      <c r="SFZ338"/>
      <c r="SGC338"/>
      <c r="SGD338"/>
      <c r="SGG338"/>
      <c r="SGH338"/>
      <c r="SGK338"/>
      <c r="SGL338"/>
      <c r="SGO338"/>
      <c r="SGP338"/>
      <c r="SGS338"/>
      <c r="SGT338"/>
      <c r="SGW338"/>
      <c r="SGX338"/>
      <c r="SHA338"/>
      <c r="SHB338"/>
      <c r="SHE338"/>
      <c r="SHF338"/>
      <c r="SHI338"/>
      <c r="SHJ338"/>
      <c r="SHM338"/>
      <c r="SHN338"/>
      <c r="SHQ338"/>
      <c r="SHR338"/>
      <c r="SHU338"/>
      <c r="SHV338"/>
      <c r="SHY338"/>
      <c r="SHZ338"/>
      <c r="SIC338"/>
      <c r="SID338"/>
      <c r="SIG338"/>
      <c r="SIH338"/>
      <c r="SIK338"/>
      <c r="SIL338"/>
      <c r="SIO338"/>
      <c r="SIP338"/>
      <c r="SIS338"/>
      <c r="SIT338"/>
      <c r="SIW338"/>
      <c r="SIX338"/>
      <c r="SJA338"/>
      <c r="SJB338"/>
      <c r="SJE338"/>
      <c r="SJF338"/>
      <c r="SJI338"/>
      <c r="SJJ338"/>
      <c r="SJM338"/>
      <c r="SJN338"/>
      <c r="SJQ338"/>
      <c r="SJR338"/>
      <c r="SJU338"/>
      <c r="SJV338"/>
      <c r="SJY338"/>
      <c r="SJZ338"/>
      <c r="SKC338"/>
      <c r="SKD338"/>
      <c r="SKG338"/>
      <c r="SKH338"/>
      <c r="SKK338"/>
      <c r="SKL338"/>
      <c r="SKO338"/>
      <c r="SKP338"/>
      <c r="SKS338"/>
      <c r="SKT338"/>
      <c r="SKW338"/>
      <c r="SKX338"/>
      <c r="SLA338"/>
      <c r="SLB338"/>
      <c r="SLE338"/>
      <c r="SLF338"/>
      <c r="SLI338"/>
      <c r="SLJ338"/>
      <c r="SLM338"/>
      <c r="SLN338"/>
      <c r="SLQ338"/>
      <c r="SLR338"/>
      <c r="SLU338"/>
      <c r="SLV338"/>
      <c r="SLY338"/>
      <c r="SLZ338"/>
      <c r="SMC338"/>
      <c r="SMD338"/>
      <c r="SMG338"/>
      <c r="SMH338"/>
      <c r="SMK338"/>
      <c r="SML338"/>
      <c r="SMO338"/>
      <c r="SMP338"/>
      <c r="SMS338"/>
      <c r="SMT338"/>
      <c r="SMW338"/>
      <c r="SMX338"/>
      <c r="SNA338"/>
      <c r="SNB338"/>
      <c r="SNE338"/>
      <c r="SNF338"/>
      <c r="SNI338"/>
      <c r="SNJ338"/>
      <c r="SNM338"/>
      <c r="SNN338"/>
      <c r="SNQ338"/>
      <c r="SNR338"/>
      <c r="SNU338"/>
      <c r="SNV338"/>
      <c r="SNY338"/>
      <c r="SNZ338"/>
      <c r="SOC338"/>
      <c r="SOD338"/>
      <c r="SOG338"/>
      <c r="SOH338"/>
      <c r="SOK338"/>
      <c r="SOL338"/>
      <c r="SOO338"/>
      <c r="SOP338"/>
      <c r="SOS338"/>
      <c r="SOT338"/>
      <c r="SOW338"/>
      <c r="SOX338"/>
      <c r="SPA338"/>
      <c r="SPB338"/>
      <c r="SPE338"/>
      <c r="SPF338"/>
      <c r="SPI338"/>
      <c r="SPJ338"/>
      <c r="SPM338"/>
      <c r="SPN338"/>
      <c r="SPQ338"/>
      <c r="SPR338"/>
      <c r="SPU338"/>
      <c r="SPV338"/>
      <c r="SPY338"/>
      <c r="SPZ338"/>
      <c r="SQC338"/>
      <c r="SQD338"/>
      <c r="SQG338"/>
      <c r="SQH338"/>
      <c r="SQK338"/>
      <c r="SQL338"/>
      <c r="SQO338"/>
      <c r="SQP338"/>
      <c r="SQS338"/>
      <c r="SQT338"/>
      <c r="SQW338"/>
      <c r="SQX338"/>
      <c r="SRA338"/>
      <c r="SRB338"/>
      <c r="SRE338"/>
      <c r="SRF338"/>
      <c r="SRI338"/>
      <c r="SRJ338"/>
      <c r="SRM338"/>
      <c r="SRN338"/>
      <c r="SRQ338"/>
      <c r="SRR338"/>
      <c r="SRU338"/>
      <c r="SRV338"/>
      <c r="SRY338"/>
      <c r="SRZ338"/>
      <c r="SSC338"/>
      <c r="SSD338"/>
      <c r="SSG338"/>
      <c r="SSH338"/>
      <c r="SSK338"/>
      <c r="SSL338"/>
      <c r="SSO338"/>
      <c r="SSP338"/>
      <c r="SSS338"/>
      <c r="SST338"/>
      <c r="SSW338"/>
      <c r="SSX338"/>
      <c r="STA338"/>
      <c r="STB338"/>
      <c r="STE338"/>
      <c r="STF338"/>
      <c r="STI338"/>
      <c r="STJ338"/>
      <c r="STM338"/>
      <c r="STN338"/>
      <c r="STQ338"/>
      <c r="STR338"/>
      <c r="STU338"/>
      <c r="STV338"/>
      <c r="STY338"/>
      <c r="STZ338"/>
      <c r="SUC338"/>
      <c r="SUD338"/>
      <c r="SUG338"/>
      <c r="SUH338"/>
      <c r="SUK338"/>
      <c r="SUL338"/>
      <c r="SUO338"/>
      <c r="SUP338"/>
      <c r="SUS338"/>
      <c r="SUT338"/>
      <c r="SUW338"/>
      <c r="SUX338"/>
      <c r="SVA338"/>
      <c r="SVB338"/>
      <c r="SVE338"/>
      <c r="SVF338"/>
      <c r="SVI338"/>
      <c r="SVJ338"/>
      <c r="SVM338"/>
      <c r="SVN338"/>
      <c r="SVQ338"/>
      <c r="SVR338"/>
      <c r="SVU338"/>
      <c r="SVV338"/>
      <c r="SVY338"/>
      <c r="SVZ338"/>
      <c r="SWC338"/>
      <c r="SWD338"/>
      <c r="SWG338"/>
      <c r="SWH338"/>
      <c r="SWK338"/>
      <c r="SWL338"/>
      <c r="SWO338"/>
      <c r="SWP338"/>
      <c r="SWS338"/>
      <c r="SWT338"/>
      <c r="SWW338"/>
      <c r="SWX338"/>
      <c r="SXA338"/>
      <c r="SXB338"/>
      <c r="SXE338"/>
      <c r="SXF338"/>
      <c r="SXI338"/>
      <c r="SXJ338"/>
      <c r="SXM338"/>
      <c r="SXN338"/>
      <c r="SXQ338"/>
      <c r="SXR338"/>
      <c r="SXU338"/>
      <c r="SXV338"/>
      <c r="SXY338"/>
      <c r="SXZ338"/>
      <c r="SYC338"/>
      <c r="SYD338"/>
      <c r="SYG338"/>
      <c r="SYH338"/>
      <c r="SYK338"/>
      <c r="SYL338"/>
      <c r="SYO338"/>
      <c r="SYP338"/>
      <c r="SYS338"/>
      <c r="SYT338"/>
      <c r="SYW338"/>
      <c r="SYX338"/>
      <c r="SZA338"/>
      <c r="SZB338"/>
      <c r="SZE338"/>
      <c r="SZF338"/>
      <c r="SZI338"/>
      <c r="SZJ338"/>
      <c r="SZM338"/>
      <c r="SZN338"/>
      <c r="SZQ338"/>
      <c r="SZR338"/>
      <c r="SZU338"/>
      <c r="SZV338"/>
      <c r="SZY338"/>
      <c r="SZZ338"/>
      <c r="TAC338"/>
      <c r="TAD338"/>
      <c r="TAG338"/>
      <c r="TAH338"/>
      <c r="TAK338"/>
      <c r="TAL338"/>
      <c r="TAO338"/>
      <c r="TAP338"/>
      <c r="TAS338"/>
      <c r="TAT338"/>
      <c r="TAW338"/>
      <c r="TAX338"/>
      <c r="TBA338"/>
      <c r="TBB338"/>
      <c r="TBE338"/>
      <c r="TBF338"/>
      <c r="TBI338"/>
      <c r="TBJ338"/>
      <c r="TBM338"/>
      <c r="TBN338"/>
      <c r="TBQ338"/>
      <c r="TBR338"/>
      <c r="TBU338"/>
      <c r="TBV338"/>
      <c r="TBY338"/>
      <c r="TBZ338"/>
      <c r="TCC338"/>
      <c r="TCD338"/>
      <c r="TCG338"/>
      <c r="TCH338"/>
      <c r="TCK338"/>
      <c r="TCL338"/>
      <c r="TCO338"/>
      <c r="TCP338"/>
      <c r="TCS338"/>
      <c r="TCT338"/>
      <c r="TCW338"/>
      <c r="TCX338"/>
      <c r="TDA338"/>
      <c r="TDB338"/>
      <c r="TDE338"/>
      <c r="TDF338"/>
      <c r="TDI338"/>
      <c r="TDJ338"/>
      <c r="TDM338"/>
      <c r="TDN338"/>
      <c r="TDQ338"/>
      <c r="TDR338"/>
      <c r="TDU338"/>
      <c r="TDV338"/>
      <c r="TDY338"/>
      <c r="TDZ338"/>
      <c r="TEC338"/>
      <c r="TED338"/>
      <c r="TEG338"/>
      <c r="TEH338"/>
      <c r="TEK338"/>
      <c r="TEL338"/>
      <c r="TEO338"/>
      <c r="TEP338"/>
      <c r="TES338"/>
      <c r="TET338"/>
      <c r="TEW338"/>
      <c r="TEX338"/>
      <c r="TFA338"/>
      <c r="TFB338"/>
      <c r="TFE338"/>
      <c r="TFF338"/>
      <c r="TFI338"/>
      <c r="TFJ338"/>
      <c r="TFM338"/>
      <c r="TFN338"/>
      <c r="TFQ338"/>
      <c r="TFR338"/>
      <c r="TFU338"/>
      <c r="TFV338"/>
      <c r="TFY338"/>
      <c r="TFZ338"/>
      <c r="TGC338"/>
      <c r="TGD338"/>
      <c r="TGG338"/>
      <c r="TGH338"/>
      <c r="TGK338"/>
      <c r="TGL338"/>
      <c r="TGO338"/>
      <c r="TGP338"/>
      <c r="TGS338"/>
      <c r="TGT338"/>
      <c r="TGW338"/>
      <c r="TGX338"/>
      <c r="THA338"/>
      <c r="THB338"/>
      <c r="THE338"/>
      <c r="THF338"/>
      <c r="THI338"/>
      <c r="THJ338"/>
      <c r="THM338"/>
      <c r="THN338"/>
      <c r="THQ338"/>
      <c r="THR338"/>
      <c r="THU338"/>
      <c r="THV338"/>
      <c r="THY338"/>
      <c r="THZ338"/>
      <c r="TIC338"/>
      <c r="TID338"/>
      <c r="TIG338"/>
      <c r="TIH338"/>
      <c r="TIK338"/>
      <c r="TIL338"/>
      <c r="TIO338"/>
      <c r="TIP338"/>
      <c r="TIS338"/>
      <c r="TIT338"/>
      <c r="TIW338"/>
      <c r="TIX338"/>
      <c r="TJA338"/>
      <c r="TJB338"/>
      <c r="TJE338"/>
      <c r="TJF338"/>
      <c r="TJI338"/>
      <c r="TJJ338"/>
      <c r="TJM338"/>
      <c r="TJN338"/>
      <c r="TJQ338"/>
      <c r="TJR338"/>
      <c r="TJU338"/>
      <c r="TJV338"/>
      <c r="TJY338"/>
      <c r="TJZ338"/>
      <c r="TKC338"/>
      <c r="TKD338"/>
      <c r="TKG338"/>
      <c r="TKH338"/>
      <c r="TKK338"/>
      <c r="TKL338"/>
      <c r="TKO338"/>
      <c r="TKP338"/>
      <c r="TKS338"/>
      <c r="TKT338"/>
      <c r="TKW338"/>
      <c r="TKX338"/>
      <c r="TLA338"/>
      <c r="TLB338"/>
      <c r="TLE338"/>
      <c r="TLF338"/>
      <c r="TLI338"/>
      <c r="TLJ338"/>
      <c r="TLM338"/>
      <c r="TLN338"/>
      <c r="TLQ338"/>
      <c r="TLR338"/>
      <c r="TLU338"/>
      <c r="TLV338"/>
      <c r="TLY338"/>
      <c r="TLZ338"/>
      <c r="TMC338"/>
      <c r="TMD338"/>
      <c r="TMG338"/>
      <c r="TMH338"/>
      <c r="TMK338"/>
      <c r="TML338"/>
      <c r="TMO338"/>
      <c r="TMP338"/>
      <c r="TMS338"/>
      <c r="TMT338"/>
      <c r="TMW338"/>
      <c r="TMX338"/>
      <c r="TNA338"/>
      <c r="TNB338"/>
      <c r="TNE338"/>
      <c r="TNF338"/>
      <c r="TNI338"/>
      <c r="TNJ338"/>
      <c r="TNM338"/>
      <c r="TNN338"/>
      <c r="TNQ338"/>
      <c r="TNR338"/>
      <c r="TNU338"/>
      <c r="TNV338"/>
      <c r="TNY338"/>
      <c r="TNZ338"/>
      <c r="TOC338"/>
      <c r="TOD338"/>
      <c r="TOG338"/>
      <c r="TOH338"/>
      <c r="TOK338"/>
      <c r="TOL338"/>
      <c r="TOO338"/>
      <c r="TOP338"/>
      <c r="TOS338"/>
      <c r="TOT338"/>
      <c r="TOW338"/>
      <c r="TOX338"/>
      <c r="TPA338"/>
      <c r="TPB338"/>
      <c r="TPE338"/>
      <c r="TPF338"/>
      <c r="TPI338"/>
      <c r="TPJ338"/>
      <c r="TPM338"/>
      <c r="TPN338"/>
      <c r="TPQ338"/>
      <c r="TPR338"/>
      <c r="TPU338"/>
      <c r="TPV338"/>
      <c r="TPY338"/>
      <c r="TPZ338"/>
      <c r="TQC338"/>
      <c r="TQD338"/>
      <c r="TQG338"/>
      <c r="TQH338"/>
      <c r="TQK338"/>
      <c r="TQL338"/>
      <c r="TQO338"/>
      <c r="TQP338"/>
      <c r="TQS338"/>
      <c r="TQT338"/>
      <c r="TQW338"/>
      <c r="TQX338"/>
      <c r="TRA338"/>
      <c r="TRB338"/>
      <c r="TRE338"/>
      <c r="TRF338"/>
      <c r="TRI338"/>
      <c r="TRJ338"/>
      <c r="TRM338"/>
      <c r="TRN338"/>
      <c r="TRQ338"/>
      <c r="TRR338"/>
      <c r="TRU338"/>
      <c r="TRV338"/>
      <c r="TRY338"/>
      <c r="TRZ338"/>
      <c r="TSC338"/>
      <c r="TSD338"/>
      <c r="TSG338"/>
      <c r="TSH338"/>
      <c r="TSK338"/>
      <c r="TSL338"/>
      <c r="TSO338"/>
      <c r="TSP338"/>
      <c r="TSS338"/>
      <c r="TST338"/>
      <c r="TSW338"/>
      <c r="TSX338"/>
      <c r="TTA338"/>
      <c r="TTB338"/>
      <c r="TTE338"/>
      <c r="TTF338"/>
      <c r="TTI338"/>
      <c r="TTJ338"/>
      <c r="TTM338"/>
      <c r="TTN338"/>
      <c r="TTQ338"/>
      <c r="TTR338"/>
      <c r="TTU338"/>
      <c r="TTV338"/>
      <c r="TTY338"/>
      <c r="TTZ338"/>
      <c r="TUC338"/>
      <c r="TUD338"/>
      <c r="TUG338"/>
      <c r="TUH338"/>
      <c r="TUK338"/>
      <c r="TUL338"/>
      <c r="TUO338"/>
      <c r="TUP338"/>
      <c r="TUS338"/>
      <c r="TUT338"/>
      <c r="TUW338"/>
      <c r="TUX338"/>
      <c r="TVA338"/>
      <c r="TVB338"/>
      <c r="TVE338"/>
      <c r="TVF338"/>
      <c r="TVI338"/>
      <c r="TVJ338"/>
      <c r="TVM338"/>
      <c r="TVN338"/>
      <c r="TVQ338"/>
      <c r="TVR338"/>
      <c r="TVU338"/>
      <c r="TVV338"/>
      <c r="TVY338"/>
      <c r="TVZ338"/>
      <c r="TWC338"/>
      <c r="TWD338"/>
      <c r="TWG338"/>
      <c r="TWH338"/>
      <c r="TWK338"/>
      <c r="TWL338"/>
      <c r="TWO338"/>
      <c r="TWP338"/>
      <c r="TWS338"/>
      <c r="TWT338"/>
      <c r="TWW338"/>
      <c r="TWX338"/>
      <c r="TXA338"/>
      <c r="TXB338"/>
      <c r="TXE338"/>
      <c r="TXF338"/>
      <c r="TXI338"/>
      <c r="TXJ338"/>
      <c r="TXM338"/>
      <c r="TXN338"/>
      <c r="TXQ338"/>
      <c r="TXR338"/>
      <c r="TXU338"/>
      <c r="TXV338"/>
      <c r="TXY338"/>
      <c r="TXZ338"/>
      <c r="TYC338"/>
      <c r="TYD338"/>
      <c r="TYG338"/>
      <c r="TYH338"/>
      <c r="TYK338"/>
      <c r="TYL338"/>
      <c r="TYO338"/>
      <c r="TYP338"/>
      <c r="TYS338"/>
      <c r="TYT338"/>
      <c r="TYW338"/>
      <c r="TYX338"/>
      <c r="TZA338"/>
      <c r="TZB338"/>
      <c r="TZE338"/>
      <c r="TZF338"/>
      <c r="TZI338"/>
      <c r="TZJ338"/>
      <c r="TZM338"/>
      <c r="TZN338"/>
      <c r="TZQ338"/>
      <c r="TZR338"/>
      <c r="TZU338"/>
      <c r="TZV338"/>
      <c r="TZY338"/>
      <c r="TZZ338"/>
      <c r="UAC338"/>
      <c r="UAD338"/>
      <c r="UAG338"/>
      <c r="UAH338"/>
      <c r="UAK338"/>
      <c r="UAL338"/>
      <c r="UAO338"/>
      <c r="UAP338"/>
      <c r="UAS338"/>
      <c r="UAT338"/>
      <c r="UAW338"/>
      <c r="UAX338"/>
      <c r="UBA338"/>
      <c r="UBB338"/>
      <c r="UBE338"/>
      <c r="UBF338"/>
      <c r="UBI338"/>
      <c r="UBJ338"/>
      <c r="UBM338"/>
      <c r="UBN338"/>
      <c r="UBQ338"/>
      <c r="UBR338"/>
      <c r="UBU338"/>
      <c r="UBV338"/>
      <c r="UBY338"/>
      <c r="UBZ338"/>
      <c r="UCC338"/>
      <c r="UCD338"/>
      <c r="UCG338"/>
      <c r="UCH338"/>
      <c r="UCK338"/>
      <c r="UCL338"/>
      <c r="UCO338"/>
      <c r="UCP338"/>
      <c r="UCS338"/>
      <c r="UCT338"/>
      <c r="UCW338"/>
      <c r="UCX338"/>
      <c r="UDA338"/>
      <c r="UDB338"/>
      <c r="UDE338"/>
      <c r="UDF338"/>
      <c r="UDI338"/>
      <c r="UDJ338"/>
      <c r="UDM338"/>
      <c r="UDN338"/>
      <c r="UDQ338"/>
      <c r="UDR338"/>
      <c r="UDU338"/>
      <c r="UDV338"/>
      <c r="UDY338"/>
      <c r="UDZ338"/>
      <c r="UEC338"/>
      <c r="UED338"/>
      <c r="UEG338"/>
      <c r="UEH338"/>
      <c r="UEK338"/>
      <c r="UEL338"/>
      <c r="UEO338"/>
      <c r="UEP338"/>
      <c r="UES338"/>
      <c r="UET338"/>
      <c r="UEW338"/>
      <c r="UEX338"/>
      <c r="UFA338"/>
      <c r="UFB338"/>
      <c r="UFE338"/>
      <c r="UFF338"/>
      <c r="UFI338"/>
      <c r="UFJ338"/>
      <c r="UFM338"/>
      <c r="UFN338"/>
      <c r="UFQ338"/>
      <c r="UFR338"/>
      <c r="UFU338"/>
      <c r="UFV338"/>
      <c r="UFY338"/>
      <c r="UFZ338"/>
      <c r="UGC338"/>
      <c r="UGD338"/>
      <c r="UGG338"/>
      <c r="UGH338"/>
      <c r="UGK338"/>
      <c r="UGL338"/>
      <c r="UGO338"/>
      <c r="UGP338"/>
      <c r="UGS338"/>
      <c r="UGT338"/>
      <c r="UGW338"/>
      <c r="UGX338"/>
      <c r="UHA338"/>
      <c r="UHB338"/>
      <c r="UHE338"/>
      <c r="UHF338"/>
      <c r="UHI338"/>
      <c r="UHJ338"/>
      <c r="UHM338"/>
      <c r="UHN338"/>
      <c r="UHQ338"/>
      <c r="UHR338"/>
      <c r="UHU338"/>
      <c r="UHV338"/>
      <c r="UHY338"/>
      <c r="UHZ338"/>
      <c r="UIC338"/>
      <c r="UID338"/>
      <c r="UIG338"/>
      <c r="UIH338"/>
      <c r="UIK338"/>
      <c r="UIL338"/>
      <c r="UIO338"/>
      <c r="UIP338"/>
      <c r="UIS338"/>
      <c r="UIT338"/>
      <c r="UIW338"/>
      <c r="UIX338"/>
      <c r="UJA338"/>
      <c r="UJB338"/>
      <c r="UJE338"/>
      <c r="UJF338"/>
      <c r="UJI338"/>
      <c r="UJJ338"/>
      <c r="UJM338"/>
      <c r="UJN338"/>
      <c r="UJQ338"/>
      <c r="UJR338"/>
      <c r="UJU338"/>
      <c r="UJV338"/>
      <c r="UJY338"/>
      <c r="UJZ338"/>
      <c r="UKC338"/>
      <c r="UKD338"/>
      <c r="UKG338"/>
      <c r="UKH338"/>
      <c r="UKK338"/>
      <c r="UKL338"/>
      <c r="UKO338"/>
      <c r="UKP338"/>
      <c r="UKS338"/>
      <c r="UKT338"/>
      <c r="UKW338"/>
      <c r="UKX338"/>
      <c r="ULA338"/>
      <c r="ULB338"/>
      <c r="ULE338"/>
      <c r="ULF338"/>
      <c r="ULI338"/>
      <c r="ULJ338"/>
      <c r="ULM338"/>
      <c r="ULN338"/>
      <c r="ULQ338"/>
      <c r="ULR338"/>
      <c r="ULU338"/>
      <c r="ULV338"/>
      <c r="ULY338"/>
      <c r="ULZ338"/>
      <c r="UMC338"/>
      <c r="UMD338"/>
      <c r="UMG338"/>
      <c r="UMH338"/>
      <c r="UMK338"/>
      <c r="UML338"/>
      <c r="UMO338"/>
      <c r="UMP338"/>
      <c r="UMS338"/>
      <c r="UMT338"/>
      <c r="UMW338"/>
      <c r="UMX338"/>
      <c r="UNA338"/>
      <c r="UNB338"/>
      <c r="UNE338"/>
      <c r="UNF338"/>
      <c r="UNI338"/>
      <c r="UNJ338"/>
      <c r="UNM338"/>
      <c r="UNN338"/>
      <c r="UNQ338"/>
      <c r="UNR338"/>
      <c r="UNU338"/>
      <c r="UNV338"/>
      <c r="UNY338"/>
      <c r="UNZ338"/>
      <c r="UOC338"/>
      <c r="UOD338"/>
      <c r="UOG338"/>
      <c r="UOH338"/>
      <c r="UOK338"/>
      <c r="UOL338"/>
      <c r="UOO338"/>
      <c r="UOP338"/>
      <c r="UOS338"/>
      <c r="UOT338"/>
      <c r="UOW338"/>
      <c r="UOX338"/>
      <c r="UPA338"/>
      <c r="UPB338"/>
      <c r="UPE338"/>
      <c r="UPF338"/>
      <c r="UPI338"/>
      <c r="UPJ338"/>
      <c r="UPM338"/>
      <c r="UPN338"/>
      <c r="UPQ338"/>
      <c r="UPR338"/>
      <c r="UPU338"/>
      <c r="UPV338"/>
      <c r="UPY338"/>
      <c r="UPZ338"/>
      <c r="UQC338"/>
      <c r="UQD338"/>
      <c r="UQG338"/>
      <c r="UQH338"/>
      <c r="UQK338"/>
      <c r="UQL338"/>
      <c r="UQO338"/>
      <c r="UQP338"/>
      <c r="UQS338"/>
      <c r="UQT338"/>
      <c r="UQW338"/>
      <c r="UQX338"/>
      <c r="URA338"/>
      <c r="URB338"/>
      <c r="URE338"/>
      <c r="URF338"/>
      <c r="URI338"/>
      <c r="URJ338"/>
      <c r="URM338"/>
      <c r="URN338"/>
      <c r="URQ338"/>
      <c r="URR338"/>
      <c r="URU338"/>
      <c r="URV338"/>
      <c r="URY338"/>
      <c r="URZ338"/>
      <c r="USC338"/>
      <c r="USD338"/>
      <c r="USG338"/>
      <c r="USH338"/>
      <c r="USK338"/>
      <c r="USL338"/>
      <c r="USO338"/>
      <c r="USP338"/>
      <c r="USS338"/>
      <c r="UST338"/>
      <c r="USW338"/>
      <c r="USX338"/>
      <c r="UTA338"/>
      <c r="UTB338"/>
      <c r="UTE338"/>
      <c r="UTF338"/>
      <c r="UTI338"/>
      <c r="UTJ338"/>
      <c r="UTM338"/>
      <c r="UTN338"/>
      <c r="UTQ338"/>
      <c r="UTR338"/>
      <c r="UTU338"/>
      <c r="UTV338"/>
      <c r="UTY338"/>
      <c r="UTZ338"/>
      <c r="UUC338"/>
      <c r="UUD338"/>
      <c r="UUG338"/>
      <c r="UUH338"/>
      <c r="UUK338"/>
      <c r="UUL338"/>
      <c r="UUO338"/>
      <c r="UUP338"/>
      <c r="UUS338"/>
      <c r="UUT338"/>
      <c r="UUW338"/>
      <c r="UUX338"/>
      <c r="UVA338"/>
      <c r="UVB338"/>
      <c r="UVE338"/>
      <c r="UVF338"/>
      <c r="UVI338"/>
      <c r="UVJ338"/>
      <c r="UVM338"/>
      <c r="UVN338"/>
      <c r="UVQ338"/>
      <c r="UVR338"/>
      <c r="UVU338"/>
      <c r="UVV338"/>
      <c r="UVY338"/>
      <c r="UVZ338"/>
      <c r="UWC338"/>
      <c r="UWD338"/>
      <c r="UWG338"/>
      <c r="UWH338"/>
      <c r="UWK338"/>
      <c r="UWL338"/>
      <c r="UWO338"/>
      <c r="UWP338"/>
      <c r="UWS338"/>
      <c r="UWT338"/>
      <c r="UWW338"/>
      <c r="UWX338"/>
      <c r="UXA338"/>
      <c r="UXB338"/>
      <c r="UXE338"/>
      <c r="UXF338"/>
      <c r="UXI338"/>
      <c r="UXJ338"/>
      <c r="UXM338"/>
      <c r="UXN338"/>
      <c r="UXQ338"/>
      <c r="UXR338"/>
      <c r="UXU338"/>
      <c r="UXV338"/>
      <c r="UXY338"/>
      <c r="UXZ338"/>
      <c r="UYC338"/>
      <c r="UYD338"/>
      <c r="UYG338"/>
      <c r="UYH338"/>
      <c r="UYK338"/>
      <c r="UYL338"/>
      <c r="UYO338"/>
      <c r="UYP338"/>
      <c r="UYS338"/>
      <c r="UYT338"/>
      <c r="UYW338"/>
      <c r="UYX338"/>
      <c r="UZA338"/>
      <c r="UZB338"/>
      <c r="UZE338"/>
      <c r="UZF338"/>
      <c r="UZI338"/>
      <c r="UZJ338"/>
      <c r="UZM338"/>
      <c r="UZN338"/>
      <c r="UZQ338"/>
      <c r="UZR338"/>
      <c r="UZU338"/>
      <c r="UZV338"/>
      <c r="UZY338"/>
      <c r="UZZ338"/>
      <c r="VAC338"/>
      <c r="VAD338"/>
      <c r="VAG338"/>
      <c r="VAH338"/>
      <c r="VAK338"/>
      <c r="VAL338"/>
      <c r="VAO338"/>
      <c r="VAP338"/>
      <c r="VAS338"/>
      <c r="VAT338"/>
      <c r="VAW338"/>
      <c r="VAX338"/>
      <c r="VBA338"/>
      <c r="VBB338"/>
      <c r="VBE338"/>
      <c r="VBF338"/>
      <c r="VBI338"/>
      <c r="VBJ338"/>
      <c r="VBM338"/>
      <c r="VBN338"/>
      <c r="VBQ338"/>
      <c r="VBR338"/>
      <c r="VBU338"/>
      <c r="VBV338"/>
      <c r="VBY338"/>
      <c r="VBZ338"/>
      <c r="VCC338"/>
      <c r="VCD338"/>
      <c r="VCG338"/>
      <c r="VCH338"/>
      <c r="VCK338"/>
      <c r="VCL338"/>
      <c r="VCO338"/>
      <c r="VCP338"/>
      <c r="VCS338"/>
      <c r="VCT338"/>
      <c r="VCW338"/>
      <c r="VCX338"/>
      <c r="VDA338"/>
      <c r="VDB338"/>
      <c r="VDE338"/>
      <c r="VDF338"/>
      <c r="VDI338"/>
      <c r="VDJ338"/>
      <c r="VDM338"/>
      <c r="VDN338"/>
      <c r="VDQ338"/>
      <c r="VDR338"/>
      <c r="VDU338"/>
      <c r="VDV338"/>
      <c r="VDY338"/>
      <c r="VDZ338"/>
      <c r="VEC338"/>
      <c r="VED338"/>
      <c r="VEG338"/>
      <c r="VEH338"/>
      <c r="VEK338"/>
      <c r="VEL338"/>
      <c r="VEO338"/>
      <c r="VEP338"/>
      <c r="VES338"/>
      <c r="VET338"/>
      <c r="VEW338"/>
      <c r="VEX338"/>
      <c r="VFA338"/>
      <c r="VFB338"/>
      <c r="VFE338"/>
      <c r="VFF338"/>
      <c r="VFI338"/>
      <c r="VFJ338"/>
      <c r="VFM338"/>
      <c r="VFN338"/>
      <c r="VFQ338"/>
      <c r="VFR338"/>
      <c r="VFU338"/>
      <c r="VFV338"/>
      <c r="VFY338"/>
      <c r="VFZ338"/>
      <c r="VGC338"/>
      <c r="VGD338"/>
      <c r="VGG338"/>
      <c r="VGH338"/>
      <c r="VGK338"/>
      <c r="VGL338"/>
      <c r="VGO338"/>
      <c r="VGP338"/>
      <c r="VGS338"/>
      <c r="VGT338"/>
      <c r="VGW338"/>
      <c r="VGX338"/>
      <c r="VHA338"/>
      <c r="VHB338"/>
      <c r="VHE338"/>
      <c r="VHF338"/>
      <c r="VHI338"/>
      <c r="VHJ338"/>
      <c r="VHM338"/>
      <c r="VHN338"/>
      <c r="VHQ338"/>
      <c r="VHR338"/>
      <c r="VHU338"/>
      <c r="VHV338"/>
      <c r="VHY338"/>
      <c r="VHZ338"/>
      <c r="VIC338"/>
      <c r="VID338"/>
      <c r="VIG338"/>
      <c r="VIH338"/>
      <c r="VIK338"/>
      <c r="VIL338"/>
      <c r="VIO338"/>
      <c r="VIP338"/>
      <c r="VIS338"/>
      <c r="VIT338"/>
      <c r="VIW338"/>
      <c r="VIX338"/>
      <c r="VJA338"/>
      <c r="VJB338"/>
      <c r="VJE338"/>
      <c r="VJF338"/>
      <c r="VJI338"/>
      <c r="VJJ338"/>
      <c r="VJM338"/>
      <c r="VJN338"/>
      <c r="VJQ338"/>
      <c r="VJR338"/>
      <c r="VJU338"/>
      <c r="VJV338"/>
      <c r="VJY338"/>
      <c r="VJZ338"/>
      <c r="VKC338"/>
      <c r="VKD338"/>
      <c r="VKG338"/>
      <c r="VKH338"/>
      <c r="VKK338"/>
      <c r="VKL338"/>
      <c r="VKO338"/>
      <c r="VKP338"/>
      <c r="VKS338"/>
      <c r="VKT338"/>
      <c r="VKW338"/>
      <c r="VKX338"/>
      <c r="VLA338"/>
      <c r="VLB338"/>
      <c r="VLE338"/>
      <c r="VLF338"/>
      <c r="VLI338"/>
      <c r="VLJ338"/>
      <c r="VLM338"/>
      <c r="VLN338"/>
      <c r="VLQ338"/>
      <c r="VLR338"/>
      <c r="VLU338"/>
      <c r="VLV338"/>
      <c r="VLY338"/>
      <c r="VLZ338"/>
      <c r="VMC338"/>
      <c r="VMD338"/>
      <c r="VMG338"/>
      <c r="VMH338"/>
      <c r="VMK338"/>
      <c r="VML338"/>
      <c r="VMO338"/>
      <c r="VMP338"/>
      <c r="VMS338"/>
      <c r="VMT338"/>
      <c r="VMW338"/>
      <c r="VMX338"/>
      <c r="VNA338"/>
      <c r="VNB338"/>
      <c r="VNE338"/>
      <c r="VNF338"/>
      <c r="VNI338"/>
      <c r="VNJ338"/>
      <c r="VNM338"/>
      <c r="VNN338"/>
      <c r="VNQ338"/>
      <c r="VNR338"/>
      <c r="VNU338"/>
      <c r="VNV338"/>
      <c r="VNY338"/>
      <c r="VNZ338"/>
      <c r="VOC338"/>
      <c r="VOD338"/>
      <c r="VOG338"/>
      <c r="VOH338"/>
      <c r="VOK338"/>
      <c r="VOL338"/>
      <c r="VOO338"/>
      <c r="VOP338"/>
      <c r="VOS338"/>
      <c r="VOT338"/>
      <c r="VOW338"/>
      <c r="VOX338"/>
      <c r="VPA338"/>
      <c r="VPB338"/>
      <c r="VPE338"/>
      <c r="VPF338"/>
      <c r="VPI338"/>
      <c r="VPJ338"/>
      <c r="VPM338"/>
      <c r="VPN338"/>
      <c r="VPQ338"/>
      <c r="VPR338"/>
      <c r="VPU338"/>
      <c r="VPV338"/>
      <c r="VPY338"/>
      <c r="VPZ338"/>
      <c r="VQC338"/>
      <c r="VQD338"/>
      <c r="VQG338"/>
      <c r="VQH338"/>
      <c r="VQK338"/>
      <c r="VQL338"/>
      <c r="VQO338"/>
      <c r="VQP338"/>
      <c r="VQS338"/>
      <c r="VQT338"/>
      <c r="VQW338"/>
      <c r="VQX338"/>
      <c r="VRA338"/>
      <c r="VRB338"/>
      <c r="VRE338"/>
      <c r="VRF338"/>
      <c r="VRI338"/>
      <c r="VRJ338"/>
      <c r="VRM338"/>
      <c r="VRN338"/>
      <c r="VRQ338"/>
      <c r="VRR338"/>
      <c r="VRU338"/>
      <c r="VRV338"/>
      <c r="VRY338"/>
      <c r="VRZ338"/>
      <c r="VSC338"/>
      <c r="VSD338"/>
      <c r="VSG338"/>
      <c r="VSH338"/>
      <c r="VSK338"/>
      <c r="VSL338"/>
      <c r="VSO338"/>
      <c r="VSP338"/>
      <c r="VSS338"/>
      <c r="VST338"/>
      <c r="VSW338"/>
      <c r="VSX338"/>
      <c r="VTA338"/>
      <c r="VTB338"/>
      <c r="VTE338"/>
      <c r="VTF338"/>
      <c r="VTI338"/>
      <c r="VTJ338"/>
      <c r="VTM338"/>
      <c r="VTN338"/>
      <c r="VTQ338"/>
      <c r="VTR338"/>
      <c r="VTU338"/>
      <c r="VTV338"/>
      <c r="VTY338"/>
      <c r="VTZ338"/>
      <c r="VUC338"/>
      <c r="VUD338"/>
      <c r="VUG338"/>
      <c r="VUH338"/>
      <c r="VUK338"/>
      <c r="VUL338"/>
      <c r="VUO338"/>
      <c r="VUP338"/>
      <c r="VUS338"/>
      <c r="VUT338"/>
      <c r="VUW338"/>
      <c r="VUX338"/>
      <c r="VVA338"/>
      <c r="VVB338"/>
      <c r="VVE338"/>
      <c r="VVF338"/>
      <c r="VVI338"/>
      <c r="VVJ338"/>
      <c r="VVM338"/>
      <c r="VVN338"/>
      <c r="VVQ338"/>
      <c r="VVR338"/>
      <c r="VVU338"/>
      <c r="VVV338"/>
      <c r="VVY338"/>
      <c r="VVZ338"/>
      <c r="VWC338"/>
      <c r="VWD338"/>
      <c r="VWG338"/>
      <c r="VWH338"/>
      <c r="VWK338"/>
      <c r="VWL338"/>
      <c r="VWO338"/>
      <c r="VWP338"/>
      <c r="VWS338"/>
      <c r="VWT338"/>
      <c r="VWW338"/>
      <c r="VWX338"/>
      <c r="VXA338"/>
      <c r="VXB338"/>
      <c r="VXE338"/>
      <c r="VXF338"/>
      <c r="VXI338"/>
      <c r="VXJ338"/>
      <c r="VXM338"/>
      <c r="VXN338"/>
      <c r="VXQ338"/>
      <c r="VXR338"/>
      <c r="VXU338"/>
      <c r="VXV338"/>
      <c r="VXY338"/>
      <c r="VXZ338"/>
      <c r="VYC338"/>
      <c r="VYD338"/>
      <c r="VYG338"/>
      <c r="VYH338"/>
      <c r="VYK338"/>
      <c r="VYL338"/>
      <c r="VYO338"/>
      <c r="VYP338"/>
      <c r="VYS338"/>
      <c r="VYT338"/>
      <c r="VYW338"/>
      <c r="VYX338"/>
      <c r="VZA338"/>
      <c r="VZB338"/>
      <c r="VZE338"/>
      <c r="VZF338"/>
      <c r="VZI338"/>
      <c r="VZJ338"/>
      <c r="VZM338"/>
      <c r="VZN338"/>
      <c r="VZQ338"/>
      <c r="VZR338"/>
      <c r="VZU338"/>
      <c r="VZV338"/>
      <c r="VZY338"/>
      <c r="VZZ338"/>
      <c r="WAC338"/>
      <c r="WAD338"/>
      <c r="WAG338"/>
      <c r="WAH338"/>
      <c r="WAK338"/>
      <c r="WAL338"/>
      <c r="WAO338"/>
      <c r="WAP338"/>
      <c r="WAS338"/>
      <c r="WAT338"/>
      <c r="WAW338"/>
      <c r="WAX338"/>
      <c r="WBA338"/>
      <c r="WBB338"/>
      <c r="WBE338"/>
      <c r="WBF338"/>
      <c r="WBI338"/>
      <c r="WBJ338"/>
      <c r="WBM338"/>
      <c r="WBN338"/>
      <c r="WBQ338"/>
      <c r="WBR338"/>
      <c r="WBU338"/>
      <c r="WBV338"/>
      <c r="WBY338"/>
      <c r="WBZ338"/>
      <c r="WCC338"/>
      <c r="WCD338"/>
      <c r="WCG338"/>
      <c r="WCH338"/>
      <c r="WCK338"/>
      <c r="WCL338"/>
      <c r="WCO338"/>
      <c r="WCP338"/>
      <c r="WCS338"/>
      <c r="WCT338"/>
      <c r="WCW338"/>
      <c r="WCX338"/>
      <c r="WDA338"/>
      <c r="WDB338"/>
      <c r="WDE338"/>
      <c r="WDF338"/>
      <c r="WDI338"/>
      <c r="WDJ338"/>
      <c r="WDM338"/>
      <c r="WDN338"/>
      <c r="WDQ338"/>
      <c r="WDR338"/>
      <c r="WDU338"/>
      <c r="WDV338"/>
      <c r="WDY338"/>
      <c r="WDZ338"/>
      <c r="WEC338"/>
      <c r="WED338"/>
      <c r="WEG338"/>
      <c r="WEH338"/>
      <c r="WEK338"/>
      <c r="WEL338"/>
      <c r="WEO338"/>
      <c r="WEP338"/>
      <c r="WES338"/>
      <c r="WET338"/>
      <c r="WEW338"/>
      <c r="WEX338"/>
      <c r="WFA338"/>
      <c r="WFB338"/>
      <c r="WFE338"/>
      <c r="WFF338"/>
      <c r="WFI338"/>
      <c r="WFJ338"/>
      <c r="WFM338"/>
      <c r="WFN338"/>
      <c r="WFQ338"/>
      <c r="WFR338"/>
      <c r="WFU338"/>
      <c r="WFV338"/>
      <c r="WFY338"/>
      <c r="WFZ338"/>
      <c r="WGC338"/>
      <c r="WGD338"/>
      <c r="WGG338"/>
      <c r="WGH338"/>
      <c r="WGK338"/>
      <c r="WGL338"/>
      <c r="WGO338"/>
      <c r="WGP338"/>
      <c r="WGS338"/>
      <c r="WGT338"/>
      <c r="WGW338"/>
      <c r="WGX338"/>
      <c r="WHA338"/>
      <c r="WHB338"/>
      <c r="WHE338"/>
      <c r="WHF338"/>
      <c r="WHI338"/>
      <c r="WHJ338"/>
      <c r="WHM338"/>
      <c r="WHN338"/>
      <c r="WHQ338"/>
      <c r="WHR338"/>
      <c r="WHU338"/>
      <c r="WHV338"/>
      <c r="WHY338"/>
      <c r="WHZ338"/>
      <c r="WIC338"/>
      <c r="WID338"/>
      <c r="WIG338"/>
      <c r="WIH338"/>
      <c r="WIK338"/>
      <c r="WIL338"/>
      <c r="WIO338"/>
      <c r="WIP338"/>
      <c r="WIS338"/>
      <c r="WIT338"/>
      <c r="WIW338"/>
      <c r="WIX338"/>
      <c r="WJA338"/>
      <c r="WJB338"/>
      <c r="WJE338"/>
      <c r="WJF338"/>
      <c r="WJI338"/>
      <c r="WJJ338"/>
      <c r="WJM338"/>
      <c r="WJN338"/>
      <c r="WJQ338"/>
      <c r="WJR338"/>
      <c r="WJU338"/>
      <c r="WJV338"/>
      <c r="WJY338"/>
      <c r="WJZ338"/>
      <c r="WKC338"/>
      <c r="WKD338"/>
      <c r="WKG338"/>
      <c r="WKH338"/>
      <c r="WKK338"/>
      <c r="WKL338"/>
      <c r="WKO338"/>
      <c r="WKP338"/>
      <c r="WKS338"/>
      <c r="WKT338"/>
      <c r="WKW338"/>
      <c r="WKX338"/>
      <c r="WLA338"/>
      <c r="WLB338"/>
      <c r="WLE338"/>
      <c r="WLF338"/>
      <c r="WLI338"/>
      <c r="WLJ338"/>
      <c r="WLM338"/>
      <c r="WLN338"/>
      <c r="WLQ338"/>
      <c r="WLR338"/>
      <c r="WLU338"/>
      <c r="WLV338"/>
      <c r="WLY338"/>
      <c r="WLZ338"/>
      <c r="WMC338"/>
      <c r="WMD338"/>
      <c r="WMG338"/>
      <c r="WMH338"/>
      <c r="WMK338"/>
      <c r="WML338"/>
      <c r="WMO338"/>
      <c r="WMP338"/>
      <c r="WMS338"/>
      <c r="WMT338"/>
      <c r="WMW338"/>
      <c r="WMX338"/>
      <c r="WNA338"/>
      <c r="WNB338"/>
      <c r="WNE338"/>
      <c r="WNF338"/>
      <c r="WNI338"/>
      <c r="WNJ338"/>
      <c r="WNM338"/>
      <c r="WNN338"/>
      <c r="WNQ338"/>
      <c r="WNR338"/>
      <c r="WNU338"/>
      <c r="WNV338"/>
      <c r="WNY338"/>
      <c r="WNZ338"/>
      <c r="WOC338"/>
      <c r="WOD338"/>
      <c r="WOG338"/>
      <c r="WOH338"/>
      <c r="WOK338"/>
      <c r="WOL338"/>
      <c r="WOO338"/>
      <c r="WOP338"/>
      <c r="WOS338"/>
      <c r="WOT338"/>
      <c r="WOW338"/>
      <c r="WOX338"/>
      <c r="WPA338"/>
      <c r="WPB338"/>
      <c r="WPE338"/>
      <c r="WPF338"/>
      <c r="WPI338"/>
      <c r="WPJ338"/>
      <c r="WPM338"/>
      <c r="WPN338"/>
      <c r="WPQ338"/>
      <c r="WPR338"/>
      <c r="WPU338"/>
      <c r="WPV338"/>
      <c r="WPY338"/>
      <c r="WPZ338"/>
      <c r="WQC338"/>
      <c r="WQD338"/>
      <c r="WQG338"/>
      <c r="WQH338"/>
      <c r="WQK338"/>
      <c r="WQL338"/>
      <c r="WQO338"/>
      <c r="WQP338"/>
      <c r="WQS338"/>
      <c r="WQT338"/>
      <c r="WQW338"/>
      <c r="WQX338"/>
      <c r="WRA338"/>
      <c r="WRB338"/>
      <c r="WRE338"/>
      <c r="WRF338"/>
      <c r="WRI338"/>
      <c r="WRJ338"/>
      <c r="WRM338"/>
      <c r="WRN338"/>
      <c r="WRQ338"/>
      <c r="WRR338"/>
      <c r="WRU338"/>
      <c r="WRV338"/>
      <c r="WRY338"/>
      <c r="WRZ338"/>
      <c r="WSC338"/>
      <c r="WSD338"/>
      <c r="WSG338"/>
      <c r="WSH338"/>
      <c r="WSK338"/>
      <c r="WSL338"/>
      <c r="WSO338"/>
      <c r="WSP338"/>
      <c r="WSS338"/>
      <c r="WST338"/>
      <c r="WSW338"/>
      <c r="WSX338"/>
      <c r="WTA338"/>
      <c r="WTB338"/>
      <c r="WTE338"/>
      <c r="WTF338"/>
      <c r="WTI338"/>
      <c r="WTJ338"/>
      <c r="WTM338"/>
      <c r="WTN338"/>
      <c r="WTQ338"/>
      <c r="WTR338"/>
      <c r="WTU338"/>
      <c r="WTV338"/>
      <c r="WTY338"/>
      <c r="WTZ338"/>
      <c r="WUC338"/>
      <c r="WUD338"/>
      <c r="WUG338"/>
      <c r="WUH338"/>
      <c r="WUK338"/>
      <c r="WUL338"/>
      <c r="WUO338"/>
      <c r="WUP338"/>
      <c r="WUS338"/>
      <c r="WUT338"/>
      <c r="WUW338"/>
      <c r="WUX338"/>
      <c r="WVA338"/>
      <c r="WVB338"/>
      <c r="WVE338"/>
      <c r="WVF338"/>
      <c r="WVI338"/>
      <c r="WVJ338"/>
      <c r="WVM338"/>
      <c r="WVN338"/>
      <c r="WVQ338"/>
      <c r="WVR338"/>
      <c r="WVU338"/>
      <c r="WVV338"/>
      <c r="WVY338"/>
      <c r="WVZ338"/>
      <c r="WWC338"/>
      <c r="WWD338"/>
      <c r="WWG338"/>
      <c r="WWH338"/>
      <c r="WWK338"/>
      <c r="WWL338"/>
      <c r="WWO338"/>
      <c r="WWP338"/>
      <c r="WWS338"/>
      <c r="WWT338"/>
      <c r="WWW338"/>
      <c r="WWX338"/>
      <c r="WXA338"/>
      <c r="WXB338"/>
      <c r="WXE338"/>
      <c r="WXF338"/>
      <c r="WXI338"/>
      <c r="WXJ338"/>
      <c r="WXM338"/>
      <c r="WXN338"/>
      <c r="WXQ338"/>
      <c r="WXR338"/>
      <c r="WXU338"/>
      <c r="WXV338"/>
      <c r="WXY338"/>
      <c r="WXZ338"/>
      <c r="WYC338"/>
      <c r="WYD338"/>
      <c r="WYG338"/>
      <c r="WYH338"/>
      <c r="WYK338"/>
      <c r="WYL338"/>
      <c r="WYO338"/>
      <c r="WYP338"/>
      <c r="WYS338"/>
      <c r="WYT338"/>
      <c r="WYW338"/>
      <c r="WYX338"/>
      <c r="WZA338"/>
      <c r="WZB338"/>
      <c r="WZE338"/>
      <c r="WZF338"/>
      <c r="WZI338"/>
      <c r="WZJ338"/>
      <c r="WZM338"/>
      <c r="WZN338"/>
      <c r="WZQ338"/>
      <c r="WZR338"/>
      <c r="WZU338"/>
      <c r="WZV338"/>
      <c r="WZY338"/>
      <c r="WZZ338"/>
      <c r="XAC338"/>
      <c r="XAD338"/>
      <c r="XAG338"/>
      <c r="XAH338"/>
      <c r="XAK338"/>
      <c r="XAL338"/>
      <c r="XAO338"/>
      <c r="XAP338"/>
      <c r="XAS338"/>
      <c r="XAT338"/>
      <c r="XAW338"/>
      <c r="XAX338"/>
      <c r="XBA338"/>
      <c r="XBB338"/>
      <c r="XBE338"/>
      <c r="XBF338"/>
      <c r="XBI338"/>
      <c r="XBJ338"/>
      <c r="XBM338"/>
      <c r="XBN338"/>
      <c r="XBQ338"/>
      <c r="XBR338"/>
      <c r="XBU338"/>
      <c r="XBV338"/>
      <c r="XBY338"/>
      <c r="XBZ338"/>
      <c r="XCC338"/>
      <c r="XCD338"/>
      <c r="XCG338"/>
      <c r="XCH338"/>
      <c r="XCK338"/>
      <c r="XCL338"/>
      <c r="XCO338"/>
      <c r="XCP338"/>
      <c r="XCS338"/>
      <c r="XCT338"/>
      <c r="XCW338"/>
      <c r="XCX338"/>
      <c r="XDA338"/>
      <c r="XDB338"/>
      <c r="XDE338"/>
      <c r="XDF338"/>
      <c r="XDI338"/>
      <c r="XDJ338"/>
      <c r="XDM338"/>
      <c r="XDN338"/>
      <c r="XDQ338"/>
      <c r="XDR338"/>
      <c r="XDU338"/>
      <c r="XDV338"/>
      <c r="XDY338"/>
      <c r="XDZ338"/>
      <c r="XEC338"/>
      <c r="XED338"/>
      <c r="XEG338"/>
      <c r="XEH338"/>
      <c r="XEK338"/>
      <c r="XEL338"/>
      <c r="XEO338"/>
      <c r="XEP338"/>
      <c r="XES338"/>
      <c r="XET338"/>
      <c r="XEW338"/>
      <c r="XEX338"/>
      <c r="XFA338"/>
      <c r="XFB338"/>
    </row>
    <row r="339" spans="1:1022 1025:2046 2049:3070 3073:4094 4097:5118 5121:6142 6145:7166 7169:8190 8193:9214 9217:10238 10241:11262 11265:12286 12289:13310 13313:14334 14337:15358 15361:16382" s="13" customFormat="1" outlineLevel="1" x14ac:dyDescent="0.3">
      <c r="A339" t="s">
        <v>1227</v>
      </c>
      <c r="B339" t="s">
        <v>168</v>
      </c>
      <c r="C339" s="13" t="s">
        <v>9</v>
      </c>
      <c r="D339" s="13" t="s">
        <v>1228</v>
      </c>
      <c r="E339" t="s">
        <v>5978</v>
      </c>
      <c r="F339"/>
      <c r="I339"/>
      <c r="J339" t="s">
        <v>6846</v>
      </c>
      <c r="K339" t="s">
        <v>6839</v>
      </c>
      <c r="M339"/>
      <c r="N339"/>
      <c r="Q339"/>
      <c r="R339"/>
      <c r="U339"/>
      <c r="V339"/>
      <c r="Y339"/>
      <c r="Z339"/>
      <c r="AC339"/>
      <c r="AD339"/>
      <c r="AG339"/>
      <c r="AH339"/>
      <c r="AK339"/>
      <c r="AL339"/>
      <c r="AO339"/>
      <c r="AP339"/>
      <c r="AS339"/>
      <c r="AT339"/>
      <c r="AW339"/>
      <c r="AX339"/>
      <c r="BA339"/>
      <c r="BB339"/>
      <c r="BE339"/>
      <c r="BF339"/>
      <c r="BI339"/>
      <c r="BJ339"/>
      <c r="BM339"/>
      <c r="BN339"/>
      <c r="BQ339"/>
      <c r="BR339"/>
      <c r="BU339"/>
      <c r="BV339"/>
      <c r="BY339"/>
      <c r="BZ339"/>
      <c r="CC339"/>
      <c r="CD339"/>
      <c r="CG339"/>
      <c r="CH339"/>
      <c r="CK339"/>
      <c r="CL339"/>
      <c r="CO339"/>
      <c r="CP339"/>
      <c r="CS339"/>
      <c r="CT339"/>
      <c r="CW339"/>
      <c r="CX339"/>
      <c r="DA339"/>
      <c r="DB339"/>
      <c r="DE339"/>
      <c r="DF339"/>
      <c r="DI339"/>
      <c r="DJ339"/>
      <c r="DM339"/>
      <c r="DN339"/>
      <c r="DQ339"/>
      <c r="DR339"/>
      <c r="DU339"/>
      <c r="DV339"/>
      <c r="DY339"/>
      <c r="DZ339"/>
      <c r="EC339"/>
      <c r="ED339"/>
      <c r="EG339"/>
      <c r="EH339"/>
      <c r="EK339"/>
      <c r="EL339"/>
      <c r="EO339"/>
      <c r="EP339"/>
      <c r="ES339"/>
      <c r="ET339"/>
      <c r="EW339"/>
      <c r="EX339"/>
      <c r="FA339"/>
      <c r="FB339"/>
      <c r="FE339"/>
      <c r="FF339"/>
      <c r="FI339"/>
      <c r="FJ339"/>
      <c r="FM339"/>
      <c r="FN339"/>
      <c r="FQ339"/>
      <c r="FR339"/>
      <c r="FU339"/>
      <c r="FV339"/>
      <c r="FY339"/>
      <c r="FZ339"/>
      <c r="GC339"/>
      <c r="GD339"/>
      <c r="GG339"/>
      <c r="GH339"/>
      <c r="GK339"/>
      <c r="GL339"/>
      <c r="GO339"/>
      <c r="GP339"/>
      <c r="GS339"/>
      <c r="GT339"/>
      <c r="GW339"/>
      <c r="GX339"/>
      <c r="HA339"/>
      <c r="HB339"/>
      <c r="HE339"/>
      <c r="HF339"/>
      <c r="HI339"/>
      <c r="HJ339"/>
      <c r="HM339"/>
      <c r="HN339"/>
      <c r="HQ339"/>
      <c r="HR339"/>
      <c r="HU339"/>
      <c r="HV339"/>
      <c r="HY339"/>
      <c r="HZ339"/>
      <c r="IC339"/>
      <c r="ID339"/>
      <c r="IG339"/>
      <c r="IH339"/>
      <c r="IK339"/>
      <c r="IL339"/>
      <c r="IO339"/>
      <c r="IP339"/>
      <c r="IS339"/>
      <c r="IT339"/>
      <c r="IW339"/>
      <c r="IX339"/>
      <c r="JA339"/>
      <c r="JB339"/>
      <c r="JE339"/>
      <c r="JF339"/>
      <c r="JI339"/>
      <c r="JJ339"/>
      <c r="JM339"/>
      <c r="JN339"/>
      <c r="JQ339"/>
      <c r="JR339"/>
      <c r="JU339"/>
      <c r="JV339"/>
      <c r="JY339"/>
      <c r="JZ339"/>
      <c r="KC339"/>
      <c r="KD339"/>
      <c r="KG339"/>
      <c r="KH339"/>
      <c r="KK339"/>
      <c r="KL339"/>
      <c r="KO339"/>
      <c r="KP339"/>
      <c r="KS339"/>
      <c r="KT339"/>
      <c r="KW339"/>
      <c r="KX339"/>
      <c r="LA339"/>
      <c r="LB339"/>
      <c r="LE339"/>
      <c r="LF339"/>
      <c r="LI339"/>
      <c r="LJ339"/>
      <c r="LM339"/>
      <c r="LN339"/>
      <c r="LQ339"/>
      <c r="LR339"/>
      <c r="LU339"/>
      <c r="LV339"/>
      <c r="LY339"/>
      <c r="LZ339"/>
      <c r="MC339"/>
      <c r="MD339"/>
      <c r="MG339"/>
      <c r="MH339"/>
      <c r="MK339"/>
      <c r="ML339"/>
      <c r="MO339"/>
      <c r="MP339"/>
      <c r="MS339"/>
      <c r="MT339"/>
      <c r="MW339"/>
      <c r="MX339"/>
      <c r="NA339"/>
      <c r="NB339"/>
      <c r="NE339"/>
      <c r="NF339"/>
      <c r="NI339"/>
      <c r="NJ339"/>
      <c r="NM339"/>
      <c r="NN339"/>
      <c r="NQ339"/>
      <c r="NR339"/>
      <c r="NU339"/>
      <c r="NV339"/>
      <c r="NY339"/>
      <c r="NZ339"/>
      <c r="OC339"/>
      <c r="OD339"/>
      <c r="OG339"/>
      <c r="OH339"/>
      <c r="OK339"/>
      <c r="OL339"/>
      <c r="OO339"/>
      <c r="OP339"/>
      <c r="OS339"/>
      <c r="OT339"/>
      <c r="OW339"/>
      <c r="OX339"/>
      <c r="PA339"/>
      <c r="PB339"/>
      <c r="PE339"/>
      <c r="PF339"/>
      <c r="PI339"/>
      <c r="PJ339"/>
      <c r="PM339"/>
      <c r="PN339"/>
      <c r="PQ339"/>
      <c r="PR339"/>
      <c r="PU339"/>
      <c r="PV339"/>
      <c r="PY339"/>
      <c r="PZ339"/>
      <c r="QC339"/>
      <c r="QD339"/>
      <c r="QG339"/>
      <c r="QH339"/>
      <c r="QK339"/>
      <c r="QL339"/>
      <c r="QO339"/>
      <c r="QP339"/>
      <c r="QS339"/>
      <c r="QT339"/>
      <c r="QW339"/>
      <c r="QX339"/>
      <c r="RA339"/>
      <c r="RB339"/>
      <c r="RE339"/>
      <c r="RF339"/>
      <c r="RI339"/>
      <c r="RJ339"/>
      <c r="RM339"/>
      <c r="RN339"/>
      <c r="RQ339"/>
      <c r="RR339"/>
      <c r="RU339"/>
      <c r="RV339"/>
      <c r="RY339"/>
      <c r="RZ339"/>
      <c r="SC339"/>
      <c r="SD339"/>
      <c r="SG339"/>
      <c r="SH339"/>
      <c r="SK339"/>
      <c r="SL339"/>
      <c r="SO339"/>
      <c r="SP339"/>
      <c r="SS339"/>
      <c r="ST339"/>
      <c r="SW339"/>
      <c r="SX339"/>
      <c r="TA339"/>
      <c r="TB339"/>
      <c r="TE339"/>
      <c r="TF339"/>
      <c r="TI339"/>
      <c r="TJ339"/>
      <c r="TM339"/>
      <c r="TN339"/>
      <c r="TQ339"/>
      <c r="TR339"/>
      <c r="TU339"/>
      <c r="TV339"/>
      <c r="TY339"/>
      <c r="TZ339"/>
      <c r="UC339"/>
      <c r="UD339"/>
      <c r="UG339"/>
      <c r="UH339"/>
      <c r="UK339"/>
      <c r="UL339"/>
      <c r="UO339"/>
      <c r="UP339"/>
      <c r="US339"/>
      <c r="UT339"/>
      <c r="UW339"/>
      <c r="UX339"/>
      <c r="VA339"/>
      <c r="VB339"/>
      <c r="VE339"/>
      <c r="VF339"/>
      <c r="VI339"/>
      <c r="VJ339"/>
      <c r="VM339"/>
      <c r="VN339"/>
      <c r="VQ339"/>
      <c r="VR339"/>
      <c r="VU339"/>
      <c r="VV339"/>
      <c r="VY339"/>
      <c r="VZ339"/>
      <c r="WC339"/>
      <c r="WD339"/>
      <c r="WG339"/>
      <c r="WH339"/>
      <c r="WK339"/>
      <c r="WL339"/>
      <c r="WO339"/>
      <c r="WP339"/>
      <c r="WS339"/>
      <c r="WT339"/>
      <c r="WW339"/>
      <c r="WX339"/>
      <c r="XA339"/>
      <c r="XB339"/>
      <c r="XE339"/>
      <c r="XF339"/>
      <c r="XI339"/>
      <c r="XJ339"/>
      <c r="XM339"/>
      <c r="XN339"/>
      <c r="XQ339"/>
      <c r="XR339"/>
      <c r="XU339"/>
      <c r="XV339"/>
      <c r="XY339"/>
      <c r="XZ339"/>
      <c r="YC339"/>
      <c r="YD339"/>
      <c r="YG339"/>
      <c r="YH339"/>
      <c r="YK339"/>
      <c r="YL339"/>
      <c r="YO339"/>
      <c r="YP339"/>
      <c r="YS339"/>
      <c r="YT339"/>
      <c r="YW339"/>
      <c r="YX339"/>
      <c r="ZA339"/>
      <c r="ZB339"/>
      <c r="ZE339"/>
      <c r="ZF339"/>
      <c r="ZI339"/>
      <c r="ZJ339"/>
      <c r="ZM339"/>
      <c r="ZN339"/>
      <c r="ZQ339"/>
      <c r="ZR339"/>
      <c r="ZU339"/>
      <c r="ZV339"/>
      <c r="ZY339"/>
      <c r="ZZ339"/>
      <c r="AAC339"/>
      <c r="AAD339"/>
      <c r="AAG339"/>
      <c r="AAH339"/>
      <c r="AAK339"/>
      <c r="AAL339"/>
      <c r="AAO339"/>
      <c r="AAP339"/>
      <c r="AAS339"/>
      <c r="AAT339"/>
      <c r="AAW339"/>
      <c r="AAX339"/>
      <c r="ABA339"/>
      <c r="ABB339"/>
      <c r="ABE339"/>
      <c r="ABF339"/>
      <c r="ABI339"/>
      <c r="ABJ339"/>
      <c r="ABM339"/>
      <c r="ABN339"/>
      <c r="ABQ339"/>
      <c r="ABR339"/>
      <c r="ABU339"/>
      <c r="ABV339"/>
      <c r="ABY339"/>
      <c r="ABZ339"/>
      <c r="ACC339"/>
      <c r="ACD339"/>
      <c r="ACG339"/>
      <c r="ACH339"/>
      <c r="ACK339"/>
      <c r="ACL339"/>
      <c r="ACO339"/>
      <c r="ACP339"/>
      <c r="ACS339"/>
      <c r="ACT339"/>
      <c r="ACW339"/>
      <c r="ACX339"/>
      <c r="ADA339"/>
      <c r="ADB339"/>
      <c r="ADE339"/>
      <c r="ADF339"/>
      <c r="ADI339"/>
      <c r="ADJ339"/>
      <c r="ADM339"/>
      <c r="ADN339"/>
      <c r="ADQ339"/>
      <c r="ADR339"/>
      <c r="ADU339"/>
      <c r="ADV339"/>
      <c r="ADY339"/>
      <c r="ADZ339"/>
      <c r="AEC339"/>
      <c r="AED339"/>
      <c r="AEG339"/>
      <c r="AEH339"/>
      <c r="AEK339"/>
      <c r="AEL339"/>
      <c r="AEO339"/>
      <c r="AEP339"/>
      <c r="AES339"/>
      <c r="AET339"/>
      <c r="AEW339"/>
      <c r="AEX339"/>
      <c r="AFA339"/>
      <c r="AFB339"/>
      <c r="AFE339"/>
      <c r="AFF339"/>
      <c r="AFI339"/>
      <c r="AFJ339"/>
      <c r="AFM339"/>
      <c r="AFN339"/>
      <c r="AFQ339"/>
      <c r="AFR339"/>
      <c r="AFU339"/>
      <c r="AFV339"/>
      <c r="AFY339"/>
      <c r="AFZ339"/>
      <c r="AGC339"/>
      <c r="AGD339"/>
      <c r="AGG339"/>
      <c r="AGH339"/>
      <c r="AGK339"/>
      <c r="AGL339"/>
      <c r="AGO339"/>
      <c r="AGP339"/>
      <c r="AGS339"/>
      <c r="AGT339"/>
      <c r="AGW339"/>
      <c r="AGX339"/>
      <c r="AHA339"/>
      <c r="AHB339"/>
      <c r="AHE339"/>
      <c r="AHF339"/>
      <c r="AHI339"/>
      <c r="AHJ339"/>
      <c r="AHM339"/>
      <c r="AHN339"/>
      <c r="AHQ339"/>
      <c r="AHR339"/>
      <c r="AHU339"/>
      <c r="AHV339"/>
      <c r="AHY339"/>
      <c r="AHZ339"/>
      <c r="AIC339"/>
      <c r="AID339"/>
      <c r="AIG339"/>
      <c r="AIH339"/>
      <c r="AIK339"/>
      <c r="AIL339"/>
      <c r="AIO339"/>
      <c r="AIP339"/>
      <c r="AIS339"/>
      <c r="AIT339"/>
      <c r="AIW339"/>
      <c r="AIX339"/>
      <c r="AJA339"/>
      <c r="AJB339"/>
      <c r="AJE339"/>
      <c r="AJF339"/>
      <c r="AJI339"/>
      <c r="AJJ339"/>
      <c r="AJM339"/>
      <c r="AJN339"/>
      <c r="AJQ339"/>
      <c r="AJR339"/>
      <c r="AJU339"/>
      <c r="AJV339"/>
      <c r="AJY339"/>
      <c r="AJZ339"/>
      <c r="AKC339"/>
      <c r="AKD339"/>
      <c r="AKG339"/>
      <c r="AKH339"/>
      <c r="AKK339"/>
      <c r="AKL339"/>
      <c r="AKO339"/>
      <c r="AKP339"/>
      <c r="AKS339"/>
      <c r="AKT339"/>
      <c r="AKW339"/>
      <c r="AKX339"/>
      <c r="ALA339"/>
      <c r="ALB339"/>
      <c r="ALE339"/>
      <c r="ALF339"/>
      <c r="ALI339"/>
      <c r="ALJ339"/>
      <c r="ALM339"/>
      <c r="ALN339"/>
      <c r="ALQ339"/>
      <c r="ALR339"/>
      <c r="ALU339"/>
      <c r="ALV339"/>
      <c r="ALY339"/>
      <c r="ALZ339"/>
      <c r="AMC339"/>
      <c r="AMD339"/>
      <c r="AMG339"/>
      <c r="AMH339"/>
      <c r="AMK339"/>
      <c r="AML339"/>
      <c r="AMO339"/>
      <c r="AMP339"/>
      <c r="AMS339"/>
      <c r="AMT339"/>
      <c r="AMW339"/>
      <c r="AMX339"/>
      <c r="ANA339"/>
      <c r="ANB339"/>
      <c r="ANE339"/>
      <c r="ANF339"/>
      <c r="ANI339"/>
      <c r="ANJ339"/>
      <c r="ANM339"/>
      <c r="ANN339"/>
      <c r="ANQ339"/>
      <c r="ANR339"/>
      <c r="ANU339"/>
      <c r="ANV339"/>
      <c r="ANY339"/>
      <c r="ANZ339"/>
      <c r="AOC339"/>
      <c r="AOD339"/>
      <c r="AOG339"/>
      <c r="AOH339"/>
      <c r="AOK339"/>
      <c r="AOL339"/>
      <c r="AOO339"/>
      <c r="AOP339"/>
      <c r="AOS339"/>
      <c r="AOT339"/>
      <c r="AOW339"/>
      <c r="AOX339"/>
      <c r="APA339"/>
      <c r="APB339"/>
      <c r="APE339"/>
      <c r="APF339"/>
      <c r="API339"/>
      <c r="APJ339"/>
      <c r="APM339"/>
      <c r="APN339"/>
      <c r="APQ339"/>
      <c r="APR339"/>
      <c r="APU339"/>
      <c r="APV339"/>
      <c r="APY339"/>
      <c r="APZ339"/>
      <c r="AQC339"/>
      <c r="AQD339"/>
      <c r="AQG339"/>
      <c r="AQH339"/>
      <c r="AQK339"/>
      <c r="AQL339"/>
      <c r="AQO339"/>
      <c r="AQP339"/>
      <c r="AQS339"/>
      <c r="AQT339"/>
      <c r="AQW339"/>
      <c r="AQX339"/>
      <c r="ARA339"/>
      <c r="ARB339"/>
      <c r="ARE339"/>
      <c r="ARF339"/>
      <c r="ARI339"/>
      <c r="ARJ339"/>
      <c r="ARM339"/>
      <c r="ARN339"/>
      <c r="ARQ339"/>
      <c r="ARR339"/>
      <c r="ARU339"/>
      <c r="ARV339"/>
      <c r="ARY339"/>
      <c r="ARZ339"/>
      <c r="ASC339"/>
      <c r="ASD339"/>
      <c r="ASG339"/>
      <c r="ASH339"/>
      <c r="ASK339"/>
      <c r="ASL339"/>
      <c r="ASO339"/>
      <c r="ASP339"/>
      <c r="ASS339"/>
      <c r="AST339"/>
      <c r="ASW339"/>
      <c r="ASX339"/>
      <c r="ATA339"/>
      <c r="ATB339"/>
      <c r="ATE339"/>
      <c r="ATF339"/>
      <c r="ATI339"/>
      <c r="ATJ339"/>
      <c r="ATM339"/>
      <c r="ATN339"/>
      <c r="ATQ339"/>
      <c r="ATR339"/>
      <c r="ATU339"/>
      <c r="ATV339"/>
      <c r="ATY339"/>
      <c r="ATZ339"/>
      <c r="AUC339"/>
      <c r="AUD339"/>
      <c r="AUG339"/>
      <c r="AUH339"/>
      <c r="AUK339"/>
      <c r="AUL339"/>
      <c r="AUO339"/>
      <c r="AUP339"/>
      <c r="AUS339"/>
      <c r="AUT339"/>
      <c r="AUW339"/>
      <c r="AUX339"/>
      <c r="AVA339"/>
      <c r="AVB339"/>
      <c r="AVE339"/>
      <c r="AVF339"/>
      <c r="AVI339"/>
      <c r="AVJ339"/>
      <c r="AVM339"/>
      <c r="AVN339"/>
      <c r="AVQ339"/>
      <c r="AVR339"/>
      <c r="AVU339"/>
      <c r="AVV339"/>
      <c r="AVY339"/>
      <c r="AVZ339"/>
      <c r="AWC339"/>
      <c r="AWD339"/>
      <c r="AWG339"/>
      <c r="AWH339"/>
      <c r="AWK339"/>
      <c r="AWL339"/>
      <c r="AWO339"/>
      <c r="AWP339"/>
      <c r="AWS339"/>
      <c r="AWT339"/>
      <c r="AWW339"/>
      <c r="AWX339"/>
      <c r="AXA339"/>
      <c r="AXB339"/>
      <c r="AXE339"/>
      <c r="AXF339"/>
      <c r="AXI339"/>
      <c r="AXJ339"/>
      <c r="AXM339"/>
      <c r="AXN339"/>
      <c r="AXQ339"/>
      <c r="AXR339"/>
      <c r="AXU339"/>
      <c r="AXV339"/>
      <c r="AXY339"/>
      <c r="AXZ339"/>
      <c r="AYC339"/>
      <c r="AYD339"/>
      <c r="AYG339"/>
      <c r="AYH339"/>
      <c r="AYK339"/>
      <c r="AYL339"/>
      <c r="AYO339"/>
      <c r="AYP339"/>
      <c r="AYS339"/>
      <c r="AYT339"/>
      <c r="AYW339"/>
      <c r="AYX339"/>
      <c r="AZA339"/>
      <c r="AZB339"/>
      <c r="AZE339"/>
      <c r="AZF339"/>
      <c r="AZI339"/>
      <c r="AZJ339"/>
      <c r="AZM339"/>
      <c r="AZN339"/>
      <c r="AZQ339"/>
      <c r="AZR339"/>
      <c r="AZU339"/>
      <c r="AZV339"/>
      <c r="AZY339"/>
      <c r="AZZ339"/>
      <c r="BAC339"/>
      <c r="BAD339"/>
      <c r="BAG339"/>
      <c r="BAH339"/>
      <c r="BAK339"/>
      <c r="BAL339"/>
      <c r="BAO339"/>
      <c r="BAP339"/>
      <c r="BAS339"/>
      <c r="BAT339"/>
      <c r="BAW339"/>
      <c r="BAX339"/>
      <c r="BBA339"/>
      <c r="BBB339"/>
      <c r="BBE339"/>
      <c r="BBF339"/>
      <c r="BBI339"/>
      <c r="BBJ339"/>
      <c r="BBM339"/>
      <c r="BBN339"/>
      <c r="BBQ339"/>
      <c r="BBR339"/>
      <c r="BBU339"/>
      <c r="BBV339"/>
      <c r="BBY339"/>
      <c r="BBZ339"/>
      <c r="BCC339"/>
      <c r="BCD339"/>
      <c r="BCG339"/>
      <c r="BCH339"/>
      <c r="BCK339"/>
      <c r="BCL339"/>
      <c r="BCO339"/>
      <c r="BCP339"/>
      <c r="BCS339"/>
      <c r="BCT339"/>
      <c r="BCW339"/>
      <c r="BCX339"/>
      <c r="BDA339"/>
      <c r="BDB339"/>
      <c r="BDE339"/>
      <c r="BDF339"/>
      <c r="BDI339"/>
      <c r="BDJ339"/>
      <c r="BDM339"/>
      <c r="BDN339"/>
      <c r="BDQ339"/>
      <c r="BDR339"/>
      <c r="BDU339"/>
      <c r="BDV339"/>
      <c r="BDY339"/>
      <c r="BDZ339"/>
      <c r="BEC339"/>
      <c r="BED339"/>
      <c r="BEG339"/>
      <c r="BEH339"/>
      <c r="BEK339"/>
      <c r="BEL339"/>
      <c r="BEO339"/>
      <c r="BEP339"/>
      <c r="BES339"/>
      <c r="BET339"/>
      <c r="BEW339"/>
      <c r="BEX339"/>
      <c r="BFA339"/>
      <c r="BFB339"/>
      <c r="BFE339"/>
      <c r="BFF339"/>
      <c r="BFI339"/>
      <c r="BFJ339"/>
      <c r="BFM339"/>
      <c r="BFN339"/>
      <c r="BFQ339"/>
      <c r="BFR339"/>
      <c r="BFU339"/>
      <c r="BFV339"/>
      <c r="BFY339"/>
      <c r="BFZ339"/>
      <c r="BGC339"/>
      <c r="BGD339"/>
      <c r="BGG339"/>
      <c r="BGH339"/>
      <c r="BGK339"/>
      <c r="BGL339"/>
      <c r="BGO339"/>
      <c r="BGP339"/>
      <c r="BGS339"/>
      <c r="BGT339"/>
      <c r="BGW339"/>
      <c r="BGX339"/>
      <c r="BHA339"/>
      <c r="BHB339"/>
      <c r="BHE339"/>
      <c r="BHF339"/>
      <c r="BHI339"/>
      <c r="BHJ339"/>
      <c r="BHM339"/>
      <c r="BHN339"/>
      <c r="BHQ339"/>
      <c r="BHR339"/>
      <c r="BHU339"/>
      <c r="BHV339"/>
      <c r="BHY339"/>
      <c r="BHZ339"/>
      <c r="BIC339"/>
      <c r="BID339"/>
      <c r="BIG339"/>
      <c r="BIH339"/>
      <c r="BIK339"/>
      <c r="BIL339"/>
      <c r="BIO339"/>
      <c r="BIP339"/>
      <c r="BIS339"/>
      <c r="BIT339"/>
      <c r="BIW339"/>
      <c r="BIX339"/>
      <c r="BJA339"/>
      <c r="BJB339"/>
      <c r="BJE339"/>
      <c r="BJF339"/>
      <c r="BJI339"/>
      <c r="BJJ339"/>
      <c r="BJM339"/>
      <c r="BJN339"/>
      <c r="BJQ339"/>
      <c r="BJR339"/>
      <c r="BJU339"/>
      <c r="BJV339"/>
      <c r="BJY339"/>
      <c r="BJZ339"/>
      <c r="BKC339"/>
      <c r="BKD339"/>
      <c r="BKG339"/>
      <c r="BKH339"/>
      <c r="BKK339"/>
      <c r="BKL339"/>
      <c r="BKO339"/>
      <c r="BKP339"/>
      <c r="BKS339"/>
      <c r="BKT339"/>
      <c r="BKW339"/>
      <c r="BKX339"/>
      <c r="BLA339"/>
      <c r="BLB339"/>
      <c r="BLE339"/>
      <c r="BLF339"/>
      <c r="BLI339"/>
      <c r="BLJ339"/>
      <c r="BLM339"/>
      <c r="BLN339"/>
      <c r="BLQ339"/>
      <c r="BLR339"/>
      <c r="BLU339"/>
      <c r="BLV339"/>
      <c r="BLY339"/>
      <c r="BLZ339"/>
      <c r="BMC339"/>
      <c r="BMD339"/>
      <c r="BMG339"/>
      <c r="BMH339"/>
      <c r="BMK339"/>
      <c r="BML339"/>
      <c r="BMO339"/>
      <c r="BMP339"/>
      <c r="BMS339"/>
      <c r="BMT339"/>
      <c r="BMW339"/>
      <c r="BMX339"/>
      <c r="BNA339"/>
      <c r="BNB339"/>
      <c r="BNE339"/>
      <c r="BNF339"/>
      <c r="BNI339"/>
      <c r="BNJ339"/>
      <c r="BNM339"/>
      <c r="BNN339"/>
      <c r="BNQ339"/>
      <c r="BNR339"/>
      <c r="BNU339"/>
      <c r="BNV339"/>
      <c r="BNY339"/>
      <c r="BNZ339"/>
      <c r="BOC339"/>
      <c r="BOD339"/>
      <c r="BOG339"/>
      <c r="BOH339"/>
      <c r="BOK339"/>
      <c r="BOL339"/>
      <c r="BOO339"/>
      <c r="BOP339"/>
      <c r="BOS339"/>
      <c r="BOT339"/>
      <c r="BOW339"/>
      <c r="BOX339"/>
      <c r="BPA339"/>
      <c r="BPB339"/>
      <c r="BPE339"/>
      <c r="BPF339"/>
      <c r="BPI339"/>
      <c r="BPJ339"/>
      <c r="BPM339"/>
      <c r="BPN339"/>
      <c r="BPQ339"/>
      <c r="BPR339"/>
      <c r="BPU339"/>
      <c r="BPV339"/>
      <c r="BPY339"/>
      <c r="BPZ339"/>
      <c r="BQC339"/>
      <c r="BQD339"/>
      <c r="BQG339"/>
      <c r="BQH339"/>
      <c r="BQK339"/>
      <c r="BQL339"/>
      <c r="BQO339"/>
      <c r="BQP339"/>
      <c r="BQS339"/>
      <c r="BQT339"/>
      <c r="BQW339"/>
      <c r="BQX339"/>
      <c r="BRA339"/>
      <c r="BRB339"/>
      <c r="BRE339"/>
      <c r="BRF339"/>
      <c r="BRI339"/>
      <c r="BRJ339"/>
      <c r="BRM339"/>
      <c r="BRN339"/>
      <c r="BRQ339"/>
      <c r="BRR339"/>
      <c r="BRU339"/>
      <c r="BRV339"/>
      <c r="BRY339"/>
      <c r="BRZ339"/>
      <c r="BSC339"/>
      <c r="BSD339"/>
      <c r="BSG339"/>
      <c r="BSH339"/>
      <c r="BSK339"/>
      <c r="BSL339"/>
      <c r="BSO339"/>
      <c r="BSP339"/>
      <c r="BSS339"/>
      <c r="BST339"/>
      <c r="BSW339"/>
      <c r="BSX339"/>
      <c r="BTA339"/>
      <c r="BTB339"/>
      <c r="BTE339"/>
      <c r="BTF339"/>
      <c r="BTI339"/>
      <c r="BTJ339"/>
      <c r="BTM339"/>
      <c r="BTN339"/>
      <c r="BTQ339"/>
      <c r="BTR339"/>
      <c r="BTU339"/>
      <c r="BTV339"/>
      <c r="BTY339"/>
      <c r="BTZ339"/>
      <c r="BUC339"/>
      <c r="BUD339"/>
      <c r="BUG339"/>
      <c r="BUH339"/>
      <c r="BUK339"/>
      <c r="BUL339"/>
      <c r="BUO339"/>
      <c r="BUP339"/>
      <c r="BUS339"/>
      <c r="BUT339"/>
      <c r="BUW339"/>
      <c r="BUX339"/>
      <c r="BVA339"/>
      <c r="BVB339"/>
      <c r="BVE339"/>
      <c r="BVF339"/>
      <c r="BVI339"/>
      <c r="BVJ339"/>
      <c r="BVM339"/>
      <c r="BVN339"/>
      <c r="BVQ339"/>
      <c r="BVR339"/>
      <c r="BVU339"/>
      <c r="BVV339"/>
      <c r="BVY339"/>
      <c r="BVZ339"/>
      <c r="BWC339"/>
      <c r="BWD339"/>
      <c r="BWG339"/>
      <c r="BWH339"/>
      <c r="BWK339"/>
      <c r="BWL339"/>
      <c r="BWO339"/>
      <c r="BWP339"/>
      <c r="BWS339"/>
      <c r="BWT339"/>
      <c r="BWW339"/>
      <c r="BWX339"/>
      <c r="BXA339"/>
      <c r="BXB339"/>
      <c r="BXE339"/>
      <c r="BXF339"/>
      <c r="BXI339"/>
      <c r="BXJ339"/>
      <c r="BXM339"/>
      <c r="BXN339"/>
      <c r="BXQ339"/>
      <c r="BXR339"/>
      <c r="BXU339"/>
      <c r="BXV339"/>
      <c r="BXY339"/>
      <c r="BXZ339"/>
      <c r="BYC339"/>
      <c r="BYD339"/>
      <c r="BYG339"/>
      <c r="BYH339"/>
      <c r="BYK339"/>
      <c r="BYL339"/>
      <c r="BYO339"/>
      <c r="BYP339"/>
      <c r="BYS339"/>
      <c r="BYT339"/>
      <c r="BYW339"/>
      <c r="BYX339"/>
      <c r="BZA339"/>
      <c r="BZB339"/>
      <c r="BZE339"/>
      <c r="BZF339"/>
      <c r="BZI339"/>
      <c r="BZJ339"/>
      <c r="BZM339"/>
      <c r="BZN339"/>
      <c r="BZQ339"/>
      <c r="BZR339"/>
      <c r="BZU339"/>
      <c r="BZV339"/>
      <c r="BZY339"/>
      <c r="BZZ339"/>
      <c r="CAC339"/>
      <c r="CAD339"/>
      <c r="CAG339"/>
      <c r="CAH339"/>
      <c r="CAK339"/>
      <c r="CAL339"/>
      <c r="CAO339"/>
      <c r="CAP339"/>
      <c r="CAS339"/>
      <c r="CAT339"/>
      <c r="CAW339"/>
      <c r="CAX339"/>
      <c r="CBA339"/>
      <c r="CBB339"/>
      <c r="CBE339"/>
      <c r="CBF339"/>
      <c r="CBI339"/>
      <c r="CBJ339"/>
      <c r="CBM339"/>
      <c r="CBN339"/>
      <c r="CBQ339"/>
      <c r="CBR339"/>
      <c r="CBU339"/>
      <c r="CBV339"/>
      <c r="CBY339"/>
      <c r="CBZ339"/>
      <c r="CCC339"/>
      <c r="CCD339"/>
      <c r="CCG339"/>
      <c r="CCH339"/>
      <c r="CCK339"/>
      <c r="CCL339"/>
      <c r="CCO339"/>
      <c r="CCP339"/>
      <c r="CCS339"/>
      <c r="CCT339"/>
      <c r="CCW339"/>
      <c r="CCX339"/>
      <c r="CDA339"/>
      <c r="CDB339"/>
      <c r="CDE339"/>
      <c r="CDF339"/>
      <c r="CDI339"/>
      <c r="CDJ339"/>
      <c r="CDM339"/>
      <c r="CDN339"/>
      <c r="CDQ339"/>
      <c r="CDR339"/>
      <c r="CDU339"/>
      <c r="CDV339"/>
      <c r="CDY339"/>
      <c r="CDZ339"/>
      <c r="CEC339"/>
      <c r="CED339"/>
      <c r="CEG339"/>
      <c r="CEH339"/>
      <c r="CEK339"/>
      <c r="CEL339"/>
      <c r="CEO339"/>
      <c r="CEP339"/>
      <c r="CES339"/>
      <c r="CET339"/>
      <c r="CEW339"/>
      <c r="CEX339"/>
      <c r="CFA339"/>
      <c r="CFB339"/>
      <c r="CFE339"/>
      <c r="CFF339"/>
      <c r="CFI339"/>
      <c r="CFJ339"/>
      <c r="CFM339"/>
      <c r="CFN339"/>
      <c r="CFQ339"/>
      <c r="CFR339"/>
      <c r="CFU339"/>
      <c r="CFV339"/>
      <c r="CFY339"/>
      <c r="CFZ339"/>
      <c r="CGC339"/>
      <c r="CGD339"/>
      <c r="CGG339"/>
      <c r="CGH339"/>
      <c r="CGK339"/>
      <c r="CGL339"/>
      <c r="CGO339"/>
      <c r="CGP339"/>
      <c r="CGS339"/>
      <c r="CGT339"/>
      <c r="CGW339"/>
      <c r="CGX339"/>
      <c r="CHA339"/>
      <c r="CHB339"/>
      <c r="CHE339"/>
      <c r="CHF339"/>
      <c r="CHI339"/>
      <c r="CHJ339"/>
      <c r="CHM339"/>
      <c r="CHN339"/>
      <c r="CHQ339"/>
      <c r="CHR339"/>
      <c r="CHU339"/>
      <c r="CHV339"/>
      <c r="CHY339"/>
      <c r="CHZ339"/>
      <c r="CIC339"/>
      <c r="CID339"/>
      <c r="CIG339"/>
      <c r="CIH339"/>
      <c r="CIK339"/>
      <c r="CIL339"/>
      <c r="CIO339"/>
      <c r="CIP339"/>
      <c r="CIS339"/>
      <c r="CIT339"/>
      <c r="CIW339"/>
      <c r="CIX339"/>
      <c r="CJA339"/>
      <c r="CJB339"/>
      <c r="CJE339"/>
      <c r="CJF339"/>
      <c r="CJI339"/>
      <c r="CJJ339"/>
      <c r="CJM339"/>
      <c r="CJN339"/>
      <c r="CJQ339"/>
      <c r="CJR339"/>
      <c r="CJU339"/>
      <c r="CJV339"/>
      <c r="CJY339"/>
      <c r="CJZ339"/>
      <c r="CKC339"/>
      <c r="CKD339"/>
      <c r="CKG339"/>
      <c r="CKH339"/>
      <c r="CKK339"/>
      <c r="CKL339"/>
      <c r="CKO339"/>
      <c r="CKP339"/>
      <c r="CKS339"/>
      <c r="CKT339"/>
      <c r="CKW339"/>
      <c r="CKX339"/>
      <c r="CLA339"/>
      <c r="CLB339"/>
      <c r="CLE339"/>
      <c r="CLF339"/>
      <c r="CLI339"/>
      <c r="CLJ339"/>
      <c r="CLM339"/>
      <c r="CLN339"/>
      <c r="CLQ339"/>
      <c r="CLR339"/>
      <c r="CLU339"/>
      <c r="CLV339"/>
      <c r="CLY339"/>
      <c r="CLZ339"/>
      <c r="CMC339"/>
      <c r="CMD339"/>
      <c r="CMG339"/>
      <c r="CMH339"/>
      <c r="CMK339"/>
      <c r="CML339"/>
      <c r="CMO339"/>
      <c r="CMP339"/>
      <c r="CMS339"/>
      <c r="CMT339"/>
      <c r="CMW339"/>
      <c r="CMX339"/>
      <c r="CNA339"/>
      <c r="CNB339"/>
      <c r="CNE339"/>
      <c r="CNF339"/>
      <c r="CNI339"/>
      <c r="CNJ339"/>
      <c r="CNM339"/>
      <c r="CNN339"/>
      <c r="CNQ339"/>
      <c r="CNR339"/>
      <c r="CNU339"/>
      <c r="CNV339"/>
      <c r="CNY339"/>
      <c r="CNZ339"/>
      <c r="COC339"/>
      <c r="COD339"/>
      <c r="COG339"/>
      <c r="COH339"/>
      <c r="COK339"/>
      <c r="COL339"/>
      <c r="COO339"/>
      <c r="COP339"/>
      <c r="COS339"/>
      <c r="COT339"/>
      <c r="COW339"/>
      <c r="COX339"/>
      <c r="CPA339"/>
      <c r="CPB339"/>
      <c r="CPE339"/>
      <c r="CPF339"/>
      <c r="CPI339"/>
      <c r="CPJ339"/>
      <c r="CPM339"/>
      <c r="CPN339"/>
      <c r="CPQ339"/>
      <c r="CPR339"/>
      <c r="CPU339"/>
      <c r="CPV339"/>
      <c r="CPY339"/>
      <c r="CPZ339"/>
      <c r="CQC339"/>
      <c r="CQD339"/>
      <c r="CQG339"/>
      <c r="CQH339"/>
      <c r="CQK339"/>
      <c r="CQL339"/>
      <c r="CQO339"/>
      <c r="CQP339"/>
      <c r="CQS339"/>
      <c r="CQT339"/>
      <c r="CQW339"/>
      <c r="CQX339"/>
      <c r="CRA339"/>
      <c r="CRB339"/>
      <c r="CRE339"/>
      <c r="CRF339"/>
      <c r="CRI339"/>
      <c r="CRJ339"/>
      <c r="CRM339"/>
      <c r="CRN339"/>
      <c r="CRQ339"/>
      <c r="CRR339"/>
      <c r="CRU339"/>
      <c r="CRV339"/>
      <c r="CRY339"/>
      <c r="CRZ339"/>
      <c r="CSC339"/>
      <c r="CSD339"/>
      <c r="CSG339"/>
      <c r="CSH339"/>
      <c r="CSK339"/>
      <c r="CSL339"/>
      <c r="CSO339"/>
      <c r="CSP339"/>
      <c r="CSS339"/>
      <c r="CST339"/>
      <c r="CSW339"/>
      <c r="CSX339"/>
      <c r="CTA339"/>
      <c r="CTB339"/>
      <c r="CTE339"/>
      <c r="CTF339"/>
      <c r="CTI339"/>
      <c r="CTJ339"/>
      <c r="CTM339"/>
      <c r="CTN339"/>
      <c r="CTQ339"/>
      <c r="CTR339"/>
      <c r="CTU339"/>
      <c r="CTV339"/>
      <c r="CTY339"/>
      <c r="CTZ339"/>
      <c r="CUC339"/>
      <c r="CUD339"/>
      <c r="CUG339"/>
      <c r="CUH339"/>
      <c r="CUK339"/>
      <c r="CUL339"/>
      <c r="CUO339"/>
      <c r="CUP339"/>
      <c r="CUS339"/>
      <c r="CUT339"/>
      <c r="CUW339"/>
      <c r="CUX339"/>
      <c r="CVA339"/>
      <c r="CVB339"/>
      <c r="CVE339"/>
      <c r="CVF339"/>
      <c r="CVI339"/>
      <c r="CVJ339"/>
      <c r="CVM339"/>
      <c r="CVN339"/>
      <c r="CVQ339"/>
      <c r="CVR339"/>
      <c r="CVU339"/>
      <c r="CVV339"/>
      <c r="CVY339"/>
      <c r="CVZ339"/>
      <c r="CWC339"/>
      <c r="CWD339"/>
      <c r="CWG339"/>
      <c r="CWH339"/>
      <c r="CWK339"/>
      <c r="CWL339"/>
      <c r="CWO339"/>
      <c r="CWP339"/>
      <c r="CWS339"/>
      <c r="CWT339"/>
      <c r="CWW339"/>
      <c r="CWX339"/>
      <c r="CXA339"/>
      <c r="CXB339"/>
      <c r="CXE339"/>
      <c r="CXF339"/>
      <c r="CXI339"/>
      <c r="CXJ339"/>
      <c r="CXM339"/>
      <c r="CXN339"/>
      <c r="CXQ339"/>
      <c r="CXR339"/>
      <c r="CXU339"/>
      <c r="CXV339"/>
      <c r="CXY339"/>
      <c r="CXZ339"/>
      <c r="CYC339"/>
      <c r="CYD339"/>
      <c r="CYG339"/>
      <c r="CYH339"/>
      <c r="CYK339"/>
      <c r="CYL339"/>
      <c r="CYO339"/>
      <c r="CYP339"/>
      <c r="CYS339"/>
      <c r="CYT339"/>
      <c r="CYW339"/>
      <c r="CYX339"/>
      <c r="CZA339"/>
      <c r="CZB339"/>
      <c r="CZE339"/>
      <c r="CZF339"/>
      <c r="CZI339"/>
      <c r="CZJ339"/>
      <c r="CZM339"/>
      <c r="CZN339"/>
      <c r="CZQ339"/>
      <c r="CZR339"/>
      <c r="CZU339"/>
      <c r="CZV339"/>
      <c r="CZY339"/>
      <c r="CZZ339"/>
      <c r="DAC339"/>
      <c r="DAD339"/>
      <c r="DAG339"/>
      <c r="DAH339"/>
      <c r="DAK339"/>
      <c r="DAL339"/>
      <c r="DAO339"/>
      <c r="DAP339"/>
      <c r="DAS339"/>
      <c r="DAT339"/>
      <c r="DAW339"/>
      <c r="DAX339"/>
      <c r="DBA339"/>
      <c r="DBB339"/>
      <c r="DBE339"/>
      <c r="DBF339"/>
      <c r="DBI339"/>
      <c r="DBJ339"/>
      <c r="DBM339"/>
      <c r="DBN339"/>
      <c r="DBQ339"/>
      <c r="DBR339"/>
      <c r="DBU339"/>
      <c r="DBV339"/>
      <c r="DBY339"/>
      <c r="DBZ339"/>
      <c r="DCC339"/>
      <c r="DCD339"/>
      <c r="DCG339"/>
      <c r="DCH339"/>
      <c r="DCK339"/>
      <c r="DCL339"/>
      <c r="DCO339"/>
      <c r="DCP339"/>
      <c r="DCS339"/>
      <c r="DCT339"/>
      <c r="DCW339"/>
      <c r="DCX339"/>
      <c r="DDA339"/>
      <c r="DDB339"/>
      <c r="DDE339"/>
      <c r="DDF339"/>
      <c r="DDI339"/>
      <c r="DDJ339"/>
      <c r="DDM339"/>
      <c r="DDN339"/>
      <c r="DDQ339"/>
      <c r="DDR339"/>
      <c r="DDU339"/>
      <c r="DDV339"/>
      <c r="DDY339"/>
      <c r="DDZ339"/>
      <c r="DEC339"/>
      <c r="DED339"/>
      <c r="DEG339"/>
      <c r="DEH339"/>
      <c r="DEK339"/>
      <c r="DEL339"/>
      <c r="DEO339"/>
      <c r="DEP339"/>
      <c r="DES339"/>
      <c r="DET339"/>
      <c r="DEW339"/>
      <c r="DEX339"/>
      <c r="DFA339"/>
      <c r="DFB339"/>
      <c r="DFE339"/>
      <c r="DFF339"/>
      <c r="DFI339"/>
      <c r="DFJ339"/>
      <c r="DFM339"/>
      <c r="DFN339"/>
      <c r="DFQ339"/>
      <c r="DFR339"/>
      <c r="DFU339"/>
      <c r="DFV339"/>
      <c r="DFY339"/>
      <c r="DFZ339"/>
      <c r="DGC339"/>
      <c r="DGD339"/>
      <c r="DGG339"/>
      <c r="DGH339"/>
      <c r="DGK339"/>
      <c r="DGL339"/>
      <c r="DGO339"/>
      <c r="DGP339"/>
      <c r="DGS339"/>
      <c r="DGT339"/>
      <c r="DGW339"/>
      <c r="DGX339"/>
      <c r="DHA339"/>
      <c r="DHB339"/>
      <c r="DHE339"/>
      <c r="DHF339"/>
      <c r="DHI339"/>
      <c r="DHJ339"/>
      <c r="DHM339"/>
      <c r="DHN339"/>
      <c r="DHQ339"/>
      <c r="DHR339"/>
      <c r="DHU339"/>
      <c r="DHV339"/>
      <c r="DHY339"/>
      <c r="DHZ339"/>
      <c r="DIC339"/>
      <c r="DID339"/>
      <c r="DIG339"/>
      <c r="DIH339"/>
      <c r="DIK339"/>
      <c r="DIL339"/>
      <c r="DIO339"/>
      <c r="DIP339"/>
      <c r="DIS339"/>
      <c r="DIT339"/>
      <c r="DIW339"/>
      <c r="DIX339"/>
      <c r="DJA339"/>
      <c r="DJB339"/>
      <c r="DJE339"/>
      <c r="DJF339"/>
      <c r="DJI339"/>
      <c r="DJJ339"/>
      <c r="DJM339"/>
      <c r="DJN339"/>
      <c r="DJQ339"/>
      <c r="DJR339"/>
      <c r="DJU339"/>
      <c r="DJV339"/>
      <c r="DJY339"/>
      <c r="DJZ339"/>
      <c r="DKC339"/>
      <c r="DKD339"/>
      <c r="DKG339"/>
      <c r="DKH339"/>
      <c r="DKK339"/>
      <c r="DKL339"/>
      <c r="DKO339"/>
      <c r="DKP339"/>
      <c r="DKS339"/>
      <c r="DKT339"/>
      <c r="DKW339"/>
      <c r="DKX339"/>
      <c r="DLA339"/>
      <c r="DLB339"/>
      <c r="DLE339"/>
      <c r="DLF339"/>
      <c r="DLI339"/>
      <c r="DLJ339"/>
      <c r="DLM339"/>
      <c r="DLN339"/>
      <c r="DLQ339"/>
      <c r="DLR339"/>
      <c r="DLU339"/>
      <c r="DLV339"/>
      <c r="DLY339"/>
      <c r="DLZ339"/>
      <c r="DMC339"/>
      <c r="DMD339"/>
      <c r="DMG339"/>
      <c r="DMH339"/>
      <c r="DMK339"/>
      <c r="DML339"/>
      <c r="DMO339"/>
      <c r="DMP339"/>
      <c r="DMS339"/>
      <c r="DMT339"/>
      <c r="DMW339"/>
      <c r="DMX339"/>
      <c r="DNA339"/>
      <c r="DNB339"/>
      <c r="DNE339"/>
      <c r="DNF339"/>
      <c r="DNI339"/>
      <c r="DNJ339"/>
      <c r="DNM339"/>
      <c r="DNN339"/>
      <c r="DNQ339"/>
      <c r="DNR339"/>
      <c r="DNU339"/>
      <c r="DNV339"/>
      <c r="DNY339"/>
      <c r="DNZ339"/>
      <c r="DOC339"/>
      <c r="DOD339"/>
      <c r="DOG339"/>
      <c r="DOH339"/>
      <c r="DOK339"/>
      <c r="DOL339"/>
      <c r="DOO339"/>
      <c r="DOP339"/>
      <c r="DOS339"/>
      <c r="DOT339"/>
      <c r="DOW339"/>
      <c r="DOX339"/>
      <c r="DPA339"/>
      <c r="DPB339"/>
      <c r="DPE339"/>
      <c r="DPF339"/>
      <c r="DPI339"/>
      <c r="DPJ339"/>
      <c r="DPM339"/>
      <c r="DPN339"/>
      <c r="DPQ339"/>
      <c r="DPR339"/>
      <c r="DPU339"/>
      <c r="DPV339"/>
      <c r="DPY339"/>
      <c r="DPZ339"/>
      <c r="DQC339"/>
      <c r="DQD339"/>
      <c r="DQG339"/>
      <c r="DQH339"/>
      <c r="DQK339"/>
      <c r="DQL339"/>
      <c r="DQO339"/>
      <c r="DQP339"/>
      <c r="DQS339"/>
      <c r="DQT339"/>
      <c r="DQW339"/>
      <c r="DQX339"/>
      <c r="DRA339"/>
      <c r="DRB339"/>
      <c r="DRE339"/>
      <c r="DRF339"/>
      <c r="DRI339"/>
      <c r="DRJ339"/>
      <c r="DRM339"/>
      <c r="DRN339"/>
      <c r="DRQ339"/>
      <c r="DRR339"/>
      <c r="DRU339"/>
      <c r="DRV339"/>
      <c r="DRY339"/>
      <c r="DRZ339"/>
      <c r="DSC339"/>
      <c r="DSD339"/>
      <c r="DSG339"/>
      <c r="DSH339"/>
      <c r="DSK339"/>
      <c r="DSL339"/>
      <c r="DSO339"/>
      <c r="DSP339"/>
      <c r="DSS339"/>
      <c r="DST339"/>
      <c r="DSW339"/>
      <c r="DSX339"/>
      <c r="DTA339"/>
      <c r="DTB339"/>
      <c r="DTE339"/>
      <c r="DTF339"/>
      <c r="DTI339"/>
      <c r="DTJ339"/>
      <c r="DTM339"/>
      <c r="DTN339"/>
      <c r="DTQ339"/>
      <c r="DTR339"/>
      <c r="DTU339"/>
      <c r="DTV339"/>
      <c r="DTY339"/>
      <c r="DTZ339"/>
      <c r="DUC339"/>
      <c r="DUD339"/>
      <c r="DUG339"/>
      <c r="DUH339"/>
      <c r="DUK339"/>
      <c r="DUL339"/>
      <c r="DUO339"/>
      <c r="DUP339"/>
      <c r="DUS339"/>
      <c r="DUT339"/>
      <c r="DUW339"/>
      <c r="DUX339"/>
      <c r="DVA339"/>
      <c r="DVB339"/>
      <c r="DVE339"/>
      <c r="DVF339"/>
      <c r="DVI339"/>
      <c r="DVJ339"/>
      <c r="DVM339"/>
      <c r="DVN339"/>
      <c r="DVQ339"/>
      <c r="DVR339"/>
      <c r="DVU339"/>
      <c r="DVV339"/>
      <c r="DVY339"/>
      <c r="DVZ339"/>
      <c r="DWC339"/>
      <c r="DWD339"/>
      <c r="DWG339"/>
      <c r="DWH339"/>
      <c r="DWK339"/>
      <c r="DWL339"/>
      <c r="DWO339"/>
      <c r="DWP339"/>
      <c r="DWS339"/>
      <c r="DWT339"/>
      <c r="DWW339"/>
      <c r="DWX339"/>
      <c r="DXA339"/>
      <c r="DXB339"/>
      <c r="DXE339"/>
      <c r="DXF339"/>
      <c r="DXI339"/>
      <c r="DXJ339"/>
      <c r="DXM339"/>
      <c r="DXN339"/>
      <c r="DXQ339"/>
      <c r="DXR339"/>
      <c r="DXU339"/>
      <c r="DXV339"/>
      <c r="DXY339"/>
      <c r="DXZ339"/>
      <c r="DYC339"/>
      <c r="DYD339"/>
      <c r="DYG339"/>
      <c r="DYH339"/>
      <c r="DYK339"/>
      <c r="DYL339"/>
      <c r="DYO339"/>
      <c r="DYP339"/>
      <c r="DYS339"/>
      <c r="DYT339"/>
      <c r="DYW339"/>
      <c r="DYX339"/>
      <c r="DZA339"/>
      <c r="DZB339"/>
      <c r="DZE339"/>
      <c r="DZF339"/>
      <c r="DZI339"/>
      <c r="DZJ339"/>
      <c r="DZM339"/>
      <c r="DZN339"/>
      <c r="DZQ339"/>
      <c r="DZR339"/>
      <c r="DZU339"/>
      <c r="DZV339"/>
      <c r="DZY339"/>
      <c r="DZZ339"/>
      <c r="EAC339"/>
      <c r="EAD339"/>
      <c r="EAG339"/>
      <c r="EAH339"/>
      <c r="EAK339"/>
      <c r="EAL339"/>
      <c r="EAO339"/>
      <c r="EAP339"/>
      <c r="EAS339"/>
      <c r="EAT339"/>
      <c r="EAW339"/>
      <c r="EAX339"/>
      <c r="EBA339"/>
      <c r="EBB339"/>
      <c r="EBE339"/>
      <c r="EBF339"/>
      <c r="EBI339"/>
      <c r="EBJ339"/>
      <c r="EBM339"/>
      <c r="EBN339"/>
      <c r="EBQ339"/>
      <c r="EBR339"/>
      <c r="EBU339"/>
      <c r="EBV339"/>
      <c r="EBY339"/>
      <c r="EBZ339"/>
      <c r="ECC339"/>
      <c r="ECD339"/>
      <c r="ECG339"/>
      <c r="ECH339"/>
      <c r="ECK339"/>
      <c r="ECL339"/>
      <c r="ECO339"/>
      <c r="ECP339"/>
      <c r="ECS339"/>
      <c r="ECT339"/>
      <c r="ECW339"/>
      <c r="ECX339"/>
      <c r="EDA339"/>
      <c r="EDB339"/>
      <c r="EDE339"/>
      <c r="EDF339"/>
      <c r="EDI339"/>
      <c r="EDJ339"/>
      <c r="EDM339"/>
      <c r="EDN339"/>
      <c r="EDQ339"/>
      <c r="EDR339"/>
      <c r="EDU339"/>
      <c r="EDV339"/>
      <c r="EDY339"/>
      <c r="EDZ339"/>
      <c r="EEC339"/>
      <c r="EED339"/>
      <c r="EEG339"/>
      <c r="EEH339"/>
      <c r="EEK339"/>
      <c r="EEL339"/>
      <c r="EEO339"/>
      <c r="EEP339"/>
      <c r="EES339"/>
      <c r="EET339"/>
      <c r="EEW339"/>
      <c r="EEX339"/>
      <c r="EFA339"/>
      <c r="EFB339"/>
      <c r="EFE339"/>
      <c r="EFF339"/>
      <c r="EFI339"/>
      <c r="EFJ339"/>
      <c r="EFM339"/>
      <c r="EFN339"/>
      <c r="EFQ339"/>
      <c r="EFR339"/>
      <c r="EFU339"/>
      <c r="EFV339"/>
      <c r="EFY339"/>
      <c r="EFZ339"/>
      <c r="EGC339"/>
      <c r="EGD339"/>
      <c r="EGG339"/>
      <c r="EGH339"/>
      <c r="EGK339"/>
      <c r="EGL339"/>
      <c r="EGO339"/>
      <c r="EGP339"/>
      <c r="EGS339"/>
      <c r="EGT339"/>
      <c r="EGW339"/>
      <c r="EGX339"/>
      <c r="EHA339"/>
      <c r="EHB339"/>
      <c r="EHE339"/>
      <c r="EHF339"/>
      <c r="EHI339"/>
      <c r="EHJ339"/>
      <c r="EHM339"/>
      <c r="EHN339"/>
      <c r="EHQ339"/>
      <c r="EHR339"/>
      <c r="EHU339"/>
      <c r="EHV339"/>
      <c r="EHY339"/>
      <c r="EHZ339"/>
      <c r="EIC339"/>
      <c r="EID339"/>
      <c r="EIG339"/>
      <c r="EIH339"/>
      <c r="EIK339"/>
      <c r="EIL339"/>
      <c r="EIO339"/>
      <c r="EIP339"/>
      <c r="EIS339"/>
      <c r="EIT339"/>
      <c r="EIW339"/>
      <c r="EIX339"/>
      <c r="EJA339"/>
      <c r="EJB339"/>
      <c r="EJE339"/>
      <c r="EJF339"/>
      <c r="EJI339"/>
      <c r="EJJ339"/>
      <c r="EJM339"/>
      <c r="EJN339"/>
      <c r="EJQ339"/>
      <c r="EJR339"/>
      <c r="EJU339"/>
      <c r="EJV339"/>
      <c r="EJY339"/>
      <c r="EJZ339"/>
      <c r="EKC339"/>
      <c r="EKD339"/>
      <c r="EKG339"/>
      <c r="EKH339"/>
      <c r="EKK339"/>
      <c r="EKL339"/>
      <c r="EKO339"/>
      <c r="EKP339"/>
      <c r="EKS339"/>
      <c r="EKT339"/>
      <c r="EKW339"/>
      <c r="EKX339"/>
      <c r="ELA339"/>
      <c r="ELB339"/>
      <c r="ELE339"/>
      <c r="ELF339"/>
      <c r="ELI339"/>
      <c r="ELJ339"/>
      <c r="ELM339"/>
      <c r="ELN339"/>
      <c r="ELQ339"/>
      <c r="ELR339"/>
      <c r="ELU339"/>
      <c r="ELV339"/>
      <c r="ELY339"/>
      <c r="ELZ339"/>
      <c r="EMC339"/>
      <c r="EMD339"/>
      <c r="EMG339"/>
      <c r="EMH339"/>
      <c r="EMK339"/>
      <c r="EML339"/>
      <c r="EMO339"/>
      <c r="EMP339"/>
      <c r="EMS339"/>
      <c r="EMT339"/>
      <c r="EMW339"/>
      <c r="EMX339"/>
      <c r="ENA339"/>
      <c r="ENB339"/>
      <c r="ENE339"/>
      <c r="ENF339"/>
      <c r="ENI339"/>
      <c r="ENJ339"/>
      <c r="ENM339"/>
      <c r="ENN339"/>
      <c r="ENQ339"/>
      <c r="ENR339"/>
      <c r="ENU339"/>
      <c r="ENV339"/>
      <c r="ENY339"/>
      <c r="ENZ339"/>
      <c r="EOC339"/>
      <c r="EOD339"/>
      <c r="EOG339"/>
      <c r="EOH339"/>
      <c r="EOK339"/>
      <c r="EOL339"/>
      <c r="EOO339"/>
      <c r="EOP339"/>
      <c r="EOS339"/>
      <c r="EOT339"/>
      <c r="EOW339"/>
      <c r="EOX339"/>
      <c r="EPA339"/>
      <c r="EPB339"/>
      <c r="EPE339"/>
      <c r="EPF339"/>
      <c r="EPI339"/>
      <c r="EPJ339"/>
      <c r="EPM339"/>
      <c r="EPN339"/>
      <c r="EPQ339"/>
      <c r="EPR339"/>
      <c r="EPU339"/>
      <c r="EPV339"/>
      <c r="EPY339"/>
      <c r="EPZ339"/>
      <c r="EQC339"/>
      <c r="EQD339"/>
      <c r="EQG339"/>
      <c r="EQH339"/>
      <c r="EQK339"/>
      <c r="EQL339"/>
      <c r="EQO339"/>
      <c r="EQP339"/>
      <c r="EQS339"/>
      <c r="EQT339"/>
      <c r="EQW339"/>
      <c r="EQX339"/>
      <c r="ERA339"/>
      <c r="ERB339"/>
      <c r="ERE339"/>
      <c r="ERF339"/>
      <c r="ERI339"/>
      <c r="ERJ339"/>
      <c r="ERM339"/>
      <c r="ERN339"/>
      <c r="ERQ339"/>
      <c r="ERR339"/>
      <c r="ERU339"/>
      <c r="ERV339"/>
      <c r="ERY339"/>
      <c r="ERZ339"/>
      <c r="ESC339"/>
      <c r="ESD339"/>
      <c r="ESG339"/>
      <c r="ESH339"/>
      <c r="ESK339"/>
      <c r="ESL339"/>
      <c r="ESO339"/>
      <c r="ESP339"/>
      <c r="ESS339"/>
      <c r="EST339"/>
      <c r="ESW339"/>
      <c r="ESX339"/>
      <c r="ETA339"/>
      <c r="ETB339"/>
      <c r="ETE339"/>
      <c r="ETF339"/>
      <c r="ETI339"/>
      <c r="ETJ339"/>
      <c r="ETM339"/>
      <c r="ETN339"/>
      <c r="ETQ339"/>
      <c r="ETR339"/>
      <c r="ETU339"/>
      <c r="ETV339"/>
      <c r="ETY339"/>
      <c r="ETZ339"/>
      <c r="EUC339"/>
      <c r="EUD339"/>
      <c r="EUG339"/>
      <c r="EUH339"/>
      <c r="EUK339"/>
      <c r="EUL339"/>
      <c r="EUO339"/>
      <c r="EUP339"/>
      <c r="EUS339"/>
      <c r="EUT339"/>
      <c r="EUW339"/>
      <c r="EUX339"/>
      <c r="EVA339"/>
      <c r="EVB339"/>
      <c r="EVE339"/>
      <c r="EVF339"/>
      <c r="EVI339"/>
      <c r="EVJ339"/>
      <c r="EVM339"/>
      <c r="EVN339"/>
      <c r="EVQ339"/>
      <c r="EVR339"/>
      <c r="EVU339"/>
      <c r="EVV339"/>
      <c r="EVY339"/>
      <c r="EVZ339"/>
      <c r="EWC339"/>
      <c r="EWD339"/>
      <c r="EWG339"/>
      <c r="EWH339"/>
      <c r="EWK339"/>
      <c r="EWL339"/>
      <c r="EWO339"/>
      <c r="EWP339"/>
      <c r="EWS339"/>
      <c r="EWT339"/>
      <c r="EWW339"/>
      <c r="EWX339"/>
      <c r="EXA339"/>
      <c r="EXB339"/>
      <c r="EXE339"/>
      <c r="EXF339"/>
      <c r="EXI339"/>
      <c r="EXJ339"/>
      <c r="EXM339"/>
      <c r="EXN339"/>
      <c r="EXQ339"/>
      <c r="EXR339"/>
      <c r="EXU339"/>
      <c r="EXV339"/>
      <c r="EXY339"/>
      <c r="EXZ339"/>
      <c r="EYC339"/>
      <c r="EYD339"/>
      <c r="EYG339"/>
      <c r="EYH339"/>
      <c r="EYK339"/>
      <c r="EYL339"/>
      <c r="EYO339"/>
      <c r="EYP339"/>
      <c r="EYS339"/>
      <c r="EYT339"/>
      <c r="EYW339"/>
      <c r="EYX339"/>
      <c r="EZA339"/>
      <c r="EZB339"/>
      <c r="EZE339"/>
      <c r="EZF339"/>
      <c r="EZI339"/>
      <c r="EZJ339"/>
      <c r="EZM339"/>
      <c r="EZN339"/>
      <c r="EZQ339"/>
      <c r="EZR339"/>
      <c r="EZU339"/>
      <c r="EZV339"/>
      <c r="EZY339"/>
      <c r="EZZ339"/>
      <c r="FAC339"/>
      <c r="FAD339"/>
      <c r="FAG339"/>
      <c r="FAH339"/>
      <c r="FAK339"/>
      <c r="FAL339"/>
      <c r="FAO339"/>
      <c r="FAP339"/>
      <c r="FAS339"/>
      <c r="FAT339"/>
      <c r="FAW339"/>
      <c r="FAX339"/>
      <c r="FBA339"/>
      <c r="FBB339"/>
      <c r="FBE339"/>
      <c r="FBF339"/>
      <c r="FBI339"/>
      <c r="FBJ339"/>
      <c r="FBM339"/>
      <c r="FBN339"/>
      <c r="FBQ339"/>
      <c r="FBR339"/>
      <c r="FBU339"/>
      <c r="FBV339"/>
      <c r="FBY339"/>
      <c r="FBZ339"/>
      <c r="FCC339"/>
      <c r="FCD339"/>
      <c r="FCG339"/>
      <c r="FCH339"/>
      <c r="FCK339"/>
      <c r="FCL339"/>
      <c r="FCO339"/>
      <c r="FCP339"/>
      <c r="FCS339"/>
      <c r="FCT339"/>
      <c r="FCW339"/>
      <c r="FCX339"/>
      <c r="FDA339"/>
      <c r="FDB339"/>
      <c r="FDE339"/>
      <c r="FDF339"/>
      <c r="FDI339"/>
      <c r="FDJ339"/>
      <c r="FDM339"/>
      <c r="FDN339"/>
      <c r="FDQ339"/>
      <c r="FDR339"/>
      <c r="FDU339"/>
      <c r="FDV339"/>
      <c r="FDY339"/>
      <c r="FDZ339"/>
      <c r="FEC339"/>
      <c r="FED339"/>
      <c r="FEG339"/>
      <c r="FEH339"/>
      <c r="FEK339"/>
      <c r="FEL339"/>
      <c r="FEO339"/>
      <c r="FEP339"/>
      <c r="FES339"/>
      <c r="FET339"/>
      <c r="FEW339"/>
      <c r="FEX339"/>
      <c r="FFA339"/>
      <c r="FFB339"/>
      <c r="FFE339"/>
      <c r="FFF339"/>
      <c r="FFI339"/>
      <c r="FFJ339"/>
      <c r="FFM339"/>
      <c r="FFN339"/>
      <c r="FFQ339"/>
      <c r="FFR339"/>
      <c r="FFU339"/>
      <c r="FFV339"/>
      <c r="FFY339"/>
      <c r="FFZ339"/>
      <c r="FGC339"/>
      <c r="FGD339"/>
      <c r="FGG339"/>
      <c r="FGH339"/>
      <c r="FGK339"/>
      <c r="FGL339"/>
      <c r="FGO339"/>
      <c r="FGP339"/>
      <c r="FGS339"/>
      <c r="FGT339"/>
      <c r="FGW339"/>
      <c r="FGX339"/>
      <c r="FHA339"/>
      <c r="FHB339"/>
      <c r="FHE339"/>
      <c r="FHF339"/>
      <c r="FHI339"/>
      <c r="FHJ339"/>
      <c r="FHM339"/>
      <c r="FHN339"/>
      <c r="FHQ339"/>
      <c r="FHR339"/>
      <c r="FHU339"/>
      <c r="FHV339"/>
      <c r="FHY339"/>
      <c r="FHZ339"/>
      <c r="FIC339"/>
      <c r="FID339"/>
      <c r="FIG339"/>
      <c r="FIH339"/>
      <c r="FIK339"/>
      <c r="FIL339"/>
      <c r="FIO339"/>
      <c r="FIP339"/>
      <c r="FIS339"/>
      <c r="FIT339"/>
      <c r="FIW339"/>
      <c r="FIX339"/>
      <c r="FJA339"/>
      <c r="FJB339"/>
      <c r="FJE339"/>
      <c r="FJF339"/>
      <c r="FJI339"/>
      <c r="FJJ339"/>
      <c r="FJM339"/>
      <c r="FJN339"/>
      <c r="FJQ339"/>
      <c r="FJR339"/>
      <c r="FJU339"/>
      <c r="FJV339"/>
      <c r="FJY339"/>
      <c r="FJZ339"/>
      <c r="FKC339"/>
      <c r="FKD339"/>
      <c r="FKG339"/>
      <c r="FKH339"/>
      <c r="FKK339"/>
      <c r="FKL339"/>
      <c r="FKO339"/>
      <c r="FKP339"/>
      <c r="FKS339"/>
      <c r="FKT339"/>
      <c r="FKW339"/>
      <c r="FKX339"/>
      <c r="FLA339"/>
      <c r="FLB339"/>
      <c r="FLE339"/>
      <c r="FLF339"/>
      <c r="FLI339"/>
      <c r="FLJ339"/>
      <c r="FLM339"/>
      <c r="FLN339"/>
      <c r="FLQ339"/>
      <c r="FLR339"/>
      <c r="FLU339"/>
      <c r="FLV339"/>
      <c r="FLY339"/>
      <c r="FLZ339"/>
      <c r="FMC339"/>
      <c r="FMD339"/>
      <c r="FMG339"/>
      <c r="FMH339"/>
      <c r="FMK339"/>
      <c r="FML339"/>
      <c r="FMO339"/>
      <c r="FMP339"/>
      <c r="FMS339"/>
      <c r="FMT339"/>
      <c r="FMW339"/>
      <c r="FMX339"/>
      <c r="FNA339"/>
      <c r="FNB339"/>
      <c r="FNE339"/>
      <c r="FNF339"/>
      <c r="FNI339"/>
      <c r="FNJ339"/>
      <c r="FNM339"/>
      <c r="FNN339"/>
      <c r="FNQ339"/>
      <c r="FNR339"/>
      <c r="FNU339"/>
      <c r="FNV339"/>
      <c r="FNY339"/>
      <c r="FNZ339"/>
      <c r="FOC339"/>
      <c r="FOD339"/>
      <c r="FOG339"/>
      <c r="FOH339"/>
      <c r="FOK339"/>
      <c r="FOL339"/>
      <c r="FOO339"/>
      <c r="FOP339"/>
      <c r="FOS339"/>
      <c r="FOT339"/>
      <c r="FOW339"/>
      <c r="FOX339"/>
      <c r="FPA339"/>
      <c r="FPB339"/>
      <c r="FPE339"/>
      <c r="FPF339"/>
      <c r="FPI339"/>
      <c r="FPJ339"/>
      <c r="FPM339"/>
      <c r="FPN339"/>
      <c r="FPQ339"/>
      <c r="FPR339"/>
      <c r="FPU339"/>
      <c r="FPV339"/>
      <c r="FPY339"/>
      <c r="FPZ339"/>
      <c r="FQC339"/>
      <c r="FQD339"/>
      <c r="FQG339"/>
      <c r="FQH339"/>
      <c r="FQK339"/>
      <c r="FQL339"/>
      <c r="FQO339"/>
      <c r="FQP339"/>
      <c r="FQS339"/>
      <c r="FQT339"/>
      <c r="FQW339"/>
      <c r="FQX339"/>
      <c r="FRA339"/>
      <c r="FRB339"/>
      <c r="FRE339"/>
      <c r="FRF339"/>
      <c r="FRI339"/>
      <c r="FRJ339"/>
      <c r="FRM339"/>
      <c r="FRN339"/>
      <c r="FRQ339"/>
      <c r="FRR339"/>
      <c r="FRU339"/>
      <c r="FRV339"/>
      <c r="FRY339"/>
      <c r="FRZ339"/>
      <c r="FSC339"/>
      <c r="FSD339"/>
      <c r="FSG339"/>
      <c r="FSH339"/>
      <c r="FSK339"/>
      <c r="FSL339"/>
      <c r="FSO339"/>
      <c r="FSP339"/>
      <c r="FSS339"/>
      <c r="FST339"/>
      <c r="FSW339"/>
      <c r="FSX339"/>
      <c r="FTA339"/>
      <c r="FTB339"/>
      <c r="FTE339"/>
      <c r="FTF339"/>
      <c r="FTI339"/>
      <c r="FTJ339"/>
      <c r="FTM339"/>
      <c r="FTN339"/>
      <c r="FTQ339"/>
      <c r="FTR339"/>
      <c r="FTU339"/>
      <c r="FTV339"/>
      <c r="FTY339"/>
      <c r="FTZ339"/>
      <c r="FUC339"/>
      <c r="FUD339"/>
      <c r="FUG339"/>
      <c r="FUH339"/>
      <c r="FUK339"/>
      <c r="FUL339"/>
      <c r="FUO339"/>
      <c r="FUP339"/>
      <c r="FUS339"/>
      <c r="FUT339"/>
      <c r="FUW339"/>
      <c r="FUX339"/>
      <c r="FVA339"/>
      <c r="FVB339"/>
      <c r="FVE339"/>
      <c r="FVF339"/>
      <c r="FVI339"/>
      <c r="FVJ339"/>
      <c r="FVM339"/>
      <c r="FVN339"/>
      <c r="FVQ339"/>
      <c r="FVR339"/>
      <c r="FVU339"/>
      <c r="FVV339"/>
      <c r="FVY339"/>
      <c r="FVZ339"/>
      <c r="FWC339"/>
      <c r="FWD339"/>
      <c r="FWG339"/>
      <c r="FWH339"/>
      <c r="FWK339"/>
      <c r="FWL339"/>
      <c r="FWO339"/>
      <c r="FWP339"/>
      <c r="FWS339"/>
      <c r="FWT339"/>
      <c r="FWW339"/>
      <c r="FWX339"/>
      <c r="FXA339"/>
      <c r="FXB339"/>
      <c r="FXE339"/>
      <c r="FXF339"/>
      <c r="FXI339"/>
      <c r="FXJ339"/>
      <c r="FXM339"/>
      <c r="FXN339"/>
      <c r="FXQ339"/>
      <c r="FXR339"/>
      <c r="FXU339"/>
      <c r="FXV339"/>
      <c r="FXY339"/>
      <c r="FXZ339"/>
      <c r="FYC339"/>
      <c r="FYD339"/>
      <c r="FYG339"/>
      <c r="FYH339"/>
      <c r="FYK339"/>
      <c r="FYL339"/>
      <c r="FYO339"/>
      <c r="FYP339"/>
      <c r="FYS339"/>
      <c r="FYT339"/>
      <c r="FYW339"/>
      <c r="FYX339"/>
      <c r="FZA339"/>
      <c r="FZB339"/>
      <c r="FZE339"/>
      <c r="FZF339"/>
      <c r="FZI339"/>
      <c r="FZJ339"/>
      <c r="FZM339"/>
      <c r="FZN339"/>
      <c r="FZQ339"/>
      <c r="FZR339"/>
      <c r="FZU339"/>
      <c r="FZV339"/>
      <c r="FZY339"/>
      <c r="FZZ339"/>
      <c r="GAC339"/>
      <c r="GAD339"/>
      <c r="GAG339"/>
      <c r="GAH339"/>
      <c r="GAK339"/>
      <c r="GAL339"/>
      <c r="GAO339"/>
      <c r="GAP339"/>
      <c r="GAS339"/>
      <c r="GAT339"/>
      <c r="GAW339"/>
      <c r="GAX339"/>
      <c r="GBA339"/>
      <c r="GBB339"/>
      <c r="GBE339"/>
      <c r="GBF339"/>
      <c r="GBI339"/>
      <c r="GBJ339"/>
      <c r="GBM339"/>
      <c r="GBN339"/>
      <c r="GBQ339"/>
      <c r="GBR339"/>
      <c r="GBU339"/>
      <c r="GBV339"/>
      <c r="GBY339"/>
      <c r="GBZ339"/>
      <c r="GCC339"/>
      <c r="GCD339"/>
      <c r="GCG339"/>
      <c r="GCH339"/>
      <c r="GCK339"/>
      <c r="GCL339"/>
      <c r="GCO339"/>
      <c r="GCP339"/>
      <c r="GCS339"/>
      <c r="GCT339"/>
      <c r="GCW339"/>
      <c r="GCX339"/>
      <c r="GDA339"/>
      <c r="GDB339"/>
      <c r="GDE339"/>
      <c r="GDF339"/>
      <c r="GDI339"/>
      <c r="GDJ339"/>
      <c r="GDM339"/>
      <c r="GDN339"/>
      <c r="GDQ339"/>
      <c r="GDR339"/>
      <c r="GDU339"/>
      <c r="GDV339"/>
      <c r="GDY339"/>
      <c r="GDZ339"/>
      <c r="GEC339"/>
      <c r="GED339"/>
      <c r="GEG339"/>
      <c r="GEH339"/>
      <c r="GEK339"/>
      <c r="GEL339"/>
      <c r="GEO339"/>
      <c r="GEP339"/>
      <c r="GES339"/>
      <c r="GET339"/>
      <c r="GEW339"/>
      <c r="GEX339"/>
      <c r="GFA339"/>
      <c r="GFB339"/>
      <c r="GFE339"/>
      <c r="GFF339"/>
      <c r="GFI339"/>
      <c r="GFJ339"/>
      <c r="GFM339"/>
      <c r="GFN339"/>
      <c r="GFQ339"/>
      <c r="GFR339"/>
      <c r="GFU339"/>
      <c r="GFV339"/>
      <c r="GFY339"/>
      <c r="GFZ339"/>
      <c r="GGC339"/>
      <c r="GGD339"/>
      <c r="GGG339"/>
      <c r="GGH339"/>
      <c r="GGK339"/>
      <c r="GGL339"/>
      <c r="GGO339"/>
      <c r="GGP339"/>
      <c r="GGS339"/>
      <c r="GGT339"/>
      <c r="GGW339"/>
      <c r="GGX339"/>
      <c r="GHA339"/>
      <c r="GHB339"/>
      <c r="GHE339"/>
      <c r="GHF339"/>
      <c r="GHI339"/>
      <c r="GHJ339"/>
      <c r="GHM339"/>
      <c r="GHN339"/>
      <c r="GHQ339"/>
      <c r="GHR339"/>
      <c r="GHU339"/>
      <c r="GHV339"/>
      <c r="GHY339"/>
      <c r="GHZ339"/>
      <c r="GIC339"/>
      <c r="GID339"/>
      <c r="GIG339"/>
      <c r="GIH339"/>
      <c r="GIK339"/>
      <c r="GIL339"/>
      <c r="GIO339"/>
      <c r="GIP339"/>
      <c r="GIS339"/>
      <c r="GIT339"/>
      <c r="GIW339"/>
      <c r="GIX339"/>
      <c r="GJA339"/>
      <c r="GJB339"/>
      <c r="GJE339"/>
      <c r="GJF339"/>
      <c r="GJI339"/>
      <c r="GJJ339"/>
      <c r="GJM339"/>
      <c r="GJN339"/>
      <c r="GJQ339"/>
      <c r="GJR339"/>
      <c r="GJU339"/>
      <c r="GJV339"/>
      <c r="GJY339"/>
      <c r="GJZ339"/>
      <c r="GKC339"/>
      <c r="GKD339"/>
      <c r="GKG339"/>
      <c r="GKH339"/>
      <c r="GKK339"/>
      <c r="GKL339"/>
      <c r="GKO339"/>
      <c r="GKP339"/>
      <c r="GKS339"/>
      <c r="GKT339"/>
      <c r="GKW339"/>
      <c r="GKX339"/>
      <c r="GLA339"/>
      <c r="GLB339"/>
      <c r="GLE339"/>
      <c r="GLF339"/>
      <c r="GLI339"/>
      <c r="GLJ339"/>
      <c r="GLM339"/>
      <c r="GLN339"/>
      <c r="GLQ339"/>
      <c r="GLR339"/>
      <c r="GLU339"/>
      <c r="GLV339"/>
      <c r="GLY339"/>
      <c r="GLZ339"/>
      <c r="GMC339"/>
      <c r="GMD339"/>
      <c r="GMG339"/>
      <c r="GMH339"/>
      <c r="GMK339"/>
      <c r="GML339"/>
      <c r="GMO339"/>
      <c r="GMP339"/>
      <c r="GMS339"/>
      <c r="GMT339"/>
      <c r="GMW339"/>
      <c r="GMX339"/>
      <c r="GNA339"/>
      <c r="GNB339"/>
      <c r="GNE339"/>
      <c r="GNF339"/>
      <c r="GNI339"/>
      <c r="GNJ339"/>
      <c r="GNM339"/>
      <c r="GNN339"/>
      <c r="GNQ339"/>
      <c r="GNR339"/>
      <c r="GNU339"/>
      <c r="GNV339"/>
      <c r="GNY339"/>
      <c r="GNZ339"/>
      <c r="GOC339"/>
      <c r="GOD339"/>
      <c r="GOG339"/>
      <c r="GOH339"/>
      <c r="GOK339"/>
      <c r="GOL339"/>
      <c r="GOO339"/>
      <c r="GOP339"/>
      <c r="GOS339"/>
      <c r="GOT339"/>
      <c r="GOW339"/>
      <c r="GOX339"/>
      <c r="GPA339"/>
      <c r="GPB339"/>
      <c r="GPE339"/>
      <c r="GPF339"/>
      <c r="GPI339"/>
      <c r="GPJ339"/>
      <c r="GPM339"/>
      <c r="GPN339"/>
      <c r="GPQ339"/>
      <c r="GPR339"/>
      <c r="GPU339"/>
      <c r="GPV339"/>
      <c r="GPY339"/>
      <c r="GPZ339"/>
      <c r="GQC339"/>
      <c r="GQD339"/>
      <c r="GQG339"/>
      <c r="GQH339"/>
      <c r="GQK339"/>
      <c r="GQL339"/>
      <c r="GQO339"/>
      <c r="GQP339"/>
      <c r="GQS339"/>
      <c r="GQT339"/>
      <c r="GQW339"/>
      <c r="GQX339"/>
      <c r="GRA339"/>
      <c r="GRB339"/>
      <c r="GRE339"/>
      <c r="GRF339"/>
      <c r="GRI339"/>
      <c r="GRJ339"/>
      <c r="GRM339"/>
      <c r="GRN339"/>
      <c r="GRQ339"/>
      <c r="GRR339"/>
      <c r="GRU339"/>
      <c r="GRV339"/>
      <c r="GRY339"/>
      <c r="GRZ339"/>
      <c r="GSC339"/>
      <c r="GSD339"/>
      <c r="GSG339"/>
      <c r="GSH339"/>
      <c r="GSK339"/>
      <c r="GSL339"/>
      <c r="GSO339"/>
      <c r="GSP339"/>
      <c r="GSS339"/>
      <c r="GST339"/>
      <c r="GSW339"/>
      <c r="GSX339"/>
      <c r="GTA339"/>
      <c r="GTB339"/>
      <c r="GTE339"/>
      <c r="GTF339"/>
      <c r="GTI339"/>
      <c r="GTJ339"/>
      <c r="GTM339"/>
      <c r="GTN339"/>
      <c r="GTQ339"/>
      <c r="GTR339"/>
      <c r="GTU339"/>
      <c r="GTV339"/>
      <c r="GTY339"/>
      <c r="GTZ339"/>
      <c r="GUC339"/>
      <c r="GUD339"/>
      <c r="GUG339"/>
      <c r="GUH339"/>
      <c r="GUK339"/>
      <c r="GUL339"/>
      <c r="GUO339"/>
      <c r="GUP339"/>
      <c r="GUS339"/>
      <c r="GUT339"/>
      <c r="GUW339"/>
      <c r="GUX339"/>
      <c r="GVA339"/>
      <c r="GVB339"/>
      <c r="GVE339"/>
      <c r="GVF339"/>
      <c r="GVI339"/>
      <c r="GVJ339"/>
      <c r="GVM339"/>
      <c r="GVN339"/>
      <c r="GVQ339"/>
      <c r="GVR339"/>
      <c r="GVU339"/>
      <c r="GVV339"/>
      <c r="GVY339"/>
      <c r="GVZ339"/>
      <c r="GWC339"/>
      <c r="GWD339"/>
      <c r="GWG339"/>
      <c r="GWH339"/>
      <c r="GWK339"/>
      <c r="GWL339"/>
      <c r="GWO339"/>
      <c r="GWP339"/>
      <c r="GWS339"/>
      <c r="GWT339"/>
      <c r="GWW339"/>
      <c r="GWX339"/>
      <c r="GXA339"/>
      <c r="GXB339"/>
      <c r="GXE339"/>
      <c r="GXF339"/>
      <c r="GXI339"/>
      <c r="GXJ339"/>
      <c r="GXM339"/>
      <c r="GXN339"/>
      <c r="GXQ339"/>
      <c r="GXR339"/>
      <c r="GXU339"/>
      <c r="GXV339"/>
      <c r="GXY339"/>
      <c r="GXZ339"/>
      <c r="GYC339"/>
      <c r="GYD339"/>
      <c r="GYG339"/>
      <c r="GYH339"/>
      <c r="GYK339"/>
      <c r="GYL339"/>
      <c r="GYO339"/>
      <c r="GYP339"/>
      <c r="GYS339"/>
      <c r="GYT339"/>
      <c r="GYW339"/>
      <c r="GYX339"/>
      <c r="GZA339"/>
      <c r="GZB339"/>
      <c r="GZE339"/>
      <c r="GZF339"/>
      <c r="GZI339"/>
      <c r="GZJ339"/>
      <c r="GZM339"/>
      <c r="GZN339"/>
      <c r="GZQ339"/>
      <c r="GZR339"/>
      <c r="GZU339"/>
      <c r="GZV339"/>
      <c r="GZY339"/>
      <c r="GZZ339"/>
      <c r="HAC339"/>
      <c r="HAD339"/>
      <c r="HAG339"/>
      <c r="HAH339"/>
      <c r="HAK339"/>
      <c r="HAL339"/>
      <c r="HAO339"/>
      <c r="HAP339"/>
      <c r="HAS339"/>
      <c r="HAT339"/>
      <c r="HAW339"/>
      <c r="HAX339"/>
      <c r="HBA339"/>
      <c r="HBB339"/>
      <c r="HBE339"/>
      <c r="HBF339"/>
      <c r="HBI339"/>
      <c r="HBJ339"/>
      <c r="HBM339"/>
      <c r="HBN339"/>
      <c r="HBQ339"/>
      <c r="HBR339"/>
      <c r="HBU339"/>
      <c r="HBV339"/>
      <c r="HBY339"/>
      <c r="HBZ339"/>
      <c r="HCC339"/>
      <c r="HCD339"/>
      <c r="HCG339"/>
      <c r="HCH339"/>
      <c r="HCK339"/>
      <c r="HCL339"/>
      <c r="HCO339"/>
      <c r="HCP339"/>
      <c r="HCS339"/>
      <c r="HCT339"/>
      <c r="HCW339"/>
      <c r="HCX339"/>
      <c r="HDA339"/>
      <c r="HDB339"/>
      <c r="HDE339"/>
      <c r="HDF339"/>
      <c r="HDI339"/>
      <c r="HDJ339"/>
      <c r="HDM339"/>
      <c r="HDN339"/>
      <c r="HDQ339"/>
      <c r="HDR339"/>
      <c r="HDU339"/>
      <c r="HDV339"/>
      <c r="HDY339"/>
      <c r="HDZ339"/>
      <c r="HEC339"/>
      <c r="HED339"/>
      <c r="HEG339"/>
      <c r="HEH339"/>
      <c r="HEK339"/>
      <c r="HEL339"/>
      <c r="HEO339"/>
      <c r="HEP339"/>
      <c r="HES339"/>
      <c r="HET339"/>
      <c r="HEW339"/>
      <c r="HEX339"/>
      <c r="HFA339"/>
      <c r="HFB339"/>
      <c r="HFE339"/>
      <c r="HFF339"/>
      <c r="HFI339"/>
      <c r="HFJ339"/>
      <c r="HFM339"/>
      <c r="HFN339"/>
      <c r="HFQ339"/>
      <c r="HFR339"/>
      <c r="HFU339"/>
      <c r="HFV339"/>
      <c r="HFY339"/>
      <c r="HFZ339"/>
      <c r="HGC339"/>
      <c r="HGD339"/>
      <c r="HGG339"/>
      <c r="HGH339"/>
      <c r="HGK339"/>
      <c r="HGL339"/>
      <c r="HGO339"/>
      <c r="HGP339"/>
      <c r="HGS339"/>
      <c r="HGT339"/>
      <c r="HGW339"/>
      <c r="HGX339"/>
      <c r="HHA339"/>
      <c r="HHB339"/>
      <c r="HHE339"/>
      <c r="HHF339"/>
      <c r="HHI339"/>
      <c r="HHJ339"/>
      <c r="HHM339"/>
      <c r="HHN339"/>
      <c r="HHQ339"/>
      <c r="HHR339"/>
      <c r="HHU339"/>
      <c r="HHV339"/>
      <c r="HHY339"/>
      <c r="HHZ339"/>
      <c r="HIC339"/>
      <c r="HID339"/>
      <c r="HIG339"/>
      <c r="HIH339"/>
      <c r="HIK339"/>
      <c r="HIL339"/>
      <c r="HIO339"/>
      <c r="HIP339"/>
      <c r="HIS339"/>
      <c r="HIT339"/>
      <c r="HIW339"/>
      <c r="HIX339"/>
      <c r="HJA339"/>
      <c r="HJB339"/>
      <c r="HJE339"/>
      <c r="HJF339"/>
      <c r="HJI339"/>
      <c r="HJJ339"/>
      <c r="HJM339"/>
      <c r="HJN339"/>
      <c r="HJQ339"/>
      <c r="HJR339"/>
      <c r="HJU339"/>
      <c r="HJV339"/>
      <c r="HJY339"/>
      <c r="HJZ339"/>
      <c r="HKC339"/>
      <c r="HKD339"/>
      <c r="HKG339"/>
      <c r="HKH339"/>
      <c r="HKK339"/>
      <c r="HKL339"/>
      <c r="HKO339"/>
      <c r="HKP339"/>
      <c r="HKS339"/>
      <c r="HKT339"/>
      <c r="HKW339"/>
      <c r="HKX339"/>
      <c r="HLA339"/>
      <c r="HLB339"/>
      <c r="HLE339"/>
      <c r="HLF339"/>
      <c r="HLI339"/>
      <c r="HLJ339"/>
      <c r="HLM339"/>
      <c r="HLN339"/>
      <c r="HLQ339"/>
      <c r="HLR339"/>
      <c r="HLU339"/>
      <c r="HLV339"/>
      <c r="HLY339"/>
      <c r="HLZ339"/>
      <c r="HMC339"/>
      <c r="HMD339"/>
      <c r="HMG339"/>
      <c r="HMH339"/>
      <c r="HMK339"/>
      <c r="HML339"/>
      <c r="HMO339"/>
      <c r="HMP339"/>
      <c r="HMS339"/>
      <c r="HMT339"/>
      <c r="HMW339"/>
      <c r="HMX339"/>
      <c r="HNA339"/>
      <c r="HNB339"/>
      <c r="HNE339"/>
      <c r="HNF339"/>
      <c r="HNI339"/>
      <c r="HNJ339"/>
      <c r="HNM339"/>
      <c r="HNN339"/>
      <c r="HNQ339"/>
      <c r="HNR339"/>
      <c r="HNU339"/>
      <c r="HNV339"/>
      <c r="HNY339"/>
      <c r="HNZ339"/>
      <c r="HOC339"/>
      <c r="HOD339"/>
      <c r="HOG339"/>
      <c r="HOH339"/>
      <c r="HOK339"/>
      <c r="HOL339"/>
      <c r="HOO339"/>
      <c r="HOP339"/>
      <c r="HOS339"/>
      <c r="HOT339"/>
      <c r="HOW339"/>
      <c r="HOX339"/>
      <c r="HPA339"/>
      <c r="HPB339"/>
      <c r="HPE339"/>
      <c r="HPF339"/>
      <c r="HPI339"/>
      <c r="HPJ339"/>
      <c r="HPM339"/>
      <c r="HPN339"/>
      <c r="HPQ339"/>
      <c r="HPR339"/>
      <c r="HPU339"/>
      <c r="HPV339"/>
      <c r="HPY339"/>
      <c r="HPZ339"/>
      <c r="HQC339"/>
      <c r="HQD339"/>
      <c r="HQG339"/>
      <c r="HQH339"/>
      <c r="HQK339"/>
      <c r="HQL339"/>
      <c r="HQO339"/>
      <c r="HQP339"/>
      <c r="HQS339"/>
      <c r="HQT339"/>
      <c r="HQW339"/>
      <c r="HQX339"/>
      <c r="HRA339"/>
      <c r="HRB339"/>
      <c r="HRE339"/>
      <c r="HRF339"/>
      <c r="HRI339"/>
      <c r="HRJ339"/>
      <c r="HRM339"/>
      <c r="HRN339"/>
      <c r="HRQ339"/>
      <c r="HRR339"/>
      <c r="HRU339"/>
      <c r="HRV339"/>
      <c r="HRY339"/>
      <c r="HRZ339"/>
      <c r="HSC339"/>
      <c r="HSD339"/>
      <c r="HSG339"/>
      <c r="HSH339"/>
      <c r="HSK339"/>
      <c r="HSL339"/>
      <c r="HSO339"/>
      <c r="HSP339"/>
      <c r="HSS339"/>
      <c r="HST339"/>
      <c r="HSW339"/>
      <c r="HSX339"/>
      <c r="HTA339"/>
      <c r="HTB339"/>
      <c r="HTE339"/>
      <c r="HTF339"/>
      <c r="HTI339"/>
      <c r="HTJ339"/>
      <c r="HTM339"/>
      <c r="HTN339"/>
      <c r="HTQ339"/>
      <c r="HTR339"/>
      <c r="HTU339"/>
      <c r="HTV339"/>
      <c r="HTY339"/>
      <c r="HTZ339"/>
      <c r="HUC339"/>
      <c r="HUD339"/>
      <c r="HUG339"/>
      <c r="HUH339"/>
      <c r="HUK339"/>
      <c r="HUL339"/>
      <c r="HUO339"/>
      <c r="HUP339"/>
      <c r="HUS339"/>
      <c r="HUT339"/>
      <c r="HUW339"/>
      <c r="HUX339"/>
      <c r="HVA339"/>
      <c r="HVB339"/>
      <c r="HVE339"/>
      <c r="HVF339"/>
      <c r="HVI339"/>
      <c r="HVJ339"/>
      <c r="HVM339"/>
      <c r="HVN339"/>
      <c r="HVQ339"/>
      <c r="HVR339"/>
      <c r="HVU339"/>
      <c r="HVV339"/>
      <c r="HVY339"/>
      <c r="HVZ339"/>
      <c r="HWC339"/>
      <c r="HWD339"/>
      <c r="HWG339"/>
      <c r="HWH339"/>
      <c r="HWK339"/>
      <c r="HWL339"/>
      <c r="HWO339"/>
      <c r="HWP339"/>
      <c r="HWS339"/>
      <c r="HWT339"/>
      <c r="HWW339"/>
      <c r="HWX339"/>
      <c r="HXA339"/>
      <c r="HXB339"/>
      <c r="HXE339"/>
      <c r="HXF339"/>
      <c r="HXI339"/>
      <c r="HXJ339"/>
      <c r="HXM339"/>
      <c r="HXN339"/>
      <c r="HXQ339"/>
      <c r="HXR339"/>
      <c r="HXU339"/>
      <c r="HXV339"/>
      <c r="HXY339"/>
      <c r="HXZ339"/>
      <c r="HYC339"/>
      <c r="HYD339"/>
      <c r="HYG339"/>
      <c r="HYH339"/>
      <c r="HYK339"/>
      <c r="HYL339"/>
      <c r="HYO339"/>
      <c r="HYP339"/>
      <c r="HYS339"/>
      <c r="HYT339"/>
      <c r="HYW339"/>
      <c r="HYX339"/>
      <c r="HZA339"/>
      <c r="HZB339"/>
      <c r="HZE339"/>
      <c r="HZF339"/>
      <c r="HZI339"/>
      <c r="HZJ339"/>
      <c r="HZM339"/>
      <c r="HZN339"/>
      <c r="HZQ339"/>
      <c r="HZR339"/>
      <c r="HZU339"/>
      <c r="HZV339"/>
      <c r="HZY339"/>
      <c r="HZZ339"/>
      <c r="IAC339"/>
      <c r="IAD339"/>
      <c r="IAG339"/>
      <c r="IAH339"/>
      <c r="IAK339"/>
      <c r="IAL339"/>
      <c r="IAO339"/>
      <c r="IAP339"/>
      <c r="IAS339"/>
      <c r="IAT339"/>
      <c r="IAW339"/>
      <c r="IAX339"/>
      <c r="IBA339"/>
      <c r="IBB339"/>
      <c r="IBE339"/>
      <c r="IBF339"/>
      <c r="IBI339"/>
      <c r="IBJ339"/>
      <c r="IBM339"/>
      <c r="IBN339"/>
      <c r="IBQ339"/>
      <c r="IBR339"/>
      <c r="IBU339"/>
      <c r="IBV339"/>
      <c r="IBY339"/>
      <c r="IBZ339"/>
      <c r="ICC339"/>
      <c r="ICD339"/>
      <c r="ICG339"/>
      <c r="ICH339"/>
      <c r="ICK339"/>
      <c r="ICL339"/>
      <c r="ICO339"/>
      <c r="ICP339"/>
      <c r="ICS339"/>
      <c r="ICT339"/>
      <c r="ICW339"/>
      <c r="ICX339"/>
      <c r="IDA339"/>
      <c r="IDB339"/>
      <c r="IDE339"/>
      <c r="IDF339"/>
      <c r="IDI339"/>
      <c r="IDJ339"/>
      <c r="IDM339"/>
      <c r="IDN339"/>
      <c r="IDQ339"/>
      <c r="IDR339"/>
      <c r="IDU339"/>
      <c r="IDV339"/>
      <c r="IDY339"/>
      <c r="IDZ339"/>
      <c r="IEC339"/>
      <c r="IED339"/>
      <c r="IEG339"/>
      <c r="IEH339"/>
      <c r="IEK339"/>
      <c r="IEL339"/>
      <c r="IEO339"/>
      <c r="IEP339"/>
      <c r="IES339"/>
      <c r="IET339"/>
      <c r="IEW339"/>
      <c r="IEX339"/>
      <c r="IFA339"/>
      <c r="IFB339"/>
      <c r="IFE339"/>
      <c r="IFF339"/>
      <c r="IFI339"/>
      <c r="IFJ339"/>
      <c r="IFM339"/>
      <c r="IFN339"/>
      <c r="IFQ339"/>
      <c r="IFR339"/>
      <c r="IFU339"/>
      <c r="IFV339"/>
      <c r="IFY339"/>
      <c r="IFZ339"/>
      <c r="IGC339"/>
      <c r="IGD339"/>
      <c r="IGG339"/>
      <c r="IGH339"/>
      <c r="IGK339"/>
      <c r="IGL339"/>
      <c r="IGO339"/>
      <c r="IGP339"/>
      <c r="IGS339"/>
      <c r="IGT339"/>
      <c r="IGW339"/>
      <c r="IGX339"/>
      <c r="IHA339"/>
      <c r="IHB339"/>
      <c r="IHE339"/>
      <c r="IHF339"/>
      <c r="IHI339"/>
      <c r="IHJ339"/>
      <c r="IHM339"/>
      <c r="IHN339"/>
      <c r="IHQ339"/>
      <c r="IHR339"/>
      <c r="IHU339"/>
      <c r="IHV339"/>
      <c r="IHY339"/>
      <c r="IHZ339"/>
      <c r="IIC339"/>
      <c r="IID339"/>
      <c r="IIG339"/>
      <c r="IIH339"/>
      <c r="IIK339"/>
      <c r="IIL339"/>
      <c r="IIO339"/>
      <c r="IIP339"/>
      <c r="IIS339"/>
      <c r="IIT339"/>
      <c r="IIW339"/>
      <c r="IIX339"/>
      <c r="IJA339"/>
      <c r="IJB339"/>
      <c r="IJE339"/>
      <c r="IJF339"/>
      <c r="IJI339"/>
      <c r="IJJ339"/>
      <c r="IJM339"/>
      <c r="IJN339"/>
      <c r="IJQ339"/>
      <c r="IJR339"/>
      <c r="IJU339"/>
      <c r="IJV339"/>
      <c r="IJY339"/>
      <c r="IJZ339"/>
      <c r="IKC339"/>
      <c r="IKD339"/>
      <c r="IKG339"/>
      <c r="IKH339"/>
      <c r="IKK339"/>
      <c r="IKL339"/>
      <c r="IKO339"/>
      <c r="IKP339"/>
      <c r="IKS339"/>
      <c r="IKT339"/>
      <c r="IKW339"/>
      <c r="IKX339"/>
      <c r="ILA339"/>
      <c r="ILB339"/>
      <c r="ILE339"/>
      <c r="ILF339"/>
      <c r="ILI339"/>
      <c r="ILJ339"/>
      <c r="ILM339"/>
      <c r="ILN339"/>
      <c r="ILQ339"/>
      <c r="ILR339"/>
      <c r="ILU339"/>
      <c r="ILV339"/>
      <c r="ILY339"/>
      <c r="ILZ339"/>
      <c r="IMC339"/>
      <c r="IMD339"/>
      <c r="IMG339"/>
      <c r="IMH339"/>
      <c r="IMK339"/>
      <c r="IML339"/>
      <c r="IMO339"/>
      <c r="IMP339"/>
      <c r="IMS339"/>
      <c r="IMT339"/>
      <c r="IMW339"/>
      <c r="IMX339"/>
      <c r="INA339"/>
      <c r="INB339"/>
      <c r="INE339"/>
      <c r="INF339"/>
      <c r="INI339"/>
      <c r="INJ339"/>
      <c r="INM339"/>
      <c r="INN339"/>
      <c r="INQ339"/>
      <c r="INR339"/>
      <c r="INU339"/>
      <c r="INV339"/>
      <c r="INY339"/>
      <c r="INZ339"/>
      <c r="IOC339"/>
      <c r="IOD339"/>
      <c r="IOG339"/>
      <c r="IOH339"/>
      <c r="IOK339"/>
      <c r="IOL339"/>
      <c r="IOO339"/>
      <c r="IOP339"/>
      <c r="IOS339"/>
      <c r="IOT339"/>
      <c r="IOW339"/>
      <c r="IOX339"/>
      <c r="IPA339"/>
      <c r="IPB339"/>
      <c r="IPE339"/>
      <c r="IPF339"/>
      <c r="IPI339"/>
      <c r="IPJ339"/>
      <c r="IPM339"/>
      <c r="IPN339"/>
      <c r="IPQ339"/>
      <c r="IPR339"/>
      <c r="IPU339"/>
      <c r="IPV339"/>
      <c r="IPY339"/>
      <c r="IPZ339"/>
      <c r="IQC339"/>
      <c r="IQD339"/>
      <c r="IQG339"/>
      <c r="IQH339"/>
      <c r="IQK339"/>
      <c r="IQL339"/>
      <c r="IQO339"/>
      <c r="IQP339"/>
      <c r="IQS339"/>
      <c r="IQT339"/>
      <c r="IQW339"/>
      <c r="IQX339"/>
      <c r="IRA339"/>
      <c r="IRB339"/>
      <c r="IRE339"/>
      <c r="IRF339"/>
      <c r="IRI339"/>
      <c r="IRJ339"/>
      <c r="IRM339"/>
      <c r="IRN339"/>
      <c r="IRQ339"/>
      <c r="IRR339"/>
      <c r="IRU339"/>
      <c r="IRV339"/>
      <c r="IRY339"/>
      <c r="IRZ339"/>
      <c r="ISC339"/>
      <c r="ISD339"/>
      <c r="ISG339"/>
      <c r="ISH339"/>
      <c r="ISK339"/>
      <c r="ISL339"/>
      <c r="ISO339"/>
      <c r="ISP339"/>
      <c r="ISS339"/>
      <c r="IST339"/>
      <c r="ISW339"/>
      <c r="ISX339"/>
      <c r="ITA339"/>
      <c r="ITB339"/>
      <c r="ITE339"/>
      <c r="ITF339"/>
      <c r="ITI339"/>
      <c r="ITJ339"/>
      <c r="ITM339"/>
      <c r="ITN339"/>
      <c r="ITQ339"/>
      <c r="ITR339"/>
      <c r="ITU339"/>
      <c r="ITV339"/>
      <c r="ITY339"/>
      <c r="ITZ339"/>
      <c r="IUC339"/>
      <c r="IUD339"/>
      <c r="IUG339"/>
      <c r="IUH339"/>
      <c r="IUK339"/>
      <c r="IUL339"/>
      <c r="IUO339"/>
      <c r="IUP339"/>
      <c r="IUS339"/>
      <c r="IUT339"/>
      <c r="IUW339"/>
      <c r="IUX339"/>
      <c r="IVA339"/>
      <c r="IVB339"/>
      <c r="IVE339"/>
      <c r="IVF339"/>
      <c r="IVI339"/>
      <c r="IVJ339"/>
      <c r="IVM339"/>
      <c r="IVN339"/>
      <c r="IVQ339"/>
      <c r="IVR339"/>
      <c r="IVU339"/>
      <c r="IVV339"/>
      <c r="IVY339"/>
      <c r="IVZ339"/>
      <c r="IWC339"/>
      <c r="IWD339"/>
      <c r="IWG339"/>
      <c r="IWH339"/>
      <c r="IWK339"/>
      <c r="IWL339"/>
      <c r="IWO339"/>
      <c r="IWP339"/>
      <c r="IWS339"/>
      <c r="IWT339"/>
      <c r="IWW339"/>
      <c r="IWX339"/>
      <c r="IXA339"/>
      <c r="IXB339"/>
      <c r="IXE339"/>
      <c r="IXF339"/>
      <c r="IXI339"/>
      <c r="IXJ339"/>
      <c r="IXM339"/>
      <c r="IXN339"/>
      <c r="IXQ339"/>
      <c r="IXR339"/>
      <c r="IXU339"/>
      <c r="IXV339"/>
      <c r="IXY339"/>
      <c r="IXZ339"/>
      <c r="IYC339"/>
      <c r="IYD339"/>
      <c r="IYG339"/>
      <c r="IYH339"/>
      <c r="IYK339"/>
      <c r="IYL339"/>
      <c r="IYO339"/>
      <c r="IYP339"/>
      <c r="IYS339"/>
      <c r="IYT339"/>
      <c r="IYW339"/>
      <c r="IYX339"/>
      <c r="IZA339"/>
      <c r="IZB339"/>
      <c r="IZE339"/>
      <c r="IZF339"/>
      <c r="IZI339"/>
      <c r="IZJ339"/>
      <c r="IZM339"/>
      <c r="IZN339"/>
      <c r="IZQ339"/>
      <c r="IZR339"/>
      <c r="IZU339"/>
      <c r="IZV339"/>
      <c r="IZY339"/>
      <c r="IZZ339"/>
      <c r="JAC339"/>
      <c r="JAD339"/>
      <c r="JAG339"/>
      <c r="JAH339"/>
      <c r="JAK339"/>
      <c r="JAL339"/>
      <c r="JAO339"/>
      <c r="JAP339"/>
      <c r="JAS339"/>
      <c r="JAT339"/>
      <c r="JAW339"/>
      <c r="JAX339"/>
      <c r="JBA339"/>
      <c r="JBB339"/>
      <c r="JBE339"/>
      <c r="JBF339"/>
      <c r="JBI339"/>
      <c r="JBJ339"/>
      <c r="JBM339"/>
      <c r="JBN339"/>
      <c r="JBQ339"/>
      <c r="JBR339"/>
      <c r="JBU339"/>
      <c r="JBV339"/>
      <c r="JBY339"/>
      <c r="JBZ339"/>
      <c r="JCC339"/>
      <c r="JCD339"/>
      <c r="JCG339"/>
      <c r="JCH339"/>
      <c r="JCK339"/>
      <c r="JCL339"/>
      <c r="JCO339"/>
      <c r="JCP339"/>
      <c r="JCS339"/>
      <c r="JCT339"/>
      <c r="JCW339"/>
      <c r="JCX339"/>
      <c r="JDA339"/>
      <c r="JDB339"/>
      <c r="JDE339"/>
      <c r="JDF339"/>
      <c r="JDI339"/>
      <c r="JDJ339"/>
      <c r="JDM339"/>
      <c r="JDN339"/>
      <c r="JDQ339"/>
      <c r="JDR339"/>
      <c r="JDU339"/>
      <c r="JDV339"/>
      <c r="JDY339"/>
      <c r="JDZ339"/>
      <c r="JEC339"/>
      <c r="JED339"/>
      <c r="JEG339"/>
      <c r="JEH339"/>
      <c r="JEK339"/>
      <c r="JEL339"/>
      <c r="JEO339"/>
      <c r="JEP339"/>
      <c r="JES339"/>
      <c r="JET339"/>
      <c r="JEW339"/>
      <c r="JEX339"/>
      <c r="JFA339"/>
      <c r="JFB339"/>
      <c r="JFE339"/>
      <c r="JFF339"/>
      <c r="JFI339"/>
      <c r="JFJ339"/>
      <c r="JFM339"/>
      <c r="JFN339"/>
      <c r="JFQ339"/>
      <c r="JFR339"/>
      <c r="JFU339"/>
      <c r="JFV339"/>
      <c r="JFY339"/>
      <c r="JFZ339"/>
      <c r="JGC339"/>
      <c r="JGD339"/>
      <c r="JGG339"/>
      <c r="JGH339"/>
      <c r="JGK339"/>
      <c r="JGL339"/>
      <c r="JGO339"/>
      <c r="JGP339"/>
      <c r="JGS339"/>
      <c r="JGT339"/>
      <c r="JGW339"/>
      <c r="JGX339"/>
      <c r="JHA339"/>
      <c r="JHB339"/>
      <c r="JHE339"/>
      <c r="JHF339"/>
      <c r="JHI339"/>
      <c r="JHJ339"/>
      <c r="JHM339"/>
      <c r="JHN339"/>
      <c r="JHQ339"/>
      <c r="JHR339"/>
      <c r="JHU339"/>
      <c r="JHV339"/>
      <c r="JHY339"/>
      <c r="JHZ339"/>
      <c r="JIC339"/>
      <c r="JID339"/>
      <c r="JIG339"/>
      <c r="JIH339"/>
      <c r="JIK339"/>
      <c r="JIL339"/>
      <c r="JIO339"/>
      <c r="JIP339"/>
      <c r="JIS339"/>
      <c r="JIT339"/>
      <c r="JIW339"/>
      <c r="JIX339"/>
      <c r="JJA339"/>
      <c r="JJB339"/>
      <c r="JJE339"/>
      <c r="JJF339"/>
      <c r="JJI339"/>
      <c r="JJJ339"/>
      <c r="JJM339"/>
      <c r="JJN339"/>
      <c r="JJQ339"/>
      <c r="JJR339"/>
      <c r="JJU339"/>
      <c r="JJV339"/>
      <c r="JJY339"/>
      <c r="JJZ339"/>
      <c r="JKC339"/>
      <c r="JKD339"/>
      <c r="JKG339"/>
      <c r="JKH339"/>
      <c r="JKK339"/>
      <c r="JKL339"/>
      <c r="JKO339"/>
      <c r="JKP339"/>
      <c r="JKS339"/>
      <c r="JKT339"/>
      <c r="JKW339"/>
      <c r="JKX339"/>
      <c r="JLA339"/>
      <c r="JLB339"/>
      <c r="JLE339"/>
      <c r="JLF339"/>
      <c r="JLI339"/>
      <c r="JLJ339"/>
      <c r="JLM339"/>
      <c r="JLN339"/>
      <c r="JLQ339"/>
      <c r="JLR339"/>
      <c r="JLU339"/>
      <c r="JLV339"/>
      <c r="JLY339"/>
      <c r="JLZ339"/>
      <c r="JMC339"/>
      <c r="JMD339"/>
      <c r="JMG339"/>
      <c r="JMH339"/>
      <c r="JMK339"/>
      <c r="JML339"/>
      <c r="JMO339"/>
      <c r="JMP339"/>
      <c r="JMS339"/>
      <c r="JMT339"/>
      <c r="JMW339"/>
      <c r="JMX339"/>
      <c r="JNA339"/>
      <c r="JNB339"/>
      <c r="JNE339"/>
      <c r="JNF339"/>
      <c r="JNI339"/>
      <c r="JNJ339"/>
      <c r="JNM339"/>
      <c r="JNN339"/>
      <c r="JNQ339"/>
      <c r="JNR339"/>
      <c r="JNU339"/>
      <c r="JNV339"/>
      <c r="JNY339"/>
      <c r="JNZ339"/>
      <c r="JOC339"/>
      <c r="JOD339"/>
      <c r="JOG339"/>
      <c r="JOH339"/>
      <c r="JOK339"/>
      <c r="JOL339"/>
      <c r="JOO339"/>
      <c r="JOP339"/>
      <c r="JOS339"/>
      <c r="JOT339"/>
      <c r="JOW339"/>
      <c r="JOX339"/>
      <c r="JPA339"/>
      <c r="JPB339"/>
      <c r="JPE339"/>
      <c r="JPF339"/>
      <c r="JPI339"/>
      <c r="JPJ339"/>
      <c r="JPM339"/>
      <c r="JPN339"/>
      <c r="JPQ339"/>
      <c r="JPR339"/>
      <c r="JPU339"/>
      <c r="JPV339"/>
      <c r="JPY339"/>
      <c r="JPZ339"/>
      <c r="JQC339"/>
      <c r="JQD339"/>
      <c r="JQG339"/>
      <c r="JQH339"/>
      <c r="JQK339"/>
      <c r="JQL339"/>
      <c r="JQO339"/>
      <c r="JQP339"/>
      <c r="JQS339"/>
      <c r="JQT339"/>
      <c r="JQW339"/>
      <c r="JQX339"/>
      <c r="JRA339"/>
      <c r="JRB339"/>
      <c r="JRE339"/>
      <c r="JRF339"/>
      <c r="JRI339"/>
      <c r="JRJ339"/>
      <c r="JRM339"/>
      <c r="JRN339"/>
      <c r="JRQ339"/>
      <c r="JRR339"/>
      <c r="JRU339"/>
      <c r="JRV339"/>
      <c r="JRY339"/>
      <c r="JRZ339"/>
      <c r="JSC339"/>
      <c r="JSD339"/>
      <c r="JSG339"/>
      <c r="JSH339"/>
      <c r="JSK339"/>
      <c r="JSL339"/>
      <c r="JSO339"/>
      <c r="JSP339"/>
      <c r="JSS339"/>
      <c r="JST339"/>
      <c r="JSW339"/>
      <c r="JSX339"/>
      <c r="JTA339"/>
      <c r="JTB339"/>
      <c r="JTE339"/>
      <c r="JTF339"/>
      <c r="JTI339"/>
      <c r="JTJ339"/>
      <c r="JTM339"/>
      <c r="JTN339"/>
      <c r="JTQ339"/>
      <c r="JTR339"/>
      <c r="JTU339"/>
      <c r="JTV339"/>
      <c r="JTY339"/>
      <c r="JTZ339"/>
      <c r="JUC339"/>
      <c r="JUD339"/>
      <c r="JUG339"/>
      <c r="JUH339"/>
      <c r="JUK339"/>
      <c r="JUL339"/>
      <c r="JUO339"/>
      <c r="JUP339"/>
      <c r="JUS339"/>
      <c r="JUT339"/>
      <c r="JUW339"/>
      <c r="JUX339"/>
      <c r="JVA339"/>
      <c r="JVB339"/>
      <c r="JVE339"/>
      <c r="JVF339"/>
      <c r="JVI339"/>
      <c r="JVJ339"/>
      <c r="JVM339"/>
      <c r="JVN339"/>
      <c r="JVQ339"/>
      <c r="JVR339"/>
      <c r="JVU339"/>
      <c r="JVV339"/>
      <c r="JVY339"/>
      <c r="JVZ339"/>
      <c r="JWC339"/>
      <c r="JWD339"/>
      <c r="JWG339"/>
      <c r="JWH339"/>
      <c r="JWK339"/>
      <c r="JWL339"/>
      <c r="JWO339"/>
      <c r="JWP339"/>
      <c r="JWS339"/>
      <c r="JWT339"/>
      <c r="JWW339"/>
      <c r="JWX339"/>
      <c r="JXA339"/>
      <c r="JXB339"/>
      <c r="JXE339"/>
      <c r="JXF339"/>
      <c r="JXI339"/>
      <c r="JXJ339"/>
      <c r="JXM339"/>
      <c r="JXN339"/>
      <c r="JXQ339"/>
      <c r="JXR339"/>
      <c r="JXU339"/>
      <c r="JXV339"/>
      <c r="JXY339"/>
      <c r="JXZ339"/>
      <c r="JYC339"/>
      <c r="JYD339"/>
      <c r="JYG339"/>
      <c r="JYH339"/>
      <c r="JYK339"/>
      <c r="JYL339"/>
      <c r="JYO339"/>
      <c r="JYP339"/>
      <c r="JYS339"/>
      <c r="JYT339"/>
      <c r="JYW339"/>
      <c r="JYX339"/>
      <c r="JZA339"/>
      <c r="JZB339"/>
      <c r="JZE339"/>
      <c r="JZF339"/>
      <c r="JZI339"/>
      <c r="JZJ339"/>
      <c r="JZM339"/>
      <c r="JZN339"/>
      <c r="JZQ339"/>
      <c r="JZR339"/>
      <c r="JZU339"/>
      <c r="JZV339"/>
      <c r="JZY339"/>
      <c r="JZZ339"/>
      <c r="KAC339"/>
      <c r="KAD339"/>
      <c r="KAG339"/>
      <c r="KAH339"/>
      <c r="KAK339"/>
      <c r="KAL339"/>
      <c r="KAO339"/>
      <c r="KAP339"/>
      <c r="KAS339"/>
      <c r="KAT339"/>
      <c r="KAW339"/>
      <c r="KAX339"/>
      <c r="KBA339"/>
      <c r="KBB339"/>
      <c r="KBE339"/>
      <c r="KBF339"/>
      <c r="KBI339"/>
      <c r="KBJ339"/>
      <c r="KBM339"/>
      <c r="KBN339"/>
      <c r="KBQ339"/>
      <c r="KBR339"/>
      <c r="KBU339"/>
      <c r="KBV339"/>
      <c r="KBY339"/>
      <c r="KBZ339"/>
      <c r="KCC339"/>
      <c r="KCD339"/>
      <c r="KCG339"/>
      <c r="KCH339"/>
      <c r="KCK339"/>
      <c r="KCL339"/>
      <c r="KCO339"/>
      <c r="KCP339"/>
      <c r="KCS339"/>
      <c r="KCT339"/>
      <c r="KCW339"/>
      <c r="KCX339"/>
      <c r="KDA339"/>
      <c r="KDB339"/>
      <c r="KDE339"/>
      <c r="KDF339"/>
      <c r="KDI339"/>
      <c r="KDJ339"/>
      <c r="KDM339"/>
      <c r="KDN339"/>
      <c r="KDQ339"/>
      <c r="KDR339"/>
      <c r="KDU339"/>
      <c r="KDV339"/>
      <c r="KDY339"/>
      <c r="KDZ339"/>
      <c r="KEC339"/>
      <c r="KED339"/>
      <c r="KEG339"/>
      <c r="KEH339"/>
      <c r="KEK339"/>
      <c r="KEL339"/>
      <c r="KEO339"/>
      <c r="KEP339"/>
      <c r="KES339"/>
      <c r="KET339"/>
      <c r="KEW339"/>
      <c r="KEX339"/>
      <c r="KFA339"/>
      <c r="KFB339"/>
      <c r="KFE339"/>
      <c r="KFF339"/>
      <c r="KFI339"/>
      <c r="KFJ339"/>
      <c r="KFM339"/>
      <c r="KFN339"/>
      <c r="KFQ339"/>
      <c r="KFR339"/>
      <c r="KFU339"/>
      <c r="KFV339"/>
      <c r="KFY339"/>
      <c r="KFZ339"/>
      <c r="KGC339"/>
      <c r="KGD339"/>
      <c r="KGG339"/>
      <c r="KGH339"/>
      <c r="KGK339"/>
      <c r="KGL339"/>
      <c r="KGO339"/>
      <c r="KGP339"/>
      <c r="KGS339"/>
      <c r="KGT339"/>
      <c r="KGW339"/>
      <c r="KGX339"/>
      <c r="KHA339"/>
      <c r="KHB339"/>
      <c r="KHE339"/>
      <c r="KHF339"/>
      <c r="KHI339"/>
      <c r="KHJ339"/>
      <c r="KHM339"/>
      <c r="KHN339"/>
      <c r="KHQ339"/>
      <c r="KHR339"/>
      <c r="KHU339"/>
      <c r="KHV339"/>
      <c r="KHY339"/>
      <c r="KHZ339"/>
      <c r="KIC339"/>
      <c r="KID339"/>
      <c r="KIG339"/>
      <c r="KIH339"/>
      <c r="KIK339"/>
      <c r="KIL339"/>
      <c r="KIO339"/>
      <c r="KIP339"/>
      <c r="KIS339"/>
      <c r="KIT339"/>
      <c r="KIW339"/>
      <c r="KIX339"/>
      <c r="KJA339"/>
      <c r="KJB339"/>
      <c r="KJE339"/>
      <c r="KJF339"/>
      <c r="KJI339"/>
      <c r="KJJ339"/>
      <c r="KJM339"/>
      <c r="KJN339"/>
      <c r="KJQ339"/>
      <c r="KJR339"/>
      <c r="KJU339"/>
      <c r="KJV339"/>
      <c r="KJY339"/>
      <c r="KJZ339"/>
      <c r="KKC339"/>
      <c r="KKD339"/>
      <c r="KKG339"/>
      <c r="KKH339"/>
      <c r="KKK339"/>
      <c r="KKL339"/>
      <c r="KKO339"/>
      <c r="KKP339"/>
      <c r="KKS339"/>
      <c r="KKT339"/>
      <c r="KKW339"/>
      <c r="KKX339"/>
      <c r="KLA339"/>
      <c r="KLB339"/>
      <c r="KLE339"/>
      <c r="KLF339"/>
      <c r="KLI339"/>
      <c r="KLJ339"/>
      <c r="KLM339"/>
      <c r="KLN339"/>
      <c r="KLQ339"/>
      <c r="KLR339"/>
      <c r="KLU339"/>
      <c r="KLV339"/>
      <c r="KLY339"/>
      <c r="KLZ339"/>
      <c r="KMC339"/>
      <c r="KMD339"/>
      <c r="KMG339"/>
      <c r="KMH339"/>
      <c r="KMK339"/>
      <c r="KML339"/>
      <c r="KMO339"/>
      <c r="KMP339"/>
      <c r="KMS339"/>
      <c r="KMT339"/>
      <c r="KMW339"/>
      <c r="KMX339"/>
      <c r="KNA339"/>
      <c r="KNB339"/>
      <c r="KNE339"/>
      <c r="KNF339"/>
      <c r="KNI339"/>
      <c r="KNJ339"/>
      <c r="KNM339"/>
      <c r="KNN339"/>
      <c r="KNQ339"/>
      <c r="KNR339"/>
      <c r="KNU339"/>
      <c r="KNV339"/>
      <c r="KNY339"/>
      <c r="KNZ339"/>
      <c r="KOC339"/>
      <c r="KOD339"/>
      <c r="KOG339"/>
      <c r="KOH339"/>
      <c r="KOK339"/>
      <c r="KOL339"/>
      <c r="KOO339"/>
      <c r="KOP339"/>
      <c r="KOS339"/>
      <c r="KOT339"/>
      <c r="KOW339"/>
      <c r="KOX339"/>
      <c r="KPA339"/>
      <c r="KPB339"/>
      <c r="KPE339"/>
      <c r="KPF339"/>
      <c r="KPI339"/>
      <c r="KPJ339"/>
      <c r="KPM339"/>
      <c r="KPN339"/>
      <c r="KPQ339"/>
      <c r="KPR339"/>
      <c r="KPU339"/>
      <c r="KPV339"/>
      <c r="KPY339"/>
      <c r="KPZ339"/>
      <c r="KQC339"/>
      <c r="KQD339"/>
      <c r="KQG339"/>
      <c r="KQH339"/>
      <c r="KQK339"/>
      <c r="KQL339"/>
      <c r="KQO339"/>
      <c r="KQP339"/>
      <c r="KQS339"/>
      <c r="KQT339"/>
      <c r="KQW339"/>
      <c r="KQX339"/>
      <c r="KRA339"/>
      <c r="KRB339"/>
      <c r="KRE339"/>
      <c r="KRF339"/>
      <c r="KRI339"/>
      <c r="KRJ339"/>
      <c r="KRM339"/>
      <c r="KRN339"/>
      <c r="KRQ339"/>
      <c r="KRR339"/>
      <c r="KRU339"/>
      <c r="KRV339"/>
      <c r="KRY339"/>
      <c r="KRZ339"/>
      <c r="KSC339"/>
      <c r="KSD339"/>
      <c r="KSG339"/>
      <c r="KSH339"/>
      <c r="KSK339"/>
      <c r="KSL339"/>
      <c r="KSO339"/>
      <c r="KSP339"/>
      <c r="KSS339"/>
      <c r="KST339"/>
      <c r="KSW339"/>
      <c r="KSX339"/>
      <c r="KTA339"/>
      <c r="KTB339"/>
      <c r="KTE339"/>
      <c r="KTF339"/>
      <c r="KTI339"/>
      <c r="KTJ339"/>
      <c r="KTM339"/>
      <c r="KTN339"/>
      <c r="KTQ339"/>
      <c r="KTR339"/>
      <c r="KTU339"/>
      <c r="KTV339"/>
      <c r="KTY339"/>
      <c r="KTZ339"/>
      <c r="KUC339"/>
      <c r="KUD339"/>
      <c r="KUG339"/>
      <c r="KUH339"/>
      <c r="KUK339"/>
      <c r="KUL339"/>
      <c r="KUO339"/>
      <c r="KUP339"/>
      <c r="KUS339"/>
      <c r="KUT339"/>
      <c r="KUW339"/>
      <c r="KUX339"/>
      <c r="KVA339"/>
      <c r="KVB339"/>
      <c r="KVE339"/>
      <c r="KVF339"/>
      <c r="KVI339"/>
      <c r="KVJ339"/>
      <c r="KVM339"/>
      <c r="KVN339"/>
      <c r="KVQ339"/>
      <c r="KVR339"/>
      <c r="KVU339"/>
      <c r="KVV339"/>
      <c r="KVY339"/>
      <c r="KVZ339"/>
      <c r="KWC339"/>
      <c r="KWD339"/>
      <c r="KWG339"/>
      <c r="KWH339"/>
      <c r="KWK339"/>
      <c r="KWL339"/>
      <c r="KWO339"/>
      <c r="KWP339"/>
      <c r="KWS339"/>
      <c r="KWT339"/>
      <c r="KWW339"/>
      <c r="KWX339"/>
      <c r="KXA339"/>
      <c r="KXB339"/>
      <c r="KXE339"/>
      <c r="KXF339"/>
      <c r="KXI339"/>
      <c r="KXJ339"/>
      <c r="KXM339"/>
      <c r="KXN339"/>
      <c r="KXQ339"/>
      <c r="KXR339"/>
      <c r="KXU339"/>
      <c r="KXV339"/>
      <c r="KXY339"/>
      <c r="KXZ339"/>
      <c r="KYC339"/>
      <c r="KYD339"/>
      <c r="KYG339"/>
      <c r="KYH339"/>
      <c r="KYK339"/>
      <c r="KYL339"/>
      <c r="KYO339"/>
      <c r="KYP339"/>
      <c r="KYS339"/>
      <c r="KYT339"/>
      <c r="KYW339"/>
      <c r="KYX339"/>
      <c r="KZA339"/>
      <c r="KZB339"/>
      <c r="KZE339"/>
      <c r="KZF339"/>
      <c r="KZI339"/>
      <c r="KZJ339"/>
      <c r="KZM339"/>
      <c r="KZN339"/>
      <c r="KZQ339"/>
      <c r="KZR339"/>
      <c r="KZU339"/>
      <c r="KZV339"/>
      <c r="KZY339"/>
      <c r="KZZ339"/>
      <c r="LAC339"/>
      <c r="LAD339"/>
      <c r="LAG339"/>
      <c r="LAH339"/>
      <c r="LAK339"/>
      <c r="LAL339"/>
      <c r="LAO339"/>
      <c r="LAP339"/>
      <c r="LAS339"/>
      <c r="LAT339"/>
      <c r="LAW339"/>
      <c r="LAX339"/>
      <c r="LBA339"/>
      <c r="LBB339"/>
      <c r="LBE339"/>
      <c r="LBF339"/>
      <c r="LBI339"/>
      <c r="LBJ339"/>
      <c r="LBM339"/>
      <c r="LBN339"/>
      <c r="LBQ339"/>
      <c r="LBR339"/>
      <c r="LBU339"/>
      <c r="LBV339"/>
      <c r="LBY339"/>
      <c r="LBZ339"/>
      <c r="LCC339"/>
      <c r="LCD339"/>
      <c r="LCG339"/>
      <c r="LCH339"/>
      <c r="LCK339"/>
      <c r="LCL339"/>
      <c r="LCO339"/>
      <c r="LCP339"/>
      <c r="LCS339"/>
      <c r="LCT339"/>
      <c r="LCW339"/>
      <c r="LCX339"/>
      <c r="LDA339"/>
      <c r="LDB339"/>
      <c r="LDE339"/>
      <c r="LDF339"/>
      <c r="LDI339"/>
      <c r="LDJ339"/>
      <c r="LDM339"/>
      <c r="LDN339"/>
      <c r="LDQ339"/>
      <c r="LDR339"/>
      <c r="LDU339"/>
      <c r="LDV339"/>
      <c r="LDY339"/>
      <c r="LDZ339"/>
      <c r="LEC339"/>
      <c r="LED339"/>
      <c r="LEG339"/>
      <c r="LEH339"/>
      <c r="LEK339"/>
      <c r="LEL339"/>
      <c r="LEO339"/>
      <c r="LEP339"/>
      <c r="LES339"/>
      <c r="LET339"/>
      <c r="LEW339"/>
      <c r="LEX339"/>
      <c r="LFA339"/>
      <c r="LFB339"/>
      <c r="LFE339"/>
      <c r="LFF339"/>
      <c r="LFI339"/>
      <c r="LFJ339"/>
      <c r="LFM339"/>
      <c r="LFN339"/>
      <c r="LFQ339"/>
      <c r="LFR339"/>
      <c r="LFU339"/>
      <c r="LFV339"/>
      <c r="LFY339"/>
      <c r="LFZ339"/>
      <c r="LGC339"/>
      <c r="LGD339"/>
      <c r="LGG339"/>
      <c r="LGH339"/>
      <c r="LGK339"/>
      <c r="LGL339"/>
      <c r="LGO339"/>
      <c r="LGP339"/>
      <c r="LGS339"/>
      <c r="LGT339"/>
      <c r="LGW339"/>
      <c r="LGX339"/>
      <c r="LHA339"/>
      <c r="LHB339"/>
      <c r="LHE339"/>
      <c r="LHF339"/>
      <c r="LHI339"/>
      <c r="LHJ339"/>
      <c r="LHM339"/>
      <c r="LHN339"/>
      <c r="LHQ339"/>
      <c r="LHR339"/>
      <c r="LHU339"/>
      <c r="LHV339"/>
      <c r="LHY339"/>
      <c r="LHZ339"/>
      <c r="LIC339"/>
      <c r="LID339"/>
      <c r="LIG339"/>
      <c r="LIH339"/>
      <c r="LIK339"/>
      <c r="LIL339"/>
      <c r="LIO339"/>
      <c r="LIP339"/>
      <c r="LIS339"/>
      <c r="LIT339"/>
      <c r="LIW339"/>
      <c r="LIX339"/>
      <c r="LJA339"/>
      <c r="LJB339"/>
      <c r="LJE339"/>
      <c r="LJF339"/>
      <c r="LJI339"/>
      <c r="LJJ339"/>
      <c r="LJM339"/>
      <c r="LJN339"/>
      <c r="LJQ339"/>
      <c r="LJR339"/>
      <c r="LJU339"/>
      <c r="LJV339"/>
      <c r="LJY339"/>
      <c r="LJZ339"/>
      <c r="LKC339"/>
      <c r="LKD339"/>
      <c r="LKG339"/>
      <c r="LKH339"/>
      <c r="LKK339"/>
      <c r="LKL339"/>
      <c r="LKO339"/>
      <c r="LKP339"/>
      <c r="LKS339"/>
      <c r="LKT339"/>
      <c r="LKW339"/>
      <c r="LKX339"/>
      <c r="LLA339"/>
      <c r="LLB339"/>
      <c r="LLE339"/>
      <c r="LLF339"/>
      <c r="LLI339"/>
      <c r="LLJ339"/>
      <c r="LLM339"/>
      <c r="LLN339"/>
      <c r="LLQ339"/>
      <c r="LLR339"/>
      <c r="LLU339"/>
      <c r="LLV339"/>
      <c r="LLY339"/>
      <c r="LLZ339"/>
      <c r="LMC339"/>
      <c r="LMD339"/>
      <c r="LMG339"/>
      <c r="LMH339"/>
      <c r="LMK339"/>
      <c r="LML339"/>
      <c r="LMO339"/>
      <c r="LMP339"/>
      <c r="LMS339"/>
      <c r="LMT339"/>
      <c r="LMW339"/>
      <c r="LMX339"/>
      <c r="LNA339"/>
      <c r="LNB339"/>
      <c r="LNE339"/>
      <c r="LNF339"/>
      <c r="LNI339"/>
      <c r="LNJ339"/>
      <c r="LNM339"/>
      <c r="LNN339"/>
      <c r="LNQ339"/>
      <c r="LNR339"/>
      <c r="LNU339"/>
      <c r="LNV339"/>
      <c r="LNY339"/>
      <c r="LNZ339"/>
      <c r="LOC339"/>
      <c r="LOD339"/>
      <c r="LOG339"/>
      <c r="LOH339"/>
      <c r="LOK339"/>
      <c r="LOL339"/>
      <c r="LOO339"/>
      <c r="LOP339"/>
      <c r="LOS339"/>
      <c r="LOT339"/>
      <c r="LOW339"/>
      <c r="LOX339"/>
      <c r="LPA339"/>
      <c r="LPB339"/>
      <c r="LPE339"/>
      <c r="LPF339"/>
      <c r="LPI339"/>
      <c r="LPJ339"/>
      <c r="LPM339"/>
      <c r="LPN339"/>
      <c r="LPQ339"/>
      <c r="LPR339"/>
      <c r="LPU339"/>
      <c r="LPV339"/>
      <c r="LPY339"/>
      <c r="LPZ339"/>
      <c r="LQC339"/>
      <c r="LQD339"/>
      <c r="LQG339"/>
      <c r="LQH339"/>
      <c r="LQK339"/>
      <c r="LQL339"/>
      <c r="LQO339"/>
      <c r="LQP339"/>
      <c r="LQS339"/>
      <c r="LQT339"/>
      <c r="LQW339"/>
      <c r="LQX339"/>
      <c r="LRA339"/>
      <c r="LRB339"/>
      <c r="LRE339"/>
      <c r="LRF339"/>
      <c r="LRI339"/>
      <c r="LRJ339"/>
      <c r="LRM339"/>
      <c r="LRN339"/>
      <c r="LRQ339"/>
      <c r="LRR339"/>
      <c r="LRU339"/>
      <c r="LRV339"/>
      <c r="LRY339"/>
      <c r="LRZ339"/>
      <c r="LSC339"/>
      <c r="LSD339"/>
      <c r="LSG339"/>
      <c r="LSH339"/>
      <c r="LSK339"/>
      <c r="LSL339"/>
      <c r="LSO339"/>
      <c r="LSP339"/>
      <c r="LSS339"/>
      <c r="LST339"/>
      <c r="LSW339"/>
      <c r="LSX339"/>
      <c r="LTA339"/>
      <c r="LTB339"/>
      <c r="LTE339"/>
      <c r="LTF339"/>
      <c r="LTI339"/>
      <c r="LTJ339"/>
      <c r="LTM339"/>
      <c r="LTN339"/>
      <c r="LTQ339"/>
      <c r="LTR339"/>
      <c r="LTU339"/>
      <c r="LTV339"/>
      <c r="LTY339"/>
      <c r="LTZ339"/>
      <c r="LUC339"/>
      <c r="LUD339"/>
      <c r="LUG339"/>
      <c r="LUH339"/>
      <c r="LUK339"/>
      <c r="LUL339"/>
      <c r="LUO339"/>
      <c r="LUP339"/>
      <c r="LUS339"/>
      <c r="LUT339"/>
      <c r="LUW339"/>
      <c r="LUX339"/>
      <c r="LVA339"/>
      <c r="LVB339"/>
      <c r="LVE339"/>
      <c r="LVF339"/>
      <c r="LVI339"/>
      <c r="LVJ339"/>
      <c r="LVM339"/>
      <c r="LVN339"/>
      <c r="LVQ339"/>
      <c r="LVR339"/>
      <c r="LVU339"/>
      <c r="LVV339"/>
      <c r="LVY339"/>
      <c r="LVZ339"/>
      <c r="LWC339"/>
      <c r="LWD339"/>
      <c r="LWG339"/>
      <c r="LWH339"/>
      <c r="LWK339"/>
      <c r="LWL339"/>
      <c r="LWO339"/>
      <c r="LWP339"/>
      <c r="LWS339"/>
      <c r="LWT339"/>
      <c r="LWW339"/>
      <c r="LWX339"/>
      <c r="LXA339"/>
      <c r="LXB339"/>
      <c r="LXE339"/>
      <c r="LXF339"/>
      <c r="LXI339"/>
      <c r="LXJ339"/>
      <c r="LXM339"/>
      <c r="LXN339"/>
      <c r="LXQ339"/>
      <c r="LXR339"/>
      <c r="LXU339"/>
      <c r="LXV339"/>
      <c r="LXY339"/>
      <c r="LXZ339"/>
      <c r="LYC339"/>
      <c r="LYD339"/>
      <c r="LYG339"/>
      <c r="LYH339"/>
      <c r="LYK339"/>
      <c r="LYL339"/>
      <c r="LYO339"/>
      <c r="LYP339"/>
      <c r="LYS339"/>
      <c r="LYT339"/>
      <c r="LYW339"/>
      <c r="LYX339"/>
      <c r="LZA339"/>
      <c r="LZB339"/>
      <c r="LZE339"/>
      <c r="LZF339"/>
      <c r="LZI339"/>
      <c r="LZJ339"/>
      <c r="LZM339"/>
      <c r="LZN339"/>
      <c r="LZQ339"/>
      <c r="LZR339"/>
      <c r="LZU339"/>
      <c r="LZV339"/>
      <c r="LZY339"/>
      <c r="LZZ339"/>
      <c r="MAC339"/>
      <c r="MAD339"/>
      <c r="MAG339"/>
      <c r="MAH339"/>
      <c r="MAK339"/>
      <c r="MAL339"/>
      <c r="MAO339"/>
      <c r="MAP339"/>
      <c r="MAS339"/>
      <c r="MAT339"/>
      <c r="MAW339"/>
      <c r="MAX339"/>
      <c r="MBA339"/>
      <c r="MBB339"/>
      <c r="MBE339"/>
      <c r="MBF339"/>
      <c r="MBI339"/>
      <c r="MBJ339"/>
      <c r="MBM339"/>
      <c r="MBN339"/>
      <c r="MBQ339"/>
      <c r="MBR339"/>
      <c r="MBU339"/>
      <c r="MBV339"/>
      <c r="MBY339"/>
      <c r="MBZ339"/>
      <c r="MCC339"/>
      <c r="MCD339"/>
      <c r="MCG339"/>
      <c r="MCH339"/>
      <c r="MCK339"/>
      <c r="MCL339"/>
      <c r="MCO339"/>
      <c r="MCP339"/>
      <c r="MCS339"/>
      <c r="MCT339"/>
      <c r="MCW339"/>
      <c r="MCX339"/>
      <c r="MDA339"/>
      <c r="MDB339"/>
      <c r="MDE339"/>
      <c r="MDF339"/>
      <c r="MDI339"/>
      <c r="MDJ339"/>
      <c r="MDM339"/>
      <c r="MDN339"/>
      <c r="MDQ339"/>
      <c r="MDR339"/>
      <c r="MDU339"/>
      <c r="MDV339"/>
      <c r="MDY339"/>
      <c r="MDZ339"/>
      <c r="MEC339"/>
      <c r="MED339"/>
      <c r="MEG339"/>
      <c r="MEH339"/>
      <c r="MEK339"/>
      <c r="MEL339"/>
      <c r="MEO339"/>
      <c r="MEP339"/>
      <c r="MES339"/>
      <c r="MET339"/>
      <c r="MEW339"/>
      <c r="MEX339"/>
      <c r="MFA339"/>
      <c r="MFB339"/>
      <c r="MFE339"/>
      <c r="MFF339"/>
      <c r="MFI339"/>
      <c r="MFJ339"/>
      <c r="MFM339"/>
      <c r="MFN339"/>
      <c r="MFQ339"/>
      <c r="MFR339"/>
      <c r="MFU339"/>
      <c r="MFV339"/>
      <c r="MFY339"/>
      <c r="MFZ339"/>
      <c r="MGC339"/>
      <c r="MGD339"/>
      <c r="MGG339"/>
      <c r="MGH339"/>
      <c r="MGK339"/>
      <c r="MGL339"/>
      <c r="MGO339"/>
      <c r="MGP339"/>
      <c r="MGS339"/>
      <c r="MGT339"/>
      <c r="MGW339"/>
      <c r="MGX339"/>
      <c r="MHA339"/>
      <c r="MHB339"/>
      <c r="MHE339"/>
      <c r="MHF339"/>
      <c r="MHI339"/>
      <c r="MHJ339"/>
      <c r="MHM339"/>
      <c r="MHN339"/>
      <c r="MHQ339"/>
      <c r="MHR339"/>
      <c r="MHU339"/>
      <c r="MHV339"/>
      <c r="MHY339"/>
      <c r="MHZ339"/>
      <c r="MIC339"/>
      <c r="MID339"/>
      <c r="MIG339"/>
      <c r="MIH339"/>
      <c r="MIK339"/>
      <c r="MIL339"/>
      <c r="MIO339"/>
      <c r="MIP339"/>
      <c r="MIS339"/>
      <c r="MIT339"/>
      <c r="MIW339"/>
      <c r="MIX339"/>
      <c r="MJA339"/>
      <c r="MJB339"/>
      <c r="MJE339"/>
      <c r="MJF339"/>
      <c r="MJI339"/>
      <c r="MJJ339"/>
      <c r="MJM339"/>
      <c r="MJN339"/>
      <c r="MJQ339"/>
      <c r="MJR339"/>
      <c r="MJU339"/>
      <c r="MJV339"/>
      <c r="MJY339"/>
      <c r="MJZ339"/>
      <c r="MKC339"/>
      <c r="MKD339"/>
      <c r="MKG339"/>
      <c r="MKH339"/>
      <c r="MKK339"/>
      <c r="MKL339"/>
      <c r="MKO339"/>
      <c r="MKP339"/>
      <c r="MKS339"/>
      <c r="MKT339"/>
      <c r="MKW339"/>
      <c r="MKX339"/>
      <c r="MLA339"/>
      <c r="MLB339"/>
      <c r="MLE339"/>
      <c r="MLF339"/>
      <c r="MLI339"/>
      <c r="MLJ339"/>
      <c r="MLM339"/>
      <c r="MLN339"/>
      <c r="MLQ339"/>
      <c r="MLR339"/>
      <c r="MLU339"/>
      <c r="MLV339"/>
      <c r="MLY339"/>
      <c r="MLZ339"/>
      <c r="MMC339"/>
      <c r="MMD339"/>
      <c r="MMG339"/>
      <c r="MMH339"/>
      <c r="MMK339"/>
      <c r="MML339"/>
      <c r="MMO339"/>
      <c r="MMP339"/>
      <c r="MMS339"/>
      <c r="MMT339"/>
      <c r="MMW339"/>
      <c r="MMX339"/>
      <c r="MNA339"/>
      <c r="MNB339"/>
      <c r="MNE339"/>
      <c r="MNF339"/>
      <c r="MNI339"/>
      <c r="MNJ339"/>
      <c r="MNM339"/>
      <c r="MNN339"/>
      <c r="MNQ339"/>
      <c r="MNR339"/>
      <c r="MNU339"/>
      <c r="MNV339"/>
      <c r="MNY339"/>
      <c r="MNZ339"/>
      <c r="MOC339"/>
      <c r="MOD339"/>
      <c r="MOG339"/>
      <c r="MOH339"/>
      <c r="MOK339"/>
      <c r="MOL339"/>
      <c r="MOO339"/>
      <c r="MOP339"/>
      <c r="MOS339"/>
      <c r="MOT339"/>
      <c r="MOW339"/>
      <c r="MOX339"/>
      <c r="MPA339"/>
      <c r="MPB339"/>
      <c r="MPE339"/>
      <c r="MPF339"/>
      <c r="MPI339"/>
      <c r="MPJ339"/>
      <c r="MPM339"/>
      <c r="MPN339"/>
      <c r="MPQ339"/>
      <c r="MPR339"/>
      <c r="MPU339"/>
      <c r="MPV339"/>
      <c r="MPY339"/>
      <c r="MPZ339"/>
      <c r="MQC339"/>
      <c r="MQD339"/>
      <c r="MQG339"/>
      <c r="MQH339"/>
      <c r="MQK339"/>
      <c r="MQL339"/>
      <c r="MQO339"/>
      <c r="MQP339"/>
      <c r="MQS339"/>
      <c r="MQT339"/>
      <c r="MQW339"/>
      <c r="MQX339"/>
      <c r="MRA339"/>
      <c r="MRB339"/>
      <c r="MRE339"/>
      <c r="MRF339"/>
      <c r="MRI339"/>
      <c r="MRJ339"/>
      <c r="MRM339"/>
      <c r="MRN339"/>
      <c r="MRQ339"/>
      <c r="MRR339"/>
      <c r="MRU339"/>
      <c r="MRV339"/>
      <c r="MRY339"/>
      <c r="MRZ339"/>
      <c r="MSC339"/>
      <c r="MSD339"/>
      <c r="MSG339"/>
      <c r="MSH339"/>
      <c r="MSK339"/>
      <c r="MSL339"/>
      <c r="MSO339"/>
      <c r="MSP339"/>
      <c r="MSS339"/>
      <c r="MST339"/>
      <c r="MSW339"/>
      <c r="MSX339"/>
      <c r="MTA339"/>
      <c r="MTB339"/>
      <c r="MTE339"/>
      <c r="MTF339"/>
      <c r="MTI339"/>
      <c r="MTJ339"/>
      <c r="MTM339"/>
      <c r="MTN339"/>
      <c r="MTQ339"/>
      <c r="MTR339"/>
      <c r="MTU339"/>
      <c r="MTV339"/>
      <c r="MTY339"/>
      <c r="MTZ339"/>
      <c r="MUC339"/>
      <c r="MUD339"/>
      <c r="MUG339"/>
      <c r="MUH339"/>
      <c r="MUK339"/>
      <c r="MUL339"/>
      <c r="MUO339"/>
      <c r="MUP339"/>
      <c r="MUS339"/>
      <c r="MUT339"/>
      <c r="MUW339"/>
      <c r="MUX339"/>
      <c r="MVA339"/>
      <c r="MVB339"/>
      <c r="MVE339"/>
      <c r="MVF339"/>
      <c r="MVI339"/>
      <c r="MVJ339"/>
      <c r="MVM339"/>
      <c r="MVN339"/>
      <c r="MVQ339"/>
      <c r="MVR339"/>
      <c r="MVU339"/>
      <c r="MVV339"/>
      <c r="MVY339"/>
      <c r="MVZ339"/>
      <c r="MWC339"/>
      <c r="MWD339"/>
      <c r="MWG339"/>
      <c r="MWH339"/>
      <c r="MWK339"/>
      <c r="MWL339"/>
      <c r="MWO339"/>
      <c r="MWP339"/>
      <c r="MWS339"/>
      <c r="MWT339"/>
      <c r="MWW339"/>
      <c r="MWX339"/>
      <c r="MXA339"/>
      <c r="MXB339"/>
      <c r="MXE339"/>
      <c r="MXF339"/>
      <c r="MXI339"/>
      <c r="MXJ339"/>
      <c r="MXM339"/>
      <c r="MXN339"/>
      <c r="MXQ339"/>
      <c r="MXR339"/>
      <c r="MXU339"/>
      <c r="MXV339"/>
      <c r="MXY339"/>
      <c r="MXZ339"/>
      <c r="MYC339"/>
      <c r="MYD339"/>
      <c r="MYG339"/>
      <c r="MYH339"/>
      <c r="MYK339"/>
      <c r="MYL339"/>
      <c r="MYO339"/>
      <c r="MYP339"/>
      <c r="MYS339"/>
      <c r="MYT339"/>
      <c r="MYW339"/>
      <c r="MYX339"/>
      <c r="MZA339"/>
      <c r="MZB339"/>
      <c r="MZE339"/>
      <c r="MZF339"/>
      <c r="MZI339"/>
      <c r="MZJ339"/>
      <c r="MZM339"/>
      <c r="MZN339"/>
      <c r="MZQ339"/>
      <c r="MZR339"/>
      <c r="MZU339"/>
      <c r="MZV339"/>
      <c r="MZY339"/>
      <c r="MZZ339"/>
      <c r="NAC339"/>
      <c r="NAD339"/>
      <c r="NAG339"/>
      <c r="NAH339"/>
      <c r="NAK339"/>
      <c r="NAL339"/>
      <c r="NAO339"/>
      <c r="NAP339"/>
      <c r="NAS339"/>
      <c r="NAT339"/>
      <c r="NAW339"/>
      <c r="NAX339"/>
      <c r="NBA339"/>
      <c r="NBB339"/>
      <c r="NBE339"/>
      <c r="NBF339"/>
      <c r="NBI339"/>
      <c r="NBJ339"/>
      <c r="NBM339"/>
      <c r="NBN339"/>
      <c r="NBQ339"/>
      <c r="NBR339"/>
      <c r="NBU339"/>
      <c r="NBV339"/>
      <c r="NBY339"/>
      <c r="NBZ339"/>
      <c r="NCC339"/>
      <c r="NCD339"/>
      <c r="NCG339"/>
      <c r="NCH339"/>
      <c r="NCK339"/>
      <c r="NCL339"/>
      <c r="NCO339"/>
      <c r="NCP339"/>
      <c r="NCS339"/>
      <c r="NCT339"/>
      <c r="NCW339"/>
      <c r="NCX339"/>
      <c r="NDA339"/>
      <c r="NDB339"/>
      <c r="NDE339"/>
      <c r="NDF339"/>
      <c r="NDI339"/>
      <c r="NDJ339"/>
      <c r="NDM339"/>
      <c r="NDN339"/>
      <c r="NDQ339"/>
      <c r="NDR339"/>
      <c r="NDU339"/>
      <c r="NDV339"/>
      <c r="NDY339"/>
      <c r="NDZ339"/>
      <c r="NEC339"/>
      <c r="NED339"/>
      <c r="NEG339"/>
      <c r="NEH339"/>
      <c r="NEK339"/>
      <c r="NEL339"/>
      <c r="NEO339"/>
      <c r="NEP339"/>
      <c r="NES339"/>
      <c r="NET339"/>
      <c r="NEW339"/>
      <c r="NEX339"/>
      <c r="NFA339"/>
      <c r="NFB339"/>
      <c r="NFE339"/>
      <c r="NFF339"/>
      <c r="NFI339"/>
      <c r="NFJ339"/>
      <c r="NFM339"/>
      <c r="NFN339"/>
      <c r="NFQ339"/>
      <c r="NFR339"/>
      <c r="NFU339"/>
      <c r="NFV339"/>
      <c r="NFY339"/>
      <c r="NFZ339"/>
      <c r="NGC339"/>
      <c r="NGD339"/>
      <c r="NGG339"/>
      <c r="NGH339"/>
      <c r="NGK339"/>
      <c r="NGL339"/>
      <c r="NGO339"/>
      <c r="NGP339"/>
      <c r="NGS339"/>
      <c r="NGT339"/>
      <c r="NGW339"/>
      <c r="NGX339"/>
      <c r="NHA339"/>
      <c r="NHB339"/>
      <c r="NHE339"/>
      <c r="NHF339"/>
      <c r="NHI339"/>
      <c r="NHJ339"/>
      <c r="NHM339"/>
      <c r="NHN339"/>
      <c r="NHQ339"/>
      <c r="NHR339"/>
      <c r="NHU339"/>
      <c r="NHV339"/>
      <c r="NHY339"/>
      <c r="NHZ339"/>
      <c r="NIC339"/>
      <c r="NID339"/>
      <c r="NIG339"/>
      <c r="NIH339"/>
      <c r="NIK339"/>
      <c r="NIL339"/>
      <c r="NIO339"/>
      <c r="NIP339"/>
      <c r="NIS339"/>
      <c r="NIT339"/>
      <c r="NIW339"/>
      <c r="NIX339"/>
      <c r="NJA339"/>
      <c r="NJB339"/>
      <c r="NJE339"/>
      <c r="NJF339"/>
      <c r="NJI339"/>
      <c r="NJJ339"/>
      <c r="NJM339"/>
      <c r="NJN339"/>
      <c r="NJQ339"/>
      <c r="NJR339"/>
      <c r="NJU339"/>
      <c r="NJV339"/>
      <c r="NJY339"/>
      <c r="NJZ339"/>
      <c r="NKC339"/>
      <c r="NKD339"/>
      <c r="NKG339"/>
      <c r="NKH339"/>
      <c r="NKK339"/>
      <c r="NKL339"/>
      <c r="NKO339"/>
      <c r="NKP339"/>
      <c r="NKS339"/>
      <c r="NKT339"/>
      <c r="NKW339"/>
      <c r="NKX339"/>
      <c r="NLA339"/>
      <c r="NLB339"/>
      <c r="NLE339"/>
      <c r="NLF339"/>
      <c r="NLI339"/>
      <c r="NLJ339"/>
      <c r="NLM339"/>
      <c r="NLN339"/>
      <c r="NLQ339"/>
      <c r="NLR339"/>
      <c r="NLU339"/>
      <c r="NLV339"/>
      <c r="NLY339"/>
      <c r="NLZ339"/>
      <c r="NMC339"/>
      <c r="NMD339"/>
      <c r="NMG339"/>
      <c r="NMH339"/>
      <c r="NMK339"/>
      <c r="NML339"/>
      <c r="NMO339"/>
      <c r="NMP339"/>
      <c r="NMS339"/>
      <c r="NMT339"/>
      <c r="NMW339"/>
      <c r="NMX339"/>
      <c r="NNA339"/>
      <c r="NNB339"/>
      <c r="NNE339"/>
      <c r="NNF339"/>
      <c r="NNI339"/>
      <c r="NNJ339"/>
      <c r="NNM339"/>
      <c r="NNN339"/>
      <c r="NNQ339"/>
      <c r="NNR339"/>
      <c r="NNU339"/>
      <c r="NNV339"/>
      <c r="NNY339"/>
      <c r="NNZ339"/>
      <c r="NOC339"/>
      <c r="NOD339"/>
      <c r="NOG339"/>
      <c r="NOH339"/>
      <c r="NOK339"/>
      <c r="NOL339"/>
      <c r="NOO339"/>
      <c r="NOP339"/>
      <c r="NOS339"/>
      <c r="NOT339"/>
      <c r="NOW339"/>
      <c r="NOX339"/>
      <c r="NPA339"/>
      <c r="NPB339"/>
      <c r="NPE339"/>
      <c r="NPF339"/>
      <c r="NPI339"/>
      <c r="NPJ339"/>
      <c r="NPM339"/>
      <c r="NPN339"/>
      <c r="NPQ339"/>
      <c r="NPR339"/>
      <c r="NPU339"/>
      <c r="NPV339"/>
      <c r="NPY339"/>
      <c r="NPZ339"/>
      <c r="NQC339"/>
      <c r="NQD339"/>
      <c r="NQG339"/>
      <c r="NQH339"/>
      <c r="NQK339"/>
      <c r="NQL339"/>
      <c r="NQO339"/>
      <c r="NQP339"/>
      <c r="NQS339"/>
      <c r="NQT339"/>
      <c r="NQW339"/>
      <c r="NQX339"/>
      <c r="NRA339"/>
      <c r="NRB339"/>
      <c r="NRE339"/>
      <c r="NRF339"/>
      <c r="NRI339"/>
      <c r="NRJ339"/>
      <c r="NRM339"/>
      <c r="NRN339"/>
      <c r="NRQ339"/>
      <c r="NRR339"/>
      <c r="NRU339"/>
      <c r="NRV339"/>
      <c r="NRY339"/>
      <c r="NRZ339"/>
      <c r="NSC339"/>
      <c r="NSD339"/>
      <c r="NSG339"/>
      <c r="NSH339"/>
      <c r="NSK339"/>
      <c r="NSL339"/>
      <c r="NSO339"/>
      <c r="NSP339"/>
      <c r="NSS339"/>
      <c r="NST339"/>
      <c r="NSW339"/>
      <c r="NSX339"/>
      <c r="NTA339"/>
      <c r="NTB339"/>
      <c r="NTE339"/>
      <c r="NTF339"/>
      <c r="NTI339"/>
      <c r="NTJ339"/>
      <c r="NTM339"/>
      <c r="NTN339"/>
      <c r="NTQ339"/>
      <c r="NTR339"/>
      <c r="NTU339"/>
      <c r="NTV339"/>
      <c r="NTY339"/>
      <c r="NTZ339"/>
      <c r="NUC339"/>
      <c r="NUD339"/>
      <c r="NUG339"/>
      <c r="NUH339"/>
      <c r="NUK339"/>
      <c r="NUL339"/>
      <c r="NUO339"/>
      <c r="NUP339"/>
      <c r="NUS339"/>
      <c r="NUT339"/>
      <c r="NUW339"/>
      <c r="NUX339"/>
      <c r="NVA339"/>
      <c r="NVB339"/>
      <c r="NVE339"/>
      <c r="NVF339"/>
      <c r="NVI339"/>
      <c r="NVJ339"/>
      <c r="NVM339"/>
      <c r="NVN339"/>
      <c r="NVQ339"/>
      <c r="NVR339"/>
      <c r="NVU339"/>
      <c r="NVV339"/>
      <c r="NVY339"/>
      <c r="NVZ339"/>
      <c r="NWC339"/>
      <c r="NWD339"/>
      <c r="NWG339"/>
      <c r="NWH339"/>
      <c r="NWK339"/>
      <c r="NWL339"/>
      <c r="NWO339"/>
      <c r="NWP339"/>
      <c r="NWS339"/>
      <c r="NWT339"/>
      <c r="NWW339"/>
      <c r="NWX339"/>
      <c r="NXA339"/>
      <c r="NXB339"/>
      <c r="NXE339"/>
      <c r="NXF339"/>
      <c r="NXI339"/>
      <c r="NXJ339"/>
      <c r="NXM339"/>
      <c r="NXN339"/>
      <c r="NXQ339"/>
      <c r="NXR339"/>
      <c r="NXU339"/>
      <c r="NXV339"/>
      <c r="NXY339"/>
      <c r="NXZ339"/>
      <c r="NYC339"/>
      <c r="NYD339"/>
      <c r="NYG339"/>
      <c r="NYH339"/>
      <c r="NYK339"/>
      <c r="NYL339"/>
      <c r="NYO339"/>
      <c r="NYP339"/>
      <c r="NYS339"/>
      <c r="NYT339"/>
      <c r="NYW339"/>
      <c r="NYX339"/>
      <c r="NZA339"/>
      <c r="NZB339"/>
      <c r="NZE339"/>
      <c r="NZF339"/>
      <c r="NZI339"/>
      <c r="NZJ339"/>
      <c r="NZM339"/>
      <c r="NZN339"/>
      <c r="NZQ339"/>
      <c r="NZR339"/>
      <c r="NZU339"/>
      <c r="NZV339"/>
      <c r="NZY339"/>
      <c r="NZZ339"/>
      <c r="OAC339"/>
      <c r="OAD339"/>
      <c r="OAG339"/>
      <c r="OAH339"/>
      <c r="OAK339"/>
      <c r="OAL339"/>
      <c r="OAO339"/>
      <c r="OAP339"/>
      <c r="OAS339"/>
      <c r="OAT339"/>
      <c r="OAW339"/>
      <c r="OAX339"/>
      <c r="OBA339"/>
      <c r="OBB339"/>
      <c r="OBE339"/>
      <c r="OBF339"/>
      <c r="OBI339"/>
      <c r="OBJ339"/>
      <c r="OBM339"/>
      <c r="OBN339"/>
      <c r="OBQ339"/>
      <c r="OBR339"/>
      <c r="OBU339"/>
      <c r="OBV339"/>
      <c r="OBY339"/>
      <c r="OBZ339"/>
      <c r="OCC339"/>
      <c r="OCD339"/>
      <c r="OCG339"/>
      <c r="OCH339"/>
      <c r="OCK339"/>
      <c r="OCL339"/>
      <c r="OCO339"/>
      <c r="OCP339"/>
      <c r="OCS339"/>
      <c r="OCT339"/>
      <c r="OCW339"/>
      <c r="OCX339"/>
      <c r="ODA339"/>
      <c r="ODB339"/>
      <c r="ODE339"/>
      <c r="ODF339"/>
      <c r="ODI339"/>
      <c r="ODJ339"/>
      <c r="ODM339"/>
      <c r="ODN339"/>
      <c r="ODQ339"/>
      <c r="ODR339"/>
      <c r="ODU339"/>
      <c r="ODV339"/>
      <c r="ODY339"/>
      <c r="ODZ339"/>
      <c r="OEC339"/>
      <c r="OED339"/>
      <c r="OEG339"/>
      <c r="OEH339"/>
      <c r="OEK339"/>
      <c r="OEL339"/>
      <c r="OEO339"/>
      <c r="OEP339"/>
      <c r="OES339"/>
      <c r="OET339"/>
      <c r="OEW339"/>
      <c r="OEX339"/>
      <c r="OFA339"/>
      <c r="OFB339"/>
      <c r="OFE339"/>
      <c r="OFF339"/>
      <c r="OFI339"/>
      <c r="OFJ339"/>
      <c r="OFM339"/>
      <c r="OFN339"/>
      <c r="OFQ339"/>
      <c r="OFR339"/>
      <c r="OFU339"/>
      <c r="OFV339"/>
      <c r="OFY339"/>
      <c r="OFZ339"/>
      <c r="OGC339"/>
      <c r="OGD339"/>
      <c r="OGG339"/>
      <c r="OGH339"/>
      <c r="OGK339"/>
      <c r="OGL339"/>
      <c r="OGO339"/>
      <c r="OGP339"/>
      <c r="OGS339"/>
      <c r="OGT339"/>
      <c r="OGW339"/>
      <c r="OGX339"/>
      <c r="OHA339"/>
      <c r="OHB339"/>
      <c r="OHE339"/>
      <c r="OHF339"/>
      <c r="OHI339"/>
      <c r="OHJ339"/>
      <c r="OHM339"/>
      <c r="OHN339"/>
      <c r="OHQ339"/>
      <c r="OHR339"/>
      <c r="OHU339"/>
      <c r="OHV339"/>
      <c r="OHY339"/>
      <c r="OHZ339"/>
      <c r="OIC339"/>
      <c r="OID339"/>
      <c r="OIG339"/>
      <c r="OIH339"/>
      <c r="OIK339"/>
      <c r="OIL339"/>
      <c r="OIO339"/>
      <c r="OIP339"/>
      <c r="OIS339"/>
      <c r="OIT339"/>
      <c r="OIW339"/>
      <c r="OIX339"/>
      <c r="OJA339"/>
      <c r="OJB339"/>
      <c r="OJE339"/>
      <c r="OJF339"/>
      <c r="OJI339"/>
      <c r="OJJ339"/>
      <c r="OJM339"/>
      <c r="OJN339"/>
      <c r="OJQ339"/>
      <c r="OJR339"/>
      <c r="OJU339"/>
      <c r="OJV339"/>
      <c r="OJY339"/>
      <c r="OJZ339"/>
      <c r="OKC339"/>
      <c r="OKD339"/>
      <c r="OKG339"/>
      <c r="OKH339"/>
      <c r="OKK339"/>
      <c r="OKL339"/>
      <c r="OKO339"/>
      <c r="OKP339"/>
      <c r="OKS339"/>
      <c r="OKT339"/>
      <c r="OKW339"/>
      <c r="OKX339"/>
      <c r="OLA339"/>
      <c r="OLB339"/>
      <c r="OLE339"/>
      <c r="OLF339"/>
      <c r="OLI339"/>
      <c r="OLJ339"/>
      <c r="OLM339"/>
      <c r="OLN339"/>
      <c r="OLQ339"/>
      <c r="OLR339"/>
      <c r="OLU339"/>
      <c r="OLV339"/>
      <c r="OLY339"/>
      <c r="OLZ339"/>
      <c r="OMC339"/>
      <c r="OMD339"/>
      <c r="OMG339"/>
      <c r="OMH339"/>
      <c r="OMK339"/>
      <c r="OML339"/>
      <c r="OMO339"/>
      <c r="OMP339"/>
      <c r="OMS339"/>
      <c r="OMT339"/>
      <c r="OMW339"/>
      <c r="OMX339"/>
      <c r="ONA339"/>
      <c r="ONB339"/>
      <c r="ONE339"/>
      <c r="ONF339"/>
      <c r="ONI339"/>
      <c r="ONJ339"/>
      <c r="ONM339"/>
      <c r="ONN339"/>
      <c r="ONQ339"/>
      <c r="ONR339"/>
      <c r="ONU339"/>
      <c r="ONV339"/>
      <c r="ONY339"/>
      <c r="ONZ339"/>
      <c r="OOC339"/>
      <c r="OOD339"/>
      <c r="OOG339"/>
      <c r="OOH339"/>
      <c r="OOK339"/>
      <c r="OOL339"/>
      <c r="OOO339"/>
      <c r="OOP339"/>
      <c r="OOS339"/>
      <c r="OOT339"/>
      <c r="OOW339"/>
      <c r="OOX339"/>
      <c r="OPA339"/>
      <c r="OPB339"/>
      <c r="OPE339"/>
      <c r="OPF339"/>
      <c r="OPI339"/>
      <c r="OPJ339"/>
      <c r="OPM339"/>
      <c r="OPN339"/>
      <c r="OPQ339"/>
      <c r="OPR339"/>
      <c r="OPU339"/>
      <c r="OPV339"/>
      <c r="OPY339"/>
      <c r="OPZ339"/>
      <c r="OQC339"/>
      <c r="OQD339"/>
      <c r="OQG339"/>
      <c r="OQH339"/>
      <c r="OQK339"/>
      <c r="OQL339"/>
      <c r="OQO339"/>
      <c r="OQP339"/>
      <c r="OQS339"/>
      <c r="OQT339"/>
      <c r="OQW339"/>
      <c r="OQX339"/>
      <c r="ORA339"/>
      <c r="ORB339"/>
      <c r="ORE339"/>
      <c r="ORF339"/>
      <c r="ORI339"/>
      <c r="ORJ339"/>
      <c r="ORM339"/>
      <c r="ORN339"/>
      <c r="ORQ339"/>
      <c r="ORR339"/>
      <c r="ORU339"/>
      <c r="ORV339"/>
      <c r="ORY339"/>
      <c r="ORZ339"/>
      <c r="OSC339"/>
      <c r="OSD339"/>
      <c r="OSG339"/>
      <c r="OSH339"/>
      <c r="OSK339"/>
      <c r="OSL339"/>
      <c r="OSO339"/>
      <c r="OSP339"/>
      <c r="OSS339"/>
      <c r="OST339"/>
      <c r="OSW339"/>
      <c r="OSX339"/>
      <c r="OTA339"/>
      <c r="OTB339"/>
      <c r="OTE339"/>
      <c r="OTF339"/>
      <c r="OTI339"/>
      <c r="OTJ339"/>
      <c r="OTM339"/>
      <c r="OTN339"/>
      <c r="OTQ339"/>
      <c r="OTR339"/>
      <c r="OTU339"/>
      <c r="OTV339"/>
      <c r="OTY339"/>
      <c r="OTZ339"/>
      <c r="OUC339"/>
      <c r="OUD339"/>
      <c r="OUG339"/>
      <c r="OUH339"/>
      <c r="OUK339"/>
      <c r="OUL339"/>
      <c r="OUO339"/>
      <c r="OUP339"/>
      <c r="OUS339"/>
      <c r="OUT339"/>
      <c r="OUW339"/>
      <c r="OUX339"/>
      <c r="OVA339"/>
      <c r="OVB339"/>
      <c r="OVE339"/>
      <c r="OVF339"/>
      <c r="OVI339"/>
      <c r="OVJ339"/>
      <c r="OVM339"/>
      <c r="OVN339"/>
      <c r="OVQ339"/>
      <c r="OVR339"/>
      <c r="OVU339"/>
      <c r="OVV339"/>
      <c r="OVY339"/>
      <c r="OVZ339"/>
      <c r="OWC339"/>
      <c r="OWD339"/>
      <c r="OWG339"/>
      <c r="OWH339"/>
      <c r="OWK339"/>
      <c r="OWL339"/>
      <c r="OWO339"/>
      <c r="OWP339"/>
      <c r="OWS339"/>
      <c r="OWT339"/>
      <c r="OWW339"/>
      <c r="OWX339"/>
      <c r="OXA339"/>
      <c r="OXB339"/>
      <c r="OXE339"/>
      <c r="OXF339"/>
      <c r="OXI339"/>
      <c r="OXJ339"/>
      <c r="OXM339"/>
      <c r="OXN339"/>
      <c r="OXQ339"/>
      <c r="OXR339"/>
      <c r="OXU339"/>
      <c r="OXV339"/>
      <c r="OXY339"/>
      <c r="OXZ339"/>
      <c r="OYC339"/>
      <c r="OYD339"/>
      <c r="OYG339"/>
      <c r="OYH339"/>
      <c r="OYK339"/>
      <c r="OYL339"/>
      <c r="OYO339"/>
      <c r="OYP339"/>
      <c r="OYS339"/>
      <c r="OYT339"/>
      <c r="OYW339"/>
      <c r="OYX339"/>
      <c r="OZA339"/>
      <c r="OZB339"/>
      <c r="OZE339"/>
      <c r="OZF339"/>
      <c r="OZI339"/>
      <c r="OZJ339"/>
      <c r="OZM339"/>
      <c r="OZN339"/>
      <c r="OZQ339"/>
      <c r="OZR339"/>
      <c r="OZU339"/>
      <c r="OZV339"/>
      <c r="OZY339"/>
      <c r="OZZ339"/>
      <c r="PAC339"/>
      <c r="PAD339"/>
      <c r="PAG339"/>
      <c r="PAH339"/>
      <c r="PAK339"/>
      <c r="PAL339"/>
      <c r="PAO339"/>
      <c r="PAP339"/>
      <c r="PAS339"/>
      <c r="PAT339"/>
      <c r="PAW339"/>
      <c r="PAX339"/>
      <c r="PBA339"/>
      <c r="PBB339"/>
      <c r="PBE339"/>
      <c r="PBF339"/>
      <c r="PBI339"/>
      <c r="PBJ339"/>
      <c r="PBM339"/>
      <c r="PBN339"/>
      <c r="PBQ339"/>
      <c r="PBR339"/>
      <c r="PBU339"/>
      <c r="PBV339"/>
      <c r="PBY339"/>
      <c r="PBZ339"/>
      <c r="PCC339"/>
      <c r="PCD339"/>
      <c r="PCG339"/>
      <c r="PCH339"/>
      <c r="PCK339"/>
      <c r="PCL339"/>
      <c r="PCO339"/>
      <c r="PCP339"/>
      <c r="PCS339"/>
      <c r="PCT339"/>
      <c r="PCW339"/>
      <c r="PCX339"/>
      <c r="PDA339"/>
      <c r="PDB339"/>
      <c r="PDE339"/>
      <c r="PDF339"/>
      <c r="PDI339"/>
      <c r="PDJ339"/>
      <c r="PDM339"/>
      <c r="PDN339"/>
      <c r="PDQ339"/>
      <c r="PDR339"/>
      <c r="PDU339"/>
      <c r="PDV339"/>
      <c r="PDY339"/>
      <c r="PDZ339"/>
      <c r="PEC339"/>
      <c r="PED339"/>
      <c r="PEG339"/>
      <c r="PEH339"/>
      <c r="PEK339"/>
      <c r="PEL339"/>
      <c r="PEO339"/>
      <c r="PEP339"/>
      <c r="PES339"/>
      <c r="PET339"/>
      <c r="PEW339"/>
      <c r="PEX339"/>
      <c r="PFA339"/>
      <c r="PFB339"/>
      <c r="PFE339"/>
      <c r="PFF339"/>
      <c r="PFI339"/>
      <c r="PFJ339"/>
      <c r="PFM339"/>
      <c r="PFN339"/>
      <c r="PFQ339"/>
      <c r="PFR339"/>
      <c r="PFU339"/>
      <c r="PFV339"/>
      <c r="PFY339"/>
      <c r="PFZ339"/>
      <c r="PGC339"/>
      <c r="PGD339"/>
      <c r="PGG339"/>
      <c r="PGH339"/>
      <c r="PGK339"/>
      <c r="PGL339"/>
      <c r="PGO339"/>
      <c r="PGP339"/>
      <c r="PGS339"/>
      <c r="PGT339"/>
      <c r="PGW339"/>
      <c r="PGX339"/>
      <c r="PHA339"/>
      <c r="PHB339"/>
      <c r="PHE339"/>
      <c r="PHF339"/>
      <c r="PHI339"/>
      <c r="PHJ339"/>
      <c r="PHM339"/>
      <c r="PHN339"/>
      <c r="PHQ339"/>
      <c r="PHR339"/>
      <c r="PHU339"/>
      <c r="PHV339"/>
      <c r="PHY339"/>
      <c r="PHZ339"/>
      <c r="PIC339"/>
      <c r="PID339"/>
      <c r="PIG339"/>
      <c r="PIH339"/>
      <c r="PIK339"/>
      <c r="PIL339"/>
      <c r="PIO339"/>
      <c r="PIP339"/>
      <c r="PIS339"/>
      <c r="PIT339"/>
      <c r="PIW339"/>
      <c r="PIX339"/>
      <c r="PJA339"/>
      <c r="PJB339"/>
      <c r="PJE339"/>
      <c r="PJF339"/>
      <c r="PJI339"/>
      <c r="PJJ339"/>
      <c r="PJM339"/>
      <c r="PJN339"/>
      <c r="PJQ339"/>
      <c r="PJR339"/>
      <c r="PJU339"/>
      <c r="PJV339"/>
      <c r="PJY339"/>
      <c r="PJZ339"/>
      <c r="PKC339"/>
      <c r="PKD339"/>
      <c r="PKG339"/>
      <c r="PKH339"/>
      <c r="PKK339"/>
      <c r="PKL339"/>
      <c r="PKO339"/>
      <c r="PKP339"/>
      <c r="PKS339"/>
      <c r="PKT339"/>
      <c r="PKW339"/>
      <c r="PKX339"/>
      <c r="PLA339"/>
      <c r="PLB339"/>
      <c r="PLE339"/>
      <c r="PLF339"/>
      <c r="PLI339"/>
      <c r="PLJ339"/>
      <c r="PLM339"/>
      <c r="PLN339"/>
      <c r="PLQ339"/>
      <c r="PLR339"/>
      <c r="PLU339"/>
      <c r="PLV339"/>
      <c r="PLY339"/>
      <c r="PLZ339"/>
      <c r="PMC339"/>
      <c r="PMD339"/>
      <c r="PMG339"/>
      <c r="PMH339"/>
      <c r="PMK339"/>
      <c r="PML339"/>
      <c r="PMO339"/>
      <c r="PMP339"/>
      <c r="PMS339"/>
      <c r="PMT339"/>
      <c r="PMW339"/>
      <c r="PMX339"/>
      <c r="PNA339"/>
      <c r="PNB339"/>
      <c r="PNE339"/>
      <c r="PNF339"/>
      <c r="PNI339"/>
      <c r="PNJ339"/>
      <c r="PNM339"/>
      <c r="PNN339"/>
      <c r="PNQ339"/>
      <c r="PNR339"/>
      <c r="PNU339"/>
      <c r="PNV339"/>
      <c r="PNY339"/>
      <c r="PNZ339"/>
      <c r="POC339"/>
      <c r="POD339"/>
      <c r="POG339"/>
      <c r="POH339"/>
      <c r="POK339"/>
      <c r="POL339"/>
      <c r="POO339"/>
      <c r="POP339"/>
      <c r="POS339"/>
      <c r="POT339"/>
      <c r="POW339"/>
      <c r="POX339"/>
      <c r="PPA339"/>
      <c r="PPB339"/>
      <c r="PPE339"/>
      <c r="PPF339"/>
      <c r="PPI339"/>
      <c r="PPJ339"/>
      <c r="PPM339"/>
      <c r="PPN339"/>
      <c r="PPQ339"/>
      <c r="PPR339"/>
      <c r="PPU339"/>
      <c r="PPV339"/>
      <c r="PPY339"/>
      <c r="PPZ339"/>
      <c r="PQC339"/>
      <c r="PQD339"/>
      <c r="PQG339"/>
      <c r="PQH339"/>
      <c r="PQK339"/>
      <c r="PQL339"/>
      <c r="PQO339"/>
      <c r="PQP339"/>
      <c r="PQS339"/>
      <c r="PQT339"/>
      <c r="PQW339"/>
      <c r="PQX339"/>
      <c r="PRA339"/>
      <c r="PRB339"/>
      <c r="PRE339"/>
      <c r="PRF339"/>
      <c r="PRI339"/>
      <c r="PRJ339"/>
      <c r="PRM339"/>
      <c r="PRN339"/>
      <c r="PRQ339"/>
      <c r="PRR339"/>
      <c r="PRU339"/>
      <c r="PRV339"/>
      <c r="PRY339"/>
      <c r="PRZ339"/>
      <c r="PSC339"/>
      <c r="PSD339"/>
      <c r="PSG339"/>
      <c r="PSH339"/>
      <c r="PSK339"/>
      <c r="PSL339"/>
      <c r="PSO339"/>
      <c r="PSP339"/>
      <c r="PSS339"/>
      <c r="PST339"/>
      <c r="PSW339"/>
      <c r="PSX339"/>
      <c r="PTA339"/>
      <c r="PTB339"/>
      <c r="PTE339"/>
      <c r="PTF339"/>
      <c r="PTI339"/>
      <c r="PTJ339"/>
      <c r="PTM339"/>
      <c r="PTN339"/>
      <c r="PTQ339"/>
      <c r="PTR339"/>
      <c r="PTU339"/>
      <c r="PTV339"/>
      <c r="PTY339"/>
      <c r="PTZ339"/>
      <c r="PUC339"/>
      <c r="PUD339"/>
      <c r="PUG339"/>
      <c r="PUH339"/>
      <c r="PUK339"/>
      <c r="PUL339"/>
      <c r="PUO339"/>
      <c r="PUP339"/>
      <c r="PUS339"/>
      <c r="PUT339"/>
      <c r="PUW339"/>
      <c r="PUX339"/>
      <c r="PVA339"/>
      <c r="PVB339"/>
      <c r="PVE339"/>
      <c r="PVF339"/>
      <c r="PVI339"/>
      <c r="PVJ339"/>
      <c r="PVM339"/>
      <c r="PVN339"/>
      <c r="PVQ339"/>
      <c r="PVR339"/>
      <c r="PVU339"/>
      <c r="PVV339"/>
      <c r="PVY339"/>
      <c r="PVZ339"/>
      <c r="PWC339"/>
      <c r="PWD339"/>
      <c r="PWG339"/>
      <c r="PWH339"/>
      <c r="PWK339"/>
      <c r="PWL339"/>
      <c r="PWO339"/>
      <c r="PWP339"/>
      <c r="PWS339"/>
      <c r="PWT339"/>
      <c r="PWW339"/>
      <c r="PWX339"/>
      <c r="PXA339"/>
      <c r="PXB339"/>
      <c r="PXE339"/>
      <c r="PXF339"/>
      <c r="PXI339"/>
      <c r="PXJ339"/>
      <c r="PXM339"/>
      <c r="PXN339"/>
      <c r="PXQ339"/>
      <c r="PXR339"/>
      <c r="PXU339"/>
      <c r="PXV339"/>
      <c r="PXY339"/>
      <c r="PXZ339"/>
      <c r="PYC339"/>
      <c r="PYD339"/>
      <c r="PYG339"/>
      <c r="PYH339"/>
      <c r="PYK339"/>
      <c r="PYL339"/>
      <c r="PYO339"/>
      <c r="PYP339"/>
      <c r="PYS339"/>
      <c r="PYT339"/>
      <c r="PYW339"/>
      <c r="PYX339"/>
      <c r="PZA339"/>
      <c r="PZB339"/>
      <c r="PZE339"/>
      <c r="PZF339"/>
      <c r="PZI339"/>
      <c r="PZJ339"/>
      <c r="PZM339"/>
      <c r="PZN339"/>
      <c r="PZQ339"/>
      <c r="PZR339"/>
      <c r="PZU339"/>
      <c r="PZV339"/>
      <c r="PZY339"/>
      <c r="PZZ339"/>
      <c r="QAC339"/>
      <c r="QAD339"/>
      <c r="QAG339"/>
      <c r="QAH339"/>
      <c r="QAK339"/>
      <c r="QAL339"/>
      <c r="QAO339"/>
      <c r="QAP339"/>
      <c r="QAS339"/>
      <c r="QAT339"/>
      <c r="QAW339"/>
      <c r="QAX339"/>
      <c r="QBA339"/>
      <c r="QBB339"/>
      <c r="QBE339"/>
      <c r="QBF339"/>
      <c r="QBI339"/>
      <c r="QBJ339"/>
      <c r="QBM339"/>
      <c r="QBN339"/>
      <c r="QBQ339"/>
      <c r="QBR339"/>
      <c r="QBU339"/>
      <c r="QBV339"/>
      <c r="QBY339"/>
      <c r="QBZ339"/>
      <c r="QCC339"/>
      <c r="QCD339"/>
      <c r="QCG339"/>
      <c r="QCH339"/>
      <c r="QCK339"/>
      <c r="QCL339"/>
      <c r="QCO339"/>
      <c r="QCP339"/>
      <c r="QCS339"/>
      <c r="QCT339"/>
      <c r="QCW339"/>
      <c r="QCX339"/>
      <c r="QDA339"/>
      <c r="QDB339"/>
      <c r="QDE339"/>
      <c r="QDF339"/>
      <c r="QDI339"/>
      <c r="QDJ339"/>
      <c r="QDM339"/>
      <c r="QDN339"/>
      <c r="QDQ339"/>
      <c r="QDR339"/>
      <c r="QDU339"/>
      <c r="QDV339"/>
      <c r="QDY339"/>
      <c r="QDZ339"/>
      <c r="QEC339"/>
      <c r="QED339"/>
      <c r="QEG339"/>
      <c r="QEH339"/>
      <c r="QEK339"/>
      <c r="QEL339"/>
      <c r="QEO339"/>
      <c r="QEP339"/>
      <c r="QES339"/>
      <c r="QET339"/>
      <c r="QEW339"/>
      <c r="QEX339"/>
      <c r="QFA339"/>
      <c r="QFB339"/>
      <c r="QFE339"/>
      <c r="QFF339"/>
      <c r="QFI339"/>
      <c r="QFJ339"/>
      <c r="QFM339"/>
      <c r="QFN339"/>
      <c r="QFQ339"/>
      <c r="QFR339"/>
      <c r="QFU339"/>
      <c r="QFV339"/>
      <c r="QFY339"/>
      <c r="QFZ339"/>
      <c r="QGC339"/>
      <c r="QGD339"/>
      <c r="QGG339"/>
      <c r="QGH339"/>
      <c r="QGK339"/>
      <c r="QGL339"/>
      <c r="QGO339"/>
      <c r="QGP339"/>
      <c r="QGS339"/>
      <c r="QGT339"/>
      <c r="QGW339"/>
      <c r="QGX339"/>
      <c r="QHA339"/>
      <c r="QHB339"/>
      <c r="QHE339"/>
      <c r="QHF339"/>
      <c r="QHI339"/>
      <c r="QHJ339"/>
      <c r="QHM339"/>
      <c r="QHN339"/>
      <c r="QHQ339"/>
      <c r="QHR339"/>
      <c r="QHU339"/>
      <c r="QHV339"/>
      <c r="QHY339"/>
      <c r="QHZ339"/>
      <c r="QIC339"/>
      <c r="QID339"/>
      <c r="QIG339"/>
      <c r="QIH339"/>
      <c r="QIK339"/>
      <c r="QIL339"/>
      <c r="QIO339"/>
      <c r="QIP339"/>
      <c r="QIS339"/>
      <c r="QIT339"/>
      <c r="QIW339"/>
      <c r="QIX339"/>
      <c r="QJA339"/>
      <c r="QJB339"/>
      <c r="QJE339"/>
      <c r="QJF339"/>
      <c r="QJI339"/>
      <c r="QJJ339"/>
      <c r="QJM339"/>
      <c r="QJN339"/>
      <c r="QJQ339"/>
      <c r="QJR339"/>
      <c r="QJU339"/>
      <c r="QJV339"/>
      <c r="QJY339"/>
      <c r="QJZ339"/>
      <c r="QKC339"/>
      <c r="QKD339"/>
      <c r="QKG339"/>
      <c r="QKH339"/>
      <c r="QKK339"/>
      <c r="QKL339"/>
      <c r="QKO339"/>
      <c r="QKP339"/>
      <c r="QKS339"/>
      <c r="QKT339"/>
      <c r="QKW339"/>
      <c r="QKX339"/>
      <c r="QLA339"/>
      <c r="QLB339"/>
      <c r="QLE339"/>
      <c r="QLF339"/>
      <c r="QLI339"/>
      <c r="QLJ339"/>
      <c r="QLM339"/>
      <c r="QLN339"/>
      <c r="QLQ339"/>
      <c r="QLR339"/>
      <c r="QLU339"/>
      <c r="QLV339"/>
      <c r="QLY339"/>
      <c r="QLZ339"/>
      <c r="QMC339"/>
      <c r="QMD339"/>
      <c r="QMG339"/>
      <c r="QMH339"/>
      <c r="QMK339"/>
      <c r="QML339"/>
      <c r="QMO339"/>
      <c r="QMP339"/>
      <c r="QMS339"/>
      <c r="QMT339"/>
      <c r="QMW339"/>
      <c r="QMX339"/>
      <c r="QNA339"/>
      <c r="QNB339"/>
      <c r="QNE339"/>
      <c r="QNF339"/>
      <c r="QNI339"/>
      <c r="QNJ339"/>
      <c r="QNM339"/>
      <c r="QNN339"/>
      <c r="QNQ339"/>
      <c r="QNR339"/>
      <c r="QNU339"/>
      <c r="QNV339"/>
      <c r="QNY339"/>
      <c r="QNZ339"/>
      <c r="QOC339"/>
      <c r="QOD339"/>
      <c r="QOG339"/>
      <c r="QOH339"/>
      <c r="QOK339"/>
      <c r="QOL339"/>
      <c r="QOO339"/>
      <c r="QOP339"/>
      <c r="QOS339"/>
      <c r="QOT339"/>
      <c r="QOW339"/>
      <c r="QOX339"/>
      <c r="QPA339"/>
      <c r="QPB339"/>
      <c r="QPE339"/>
      <c r="QPF339"/>
      <c r="QPI339"/>
      <c r="QPJ339"/>
      <c r="QPM339"/>
      <c r="QPN339"/>
      <c r="QPQ339"/>
      <c r="QPR339"/>
      <c r="QPU339"/>
      <c r="QPV339"/>
      <c r="QPY339"/>
      <c r="QPZ339"/>
      <c r="QQC339"/>
      <c r="QQD339"/>
      <c r="QQG339"/>
      <c r="QQH339"/>
      <c r="QQK339"/>
      <c r="QQL339"/>
      <c r="QQO339"/>
      <c r="QQP339"/>
      <c r="QQS339"/>
      <c r="QQT339"/>
      <c r="QQW339"/>
      <c r="QQX339"/>
      <c r="QRA339"/>
      <c r="QRB339"/>
      <c r="QRE339"/>
      <c r="QRF339"/>
      <c r="QRI339"/>
      <c r="QRJ339"/>
      <c r="QRM339"/>
      <c r="QRN339"/>
      <c r="QRQ339"/>
      <c r="QRR339"/>
      <c r="QRU339"/>
      <c r="QRV339"/>
      <c r="QRY339"/>
      <c r="QRZ339"/>
      <c r="QSC339"/>
      <c r="QSD339"/>
      <c r="QSG339"/>
      <c r="QSH339"/>
      <c r="QSK339"/>
      <c r="QSL339"/>
      <c r="QSO339"/>
      <c r="QSP339"/>
      <c r="QSS339"/>
      <c r="QST339"/>
      <c r="QSW339"/>
      <c r="QSX339"/>
      <c r="QTA339"/>
      <c r="QTB339"/>
      <c r="QTE339"/>
      <c r="QTF339"/>
      <c r="QTI339"/>
      <c r="QTJ339"/>
      <c r="QTM339"/>
      <c r="QTN339"/>
      <c r="QTQ339"/>
      <c r="QTR339"/>
      <c r="QTU339"/>
      <c r="QTV339"/>
      <c r="QTY339"/>
      <c r="QTZ339"/>
      <c r="QUC339"/>
      <c r="QUD339"/>
      <c r="QUG339"/>
      <c r="QUH339"/>
      <c r="QUK339"/>
      <c r="QUL339"/>
      <c r="QUO339"/>
      <c r="QUP339"/>
      <c r="QUS339"/>
      <c r="QUT339"/>
      <c r="QUW339"/>
      <c r="QUX339"/>
      <c r="QVA339"/>
      <c r="QVB339"/>
      <c r="QVE339"/>
      <c r="QVF339"/>
      <c r="QVI339"/>
      <c r="QVJ339"/>
      <c r="QVM339"/>
      <c r="QVN339"/>
      <c r="QVQ339"/>
      <c r="QVR339"/>
      <c r="QVU339"/>
      <c r="QVV339"/>
      <c r="QVY339"/>
      <c r="QVZ339"/>
      <c r="QWC339"/>
      <c r="QWD339"/>
      <c r="QWG339"/>
      <c r="QWH339"/>
      <c r="QWK339"/>
      <c r="QWL339"/>
      <c r="QWO339"/>
      <c r="QWP339"/>
      <c r="QWS339"/>
      <c r="QWT339"/>
      <c r="QWW339"/>
      <c r="QWX339"/>
      <c r="QXA339"/>
      <c r="QXB339"/>
      <c r="QXE339"/>
      <c r="QXF339"/>
      <c r="QXI339"/>
      <c r="QXJ339"/>
      <c r="QXM339"/>
      <c r="QXN339"/>
      <c r="QXQ339"/>
      <c r="QXR339"/>
      <c r="QXU339"/>
      <c r="QXV339"/>
      <c r="QXY339"/>
      <c r="QXZ339"/>
      <c r="QYC339"/>
      <c r="QYD339"/>
      <c r="QYG339"/>
      <c r="QYH339"/>
      <c r="QYK339"/>
      <c r="QYL339"/>
      <c r="QYO339"/>
      <c r="QYP339"/>
      <c r="QYS339"/>
      <c r="QYT339"/>
      <c r="QYW339"/>
      <c r="QYX339"/>
      <c r="QZA339"/>
      <c r="QZB339"/>
      <c r="QZE339"/>
      <c r="QZF339"/>
      <c r="QZI339"/>
      <c r="QZJ339"/>
      <c r="QZM339"/>
      <c r="QZN339"/>
      <c r="QZQ339"/>
      <c r="QZR339"/>
      <c r="QZU339"/>
      <c r="QZV339"/>
      <c r="QZY339"/>
      <c r="QZZ339"/>
      <c r="RAC339"/>
      <c r="RAD339"/>
      <c r="RAG339"/>
      <c r="RAH339"/>
      <c r="RAK339"/>
      <c r="RAL339"/>
      <c r="RAO339"/>
      <c r="RAP339"/>
      <c r="RAS339"/>
      <c r="RAT339"/>
      <c r="RAW339"/>
      <c r="RAX339"/>
      <c r="RBA339"/>
      <c r="RBB339"/>
      <c r="RBE339"/>
      <c r="RBF339"/>
      <c r="RBI339"/>
      <c r="RBJ339"/>
      <c r="RBM339"/>
      <c r="RBN339"/>
      <c r="RBQ339"/>
      <c r="RBR339"/>
      <c r="RBU339"/>
      <c r="RBV339"/>
      <c r="RBY339"/>
      <c r="RBZ339"/>
      <c r="RCC339"/>
      <c r="RCD339"/>
      <c r="RCG339"/>
      <c r="RCH339"/>
      <c r="RCK339"/>
      <c r="RCL339"/>
      <c r="RCO339"/>
      <c r="RCP339"/>
      <c r="RCS339"/>
      <c r="RCT339"/>
      <c r="RCW339"/>
      <c r="RCX339"/>
      <c r="RDA339"/>
      <c r="RDB339"/>
      <c r="RDE339"/>
      <c r="RDF339"/>
      <c r="RDI339"/>
      <c r="RDJ339"/>
      <c r="RDM339"/>
      <c r="RDN339"/>
      <c r="RDQ339"/>
      <c r="RDR339"/>
      <c r="RDU339"/>
      <c r="RDV339"/>
      <c r="RDY339"/>
      <c r="RDZ339"/>
      <c r="REC339"/>
      <c r="RED339"/>
      <c r="REG339"/>
      <c r="REH339"/>
      <c r="REK339"/>
      <c r="REL339"/>
      <c r="REO339"/>
      <c r="REP339"/>
      <c r="RES339"/>
      <c r="RET339"/>
      <c r="REW339"/>
      <c r="REX339"/>
      <c r="RFA339"/>
      <c r="RFB339"/>
      <c r="RFE339"/>
      <c r="RFF339"/>
      <c r="RFI339"/>
      <c r="RFJ339"/>
      <c r="RFM339"/>
      <c r="RFN339"/>
      <c r="RFQ339"/>
      <c r="RFR339"/>
      <c r="RFU339"/>
      <c r="RFV339"/>
      <c r="RFY339"/>
      <c r="RFZ339"/>
      <c r="RGC339"/>
      <c r="RGD339"/>
      <c r="RGG339"/>
      <c r="RGH339"/>
      <c r="RGK339"/>
      <c r="RGL339"/>
      <c r="RGO339"/>
      <c r="RGP339"/>
      <c r="RGS339"/>
      <c r="RGT339"/>
      <c r="RGW339"/>
      <c r="RGX339"/>
      <c r="RHA339"/>
      <c r="RHB339"/>
      <c r="RHE339"/>
      <c r="RHF339"/>
      <c r="RHI339"/>
      <c r="RHJ339"/>
      <c r="RHM339"/>
      <c r="RHN339"/>
      <c r="RHQ339"/>
      <c r="RHR339"/>
      <c r="RHU339"/>
      <c r="RHV339"/>
      <c r="RHY339"/>
      <c r="RHZ339"/>
      <c r="RIC339"/>
      <c r="RID339"/>
      <c r="RIG339"/>
      <c r="RIH339"/>
      <c r="RIK339"/>
      <c r="RIL339"/>
      <c r="RIO339"/>
      <c r="RIP339"/>
      <c r="RIS339"/>
      <c r="RIT339"/>
      <c r="RIW339"/>
      <c r="RIX339"/>
      <c r="RJA339"/>
      <c r="RJB339"/>
      <c r="RJE339"/>
      <c r="RJF339"/>
      <c r="RJI339"/>
      <c r="RJJ339"/>
      <c r="RJM339"/>
      <c r="RJN339"/>
      <c r="RJQ339"/>
      <c r="RJR339"/>
      <c r="RJU339"/>
      <c r="RJV339"/>
      <c r="RJY339"/>
      <c r="RJZ339"/>
      <c r="RKC339"/>
      <c r="RKD339"/>
      <c r="RKG339"/>
      <c r="RKH339"/>
      <c r="RKK339"/>
      <c r="RKL339"/>
      <c r="RKO339"/>
      <c r="RKP339"/>
      <c r="RKS339"/>
      <c r="RKT339"/>
      <c r="RKW339"/>
      <c r="RKX339"/>
      <c r="RLA339"/>
      <c r="RLB339"/>
      <c r="RLE339"/>
      <c r="RLF339"/>
      <c r="RLI339"/>
      <c r="RLJ339"/>
      <c r="RLM339"/>
      <c r="RLN339"/>
      <c r="RLQ339"/>
      <c r="RLR339"/>
      <c r="RLU339"/>
      <c r="RLV339"/>
      <c r="RLY339"/>
      <c r="RLZ339"/>
      <c r="RMC339"/>
      <c r="RMD339"/>
      <c r="RMG339"/>
      <c r="RMH339"/>
      <c r="RMK339"/>
      <c r="RML339"/>
      <c r="RMO339"/>
      <c r="RMP339"/>
      <c r="RMS339"/>
      <c r="RMT339"/>
      <c r="RMW339"/>
      <c r="RMX339"/>
      <c r="RNA339"/>
      <c r="RNB339"/>
      <c r="RNE339"/>
      <c r="RNF339"/>
      <c r="RNI339"/>
      <c r="RNJ339"/>
      <c r="RNM339"/>
      <c r="RNN339"/>
      <c r="RNQ339"/>
      <c r="RNR339"/>
      <c r="RNU339"/>
      <c r="RNV339"/>
      <c r="RNY339"/>
      <c r="RNZ339"/>
      <c r="ROC339"/>
      <c r="ROD339"/>
      <c r="ROG339"/>
      <c r="ROH339"/>
      <c r="ROK339"/>
      <c r="ROL339"/>
      <c r="ROO339"/>
      <c r="ROP339"/>
      <c r="ROS339"/>
      <c r="ROT339"/>
      <c r="ROW339"/>
      <c r="ROX339"/>
      <c r="RPA339"/>
      <c r="RPB339"/>
      <c r="RPE339"/>
      <c r="RPF339"/>
      <c r="RPI339"/>
      <c r="RPJ339"/>
      <c r="RPM339"/>
      <c r="RPN339"/>
      <c r="RPQ339"/>
      <c r="RPR339"/>
      <c r="RPU339"/>
      <c r="RPV339"/>
      <c r="RPY339"/>
      <c r="RPZ339"/>
      <c r="RQC339"/>
      <c r="RQD339"/>
      <c r="RQG339"/>
      <c r="RQH339"/>
      <c r="RQK339"/>
      <c r="RQL339"/>
      <c r="RQO339"/>
      <c r="RQP339"/>
      <c r="RQS339"/>
      <c r="RQT339"/>
      <c r="RQW339"/>
      <c r="RQX339"/>
      <c r="RRA339"/>
      <c r="RRB339"/>
      <c r="RRE339"/>
      <c r="RRF339"/>
      <c r="RRI339"/>
      <c r="RRJ339"/>
      <c r="RRM339"/>
      <c r="RRN339"/>
      <c r="RRQ339"/>
      <c r="RRR339"/>
      <c r="RRU339"/>
      <c r="RRV339"/>
      <c r="RRY339"/>
      <c r="RRZ339"/>
      <c r="RSC339"/>
      <c r="RSD339"/>
      <c r="RSG339"/>
      <c r="RSH339"/>
      <c r="RSK339"/>
      <c r="RSL339"/>
      <c r="RSO339"/>
      <c r="RSP339"/>
      <c r="RSS339"/>
      <c r="RST339"/>
      <c r="RSW339"/>
      <c r="RSX339"/>
      <c r="RTA339"/>
      <c r="RTB339"/>
      <c r="RTE339"/>
      <c r="RTF339"/>
      <c r="RTI339"/>
      <c r="RTJ339"/>
      <c r="RTM339"/>
      <c r="RTN339"/>
      <c r="RTQ339"/>
      <c r="RTR339"/>
      <c r="RTU339"/>
      <c r="RTV339"/>
      <c r="RTY339"/>
      <c r="RTZ339"/>
      <c r="RUC339"/>
      <c r="RUD339"/>
      <c r="RUG339"/>
      <c r="RUH339"/>
      <c r="RUK339"/>
      <c r="RUL339"/>
      <c r="RUO339"/>
      <c r="RUP339"/>
      <c r="RUS339"/>
      <c r="RUT339"/>
      <c r="RUW339"/>
      <c r="RUX339"/>
      <c r="RVA339"/>
      <c r="RVB339"/>
      <c r="RVE339"/>
      <c r="RVF339"/>
      <c r="RVI339"/>
      <c r="RVJ339"/>
      <c r="RVM339"/>
      <c r="RVN339"/>
      <c r="RVQ339"/>
      <c r="RVR339"/>
      <c r="RVU339"/>
      <c r="RVV339"/>
      <c r="RVY339"/>
      <c r="RVZ339"/>
      <c r="RWC339"/>
      <c r="RWD339"/>
      <c r="RWG339"/>
      <c r="RWH339"/>
      <c r="RWK339"/>
      <c r="RWL339"/>
      <c r="RWO339"/>
      <c r="RWP339"/>
      <c r="RWS339"/>
      <c r="RWT339"/>
      <c r="RWW339"/>
      <c r="RWX339"/>
      <c r="RXA339"/>
      <c r="RXB339"/>
      <c r="RXE339"/>
      <c r="RXF339"/>
      <c r="RXI339"/>
      <c r="RXJ339"/>
      <c r="RXM339"/>
      <c r="RXN339"/>
      <c r="RXQ339"/>
      <c r="RXR339"/>
      <c r="RXU339"/>
      <c r="RXV339"/>
      <c r="RXY339"/>
      <c r="RXZ339"/>
      <c r="RYC339"/>
      <c r="RYD339"/>
      <c r="RYG339"/>
      <c r="RYH339"/>
      <c r="RYK339"/>
      <c r="RYL339"/>
      <c r="RYO339"/>
      <c r="RYP339"/>
      <c r="RYS339"/>
      <c r="RYT339"/>
      <c r="RYW339"/>
      <c r="RYX339"/>
      <c r="RZA339"/>
      <c r="RZB339"/>
      <c r="RZE339"/>
      <c r="RZF339"/>
      <c r="RZI339"/>
      <c r="RZJ339"/>
      <c r="RZM339"/>
      <c r="RZN339"/>
      <c r="RZQ339"/>
      <c r="RZR339"/>
      <c r="RZU339"/>
      <c r="RZV339"/>
      <c r="RZY339"/>
      <c r="RZZ339"/>
      <c r="SAC339"/>
      <c r="SAD339"/>
      <c r="SAG339"/>
      <c r="SAH339"/>
      <c r="SAK339"/>
      <c r="SAL339"/>
      <c r="SAO339"/>
      <c r="SAP339"/>
      <c r="SAS339"/>
      <c r="SAT339"/>
      <c r="SAW339"/>
      <c r="SAX339"/>
      <c r="SBA339"/>
      <c r="SBB339"/>
      <c r="SBE339"/>
      <c r="SBF339"/>
      <c r="SBI339"/>
      <c r="SBJ339"/>
      <c r="SBM339"/>
      <c r="SBN339"/>
      <c r="SBQ339"/>
      <c r="SBR339"/>
      <c r="SBU339"/>
      <c r="SBV339"/>
      <c r="SBY339"/>
      <c r="SBZ339"/>
      <c r="SCC339"/>
      <c r="SCD339"/>
      <c r="SCG339"/>
      <c r="SCH339"/>
      <c r="SCK339"/>
      <c r="SCL339"/>
      <c r="SCO339"/>
      <c r="SCP339"/>
      <c r="SCS339"/>
      <c r="SCT339"/>
      <c r="SCW339"/>
      <c r="SCX339"/>
      <c r="SDA339"/>
      <c r="SDB339"/>
      <c r="SDE339"/>
      <c r="SDF339"/>
      <c r="SDI339"/>
      <c r="SDJ339"/>
      <c r="SDM339"/>
      <c r="SDN339"/>
      <c r="SDQ339"/>
      <c r="SDR339"/>
      <c r="SDU339"/>
      <c r="SDV339"/>
      <c r="SDY339"/>
      <c r="SDZ339"/>
      <c r="SEC339"/>
      <c r="SED339"/>
      <c r="SEG339"/>
      <c r="SEH339"/>
      <c r="SEK339"/>
      <c r="SEL339"/>
      <c r="SEO339"/>
      <c r="SEP339"/>
      <c r="SES339"/>
      <c r="SET339"/>
      <c r="SEW339"/>
      <c r="SEX339"/>
      <c r="SFA339"/>
      <c r="SFB339"/>
      <c r="SFE339"/>
      <c r="SFF339"/>
      <c r="SFI339"/>
      <c r="SFJ339"/>
      <c r="SFM339"/>
      <c r="SFN339"/>
      <c r="SFQ339"/>
      <c r="SFR339"/>
      <c r="SFU339"/>
      <c r="SFV339"/>
      <c r="SFY339"/>
      <c r="SFZ339"/>
      <c r="SGC339"/>
      <c r="SGD339"/>
      <c r="SGG339"/>
      <c r="SGH339"/>
      <c r="SGK339"/>
      <c r="SGL339"/>
      <c r="SGO339"/>
      <c r="SGP339"/>
      <c r="SGS339"/>
      <c r="SGT339"/>
      <c r="SGW339"/>
      <c r="SGX339"/>
      <c r="SHA339"/>
      <c r="SHB339"/>
      <c r="SHE339"/>
      <c r="SHF339"/>
      <c r="SHI339"/>
      <c r="SHJ339"/>
      <c r="SHM339"/>
      <c r="SHN339"/>
      <c r="SHQ339"/>
      <c r="SHR339"/>
      <c r="SHU339"/>
      <c r="SHV339"/>
      <c r="SHY339"/>
      <c r="SHZ339"/>
      <c r="SIC339"/>
      <c r="SID339"/>
      <c r="SIG339"/>
      <c r="SIH339"/>
      <c r="SIK339"/>
      <c r="SIL339"/>
      <c r="SIO339"/>
      <c r="SIP339"/>
      <c r="SIS339"/>
      <c r="SIT339"/>
      <c r="SIW339"/>
      <c r="SIX339"/>
      <c r="SJA339"/>
      <c r="SJB339"/>
      <c r="SJE339"/>
      <c r="SJF339"/>
      <c r="SJI339"/>
      <c r="SJJ339"/>
      <c r="SJM339"/>
      <c r="SJN339"/>
      <c r="SJQ339"/>
      <c r="SJR339"/>
      <c r="SJU339"/>
      <c r="SJV339"/>
      <c r="SJY339"/>
      <c r="SJZ339"/>
      <c r="SKC339"/>
      <c r="SKD339"/>
      <c r="SKG339"/>
      <c r="SKH339"/>
      <c r="SKK339"/>
      <c r="SKL339"/>
      <c r="SKO339"/>
      <c r="SKP339"/>
      <c r="SKS339"/>
      <c r="SKT339"/>
      <c r="SKW339"/>
      <c r="SKX339"/>
      <c r="SLA339"/>
      <c r="SLB339"/>
      <c r="SLE339"/>
      <c r="SLF339"/>
      <c r="SLI339"/>
      <c r="SLJ339"/>
      <c r="SLM339"/>
      <c r="SLN339"/>
      <c r="SLQ339"/>
      <c r="SLR339"/>
      <c r="SLU339"/>
      <c r="SLV339"/>
      <c r="SLY339"/>
      <c r="SLZ339"/>
      <c r="SMC339"/>
      <c r="SMD339"/>
      <c r="SMG339"/>
      <c r="SMH339"/>
      <c r="SMK339"/>
      <c r="SML339"/>
      <c r="SMO339"/>
      <c r="SMP339"/>
      <c r="SMS339"/>
      <c r="SMT339"/>
      <c r="SMW339"/>
      <c r="SMX339"/>
      <c r="SNA339"/>
      <c r="SNB339"/>
      <c r="SNE339"/>
      <c r="SNF339"/>
      <c r="SNI339"/>
      <c r="SNJ339"/>
      <c r="SNM339"/>
      <c r="SNN339"/>
      <c r="SNQ339"/>
      <c r="SNR339"/>
      <c r="SNU339"/>
      <c r="SNV339"/>
      <c r="SNY339"/>
      <c r="SNZ339"/>
      <c r="SOC339"/>
      <c r="SOD339"/>
      <c r="SOG339"/>
      <c r="SOH339"/>
      <c r="SOK339"/>
      <c r="SOL339"/>
      <c r="SOO339"/>
      <c r="SOP339"/>
      <c r="SOS339"/>
      <c r="SOT339"/>
      <c r="SOW339"/>
      <c r="SOX339"/>
      <c r="SPA339"/>
      <c r="SPB339"/>
      <c r="SPE339"/>
      <c r="SPF339"/>
      <c r="SPI339"/>
      <c r="SPJ339"/>
      <c r="SPM339"/>
      <c r="SPN339"/>
      <c r="SPQ339"/>
      <c r="SPR339"/>
      <c r="SPU339"/>
      <c r="SPV339"/>
      <c r="SPY339"/>
      <c r="SPZ339"/>
      <c r="SQC339"/>
      <c r="SQD339"/>
      <c r="SQG339"/>
      <c r="SQH339"/>
      <c r="SQK339"/>
      <c r="SQL339"/>
      <c r="SQO339"/>
      <c r="SQP339"/>
      <c r="SQS339"/>
      <c r="SQT339"/>
      <c r="SQW339"/>
      <c r="SQX339"/>
      <c r="SRA339"/>
      <c r="SRB339"/>
      <c r="SRE339"/>
      <c r="SRF339"/>
      <c r="SRI339"/>
      <c r="SRJ339"/>
      <c r="SRM339"/>
      <c r="SRN339"/>
      <c r="SRQ339"/>
      <c r="SRR339"/>
      <c r="SRU339"/>
      <c r="SRV339"/>
      <c r="SRY339"/>
      <c r="SRZ339"/>
      <c r="SSC339"/>
      <c r="SSD339"/>
      <c r="SSG339"/>
      <c r="SSH339"/>
      <c r="SSK339"/>
      <c r="SSL339"/>
      <c r="SSO339"/>
      <c r="SSP339"/>
      <c r="SSS339"/>
      <c r="SST339"/>
      <c r="SSW339"/>
      <c r="SSX339"/>
      <c r="STA339"/>
      <c r="STB339"/>
      <c r="STE339"/>
      <c r="STF339"/>
      <c r="STI339"/>
      <c r="STJ339"/>
      <c r="STM339"/>
      <c r="STN339"/>
      <c r="STQ339"/>
      <c r="STR339"/>
      <c r="STU339"/>
      <c r="STV339"/>
      <c r="STY339"/>
      <c r="STZ339"/>
      <c r="SUC339"/>
      <c r="SUD339"/>
      <c r="SUG339"/>
      <c r="SUH339"/>
      <c r="SUK339"/>
      <c r="SUL339"/>
      <c r="SUO339"/>
      <c r="SUP339"/>
      <c r="SUS339"/>
      <c r="SUT339"/>
      <c r="SUW339"/>
      <c r="SUX339"/>
      <c r="SVA339"/>
      <c r="SVB339"/>
      <c r="SVE339"/>
      <c r="SVF339"/>
      <c r="SVI339"/>
      <c r="SVJ339"/>
      <c r="SVM339"/>
      <c r="SVN339"/>
      <c r="SVQ339"/>
      <c r="SVR339"/>
      <c r="SVU339"/>
      <c r="SVV339"/>
      <c r="SVY339"/>
      <c r="SVZ339"/>
      <c r="SWC339"/>
      <c r="SWD339"/>
      <c r="SWG339"/>
      <c r="SWH339"/>
      <c r="SWK339"/>
      <c r="SWL339"/>
      <c r="SWO339"/>
      <c r="SWP339"/>
      <c r="SWS339"/>
      <c r="SWT339"/>
      <c r="SWW339"/>
      <c r="SWX339"/>
      <c r="SXA339"/>
      <c r="SXB339"/>
      <c r="SXE339"/>
      <c r="SXF339"/>
      <c r="SXI339"/>
      <c r="SXJ339"/>
      <c r="SXM339"/>
      <c r="SXN339"/>
      <c r="SXQ339"/>
      <c r="SXR339"/>
      <c r="SXU339"/>
      <c r="SXV339"/>
      <c r="SXY339"/>
      <c r="SXZ339"/>
      <c r="SYC339"/>
      <c r="SYD339"/>
      <c r="SYG339"/>
      <c r="SYH339"/>
      <c r="SYK339"/>
      <c r="SYL339"/>
      <c r="SYO339"/>
      <c r="SYP339"/>
      <c r="SYS339"/>
      <c r="SYT339"/>
      <c r="SYW339"/>
      <c r="SYX339"/>
      <c r="SZA339"/>
      <c r="SZB339"/>
      <c r="SZE339"/>
      <c r="SZF339"/>
      <c r="SZI339"/>
      <c r="SZJ339"/>
      <c r="SZM339"/>
      <c r="SZN339"/>
      <c r="SZQ339"/>
      <c r="SZR339"/>
      <c r="SZU339"/>
      <c r="SZV339"/>
      <c r="SZY339"/>
      <c r="SZZ339"/>
      <c r="TAC339"/>
      <c r="TAD339"/>
      <c r="TAG339"/>
      <c r="TAH339"/>
      <c r="TAK339"/>
      <c r="TAL339"/>
      <c r="TAO339"/>
      <c r="TAP339"/>
      <c r="TAS339"/>
      <c r="TAT339"/>
      <c r="TAW339"/>
      <c r="TAX339"/>
      <c r="TBA339"/>
      <c r="TBB339"/>
      <c r="TBE339"/>
      <c r="TBF339"/>
      <c r="TBI339"/>
      <c r="TBJ339"/>
      <c r="TBM339"/>
      <c r="TBN339"/>
      <c r="TBQ339"/>
      <c r="TBR339"/>
      <c r="TBU339"/>
      <c r="TBV339"/>
      <c r="TBY339"/>
      <c r="TBZ339"/>
      <c r="TCC339"/>
      <c r="TCD339"/>
      <c r="TCG339"/>
      <c r="TCH339"/>
      <c r="TCK339"/>
      <c r="TCL339"/>
      <c r="TCO339"/>
      <c r="TCP339"/>
      <c r="TCS339"/>
      <c r="TCT339"/>
      <c r="TCW339"/>
      <c r="TCX339"/>
      <c r="TDA339"/>
      <c r="TDB339"/>
      <c r="TDE339"/>
      <c r="TDF339"/>
      <c r="TDI339"/>
      <c r="TDJ339"/>
      <c r="TDM339"/>
      <c r="TDN339"/>
      <c r="TDQ339"/>
      <c r="TDR339"/>
      <c r="TDU339"/>
      <c r="TDV339"/>
      <c r="TDY339"/>
      <c r="TDZ339"/>
      <c r="TEC339"/>
      <c r="TED339"/>
      <c r="TEG339"/>
      <c r="TEH339"/>
      <c r="TEK339"/>
      <c r="TEL339"/>
      <c r="TEO339"/>
      <c r="TEP339"/>
      <c r="TES339"/>
      <c r="TET339"/>
      <c r="TEW339"/>
      <c r="TEX339"/>
      <c r="TFA339"/>
      <c r="TFB339"/>
      <c r="TFE339"/>
      <c r="TFF339"/>
      <c r="TFI339"/>
      <c r="TFJ339"/>
      <c r="TFM339"/>
      <c r="TFN339"/>
      <c r="TFQ339"/>
      <c r="TFR339"/>
      <c r="TFU339"/>
      <c r="TFV339"/>
      <c r="TFY339"/>
      <c r="TFZ339"/>
      <c r="TGC339"/>
      <c r="TGD339"/>
      <c r="TGG339"/>
      <c r="TGH339"/>
      <c r="TGK339"/>
      <c r="TGL339"/>
      <c r="TGO339"/>
      <c r="TGP339"/>
      <c r="TGS339"/>
      <c r="TGT339"/>
      <c r="TGW339"/>
      <c r="TGX339"/>
      <c r="THA339"/>
      <c r="THB339"/>
      <c r="THE339"/>
      <c r="THF339"/>
      <c r="THI339"/>
      <c r="THJ339"/>
      <c r="THM339"/>
      <c r="THN339"/>
      <c r="THQ339"/>
      <c r="THR339"/>
      <c r="THU339"/>
      <c r="THV339"/>
      <c r="THY339"/>
      <c r="THZ339"/>
      <c r="TIC339"/>
      <c r="TID339"/>
      <c r="TIG339"/>
      <c r="TIH339"/>
      <c r="TIK339"/>
      <c r="TIL339"/>
      <c r="TIO339"/>
      <c r="TIP339"/>
      <c r="TIS339"/>
      <c r="TIT339"/>
      <c r="TIW339"/>
      <c r="TIX339"/>
      <c r="TJA339"/>
      <c r="TJB339"/>
      <c r="TJE339"/>
      <c r="TJF339"/>
      <c r="TJI339"/>
      <c r="TJJ339"/>
      <c r="TJM339"/>
      <c r="TJN339"/>
      <c r="TJQ339"/>
      <c r="TJR339"/>
      <c r="TJU339"/>
      <c r="TJV339"/>
      <c r="TJY339"/>
      <c r="TJZ339"/>
      <c r="TKC339"/>
      <c r="TKD339"/>
      <c r="TKG339"/>
      <c r="TKH339"/>
      <c r="TKK339"/>
      <c r="TKL339"/>
      <c r="TKO339"/>
      <c r="TKP339"/>
      <c r="TKS339"/>
      <c r="TKT339"/>
      <c r="TKW339"/>
      <c r="TKX339"/>
      <c r="TLA339"/>
      <c r="TLB339"/>
      <c r="TLE339"/>
      <c r="TLF339"/>
      <c r="TLI339"/>
      <c r="TLJ339"/>
      <c r="TLM339"/>
      <c r="TLN339"/>
      <c r="TLQ339"/>
      <c r="TLR339"/>
      <c r="TLU339"/>
      <c r="TLV339"/>
      <c r="TLY339"/>
      <c r="TLZ339"/>
      <c r="TMC339"/>
      <c r="TMD339"/>
      <c r="TMG339"/>
      <c r="TMH339"/>
      <c r="TMK339"/>
      <c r="TML339"/>
      <c r="TMO339"/>
      <c r="TMP339"/>
      <c r="TMS339"/>
      <c r="TMT339"/>
      <c r="TMW339"/>
      <c r="TMX339"/>
      <c r="TNA339"/>
      <c r="TNB339"/>
      <c r="TNE339"/>
      <c r="TNF339"/>
      <c r="TNI339"/>
      <c r="TNJ339"/>
      <c r="TNM339"/>
      <c r="TNN339"/>
      <c r="TNQ339"/>
      <c r="TNR339"/>
      <c r="TNU339"/>
      <c r="TNV339"/>
      <c r="TNY339"/>
      <c r="TNZ339"/>
      <c r="TOC339"/>
      <c r="TOD339"/>
      <c r="TOG339"/>
      <c r="TOH339"/>
      <c r="TOK339"/>
      <c r="TOL339"/>
      <c r="TOO339"/>
      <c r="TOP339"/>
      <c r="TOS339"/>
      <c r="TOT339"/>
      <c r="TOW339"/>
      <c r="TOX339"/>
      <c r="TPA339"/>
      <c r="TPB339"/>
      <c r="TPE339"/>
      <c r="TPF339"/>
      <c r="TPI339"/>
      <c r="TPJ339"/>
      <c r="TPM339"/>
      <c r="TPN339"/>
      <c r="TPQ339"/>
      <c r="TPR339"/>
      <c r="TPU339"/>
      <c r="TPV339"/>
      <c r="TPY339"/>
      <c r="TPZ339"/>
      <c r="TQC339"/>
      <c r="TQD339"/>
      <c r="TQG339"/>
      <c r="TQH339"/>
      <c r="TQK339"/>
      <c r="TQL339"/>
      <c r="TQO339"/>
      <c r="TQP339"/>
      <c r="TQS339"/>
      <c r="TQT339"/>
      <c r="TQW339"/>
      <c r="TQX339"/>
      <c r="TRA339"/>
      <c r="TRB339"/>
      <c r="TRE339"/>
      <c r="TRF339"/>
      <c r="TRI339"/>
      <c r="TRJ339"/>
      <c r="TRM339"/>
      <c r="TRN339"/>
      <c r="TRQ339"/>
      <c r="TRR339"/>
      <c r="TRU339"/>
      <c r="TRV339"/>
      <c r="TRY339"/>
      <c r="TRZ339"/>
      <c r="TSC339"/>
      <c r="TSD339"/>
      <c r="TSG339"/>
      <c r="TSH339"/>
      <c r="TSK339"/>
      <c r="TSL339"/>
      <c r="TSO339"/>
      <c r="TSP339"/>
      <c r="TSS339"/>
      <c r="TST339"/>
      <c r="TSW339"/>
      <c r="TSX339"/>
      <c r="TTA339"/>
      <c r="TTB339"/>
      <c r="TTE339"/>
      <c r="TTF339"/>
      <c r="TTI339"/>
      <c r="TTJ339"/>
      <c r="TTM339"/>
      <c r="TTN339"/>
      <c r="TTQ339"/>
      <c r="TTR339"/>
      <c r="TTU339"/>
      <c r="TTV339"/>
      <c r="TTY339"/>
      <c r="TTZ339"/>
      <c r="TUC339"/>
      <c r="TUD339"/>
      <c r="TUG339"/>
      <c r="TUH339"/>
      <c r="TUK339"/>
      <c r="TUL339"/>
      <c r="TUO339"/>
      <c r="TUP339"/>
      <c r="TUS339"/>
      <c r="TUT339"/>
      <c r="TUW339"/>
      <c r="TUX339"/>
      <c r="TVA339"/>
      <c r="TVB339"/>
      <c r="TVE339"/>
      <c r="TVF339"/>
      <c r="TVI339"/>
      <c r="TVJ339"/>
      <c r="TVM339"/>
      <c r="TVN339"/>
      <c r="TVQ339"/>
      <c r="TVR339"/>
      <c r="TVU339"/>
      <c r="TVV339"/>
      <c r="TVY339"/>
      <c r="TVZ339"/>
      <c r="TWC339"/>
      <c r="TWD339"/>
      <c r="TWG339"/>
      <c r="TWH339"/>
      <c r="TWK339"/>
      <c r="TWL339"/>
      <c r="TWO339"/>
      <c r="TWP339"/>
      <c r="TWS339"/>
      <c r="TWT339"/>
      <c r="TWW339"/>
      <c r="TWX339"/>
      <c r="TXA339"/>
      <c r="TXB339"/>
      <c r="TXE339"/>
      <c r="TXF339"/>
      <c r="TXI339"/>
      <c r="TXJ339"/>
      <c r="TXM339"/>
      <c r="TXN339"/>
      <c r="TXQ339"/>
      <c r="TXR339"/>
      <c r="TXU339"/>
      <c r="TXV339"/>
      <c r="TXY339"/>
      <c r="TXZ339"/>
      <c r="TYC339"/>
      <c r="TYD339"/>
      <c r="TYG339"/>
      <c r="TYH339"/>
      <c r="TYK339"/>
      <c r="TYL339"/>
      <c r="TYO339"/>
      <c r="TYP339"/>
      <c r="TYS339"/>
      <c r="TYT339"/>
      <c r="TYW339"/>
      <c r="TYX339"/>
      <c r="TZA339"/>
      <c r="TZB339"/>
      <c r="TZE339"/>
      <c r="TZF339"/>
      <c r="TZI339"/>
      <c r="TZJ339"/>
      <c r="TZM339"/>
      <c r="TZN339"/>
      <c r="TZQ339"/>
      <c r="TZR339"/>
      <c r="TZU339"/>
      <c r="TZV339"/>
      <c r="TZY339"/>
      <c r="TZZ339"/>
      <c r="UAC339"/>
      <c r="UAD339"/>
      <c r="UAG339"/>
      <c r="UAH339"/>
      <c r="UAK339"/>
      <c r="UAL339"/>
      <c r="UAO339"/>
      <c r="UAP339"/>
      <c r="UAS339"/>
      <c r="UAT339"/>
      <c r="UAW339"/>
      <c r="UAX339"/>
      <c r="UBA339"/>
      <c r="UBB339"/>
      <c r="UBE339"/>
      <c r="UBF339"/>
      <c r="UBI339"/>
      <c r="UBJ339"/>
      <c r="UBM339"/>
      <c r="UBN339"/>
      <c r="UBQ339"/>
      <c r="UBR339"/>
      <c r="UBU339"/>
      <c r="UBV339"/>
      <c r="UBY339"/>
      <c r="UBZ339"/>
      <c r="UCC339"/>
      <c r="UCD339"/>
      <c r="UCG339"/>
      <c r="UCH339"/>
      <c r="UCK339"/>
      <c r="UCL339"/>
      <c r="UCO339"/>
      <c r="UCP339"/>
      <c r="UCS339"/>
      <c r="UCT339"/>
      <c r="UCW339"/>
      <c r="UCX339"/>
      <c r="UDA339"/>
      <c r="UDB339"/>
      <c r="UDE339"/>
      <c r="UDF339"/>
      <c r="UDI339"/>
      <c r="UDJ339"/>
      <c r="UDM339"/>
      <c r="UDN339"/>
      <c r="UDQ339"/>
      <c r="UDR339"/>
      <c r="UDU339"/>
      <c r="UDV339"/>
      <c r="UDY339"/>
      <c r="UDZ339"/>
      <c r="UEC339"/>
      <c r="UED339"/>
      <c r="UEG339"/>
      <c r="UEH339"/>
      <c r="UEK339"/>
      <c r="UEL339"/>
      <c r="UEO339"/>
      <c r="UEP339"/>
      <c r="UES339"/>
      <c r="UET339"/>
      <c r="UEW339"/>
      <c r="UEX339"/>
      <c r="UFA339"/>
      <c r="UFB339"/>
      <c r="UFE339"/>
      <c r="UFF339"/>
      <c r="UFI339"/>
      <c r="UFJ339"/>
      <c r="UFM339"/>
      <c r="UFN339"/>
      <c r="UFQ339"/>
      <c r="UFR339"/>
      <c r="UFU339"/>
      <c r="UFV339"/>
      <c r="UFY339"/>
      <c r="UFZ339"/>
      <c r="UGC339"/>
      <c r="UGD339"/>
      <c r="UGG339"/>
      <c r="UGH339"/>
      <c r="UGK339"/>
      <c r="UGL339"/>
      <c r="UGO339"/>
      <c r="UGP339"/>
      <c r="UGS339"/>
      <c r="UGT339"/>
      <c r="UGW339"/>
      <c r="UGX339"/>
      <c r="UHA339"/>
      <c r="UHB339"/>
      <c r="UHE339"/>
      <c r="UHF339"/>
      <c r="UHI339"/>
      <c r="UHJ339"/>
      <c r="UHM339"/>
      <c r="UHN339"/>
      <c r="UHQ339"/>
      <c r="UHR339"/>
      <c r="UHU339"/>
      <c r="UHV339"/>
      <c r="UHY339"/>
      <c r="UHZ339"/>
      <c r="UIC339"/>
      <c r="UID339"/>
      <c r="UIG339"/>
      <c r="UIH339"/>
      <c r="UIK339"/>
      <c r="UIL339"/>
      <c r="UIO339"/>
      <c r="UIP339"/>
      <c r="UIS339"/>
      <c r="UIT339"/>
      <c r="UIW339"/>
      <c r="UIX339"/>
      <c r="UJA339"/>
      <c r="UJB339"/>
      <c r="UJE339"/>
      <c r="UJF339"/>
      <c r="UJI339"/>
      <c r="UJJ339"/>
      <c r="UJM339"/>
      <c r="UJN339"/>
      <c r="UJQ339"/>
      <c r="UJR339"/>
      <c r="UJU339"/>
      <c r="UJV339"/>
      <c r="UJY339"/>
      <c r="UJZ339"/>
      <c r="UKC339"/>
      <c r="UKD339"/>
      <c r="UKG339"/>
      <c r="UKH339"/>
      <c r="UKK339"/>
      <c r="UKL339"/>
      <c r="UKO339"/>
      <c r="UKP339"/>
      <c r="UKS339"/>
      <c r="UKT339"/>
      <c r="UKW339"/>
      <c r="UKX339"/>
      <c r="ULA339"/>
      <c r="ULB339"/>
      <c r="ULE339"/>
      <c r="ULF339"/>
      <c r="ULI339"/>
      <c r="ULJ339"/>
      <c r="ULM339"/>
      <c r="ULN339"/>
      <c r="ULQ339"/>
      <c r="ULR339"/>
      <c r="ULU339"/>
      <c r="ULV339"/>
      <c r="ULY339"/>
      <c r="ULZ339"/>
      <c r="UMC339"/>
      <c r="UMD339"/>
      <c r="UMG339"/>
      <c r="UMH339"/>
      <c r="UMK339"/>
      <c r="UML339"/>
      <c r="UMO339"/>
      <c r="UMP339"/>
      <c r="UMS339"/>
      <c r="UMT339"/>
      <c r="UMW339"/>
      <c r="UMX339"/>
      <c r="UNA339"/>
      <c r="UNB339"/>
      <c r="UNE339"/>
      <c r="UNF339"/>
      <c r="UNI339"/>
      <c r="UNJ339"/>
      <c r="UNM339"/>
      <c r="UNN339"/>
      <c r="UNQ339"/>
      <c r="UNR339"/>
      <c r="UNU339"/>
      <c r="UNV339"/>
      <c r="UNY339"/>
      <c r="UNZ339"/>
      <c r="UOC339"/>
      <c r="UOD339"/>
      <c r="UOG339"/>
      <c r="UOH339"/>
      <c r="UOK339"/>
      <c r="UOL339"/>
      <c r="UOO339"/>
      <c r="UOP339"/>
      <c r="UOS339"/>
      <c r="UOT339"/>
      <c r="UOW339"/>
      <c r="UOX339"/>
      <c r="UPA339"/>
      <c r="UPB339"/>
      <c r="UPE339"/>
      <c r="UPF339"/>
      <c r="UPI339"/>
      <c r="UPJ339"/>
      <c r="UPM339"/>
      <c r="UPN339"/>
      <c r="UPQ339"/>
      <c r="UPR339"/>
      <c r="UPU339"/>
      <c r="UPV339"/>
      <c r="UPY339"/>
      <c r="UPZ339"/>
      <c r="UQC339"/>
      <c r="UQD339"/>
      <c r="UQG339"/>
      <c r="UQH339"/>
      <c r="UQK339"/>
      <c r="UQL339"/>
      <c r="UQO339"/>
      <c r="UQP339"/>
      <c r="UQS339"/>
      <c r="UQT339"/>
      <c r="UQW339"/>
      <c r="UQX339"/>
      <c r="URA339"/>
      <c r="URB339"/>
      <c r="URE339"/>
      <c r="URF339"/>
      <c r="URI339"/>
      <c r="URJ339"/>
      <c r="URM339"/>
      <c r="URN339"/>
      <c r="URQ339"/>
      <c r="URR339"/>
      <c r="URU339"/>
      <c r="URV339"/>
      <c r="URY339"/>
      <c r="URZ339"/>
      <c r="USC339"/>
      <c r="USD339"/>
      <c r="USG339"/>
      <c r="USH339"/>
      <c r="USK339"/>
      <c r="USL339"/>
      <c r="USO339"/>
      <c r="USP339"/>
      <c r="USS339"/>
      <c r="UST339"/>
      <c r="USW339"/>
      <c r="USX339"/>
      <c r="UTA339"/>
      <c r="UTB339"/>
      <c r="UTE339"/>
      <c r="UTF339"/>
      <c r="UTI339"/>
      <c r="UTJ339"/>
      <c r="UTM339"/>
      <c r="UTN339"/>
      <c r="UTQ339"/>
      <c r="UTR339"/>
      <c r="UTU339"/>
      <c r="UTV339"/>
      <c r="UTY339"/>
      <c r="UTZ339"/>
      <c r="UUC339"/>
      <c r="UUD339"/>
      <c r="UUG339"/>
      <c r="UUH339"/>
      <c r="UUK339"/>
      <c r="UUL339"/>
      <c r="UUO339"/>
      <c r="UUP339"/>
      <c r="UUS339"/>
      <c r="UUT339"/>
      <c r="UUW339"/>
      <c r="UUX339"/>
      <c r="UVA339"/>
      <c r="UVB339"/>
      <c r="UVE339"/>
      <c r="UVF339"/>
      <c r="UVI339"/>
      <c r="UVJ339"/>
      <c r="UVM339"/>
      <c r="UVN339"/>
      <c r="UVQ339"/>
      <c r="UVR339"/>
      <c r="UVU339"/>
      <c r="UVV339"/>
      <c r="UVY339"/>
      <c r="UVZ339"/>
      <c r="UWC339"/>
      <c r="UWD339"/>
      <c r="UWG339"/>
      <c r="UWH339"/>
      <c r="UWK339"/>
      <c r="UWL339"/>
      <c r="UWO339"/>
      <c r="UWP339"/>
      <c r="UWS339"/>
      <c r="UWT339"/>
      <c r="UWW339"/>
      <c r="UWX339"/>
      <c r="UXA339"/>
      <c r="UXB339"/>
      <c r="UXE339"/>
      <c r="UXF339"/>
      <c r="UXI339"/>
      <c r="UXJ339"/>
      <c r="UXM339"/>
      <c r="UXN339"/>
      <c r="UXQ339"/>
      <c r="UXR339"/>
      <c r="UXU339"/>
      <c r="UXV339"/>
      <c r="UXY339"/>
      <c r="UXZ339"/>
      <c r="UYC339"/>
      <c r="UYD339"/>
      <c r="UYG339"/>
      <c r="UYH339"/>
      <c r="UYK339"/>
      <c r="UYL339"/>
      <c r="UYO339"/>
      <c r="UYP339"/>
      <c r="UYS339"/>
      <c r="UYT339"/>
      <c r="UYW339"/>
      <c r="UYX339"/>
      <c r="UZA339"/>
      <c r="UZB339"/>
      <c r="UZE339"/>
      <c r="UZF339"/>
      <c r="UZI339"/>
      <c r="UZJ339"/>
      <c r="UZM339"/>
      <c r="UZN339"/>
      <c r="UZQ339"/>
      <c r="UZR339"/>
      <c r="UZU339"/>
      <c r="UZV339"/>
      <c r="UZY339"/>
      <c r="UZZ339"/>
      <c r="VAC339"/>
      <c r="VAD339"/>
      <c r="VAG339"/>
      <c r="VAH339"/>
      <c r="VAK339"/>
      <c r="VAL339"/>
      <c r="VAO339"/>
      <c r="VAP339"/>
      <c r="VAS339"/>
      <c r="VAT339"/>
      <c r="VAW339"/>
      <c r="VAX339"/>
      <c r="VBA339"/>
      <c r="VBB339"/>
      <c r="VBE339"/>
      <c r="VBF339"/>
      <c r="VBI339"/>
      <c r="VBJ339"/>
      <c r="VBM339"/>
      <c r="VBN339"/>
      <c r="VBQ339"/>
      <c r="VBR339"/>
      <c r="VBU339"/>
      <c r="VBV339"/>
      <c r="VBY339"/>
      <c r="VBZ339"/>
      <c r="VCC339"/>
      <c r="VCD339"/>
      <c r="VCG339"/>
      <c r="VCH339"/>
      <c r="VCK339"/>
      <c r="VCL339"/>
      <c r="VCO339"/>
      <c r="VCP339"/>
      <c r="VCS339"/>
      <c r="VCT339"/>
      <c r="VCW339"/>
      <c r="VCX339"/>
      <c r="VDA339"/>
      <c r="VDB339"/>
      <c r="VDE339"/>
      <c r="VDF339"/>
      <c r="VDI339"/>
      <c r="VDJ339"/>
      <c r="VDM339"/>
      <c r="VDN339"/>
      <c r="VDQ339"/>
      <c r="VDR339"/>
      <c r="VDU339"/>
      <c r="VDV339"/>
      <c r="VDY339"/>
      <c r="VDZ339"/>
      <c r="VEC339"/>
      <c r="VED339"/>
      <c r="VEG339"/>
      <c r="VEH339"/>
      <c r="VEK339"/>
      <c r="VEL339"/>
      <c r="VEO339"/>
      <c r="VEP339"/>
      <c r="VES339"/>
      <c r="VET339"/>
      <c r="VEW339"/>
      <c r="VEX339"/>
      <c r="VFA339"/>
      <c r="VFB339"/>
      <c r="VFE339"/>
      <c r="VFF339"/>
      <c r="VFI339"/>
      <c r="VFJ339"/>
      <c r="VFM339"/>
      <c r="VFN339"/>
      <c r="VFQ339"/>
      <c r="VFR339"/>
      <c r="VFU339"/>
      <c r="VFV339"/>
      <c r="VFY339"/>
      <c r="VFZ339"/>
      <c r="VGC339"/>
      <c r="VGD339"/>
      <c r="VGG339"/>
      <c r="VGH339"/>
      <c r="VGK339"/>
      <c r="VGL339"/>
      <c r="VGO339"/>
      <c r="VGP339"/>
      <c r="VGS339"/>
      <c r="VGT339"/>
      <c r="VGW339"/>
      <c r="VGX339"/>
      <c r="VHA339"/>
      <c r="VHB339"/>
      <c r="VHE339"/>
      <c r="VHF339"/>
      <c r="VHI339"/>
      <c r="VHJ339"/>
      <c r="VHM339"/>
      <c r="VHN339"/>
      <c r="VHQ339"/>
      <c r="VHR339"/>
      <c r="VHU339"/>
      <c r="VHV339"/>
      <c r="VHY339"/>
      <c r="VHZ339"/>
      <c r="VIC339"/>
      <c r="VID339"/>
      <c r="VIG339"/>
      <c r="VIH339"/>
      <c r="VIK339"/>
      <c r="VIL339"/>
      <c r="VIO339"/>
      <c r="VIP339"/>
      <c r="VIS339"/>
      <c r="VIT339"/>
      <c r="VIW339"/>
      <c r="VIX339"/>
      <c r="VJA339"/>
      <c r="VJB339"/>
      <c r="VJE339"/>
      <c r="VJF339"/>
      <c r="VJI339"/>
      <c r="VJJ339"/>
      <c r="VJM339"/>
      <c r="VJN339"/>
      <c r="VJQ339"/>
      <c r="VJR339"/>
      <c r="VJU339"/>
      <c r="VJV339"/>
      <c r="VJY339"/>
      <c r="VJZ339"/>
      <c r="VKC339"/>
      <c r="VKD339"/>
      <c r="VKG339"/>
      <c r="VKH339"/>
      <c r="VKK339"/>
      <c r="VKL339"/>
      <c r="VKO339"/>
      <c r="VKP339"/>
      <c r="VKS339"/>
      <c r="VKT339"/>
      <c r="VKW339"/>
      <c r="VKX339"/>
      <c r="VLA339"/>
      <c r="VLB339"/>
      <c r="VLE339"/>
      <c r="VLF339"/>
      <c r="VLI339"/>
      <c r="VLJ339"/>
      <c r="VLM339"/>
      <c r="VLN339"/>
      <c r="VLQ339"/>
      <c r="VLR339"/>
      <c r="VLU339"/>
      <c r="VLV339"/>
      <c r="VLY339"/>
      <c r="VLZ339"/>
      <c r="VMC339"/>
      <c r="VMD339"/>
      <c r="VMG339"/>
      <c r="VMH339"/>
      <c r="VMK339"/>
      <c r="VML339"/>
      <c r="VMO339"/>
      <c r="VMP339"/>
      <c r="VMS339"/>
      <c r="VMT339"/>
      <c r="VMW339"/>
      <c r="VMX339"/>
      <c r="VNA339"/>
      <c r="VNB339"/>
      <c r="VNE339"/>
      <c r="VNF339"/>
      <c r="VNI339"/>
      <c r="VNJ339"/>
      <c r="VNM339"/>
      <c r="VNN339"/>
      <c r="VNQ339"/>
      <c r="VNR339"/>
      <c r="VNU339"/>
      <c r="VNV339"/>
      <c r="VNY339"/>
      <c r="VNZ339"/>
      <c r="VOC339"/>
      <c r="VOD339"/>
      <c r="VOG339"/>
      <c r="VOH339"/>
      <c r="VOK339"/>
      <c r="VOL339"/>
      <c r="VOO339"/>
      <c r="VOP339"/>
      <c r="VOS339"/>
      <c r="VOT339"/>
      <c r="VOW339"/>
      <c r="VOX339"/>
      <c r="VPA339"/>
      <c r="VPB339"/>
      <c r="VPE339"/>
      <c r="VPF339"/>
      <c r="VPI339"/>
      <c r="VPJ339"/>
      <c r="VPM339"/>
      <c r="VPN339"/>
      <c r="VPQ339"/>
      <c r="VPR339"/>
      <c r="VPU339"/>
      <c r="VPV339"/>
      <c r="VPY339"/>
      <c r="VPZ339"/>
      <c r="VQC339"/>
      <c r="VQD339"/>
      <c r="VQG339"/>
      <c r="VQH339"/>
      <c r="VQK339"/>
      <c r="VQL339"/>
      <c r="VQO339"/>
      <c r="VQP339"/>
      <c r="VQS339"/>
      <c r="VQT339"/>
      <c r="VQW339"/>
      <c r="VQX339"/>
      <c r="VRA339"/>
      <c r="VRB339"/>
      <c r="VRE339"/>
      <c r="VRF339"/>
      <c r="VRI339"/>
      <c r="VRJ339"/>
      <c r="VRM339"/>
      <c r="VRN339"/>
      <c r="VRQ339"/>
      <c r="VRR339"/>
      <c r="VRU339"/>
      <c r="VRV339"/>
      <c r="VRY339"/>
      <c r="VRZ339"/>
      <c r="VSC339"/>
      <c r="VSD339"/>
      <c r="VSG339"/>
      <c r="VSH339"/>
      <c r="VSK339"/>
      <c r="VSL339"/>
      <c r="VSO339"/>
      <c r="VSP339"/>
      <c r="VSS339"/>
      <c r="VST339"/>
      <c r="VSW339"/>
      <c r="VSX339"/>
      <c r="VTA339"/>
      <c r="VTB339"/>
      <c r="VTE339"/>
      <c r="VTF339"/>
      <c r="VTI339"/>
      <c r="VTJ339"/>
      <c r="VTM339"/>
      <c r="VTN339"/>
      <c r="VTQ339"/>
      <c r="VTR339"/>
      <c r="VTU339"/>
      <c r="VTV339"/>
      <c r="VTY339"/>
      <c r="VTZ339"/>
      <c r="VUC339"/>
      <c r="VUD339"/>
      <c r="VUG339"/>
      <c r="VUH339"/>
      <c r="VUK339"/>
      <c r="VUL339"/>
      <c r="VUO339"/>
      <c r="VUP339"/>
      <c r="VUS339"/>
      <c r="VUT339"/>
      <c r="VUW339"/>
      <c r="VUX339"/>
      <c r="VVA339"/>
      <c r="VVB339"/>
      <c r="VVE339"/>
      <c r="VVF339"/>
      <c r="VVI339"/>
      <c r="VVJ339"/>
      <c r="VVM339"/>
      <c r="VVN339"/>
      <c r="VVQ339"/>
      <c r="VVR339"/>
      <c r="VVU339"/>
      <c r="VVV339"/>
      <c r="VVY339"/>
      <c r="VVZ339"/>
      <c r="VWC339"/>
      <c r="VWD339"/>
      <c r="VWG339"/>
      <c r="VWH339"/>
      <c r="VWK339"/>
      <c r="VWL339"/>
      <c r="VWO339"/>
      <c r="VWP339"/>
      <c r="VWS339"/>
      <c r="VWT339"/>
      <c r="VWW339"/>
      <c r="VWX339"/>
      <c r="VXA339"/>
      <c r="VXB339"/>
      <c r="VXE339"/>
      <c r="VXF339"/>
      <c r="VXI339"/>
      <c r="VXJ339"/>
      <c r="VXM339"/>
      <c r="VXN339"/>
      <c r="VXQ339"/>
      <c r="VXR339"/>
      <c r="VXU339"/>
      <c r="VXV339"/>
      <c r="VXY339"/>
      <c r="VXZ339"/>
      <c r="VYC339"/>
      <c r="VYD339"/>
      <c r="VYG339"/>
      <c r="VYH339"/>
      <c r="VYK339"/>
      <c r="VYL339"/>
      <c r="VYO339"/>
      <c r="VYP339"/>
      <c r="VYS339"/>
      <c r="VYT339"/>
      <c r="VYW339"/>
      <c r="VYX339"/>
      <c r="VZA339"/>
      <c r="VZB339"/>
      <c r="VZE339"/>
      <c r="VZF339"/>
      <c r="VZI339"/>
      <c r="VZJ339"/>
      <c r="VZM339"/>
      <c r="VZN339"/>
      <c r="VZQ339"/>
      <c r="VZR339"/>
      <c r="VZU339"/>
      <c r="VZV339"/>
      <c r="VZY339"/>
      <c r="VZZ339"/>
      <c r="WAC339"/>
      <c r="WAD339"/>
      <c r="WAG339"/>
      <c r="WAH339"/>
      <c r="WAK339"/>
      <c r="WAL339"/>
      <c r="WAO339"/>
      <c r="WAP339"/>
      <c r="WAS339"/>
      <c r="WAT339"/>
      <c r="WAW339"/>
      <c r="WAX339"/>
      <c r="WBA339"/>
      <c r="WBB339"/>
      <c r="WBE339"/>
      <c r="WBF339"/>
      <c r="WBI339"/>
      <c r="WBJ339"/>
      <c r="WBM339"/>
      <c r="WBN339"/>
      <c r="WBQ339"/>
      <c r="WBR339"/>
      <c r="WBU339"/>
      <c r="WBV339"/>
      <c r="WBY339"/>
      <c r="WBZ339"/>
      <c r="WCC339"/>
      <c r="WCD339"/>
      <c r="WCG339"/>
      <c r="WCH339"/>
      <c r="WCK339"/>
      <c r="WCL339"/>
      <c r="WCO339"/>
      <c r="WCP339"/>
      <c r="WCS339"/>
      <c r="WCT339"/>
      <c r="WCW339"/>
      <c r="WCX339"/>
      <c r="WDA339"/>
      <c r="WDB339"/>
      <c r="WDE339"/>
      <c r="WDF339"/>
      <c r="WDI339"/>
      <c r="WDJ339"/>
      <c r="WDM339"/>
      <c r="WDN339"/>
      <c r="WDQ339"/>
      <c r="WDR339"/>
      <c r="WDU339"/>
      <c r="WDV339"/>
      <c r="WDY339"/>
      <c r="WDZ339"/>
      <c r="WEC339"/>
      <c r="WED339"/>
      <c r="WEG339"/>
      <c r="WEH339"/>
      <c r="WEK339"/>
      <c r="WEL339"/>
      <c r="WEO339"/>
      <c r="WEP339"/>
      <c r="WES339"/>
      <c r="WET339"/>
      <c r="WEW339"/>
      <c r="WEX339"/>
      <c r="WFA339"/>
      <c r="WFB339"/>
      <c r="WFE339"/>
      <c r="WFF339"/>
      <c r="WFI339"/>
      <c r="WFJ339"/>
      <c r="WFM339"/>
      <c r="WFN339"/>
      <c r="WFQ339"/>
      <c r="WFR339"/>
      <c r="WFU339"/>
      <c r="WFV339"/>
      <c r="WFY339"/>
      <c r="WFZ339"/>
      <c r="WGC339"/>
      <c r="WGD339"/>
      <c r="WGG339"/>
      <c r="WGH339"/>
      <c r="WGK339"/>
      <c r="WGL339"/>
      <c r="WGO339"/>
      <c r="WGP339"/>
      <c r="WGS339"/>
      <c r="WGT339"/>
      <c r="WGW339"/>
      <c r="WGX339"/>
      <c r="WHA339"/>
      <c r="WHB339"/>
      <c r="WHE339"/>
      <c r="WHF339"/>
      <c r="WHI339"/>
      <c r="WHJ339"/>
      <c r="WHM339"/>
      <c r="WHN339"/>
      <c r="WHQ339"/>
      <c r="WHR339"/>
      <c r="WHU339"/>
      <c r="WHV339"/>
      <c r="WHY339"/>
      <c r="WHZ339"/>
      <c r="WIC339"/>
      <c r="WID339"/>
      <c r="WIG339"/>
      <c r="WIH339"/>
      <c r="WIK339"/>
      <c r="WIL339"/>
      <c r="WIO339"/>
      <c r="WIP339"/>
      <c r="WIS339"/>
      <c r="WIT339"/>
      <c r="WIW339"/>
      <c r="WIX339"/>
      <c r="WJA339"/>
      <c r="WJB339"/>
      <c r="WJE339"/>
      <c r="WJF339"/>
      <c r="WJI339"/>
      <c r="WJJ339"/>
      <c r="WJM339"/>
      <c r="WJN339"/>
      <c r="WJQ339"/>
      <c r="WJR339"/>
      <c r="WJU339"/>
      <c r="WJV339"/>
      <c r="WJY339"/>
      <c r="WJZ339"/>
      <c r="WKC339"/>
      <c r="WKD339"/>
      <c r="WKG339"/>
      <c r="WKH339"/>
      <c r="WKK339"/>
      <c r="WKL339"/>
      <c r="WKO339"/>
      <c r="WKP339"/>
      <c r="WKS339"/>
      <c r="WKT339"/>
      <c r="WKW339"/>
      <c r="WKX339"/>
      <c r="WLA339"/>
      <c r="WLB339"/>
      <c r="WLE339"/>
      <c r="WLF339"/>
      <c r="WLI339"/>
      <c r="WLJ339"/>
      <c r="WLM339"/>
      <c r="WLN339"/>
      <c r="WLQ339"/>
      <c r="WLR339"/>
      <c r="WLU339"/>
      <c r="WLV339"/>
      <c r="WLY339"/>
      <c r="WLZ339"/>
      <c r="WMC339"/>
      <c r="WMD339"/>
      <c r="WMG339"/>
      <c r="WMH339"/>
      <c r="WMK339"/>
      <c r="WML339"/>
      <c r="WMO339"/>
      <c r="WMP339"/>
      <c r="WMS339"/>
      <c r="WMT339"/>
      <c r="WMW339"/>
      <c r="WMX339"/>
      <c r="WNA339"/>
      <c r="WNB339"/>
      <c r="WNE339"/>
      <c r="WNF339"/>
      <c r="WNI339"/>
      <c r="WNJ339"/>
      <c r="WNM339"/>
      <c r="WNN339"/>
      <c r="WNQ339"/>
      <c r="WNR339"/>
      <c r="WNU339"/>
      <c r="WNV339"/>
      <c r="WNY339"/>
      <c r="WNZ339"/>
      <c r="WOC339"/>
      <c r="WOD339"/>
      <c r="WOG339"/>
      <c r="WOH339"/>
      <c r="WOK339"/>
      <c r="WOL339"/>
      <c r="WOO339"/>
      <c r="WOP339"/>
      <c r="WOS339"/>
      <c r="WOT339"/>
      <c r="WOW339"/>
      <c r="WOX339"/>
      <c r="WPA339"/>
      <c r="WPB339"/>
      <c r="WPE339"/>
      <c r="WPF339"/>
      <c r="WPI339"/>
      <c r="WPJ339"/>
      <c r="WPM339"/>
      <c r="WPN339"/>
      <c r="WPQ339"/>
      <c r="WPR339"/>
      <c r="WPU339"/>
      <c r="WPV339"/>
      <c r="WPY339"/>
      <c r="WPZ339"/>
      <c r="WQC339"/>
      <c r="WQD339"/>
      <c r="WQG339"/>
      <c r="WQH339"/>
      <c r="WQK339"/>
      <c r="WQL339"/>
      <c r="WQO339"/>
      <c r="WQP339"/>
      <c r="WQS339"/>
      <c r="WQT339"/>
      <c r="WQW339"/>
      <c r="WQX339"/>
      <c r="WRA339"/>
      <c r="WRB339"/>
      <c r="WRE339"/>
      <c r="WRF339"/>
      <c r="WRI339"/>
      <c r="WRJ339"/>
      <c r="WRM339"/>
      <c r="WRN339"/>
      <c r="WRQ339"/>
      <c r="WRR339"/>
      <c r="WRU339"/>
      <c r="WRV339"/>
      <c r="WRY339"/>
      <c r="WRZ339"/>
      <c r="WSC339"/>
      <c r="WSD339"/>
      <c r="WSG339"/>
      <c r="WSH339"/>
      <c r="WSK339"/>
      <c r="WSL339"/>
      <c r="WSO339"/>
      <c r="WSP339"/>
      <c r="WSS339"/>
      <c r="WST339"/>
      <c r="WSW339"/>
      <c r="WSX339"/>
      <c r="WTA339"/>
      <c r="WTB339"/>
      <c r="WTE339"/>
      <c r="WTF339"/>
      <c r="WTI339"/>
      <c r="WTJ339"/>
      <c r="WTM339"/>
      <c r="WTN339"/>
      <c r="WTQ339"/>
      <c r="WTR339"/>
      <c r="WTU339"/>
      <c r="WTV339"/>
      <c r="WTY339"/>
      <c r="WTZ339"/>
      <c r="WUC339"/>
      <c r="WUD339"/>
      <c r="WUG339"/>
      <c r="WUH339"/>
      <c r="WUK339"/>
      <c r="WUL339"/>
      <c r="WUO339"/>
      <c r="WUP339"/>
      <c r="WUS339"/>
      <c r="WUT339"/>
      <c r="WUW339"/>
      <c r="WUX339"/>
      <c r="WVA339"/>
      <c r="WVB339"/>
      <c r="WVE339"/>
      <c r="WVF339"/>
      <c r="WVI339"/>
      <c r="WVJ339"/>
      <c r="WVM339"/>
      <c r="WVN339"/>
      <c r="WVQ339"/>
      <c r="WVR339"/>
      <c r="WVU339"/>
      <c r="WVV339"/>
      <c r="WVY339"/>
      <c r="WVZ339"/>
      <c r="WWC339"/>
      <c r="WWD339"/>
      <c r="WWG339"/>
      <c r="WWH339"/>
      <c r="WWK339"/>
      <c r="WWL339"/>
      <c r="WWO339"/>
      <c r="WWP339"/>
      <c r="WWS339"/>
      <c r="WWT339"/>
      <c r="WWW339"/>
      <c r="WWX339"/>
      <c r="WXA339"/>
      <c r="WXB339"/>
      <c r="WXE339"/>
      <c r="WXF339"/>
      <c r="WXI339"/>
      <c r="WXJ339"/>
      <c r="WXM339"/>
      <c r="WXN339"/>
      <c r="WXQ339"/>
      <c r="WXR339"/>
      <c r="WXU339"/>
      <c r="WXV339"/>
      <c r="WXY339"/>
      <c r="WXZ339"/>
      <c r="WYC339"/>
      <c r="WYD339"/>
      <c r="WYG339"/>
      <c r="WYH339"/>
      <c r="WYK339"/>
      <c r="WYL339"/>
      <c r="WYO339"/>
      <c r="WYP339"/>
      <c r="WYS339"/>
      <c r="WYT339"/>
      <c r="WYW339"/>
      <c r="WYX339"/>
      <c r="WZA339"/>
      <c r="WZB339"/>
      <c r="WZE339"/>
      <c r="WZF339"/>
      <c r="WZI339"/>
      <c r="WZJ339"/>
      <c r="WZM339"/>
      <c r="WZN339"/>
      <c r="WZQ339"/>
      <c r="WZR339"/>
      <c r="WZU339"/>
      <c r="WZV339"/>
      <c r="WZY339"/>
      <c r="WZZ339"/>
      <c r="XAC339"/>
      <c r="XAD339"/>
      <c r="XAG339"/>
      <c r="XAH339"/>
      <c r="XAK339"/>
      <c r="XAL339"/>
      <c r="XAO339"/>
      <c r="XAP339"/>
      <c r="XAS339"/>
      <c r="XAT339"/>
      <c r="XAW339"/>
      <c r="XAX339"/>
      <c r="XBA339"/>
      <c r="XBB339"/>
      <c r="XBE339"/>
      <c r="XBF339"/>
      <c r="XBI339"/>
      <c r="XBJ339"/>
      <c r="XBM339"/>
      <c r="XBN339"/>
      <c r="XBQ339"/>
      <c r="XBR339"/>
      <c r="XBU339"/>
      <c r="XBV339"/>
      <c r="XBY339"/>
      <c r="XBZ339"/>
      <c r="XCC339"/>
      <c r="XCD339"/>
      <c r="XCG339"/>
      <c r="XCH339"/>
      <c r="XCK339"/>
      <c r="XCL339"/>
      <c r="XCO339"/>
      <c r="XCP339"/>
      <c r="XCS339"/>
      <c r="XCT339"/>
      <c r="XCW339"/>
      <c r="XCX339"/>
      <c r="XDA339"/>
      <c r="XDB339"/>
      <c r="XDE339"/>
      <c r="XDF339"/>
      <c r="XDI339"/>
      <c r="XDJ339"/>
      <c r="XDM339"/>
      <c r="XDN339"/>
      <c r="XDQ339"/>
      <c r="XDR339"/>
      <c r="XDU339"/>
      <c r="XDV339"/>
      <c r="XDY339"/>
      <c r="XDZ339"/>
      <c r="XEC339"/>
      <c r="XED339"/>
      <c r="XEG339"/>
      <c r="XEH339"/>
      <c r="XEK339"/>
      <c r="XEL339"/>
      <c r="XEO339"/>
      <c r="XEP339"/>
      <c r="XES339"/>
      <c r="XET339"/>
      <c r="XEW339"/>
      <c r="XEX339"/>
      <c r="XFA339"/>
      <c r="XFB339"/>
    </row>
    <row r="340" spans="1:1022 1025:2046 2049:3070 3073:4094 4097:5118 5121:6142 6145:7166 7169:8190 8193:9214 9217:10238 10241:11262 11265:12286 12289:13310 13313:14334 14337:15358 15361:16382" outlineLevel="1" x14ac:dyDescent="0.3">
      <c r="A340" t="s">
        <v>1229</v>
      </c>
      <c r="B340" t="s">
        <v>168</v>
      </c>
      <c r="C340" s="13" t="s">
        <v>9</v>
      </c>
      <c r="D340" s="13" t="s">
        <v>1230</v>
      </c>
      <c r="E340" t="s">
        <v>6001</v>
      </c>
      <c r="J340" t="s">
        <v>6847</v>
      </c>
      <c r="K340" t="s">
        <v>6839</v>
      </c>
    </row>
    <row r="341" spans="1:1022 1025:2046 2049:3070 3073:4094 4097:5118 5121:6142 6145:7166 7169:8190 8193:9214 9217:10238 10241:11262 11265:12286 12289:13310 13313:14334 14337:15358 15361:16382" outlineLevel="1" x14ac:dyDescent="0.3">
      <c r="A341" t="s">
        <v>1231</v>
      </c>
      <c r="B341" t="s">
        <v>168</v>
      </c>
      <c r="C341" s="13" t="s">
        <v>9</v>
      </c>
      <c r="D341" s="13" t="s">
        <v>1230</v>
      </c>
      <c r="E341" t="s">
        <v>6001</v>
      </c>
      <c r="J341" t="s">
        <v>6847</v>
      </c>
      <c r="K341" t="s">
        <v>6839</v>
      </c>
    </row>
    <row r="342" spans="1:1022 1025:2046 2049:3070 3073:4094 4097:5118 5121:6142 6145:7166 7169:8190 8193:9214 9217:10238 10241:11262 11265:12286 12289:13310 13313:14334 14337:15358 15361:16382" outlineLevel="1" x14ac:dyDescent="0.3">
      <c r="A342" t="s">
        <v>1232</v>
      </c>
      <c r="B342" t="s">
        <v>168</v>
      </c>
      <c r="C342" s="13" t="s">
        <v>9</v>
      </c>
      <c r="D342" s="13" t="s">
        <v>1233</v>
      </c>
      <c r="E342" t="s">
        <v>5989</v>
      </c>
    </row>
    <row r="343" spans="1:1022 1025:2046 2049:3070 3073:4094 4097:5118 5121:6142 6145:7166 7169:8190 8193:9214 9217:10238 10241:11262 11265:12286 12289:13310 13313:14334 14337:15358 15361:16382" outlineLevel="1" x14ac:dyDescent="0.3">
      <c r="A343" t="s">
        <v>1234</v>
      </c>
      <c r="B343" t="s">
        <v>168</v>
      </c>
      <c r="C343" s="13" t="s">
        <v>9</v>
      </c>
      <c r="D343" s="13" t="s">
        <v>1235</v>
      </c>
      <c r="E343" t="s">
        <v>5992</v>
      </c>
    </row>
    <row r="344" spans="1:1022 1025:2046 2049:3070 3073:4094 4097:5118 5121:6142 6145:7166 7169:8190 8193:9214 9217:10238 10241:11262 11265:12286 12289:13310 13313:14334 14337:15358 15361:16382" outlineLevel="1" x14ac:dyDescent="0.3">
      <c r="A344" t="s">
        <v>1236</v>
      </c>
      <c r="B344" t="s">
        <v>168</v>
      </c>
      <c r="C344" s="13" t="s">
        <v>9</v>
      </c>
      <c r="D344" s="13" t="s">
        <v>1237</v>
      </c>
      <c r="E344" t="s">
        <v>5995</v>
      </c>
    </row>
    <row r="345" spans="1:1022 1025:2046 2049:3070 3073:4094 4097:5118 5121:6142 6145:7166 7169:8190 8193:9214 9217:10238 10241:11262 11265:12286 12289:13310 13313:14334 14337:15358 15361:16382" outlineLevel="1" x14ac:dyDescent="0.3">
      <c r="A345" t="s">
        <v>1238</v>
      </c>
      <c r="B345" t="s">
        <v>168</v>
      </c>
      <c r="C345" s="13" t="s">
        <v>9</v>
      </c>
      <c r="D345" s="13" t="s">
        <v>1239</v>
      </c>
      <c r="E345" t="s">
        <v>5998</v>
      </c>
      <c r="K345" t="s">
        <v>6840</v>
      </c>
    </row>
    <row r="346" spans="1:1022 1025:2046 2049:3070 3073:4094 4097:5118 5121:6142 6145:7166 7169:8190 8193:9214 9217:10238 10241:11262 11265:12286 12289:13310 13313:14334 14337:15358 15361:16382" outlineLevel="1" x14ac:dyDescent="0.3">
      <c r="A346" t="s">
        <v>1240</v>
      </c>
      <c r="B346" t="s">
        <v>168</v>
      </c>
      <c r="C346" s="13" t="s">
        <v>9</v>
      </c>
      <c r="D346" t="s">
        <v>6862</v>
      </c>
      <c r="E346" t="s">
        <v>6010</v>
      </c>
      <c r="J346" t="s">
        <v>6849</v>
      </c>
      <c r="K346" t="s">
        <v>6839</v>
      </c>
    </row>
    <row r="347" spans="1:1022 1025:2046 2049:3070 3073:4094 4097:5118 5121:6142 6145:7166 7169:8190 8193:9214 9217:10238 10241:11262 11265:12286 12289:13310 13313:14334 14337:15358 15361:16382" outlineLevel="1" x14ac:dyDescent="0.3">
      <c r="A347" t="s">
        <v>1241</v>
      </c>
      <c r="B347" t="s">
        <v>168</v>
      </c>
      <c r="C347" s="13" t="s">
        <v>9</v>
      </c>
      <c r="D347" s="13" t="s">
        <v>1242</v>
      </c>
      <c r="E347" t="s">
        <v>6007</v>
      </c>
    </row>
    <row r="348" spans="1:1022 1025:2046 2049:3070 3073:4094 4097:5118 5121:6142 6145:7166 7169:8190 8193:9214 9217:10238 10241:11262 11265:12286 12289:13310 13313:14334 14337:15358 15361:16382" outlineLevel="1" x14ac:dyDescent="0.3">
      <c r="A348" t="s">
        <v>1243</v>
      </c>
      <c r="B348" t="s">
        <v>168</v>
      </c>
      <c r="C348" s="13" t="s">
        <v>9</v>
      </c>
      <c r="D348" s="13" t="s">
        <v>1244</v>
      </c>
      <c r="E348" t="s">
        <v>6004</v>
      </c>
    </row>
    <row r="349" spans="1:1022 1025:2046 2049:3070 3073:4094 4097:5118 5121:6142 6145:7166 7169:8190 8193:9214 9217:10238 10241:11262 11265:12286 12289:13310 13313:14334 14337:15358 15361:16382" outlineLevel="1" x14ac:dyDescent="0.3">
      <c r="A349" t="s">
        <v>1245</v>
      </c>
      <c r="B349" t="s">
        <v>168</v>
      </c>
      <c r="C349" s="13" t="s">
        <v>9</v>
      </c>
      <c r="D349" s="13" t="s">
        <v>1246</v>
      </c>
      <c r="E349" t="s">
        <v>6015</v>
      </c>
    </row>
    <row r="350" spans="1:1022 1025:2046 2049:3070 3073:4094 4097:5118 5121:6142 6145:7166 7169:8190 8193:9214 9217:10238 10241:11262 11265:12286 12289:13310 13313:14334 14337:15358 15361:16382" outlineLevel="1" x14ac:dyDescent="0.3">
      <c r="A350" t="s">
        <v>1247</v>
      </c>
      <c r="B350" t="s">
        <v>168</v>
      </c>
      <c r="C350" s="13" t="s">
        <v>9</v>
      </c>
      <c r="D350" s="13" t="s">
        <v>1248</v>
      </c>
      <c r="E350" t="s">
        <v>6018</v>
      </c>
    </row>
    <row r="351" spans="1:1022 1025:2046 2049:3070 3073:4094 4097:5118 5121:6142 6145:7166 7169:8190 8193:9214 9217:10238 10241:11262 11265:12286 12289:13310 13313:14334 14337:15358 15361:16382" outlineLevel="1" x14ac:dyDescent="0.3">
      <c r="A351" t="s">
        <v>1249</v>
      </c>
      <c r="B351" t="s">
        <v>168</v>
      </c>
      <c r="C351" s="13" t="s">
        <v>9</v>
      </c>
      <c r="D351" s="13" t="s">
        <v>1250</v>
      </c>
      <c r="E351" t="s">
        <v>5981</v>
      </c>
      <c r="K351" t="s">
        <v>6839</v>
      </c>
    </row>
    <row r="352" spans="1:1022 1025:2046 2049:3070 3073:4094 4097:5118 5121:6142 6145:7166 7169:8190 8193:9214 9217:10238 10241:11262 11265:12286 12289:13310 13313:14334 14337:15358 15361:16382" outlineLevel="1" x14ac:dyDescent="0.3">
      <c r="A352" t="s">
        <v>1251</v>
      </c>
      <c r="B352" t="s">
        <v>168</v>
      </c>
      <c r="C352" s="13" t="s">
        <v>9</v>
      </c>
      <c r="D352" s="13" t="s">
        <v>1250</v>
      </c>
      <c r="E352" t="s">
        <v>5981</v>
      </c>
      <c r="K352" t="s">
        <v>6839</v>
      </c>
    </row>
    <row r="353" spans="1:11" outlineLevel="1" x14ac:dyDescent="0.3">
      <c r="A353" t="s">
        <v>1252</v>
      </c>
      <c r="B353" t="s">
        <v>168</v>
      </c>
      <c r="C353" s="13" t="s">
        <v>9</v>
      </c>
      <c r="D353" s="13" t="s">
        <v>1250</v>
      </c>
      <c r="E353" t="s">
        <v>5981</v>
      </c>
      <c r="J353" t="s">
        <v>6850</v>
      </c>
      <c r="K353" t="s">
        <v>6839</v>
      </c>
    </row>
    <row r="354" spans="1:11" outlineLevel="1" x14ac:dyDescent="0.3">
      <c r="A354" t="s">
        <v>1253</v>
      </c>
      <c r="B354" t="s">
        <v>168</v>
      </c>
      <c r="C354" s="13" t="s">
        <v>9</v>
      </c>
      <c r="D354" s="13" t="s">
        <v>1250</v>
      </c>
      <c r="E354" t="s">
        <v>5981</v>
      </c>
      <c r="K354" t="s">
        <v>6839</v>
      </c>
    </row>
    <row r="355" spans="1:11" outlineLevel="1" x14ac:dyDescent="0.3">
      <c r="A355" t="s">
        <v>1254</v>
      </c>
      <c r="B355" t="s">
        <v>168</v>
      </c>
      <c r="C355" s="13" t="s">
        <v>9</v>
      </c>
      <c r="D355" s="13" t="s">
        <v>1255</v>
      </c>
      <c r="E355" t="s">
        <v>6025</v>
      </c>
      <c r="J355" t="s">
        <v>6851</v>
      </c>
      <c r="K355" t="s">
        <v>6840</v>
      </c>
    </row>
    <row r="356" spans="1:11" outlineLevel="1" x14ac:dyDescent="0.3">
      <c r="A356" t="s">
        <v>1256</v>
      </c>
      <c r="B356" t="s">
        <v>168</v>
      </c>
      <c r="C356" s="13" t="s">
        <v>9</v>
      </c>
      <c r="D356" s="13" t="s">
        <v>1255</v>
      </c>
      <c r="E356" t="s">
        <v>6025</v>
      </c>
      <c r="J356" t="s">
        <v>6851</v>
      </c>
      <c r="K356" t="s">
        <v>6840</v>
      </c>
    </row>
    <row r="357" spans="1:11" outlineLevel="1" x14ac:dyDescent="0.3">
      <c r="A357" t="s">
        <v>1257</v>
      </c>
      <c r="B357" t="s">
        <v>168</v>
      </c>
      <c r="C357" s="13" t="s">
        <v>9</v>
      </c>
      <c r="D357" s="13" t="s">
        <v>1258</v>
      </c>
      <c r="E357" t="s">
        <v>6138</v>
      </c>
      <c r="J357" t="s">
        <v>6852</v>
      </c>
      <c r="K357" t="s">
        <v>6835</v>
      </c>
    </row>
    <row r="358" spans="1:11" outlineLevel="1" x14ac:dyDescent="0.3">
      <c r="A358" t="s">
        <v>1259</v>
      </c>
      <c r="B358" t="s">
        <v>168</v>
      </c>
      <c r="C358" s="13" t="s">
        <v>9</v>
      </c>
      <c r="D358" s="13" t="s">
        <v>1258</v>
      </c>
      <c r="E358" t="s">
        <v>6138</v>
      </c>
      <c r="J358" t="s">
        <v>6852</v>
      </c>
      <c r="K358" t="s">
        <v>6835</v>
      </c>
    </row>
    <row r="359" spans="1:11" outlineLevel="1" x14ac:dyDescent="0.3">
      <c r="A359" t="s">
        <v>1260</v>
      </c>
      <c r="B359" t="s">
        <v>168</v>
      </c>
      <c r="C359" s="22"/>
      <c r="D359" s="13"/>
    </row>
    <row r="360" spans="1:11" outlineLevel="1" x14ac:dyDescent="0.3">
      <c r="A360" t="s">
        <v>1261</v>
      </c>
      <c r="B360" t="s">
        <v>168</v>
      </c>
      <c r="C360" s="13" t="s">
        <v>9</v>
      </c>
      <c r="D360" s="13" t="s">
        <v>1262</v>
      </c>
      <c r="E360" t="s">
        <v>6104</v>
      </c>
    </row>
    <row r="361" spans="1:11" outlineLevel="1" x14ac:dyDescent="0.3">
      <c r="A361" t="s">
        <v>1263</v>
      </c>
      <c r="B361" t="s">
        <v>168</v>
      </c>
      <c r="C361" s="13" t="s">
        <v>9</v>
      </c>
      <c r="D361" s="13" t="s">
        <v>1264</v>
      </c>
      <c r="E361" t="s">
        <v>6132</v>
      </c>
      <c r="J361" t="s">
        <v>6853</v>
      </c>
      <c r="K361" t="s">
        <v>6835</v>
      </c>
    </row>
    <row r="362" spans="1:11" outlineLevel="1" x14ac:dyDescent="0.3">
      <c r="A362" s="25" t="s">
        <v>1265</v>
      </c>
      <c r="B362" s="25" t="s">
        <v>168</v>
      </c>
      <c r="C362" s="26" t="s">
        <v>7</v>
      </c>
      <c r="D362" s="26" t="s">
        <v>1266</v>
      </c>
      <c r="E362" s="25" t="s">
        <v>6610</v>
      </c>
      <c r="F362" s="25"/>
      <c r="G362" s="25"/>
      <c r="H362" s="25"/>
      <c r="I362" s="25"/>
      <c r="J362" s="25" t="s">
        <v>6854</v>
      </c>
      <c r="K362" s="25" t="s">
        <v>6835</v>
      </c>
    </row>
    <row r="363" spans="1:11" outlineLevel="1" x14ac:dyDescent="0.3">
      <c r="A363" t="s">
        <v>1267</v>
      </c>
      <c r="B363" t="s">
        <v>168</v>
      </c>
      <c r="C363" s="13" t="s">
        <v>9</v>
      </c>
      <c r="D363" s="13" t="s">
        <v>1268</v>
      </c>
      <c r="E363" t="s">
        <v>6031</v>
      </c>
      <c r="J363" t="s">
        <v>6855</v>
      </c>
      <c r="K363" t="s">
        <v>6856</v>
      </c>
    </row>
    <row r="364" spans="1:11" outlineLevel="1" x14ac:dyDescent="0.3">
      <c r="A364" t="s">
        <v>1269</v>
      </c>
      <c r="B364" t="s">
        <v>168</v>
      </c>
      <c r="C364" s="13" t="s">
        <v>9</v>
      </c>
      <c r="D364" s="13" t="s">
        <v>1270</v>
      </c>
      <c r="E364" t="s">
        <v>6622</v>
      </c>
    </row>
    <row r="365" spans="1:11" outlineLevel="1" x14ac:dyDescent="0.3">
      <c r="A365" t="s">
        <v>1271</v>
      </c>
      <c r="B365" t="s">
        <v>168</v>
      </c>
      <c r="C365" s="13" t="s">
        <v>9</v>
      </c>
      <c r="D365" s="13" t="s">
        <v>1272</v>
      </c>
      <c r="E365" s="13" t="s">
        <v>6624</v>
      </c>
      <c r="K365" t="s">
        <v>6856</v>
      </c>
    </row>
    <row r="366" spans="1:11" outlineLevel="1" x14ac:dyDescent="0.3">
      <c r="A366" t="s">
        <v>1273</v>
      </c>
      <c r="B366" t="s">
        <v>168</v>
      </c>
      <c r="C366" s="13" t="s">
        <v>9</v>
      </c>
      <c r="D366" s="13" t="s">
        <v>1274</v>
      </c>
      <c r="E366" t="s">
        <v>6034</v>
      </c>
    </row>
    <row r="367" spans="1:11" outlineLevel="1" x14ac:dyDescent="0.3">
      <c r="A367" t="s">
        <v>1275</v>
      </c>
      <c r="B367" t="s">
        <v>168</v>
      </c>
      <c r="C367" s="13" t="s">
        <v>9</v>
      </c>
      <c r="D367" s="13" t="s">
        <v>1274</v>
      </c>
      <c r="E367" t="s">
        <v>6034</v>
      </c>
    </row>
    <row r="368" spans="1:11" outlineLevel="1" x14ac:dyDescent="0.3">
      <c r="A368" t="s">
        <v>1276</v>
      </c>
      <c r="B368" t="s">
        <v>168</v>
      </c>
      <c r="C368" s="13" t="s">
        <v>9</v>
      </c>
      <c r="D368" s="13" t="s">
        <v>1274</v>
      </c>
      <c r="E368" t="s">
        <v>6034</v>
      </c>
    </row>
    <row r="369" spans="1:11" outlineLevel="1" x14ac:dyDescent="0.3">
      <c r="A369" t="s">
        <v>1277</v>
      </c>
      <c r="B369" t="s">
        <v>168</v>
      </c>
      <c r="C369" s="13" t="s">
        <v>9</v>
      </c>
      <c r="D369" s="13" t="s">
        <v>1278</v>
      </c>
      <c r="E369" t="s">
        <v>6069</v>
      </c>
    </row>
    <row r="370" spans="1:11" outlineLevel="1" x14ac:dyDescent="0.3">
      <c r="A370" t="s">
        <v>1279</v>
      </c>
      <c r="B370" t="s">
        <v>168</v>
      </c>
      <c r="C370" s="13" t="s">
        <v>9</v>
      </c>
      <c r="D370" s="13" t="s">
        <v>1274</v>
      </c>
      <c r="E370" s="13" t="s">
        <v>6034</v>
      </c>
      <c r="J370" t="s">
        <v>6871</v>
      </c>
      <c r="K370" t="s">
        <v>6856</v>
      </c>
    </row>
    <row r="371" spans="1:11" outlineLevel="1" x14ac:dyDescent="0.3">
      <c r="A371" t="s">
        <v>1281</v>
      </c>
      <c r="B371" t="s">
        <v>168</v>
      </c>
      <c r="C371" s="13" t="s">
        <v>9</v>
      </c>
      <c r="D371" s="13" t="s">
        <v>1272</v>
      </c>
      <c r="E371" s="13" t="s">
        <v>6624</v>
      </c>
      <c r="K371" t="s">
        <v>6856</v>
      </c>
    </row>
    <row r="372" spans="1:11" outlineLevel="1" x14ac:dyDescent="0.3">
      <c r="A372" t="s">
        <v>1282</v>
      </c>
      <c r="B372" t="s">
        <v>168</v>
      </c>
      <c r="C372" s="13" t="s">
        <v>9</v>
      </c>
      <c r="D372" s="13" t="s">
        <v>1274</v>
      </c>
      <c r="E372" t="s">
        <v>6034</v>
      </c>
    </row>
    <row r="373" spans="1:11" outlineLevel="1" x14ac:dyDescent="0.3">
      <c r="A373" t="s">
        <v>1283</v>
      </c>
      <c r="B373" t="s">
        <v>168</v>
      </c>
      <c r="C373" s="13" t="s">
        <v>9</v>
      </c>
      <c r="D373" s="13" t="s">
        <v>1274</v>
      </c>
      <c r="E373" t="s">
        <v>6034</v>
      </c>
    </row>
    <row r="374" spans="1:11" outlineLevel="1" x14ac:dyDescent="0.3">
      <c r="A374" t="s">
        <v>1284</v>
      </c>
      <c r="B374" t="s">
        <v>168</v>
      </c>
      <c r="C374" s="13" t="s">
        <v>9</v>
      </c>
      <c r="D374" s="13" t="s">
        <v>1274</v>
      </c>
      <c r="E374" t="s">
        <v>6034</v>
      </c>
    </row>
    <row r="375" spans="1:11" outlineLevel="1" x14ac:dyDescent="0.3">
      <c r="A375" t="s">
        <v>1285</v>
      </c>
      <c r="B375" t="s">
        <v>168</v>
      </c>
      <c r="C375" s="13" t="s">
        <v>9</v>
      </c>
      <c r="D375" s="13" t="s">
        <v>1278</v>
      </c>
      <c r="E375" t="s">
        <v>6069</v>
      </c>
    </row>
    <row r="376" spans="1:11" outlineLevel="1" x14ac:dyDescent="0.3">
      <c r="A376" t="s">
        <v>1286</v>
      </c>
      <c r="B376" t="s">
        <v>168</v>
      </c>
      <c r="C376" s="13" t="s">
        <v>9</v>
      </c>
      <c r="D376" s="13" t="s">
        <v>1280</v>
      </c>
      <c r="E376" t="s">
        <v>6626</v>
      </c>
    </row>
    <row r="377" spans="1:11" outlineLevel="1" x14ac:dyDescent="0.3">
      <c r="A377" t="s">
        <v>1287</v>
      </c>
      <c r="B377" t="s">
        <v>168</v>
      </c>
      <c r="C377" s="13" t="s">
        <v>9</v>
      </c>
      <c r="D377" s="13" t="s">
        <v>1274</v>
      </c>
      <c r="E377" t="s">
        <v>6034</v>
      </c>
    </row>
    <row r="378" spans="1:11" outlineLevel="1" x14ac:dyDescent="0.3">
      <c r="A378" t="s">
        <v>1288</v>
      </c>
      <c r="B378" t="s">
        <v>168</v>
      </c>
      <c r="C378" s="13" t="s">
        <v>9</v>
      </c>
      <c r="D378" s="13" t="s">
        <v>1274</v>
      </c>
      <c r="E378" t="s">
        <v>6034</v>
      </c>
    </row>
    <row r="379" spans="1:11" outlineLevel="1" x14ac:dyDescent="0.3">
      <c r="A379" t="s">
        <v>1289</v>
      </c>
      <c r="B379" t="s">
        <v>168</v>
      </c>
      <c r="C379" s="13" t="s">
        <v>9</v>
      </c>
      <c r="D379" s="13" t="s">
        <v>1290</v>
      </c>
      <c r="E379" t="s">
        <v>6628</v>
      </c>
    </row>
    <row r="380" spans="1:11" outlineLevel="1" x14ac:dyDescent="0.3">
      <c r="A380" t="s">
        <v>1291</v>
      </c>
      <c r="B380" t="s">
        <v>168</v>
      </c>
      <c r="C380" s="13" t="s">
        <v>9</v>
      </c>
      <c r="D380" s="13" t="s">
        <v>1292</v>
      </c>
      <c r="E380" t="s">
        <v>6628</v>
      </c>
    </row>
    <row r="381" spans="1:11" outlineLevel="1" x14ac:dyDescent="0.3">
      <c r="A381" t="s">
        <v>1293</v>
      </c>
      <c r="B381" t="s">
        <v>168</v>
      </c>
      <c r="C381" s="13" t="s">
        <v>9</v>
      </c>
      <c r="D381" s="13" t="s">
        <v>1294</v>
      </c>
      <c r="E381" t="s">
        <v>6038</v>
      </c>
    </row>
    <row r="382" spans="1:11" outlineLevel="1" x14ac:dyDescent="0.3">
      <c r="A382" t="s">
        <v>1295</v>
      </c>
      <c r="B382" t="s">
        <v>168</v>
      </c>
      <c r="C382" s="13" t="s">
        <v>9</v>
      </c>
      <c r="D382" s="13" t="s">
        <v>1294</v>
      </c>
      <c r="E382" t="s">
        <v>6038</v>
      </c>
    </row>
    <row r="383" spans="1:11" outlineLevel="1" x14ac:dyDescent="0.3">
      <c r="A383" t="s">
        <v>1296</v>
      </c>
      <c r="B383" t="s">
        <v>168</v>
      </c>
      <c r="C383" s="13" t="s">
        <v>9</v>
      </c>
      <c r="D383" s="13" t="s">
        <v>1294</v>
      </c>
      <c r="E383" t="s">
        <v>6038</v>
      </c>
    </row>
    <row r="384" spans="1:11" outlineLevel="1" x14ac:dyDescent="0.3">
      <c r="A384" t="s">
        <v>1297</v>
      </c>
      <c r="B384" t="s">
        <v>168</v>
      </c>
      <c r="C384" s="13" t="s">
        <v>9</v>
      </c>
      <c r="D384" s="13" t="s">
        <v>1294</v>
      </c>
      <c r="E384" t="s">
        <v>6038</v>
      </c>
    </row>
    <row r="385" spans="1:11" outlineLevel="1" x14ac:dyDescent="0.3">
      <c r="A385" t="s">
        <v>1298</v>
      </c>
      <c r="B385" t="s">
        <v>168</v>
      </c>
      <c r="C385" s="13" t="s">
        <v>9</v>
      </c>
      <c r="D385" s="13" t="s">
        <v>1294</v>
      </c>
      <c r="E385" t="s">
        <v>6038</v>
      </c>
    </row>
    <row r="386" spans="1:11" outlineLevel="1" x14ac:dyDescent="0.3">
      <c r="A386" t="s">
        <v>1299</v>
      </c>
      <c r="B386" t="s">
        <v>168</v>
      </c>
      <c r="C386" s="13" t="s">
        <v>9</v>
      </c>
      <c r="D386" s="13" t="s">
        <v>1300</v>
      </c>
      <c r="E386" t="s">
        <v>6628</v>
      </c>
    </row>
    <row r="387" spans="1:11" outlineLevel="1" x14ac:dyDescent="0.3">
      <c r="A387" t="s">
        <v>1301</v>
      </c>
      <c r="B387" t="s">
        <v>168</v>
      </c>
      <c r="C387" s="13" t="s">
        <v>9</v>
      </c>
      <c r="D387" s="13" t="s">
        <v>1294</v>
      </c>
      <c r="E387" t="s">
        <v>6038</v>
      </c>
    </row>
    <row r="388" spans="1:11" outlineLevel="1" x14ac:dyDescent="0.3">
      <c r="A388" t="s">
        <v>1302</v>
      </c>
      <c r="B388" t="s">
        <v>168</v>
      </c>
      <c r="C388" s="13" t="s">
        <v>9</v>
      </c>
      <c r="D388" s="13" t="s">
        <v>1294</v>
      </c>
      <c r="E388" t="s">
        <v>6038</v>
      </c>
    </row>
    <row r="389" spans="1:11" outlineLevel="1" x14ac:dyDescent="0.3">
      <c r="A389" t="s">
        <v>1303</v>
      </c>
      <c r="B389" t="s">
        <v>168</v>
      </c>
      <c r="C389" s="13" t="s">
        <v>9</v>
      </c>
      <c r="D389" s="13" t="s">
        <v>1294</v>
      </c>
      <c r="E389" t="s">
        <v>6038</v>
      </c>
    </row>
    <row r="390" spans="1:11" outlineLevel="1" x14ac:dyDescent="0.3">
      <c r="A390" t="s">
        <v>1304</v>
      </c>
      <c r="B390" t="s">
        <v>168</v>
      </c>
      <c r="C390" s="13" t="s">
        <v>9</v>
      </c>
      <c r="D390" s="13" t="s">
        <v>1294</v>
      </c>
      <c r="E390" t="s">
        <v>6038</v>
      </c>
    </row>
    <row r="391" spans="1:11" outlineLevel="1" x14ac:dyDescent="0.3">
      <c r="A391" t="s">
        <v>1305</v>
      </c>
      <c r="B391" t="s">
        <v>168</v>
      </c>
      <c r="C391" s="13" t="s">
        <v>9</v>
      </c>
      <c r="D391" s="13" t="s">
        <v>1306</v>
      </c>
      <c r="E391" t="s">
        <v>6204</v>
      </c>
    </row>
    <row r="392" spans="1:11" outlineLevel="1" x14ac:dyDescent="0.3">
      <c r="A392" t="s">
        <v>1307</v>
      </c>
      <c r="B392" t="s">
        <v>168</v>
      </c>
      <c r="C392" s="13" t="s">
        <v>7</v>
      </c>
      <c r="D392" s="13" t="s">
        <v>1308</v>
      </c>
      <c r="E392" t="s">
        <v>6185</v>
      </c>
    </row>
    <row r="393" spans="1:11" outlineLevel="1" x14ac:dyDescent="0.3">
      <c r="A393" t="s">
        <v>1309</v>
      </c>
      <c r="B393" t="s">
        <v>168</v>
      </c>
      <c r="C393" s="13" t="s">
        <v>7</v>
      </c>
      <c r="D393" s="13" t="s">
        <v>1308</v>
      </c>
      <c r="E393" t="s">
        <v>6185</v>
      </c>
    </row>
    <row r="394" spans="1:11" outlineLevel="1" x14ac:dyDescent="0.3">
      <c r="A394" t="s">
        <v>1310</v>
      </c>
      <c r="B394" t="s">
        <v>168</v>
      </c>
      <c r="C394" s="13" t="s">
        <v>7</v>
      </c>
      <c r="D394" s="13" t="s">
        <v>1308</v>
      </c>
      <c r="E394" t="s">
        <v>6185</v>
      </c>
    </row>
    <row r="395" spans="1:11" outlineLevel="1" x14ac:dyDescent="0.3">
      <c r="A395" t="s">
        <v>1311</v>
      </c>
      <c r="B395" t="s">
        <v>168</v>
      </c>
      <c r="C395" s="13" t="s">
        <v>9</v>
      </c>
      <c r="D395" s="13" t="s">
        <v>1306</v>
      </c>
      <c r="E395" t="s">
        <v>6204</v>
      </c>
    </row>
    <row r="396" spans="1:11" outlineLevel="1" x14ac:dyDescent="0.3">
      <c r="A396" t="s">
        <v>1312</v>
      </c>
      <c r="B396" t="s">
        <v>168</v>
      </c>
      <c r="C396" s="13" t="s">
        <v>9</v>
      </c>
      <c r="D396" s="13" t="s">
        <v>1306</v>
      </c>
      <c r="E396" t="s">
        <v>6204</v>
      </c>
    </row>
    <row r="397" spans="1:11" outlineLevel="1" x14ac:dyDescent="0.3">
      <c r="A397" t="s">
        <v>1313</v>
      </c>
      <c r="B397" t="s">
        <v>168</v>
      </c>
      <c r="C397" s="13" t="s">
        <v>7</v>
      </c>
      <c r="D397" s="13" t="s">
        <v>1314</v>
      </c>
      <c r="E397" t="s">
        <v>6201</v>
      </c>
    </row>
    <row r="398" spans="1:11" outlineLevel="1" x14ac:dyDescent="0.3">
      <c r="A398" t="s">
        <v>1315</v>
      </c>
      <c r="B398" t="s">
        <v>168</v>
      </c>
      <c r="C398" s="13" t="s">
        <v>9</v>
      </c>
      <c r="D398" s="13" t="s">
        <v>1316</v>
      </c>
      <c r="E398" t="s">
        <v>6198</v>
      </c>
    </row>
    <row r="399" spans="1:11" outlineLevel="1" x14ac:dyDescent="0.3">
      <c r="A399" t="s">
        <v>1317</v>
      </c>
      <c r="B399" t="s">
        <v>168</v>
      </c>
      <c r="C399" s="13" t="s">
        <v>7</v>
      </c>
      <c r="D399" s="13" t="s">
        <v>1318</v>
      </c>
      <c r="E399" t="s">
        <v>6193</v>
      </c>
    </row>
    <row r="400" spans="1:11" outlineLevel="1" x14ac:dyDescent="0.3">
      <c r="A400" t="s">
        <v>1319</v>
      </c>
      <c r="B400" t="s">
        <v>168</v>
      </c>
      <c r="C400" s="13" t="s">
        <v>7</v>
      </c>
      <c r="D400" s="13" t="s">
        <v>1318</v>
      </c>
      <c r="E400" t="s">
        <v>6193</v>
      </c>
      <c r="K400" t="s">
        <v>6802</v>
      </c>
    </row>
    <row r="401" spans="1:11" outlineLevel="1" x14ac:dyDescent="0.3">
      <c r="A401" t="s">
        <v>1320</v>
      </c>
      <c r="B401" t="s">
        <v>168</v>
      </c>
      <c r="C401" s="13" t="s">
        <v>7</v>
      </c>
      <c r="D401" s="13" t="s">
        <v>1321</v>
      </c>
      <c r="E401" t="s">
        <v>6193</v>
      </c>
      <c r="K401" t="s">
        <v>6802</v>
      </c>
    </row>
    <row r="402" spans="1:11" outlineLevel="1" x14ac:dyDescent="0.3">
      <c r="A402" t="s">
        <v>1322</v>
      </c>
      <c r="B402" t="s">
        <v>168</v>
      </c>
      <c r="C402" s="13" t="s">
        <v>7</v>
      </c>
      <c r="D402" s="13" t="s">
        <v>1321</v>
      </c>
      <c r="E402" t="s">
        <v>6193</v>
      </c>
    </row>
    <row r="403" spans="1:11" outlineLevel="1" x14ac:dyDescent="0.3">
      <c r="A403" t="s">
        <v>1323</v>
      </c>
      <c r="B403" t="s">
        <v>168</v>
      </c>
      <c r="C403" s="13" t="s">
        <v>9</v>
      </c>
      <c r="D403" s="13" t="s">
        <v>1316</v>
      </c>
      <c r="E403" t="s">
        <v>6198</v>
      </c>
    </row>
    <row r="404" spans="1:11" outlineLevel="1" x14ac:dyDescent="0.3">
      <c r="A404" s="13" t="s">
        <v>1324</v>
      </c>
      <c r="B404" s="13" t="s">
        <v>1325</v>
      </c>
      <c r="C404" s="13" t="s">
        <v>9</v>
      </c>
      <c r="D404" s="13" t="s">
        <v>1326</v>
      </c>
      <c r="E404" t="s">
        <v>6631</v>
      </c>
    </row>
    <row r="405" spans="1:11" outlineLevel="1" x14ac:dyDescent="0.3">
      <c r="A405" s="13" t="s">
        <v>1327</v>
      </c>
      <c r="B405" s="13" t="s">
        <v>1325</v>
      </c>
      <c r="C405" s="13" t="s">
        <v>9</v>
      </c>
      <c r="D405" s="13" t="s">
        <v>1326</v>
      </c>
      <c r="E405" t="s">
        <v>6631</v>
      </c>
      <c r="K405" t="s">
        <v>6817</v>
      </c>
    </row>
    <row r="406" spans="1:11" outlineLevel="1" x14ac:dyDescent="0.3">
      <c r="A406" s="13" t="s">
        <v>1328</v>
      </c>
      <c r="B406" s="13" t="s">
        <v>1325</v>
      </c>
      <c r="C406" s="13" t="s">
        <v>9</v>
      </c>
      <c r="D406" s="13" t="s">
        <v>1329</v>
      </c>
      <c r="E406" t="s">
        <v>6379</v>
      </c>
    </row>
    <row r="407" spans="1:11" outlineLevel="1" x14ac:dyDescent="0.3">
      <c r="A407" s="13" t="s">
        <v>1330</v>
      </c>
      <c r="B407" s="13" t="s">
        <v>1325</v>
      </c>
      <c r="C407" s="13" t="s">
        <v>9</v>
      </c>
      <c r="D407" s="13" t="s">
        <v>1326</v>
      </c>
      <c r="E407" t="s">
        <v>6631</v>
      </c>
    </row>
    <row r="408" spans="1:11" outlineLevel="1" x14ac:dyDescent="0.3">
      <c r="A408" s="13" t="s">
        <v>1331</v>
      </c>
      <c r="B408" s="13" t="s">
        <v>1325</v>
      </c>
      <c r="C408" s="13" t="s">
        <v>9</v>
      </c>
      <c r="D408" s="13" t="s">
        <v>1329</v>
      </c>
      <c r="E408" t="s">
        <v>6379</v>
      </c>
    </row>
    <row r="409" spans="1:11" outlineLevel="1" x14ac:dyDescent="0.3">
      <c r="A409" s="13" t="s">
        <v>1332</v>
      </c>
      <c r="B409" s="13" t="s">
        <v>1325</v>
      </c>
      <c r="C409" s="13" t="s">
        <v>9</v>
      </c>
      <c r="D409" s="13" t="s">
        <v>1329</v>
      </c>
      <c r="E409" t="s">
        <v>6379</v>
      </c>
    </row>
    <row r="410" spans="1:11" outlineLevel="1" x14ac:dyDescent="0.3">
      <c r="A410" s="13" t="s">
        <v>1333</v>
      </c>
      <c r="B410" s="13" t="s">
        <v>1325</v>
      </c>
      <c r="C410" s="13" t="s">
        <v>9</v>
      </c>
      <c r="D410" s="13" t="s">
        <v>853</v>
      </c>
      <c r="E410" t="s">
        <v>6595</v>
      </c>
      <c r="J410" t="s">
        <v>6864</v>
      </c>
      <c r="K410" t="s">
        <v>6796</v>
      </c>
    </row>
    <row r="411" spans="1:11" outlineLevel="1" x14ac:dyDescent="0.3">
      <c r="A411" s="13" t="s">
        <v>1334</v>
      </c>
      <c r="B411" s="13" t="s">
        <v>1325</v>
      </c>
      <c r="C411" s="13" t="s">
        <v>9</v>
      </c>
      <c r="D411" s="13" t="s">
        <v>1335</v>
      </c>
      <c r="E411" t="s">
        <v>6458</v>
      </c>
    </row>
    <row r="412" spans="1:11" outlineLevel="1" x14ac:dyDescent="0.3">
      <c r="A412" s="13" t="s">
        <v>1336</v>
      </c>
      <c r="B412" s="13" t="s">
        <v>1325</v>
      </c>
      <c r="C412" s="13" t="s">
        <v>9</v>
      </c>
      <c r="D412" s="13" t="s">
        <v>853</v>
      </c>
      <c r="E412" t="s">
        <v>6595</v>
      </c>
      <c r="J412" t="s">
        <v>6864</v>
      </c>
      <c r="K412" t="s">
        <v>6796</v>
      </c>
    </row>
    <row r="413" spans="1:11" outlineLevel="1" x14ac:dyDescent="0.3">
      <c r="A413" s="13" t="s">
        <v>1337</v>
      </c>
      <c r="B413" s="13" t="s">
        <v>1325</v>
      </c>
      <c r="C413" s="13" t="s">
        <v>9</v>
      </c>
      <c r="D413" s="13" t="s">
        <v>853</v>
      </c>
      <c r="E413" t="s">
        <v>6595</v>
      </c>
    </row>
    <row r="414" spans="1:11" outlineLevel="1" x14ac:dyDescent="0.3">
      <c r="A414" s="13" t="s">
        <v>1338</v>
      </c>
      <c r="B414" s="13" t="s">
        <v>1325</v>
      </c>
      <c r="C414" s="13" t="s">
        <v>9</v>
      </c>
      <c r="D414" s="13" t="s">
        <v>853</v>
      </c>
      <c r="E414" t="s">
        <v>6595</v>
      </c>
    </row>
    <row r="415" spans="1:11" outlineLevel="1" x14ac:dyDescent="0.3">
      <c r="A415" s="13" t="s">
        <v>1339</v>
      </c>
      <c r="B415" s="13" t="s">
        <v>1325</v>
      </c>
      <c r="C415" s="13" t="s">
        <v>9</v>
      </c>
      <c r="D415" s="13" t="s">
        <v>853</v>
      </c>
      <c r="E415" t="s">
        <v>6595</v>
      </c>
      <c r="J415" t="s">
        <v>6864</v>
      </c>
      <c r="K415" t="s">
        <v>6796</v>
      </c>
    </row>
    <row r="416" spans="1:11" outlineLevel="1" x14ac:dyDescent="0.3">
      <c r="A416" s="13" t="s">
        <v>1340</v>
      </c>
      <c r="B416" s="13" t="s">
        <v>1325</v>
      </c>
      <c r="C416" s="13" t="s">
        <v>9</v>
      </c>
      <c r="D416" s="13" t="s">
        <v>853</v>
      </c>
      <c r="E416" t="s">
        <v>6595</v>
      </c>
      <c r="J416" t="s">
        <v>6864</v>
      </c>
      <c r="K416" t="s">
        <v>6796</v>
      </c>
    </row>
    <row r="417" spans="1:11" outlineLevel="1" x14ac:dyDescent="0.3">
      <c r="A417" s="13" t="s">
        <v>1341</v>
      </c>
      <c r="B417" s="13" t="s">
        <v>1325</v>
      </c>
      <c r="C417" s="13" t="s">
        <v>9</v>
      </c>
      <c r="D417" s="13" t="s">
        <v>853</v>
      </c>
      <c r="E417" t="s">
        <v>6595</v>
      </c>
      <c r="J417" t="s">
        <v>6864</v>
      </c>
      <c r="K417" t="s">
        <v>6796</v>
      </c>
    </row>
    <row r="418" spans="1:11" outlineLevel="1" x14ac:dyDescent="0.3">
      <c r="A418" s="13" t="s">
        <v>1342</v>
      </c>
      <c r="B418" s="13" t="s">
        <v>1325</v>
      </c>
      <c r="C418" s="13" t="s">
        <v>9</v>
      </c>
      <c r="D418" s="13" t="s">
        <v>853</v>
      </c>
      <c r="E418" t="s">
        <v>6595</v>
      </c>
    </row>
    <row r="419" spans="1:11" outlineLevel="1" x14ac:dyDescent="0.3">
      <c r="A419" s="13" t="s">
        <v>1343</v>
      </c>
      <c r="B419" s="13" t="s">
        <v>1325</v>
      </c>
      <c r="C419" s="13" t="s">
        <v>9</v>
      </c>
      <c r="D419" s="13" t="s">
        <v>853</v>
      </c>
      <c r="E419" t="s">
        <v>6595</v>
      </c>
      <c r="J419" t="s">
        <v>6864</v>
      </c>
      <c r="K419" t="s">
        <v>6796</v>
      </c>
    </row>
    <row r="420" spans="1:11" outlineLevel="1" x14ac:dyDescent="0.3">
      <c r="A420" s="13" t="s">
        <v>1344</v>
      </c>
      <c r="B420" s="13" t="s">
        <v>1325</v>
      </c>
      <c r="C420" s="13" t="s">
        <v>9</v>
      </c>
      <c r="D420" s="13" t="s">
        <v>853</v>
      </c>
      <c r="E420" t="s">
        <v>6595</v>
      </c>
      <c r="J420" t="s">
        <v>6864</v>
      </c>
      <c r="K420" t="s">
        <v>6796</v>
      </c>
    </row>
    <row r="421" spans="1:11" outlineLevel="1" x14ac:dyDescent="0.3">
      <c r="A421" s="13" t="s">
        <v>1345</v>
      </c>
      <c r="B421" s="13" t="s">
        <v>1325</v>
      </c>
      <c r="C421" s="13" t="s">
        <v>9</v>
      </c>
      <c r="D421" s="13" t="s">
        <v>853</v>
      </c>
      <c r="E421" t="s">
        <v>6595</v>
      </c>
      <c r="J421" t="s">
        <v>6864</v>
      </c>
      <c r="K421" t="s">
        <v>6796</v>
      </c>
    </row>
    <row r="422" spans="1:11" outlineLevel="1" x14ac:dyDescent="0.3">
      <c r="A422" s="13" t="s">
        <v>1346</v>
      </c>
      <c r="B422" s="13" t="s">
        <v>1325</v>
      </c>
      <c r="C422" s="13" t="s">
        <v>9</v>
      </c>
      <c r="D422" s="13" t="s">
        <v>1347</v>
      </c>
      <c r="E422" t="s">
        <v>6458</v>
      </c>
    </row>
    <row r="423" spans="1:11" outlineLevel="1" x14ac:dyDescent="0.3">
      <c r="A423" s="13" t="s">
        <v>1348</v>
      </c>
      <c r="B423" s="13" t="s">
        <v>1325</v>
      </c>
      <c r="C423" s="13" t="s">
        <v>9</v>
      </c>
      <c r="D423" s="13" t="s">
        <v>1349</v>
      </c>
      <c r="E423" t="s">
        <v>6478</v>
      </c>
      <c r="K423" t="s">
        <v>6822</v>
      </c>
    </row>
    <row r="424" spans="1:11" outlineLevel="1" x14ac:dyDescent="0.3">
      <c r="A424" s="13" t="s">
        <v>1350</v>
      </c>
      <c r="B424" s="13" t="s">
        <v>1325</v>
      </c>
      <c r="C424" s="13" t="s">
        <v>9</v>
      </c>
      <c r="D424" s="13" t="s">
        <v>927</v>
      </c>
      <c r="E424" t="s">
        <v>6076</v>
      </c>
      <c r="J424" t="s">
        <v>6807</v>
      </c>
      <c r="K424" t="s">
        <v>6803</v>
      </c>
    </row>
    <row r="425" spans="1:11" outlineLevel="1" x14ac:dyDescent="0.3">
      <c r="A425" s="13" t="s">
        <v>1351</v>
      </c>
      <c r="B425" s="13" t="s">
        <v>1325</v>
      </c>
      <c r="C425" s="13" t="s">
        <v>7</v>
      </c>
      <c r="D425" s="13" t="s">
        <v>927</v>
      </c>
      <c r="E425" t="s">
        <v>6076</v>
      </c>
      <c r="J425" t="s">
        <v>6807</v>
      </c>
      <c r="K425" t="s">
        <v>6803</v>
      </c>
    </row>
    <row r="426" spans="1:11" outlineLevel="1" x14ac:dyDescent="0.3">
      <c r="A426" s="13" t="s">
        <v>1352</v>
      </c>
      <c r="B426" s="13" t="s">
        <v>1325</v>
      </c>
      <c r="C426" s="13" t="s">
        <v>7</v>
      </c>
      <c r="D426" s="13" t="s">
        <v>927</v>
      </c>
      <c r="E426" t="s">
        <v>6076</v>
      </c>
      <c r="J426" t="s">
        <v>6807</v>
      </c>
      <c r="K426" t="s">
        <v>6803</v>
      </c>
    </row>
    <row r="427" spans="1:11" outlineLevel="1" x14ac:dyDescent="0.3">
      <c r="A427" s="13" t="s">
        <v>1353</v>
      </c>
      <c r="B427" s="13" t="s">
        <v>1325</v>
      </c>
      <c r="C427" s="13" t="s">
        <v>9</v>
      </c>
      <c r="D427" s="13" t="s">
        <v>1354</v>
      </c>
      <c r="E427" t="s">
        <v>6634</v>
      </c>
      <c r="J427" t="s">
        <v>6857</v>
      </c>
      <c r="K427" t="s">
        <v>6803</v>
      </c>
    </row>
    <row r="428" spans="1:11" outlineLevel="1" x14ac:dyDescent="0.3">
      <c r="A428" s="13" t="s">
        <v>1355</v>
      </c>
      <c r="B428" s="13" t="s">
        <v>1325</v>
      </c>
      <c r="C428" s="13" t="s">
        <v>9</v>
      </c>
      <c r="D428" s="13" t="s">
        <v>1354</v>
      </c>
      <c r="E428" t="s">
        <v>6634</v>
      </c>
      <c r="J428" t="s">
        <v>6857</v>
      </c>
      <c r="K428" t="s">
        <v>6803</v>
      </c>
    </row>
    <row r="429" spans="1:11" outlineLevel="1" x14ac:dyDescent="0.3">
      <c r="A429" s="13" t="s">
        <v>1356</v>
      </c>
      <c r="B429" s="13" t="s">
        <v>1325</v>
      </c>
      <c r="C429" s="13" t="s">
        <v>9</v>
      </c>
      <c r="D429" s="13" t="s">
        <v>1354</v>
      </c>
      <c r="E429" t="s">
        <v>6634</v>
      </c>
    </row>
    <row r="430" spans="1:11" outlineLevel="1" x14ac:dyDescent="0.3">
      <c r="A430" s="13" t="s">
        <v>1357</v>
      </c>
      <c r="B430" s="13" t="s">
        <v>1325</v>
      </c>
      <c r="C430" s="13" t="s">
        <v>9</v>
      </c>
      <c r="D430" s="13" t="s">
        <v>1354</v>
      </c>
      <c r="E430" t="s">
        <v>6634</v>
      </c>
      <c r="J430" t="s">
        <v>6857</v>
      </c>
      <c r="K430" t="s">
        <v>6835</v>
      </c>
    </row>
    <row r="431" spans="1:11" outlineLevel="1" x14ac:dyDescent="0.3">
      <c r="A431" s="13" t="s">
        <v>1358</v>
      </c>
      <c r="B431" s="13" t="s">
        <v>1325</v>
      </c>
      <c r="C431" s="13" t="s">
        <v>9</v>
      </c>
      <c r="D431" s="13" t="s">
        <v>1354</v>
      </c>
      <c r="E431" t="s">
        <v>6634</v>
      </c>
      <c r="J431" t="s">
        <v>6857</v>
      </c>
      <c r="K431" t="s">
        <v>6835</v>
      </c>
    </row>
    <row r="432" spans="1:11" outlineLevel="1" x14ac:dyDescent="0.3">
      <c r="A432" s="13" t="s">
        <v>1359</v>
      </c>
      <c r="B432" s="13" t="s">
        <v>1325</v>
      </c>
      <c r="C432" s="13" t="s">
        <v>9</v>
      </c>
      <c r="D432" s="13" t="s">
        <v>1360</v>
      </c>
      <c r="E432" t="s">
        <v>6637</v>
      </c>
      <c r="K432" t="s">
        <v>6803</v>
      </c>
    </row>
    <row r="433" spans="1:11" outlineLevel="1" x14ac:dyDescent="0.3">
      <c r="A433" s="13" t="s">
        <v>1361</v>
      </c>
      <c r="B433" s="13" t="s">
        <v>1325</v>
      </c>
      <c r="C433" s="13" t="s">
        <v>9</v>
      </c>
      <c r="D433" s="13" t="s">
        <v>1360</v>
      </c>
      <c r="E433" t="s">
        <v>6637</v>
      </c>
      <c r="J433" t="s">
        <v>6848</v>
      </c>
      <c r="K433" t="s">
        <v>6840</v>
      </c>
    </row>
    <row r="434" spans="1:11" outlineLevel="1" x14ac:dyDescent="0.3">
      <c r="A434" s="13" t="s">
        <v>1362</v>
      </c>
      <c r="B434" s="13" t="s">
        <v>1325</v>
      </c>
      <c r="C434" s="13" t="s">
        <v>9</v>
      </c>
      <c r="D434" s="13" t="s">
        <v>1360</v>
      </c>
      <c r="E434" t="s">
        <v>6637</v>
      </c>
      <c r="K434" t="s">
        <v>6806</v>
      </c>
    </row>
    <row r="435" spans="1:11" outlineLevel="1" x14ac:dyDescent="0.3">
      <c r="A435" s="13" t="s">
        <v>1363</v>
      </c>
      <c r="B435" s="13" t="s">
        <v>1325</v>
      </c>
      <c r="C435" s="13" t="s">
        <v>9</v>
      </c>
      <c r="D435" s="13" t="s">
        <v>1364</v>
      </c>
      <c r="E435" t="s">
        <v>6141</v>
      </c>
      <c r="J435" t="s">
        <v>6843</v>
      </c>
      <c r="K435" t="s">
        <v>6835</v>
      </c>
    </row>
    <row r="436" spans="1:11" outlineLevel="1" x14ac:dyDescent="0.3">
      <c r="A436" s="13" t="s">
        <v>1365</v>
      </c>
      <c r="B436" s="13" t="s">
        <v>1325</v>
      </c>
      <c r="C436" s="13" t="s">
        <v>7</v>
      </c>
      <c r="D436" s="13" t="s">
        <v>930</v>
      </c>
      <c r="E436" t="s">
        <v>6084</v>
      </c>
      <c r="J436" t="s">
        <v>6808</v>
      </c>
      <c r="K436" t="s">
        <v>6803</v>
      </c>
    </row>
    <row r="437" spans="1:11" outlineLevel="1" x14ac:dyDescent="0.3">
      <c r="A437" s="13" t="s">
        <v>1366</v>
      </c>
      <c r="B437" s="13" t="s">
        <v>1325</v>
      </c>
      <c r="C437" s="13" t="s">
        <v>7</v>
      </c>
      <c r="D437" s="13" t="s">
        <v>930</v>
      </c>
      <c r="E437" t="s">
        <v>6084</v>
      </c>
      <c r="J437" t="s">
        <v>6808</v>
      </c>
      <c r="K437" t="s">
        <v>6803</v>
      </c>
    </row>
    <row r="438" spans="1:11" outlineLevel="1" x14ac:dyDescent="0.3">
      <c r="A438" s="13" t="s">
        <v>1367</v>
      </c>
      <c r="B438" s="13" t="s">
        <v>1325</v>
      </c>
      <c r="C438" s="13" t="s">
        <v>7</v>
      </c>
      <c r="D438" s="13" t="s">
        <v>930</v>
      </c>
      <c r="E438" t="s">
        <v>6084</v>
      </c>
      <c r="J438" t="s">
        <v>6808</v>
      </c>
      <c r="K438" t="s">
        <v>6803</v>
      </c>
    </row>
    <row r="439" spans="1:11" outlineLevel="1" x14ac:dyDescent="0.3">
      <c r="A439" s="13" t="s">
        <v>1369</v>
      </c>
      <c r="B439" s="13" t="s">
        <v>1325</v>
      </c>
      <c r="C439" s="13" t="s">
        <v>7</v>
      </c>
      <c r="D439" s="13" t="s">
        <v>1370</v>
      </c>
      <c r="E439" t="s">
        <v>6109</v>
      </c>
      <c r="J439" t="s">
        <v>6858</v>
      </c>
      <c r="K439" t="s">
        <v>6806</v>
      </c>
    </row>
    <row r="440" spans="1:11" outlineLevel="1" x14ac:dyDescent="0.3">
      <c r="A440" s="13" t="s">
        <v>1371</v>
      </c>
      <c r="B440" s="13" t="s">
        <v>1325</v>
      </c>
      <c r="C440" s="13" t="s">
        <v>9</v>
      </c>
      <c r="D440" s="13" t="s">
        <v>1354</v>
      </c>
      <c r="E440" t="s">
        <v>6634</v>
      </c>
      <c r="K440" t="s">
        <v>6806</v>
      </c>
    </row>
    <row r="441" spans="1:11" outlineLevel="1" x14ac:dyDescent="0.3">
      <c r="A441" s="13" t="s">
        <v>1372</v>
      </c>
      <c r="B441" s="13" t="s">
        <v>1325</v>
      </c>
      <c r="C441" s="13" t="s">
        <v>7</v>
      </c>
      <c r="D441" s="13" t="s">
        <v>1373</v>
      </c>
      <c r="E441" t="s">
        <v>6115</v>
      </c>
      <c r="J441" t="s">
        <v>6859</v>
      </c>
      <c r="K441" t="s">
        <v>6806</v>
      </c>
    </row>
    <row r="442" spans="1:11" outlineLevel="1" x14ac:dyDescent="0.3">
      <c r="A442" s="13" t="s">
        <v>1374</v>
      </c>
      <c r="B442" s="13" t="s">
        <v>1325</v>
      </c>
      <c r="C442" s="13" t="s">
        <v>7</v>
      </c>
      <c r="D442" s="13" t="s">
        <v>1375</v>
      </c>
      <c r="E442" t="s">
        <v>6101</v>
      </c>
    </row>
    <row r="443" spans="1:11" outlineLevel="1" x14ac:dyDescent="0.3">
      <c r="A443" s="13" t="s">
        <v>1376</v>
      </c>
      <c r="B443" s="13" t="s">
        <v>1325</v>
      </c>
      <c r="C443" s="13" t="s">
        <v>7</v>
      </c>
      <c r="D443" s="13" t="s">
        <v>1377</v>
      </c>
      <c r="E443" t="s">
        <v>6090</v>
      </c>
      <c r="J443" t="s">
        <v>6860</v>
      </c>
      <c r="K443" t="s">
        <v>6806</v>
      </c>
    </row>
    <row r="444" spans="1:11" outlineLevel="1" x14ac:dyDescent="0.3">
      <c r="A444" s="13" t="s">
        <v>1378</v>
      </c>
      <c r="B444" s="13" t="s">
        <v>1325</v>
      </c>
      <c r="C444" s="13" t="s">
        <v>7</v>
      </c>
      <c r="D444" s="13" t="s">
        <v>1379</v>
      </c>
      <c r="E444" t="s">
        <v>6640</v>
      </c>
    </row>
    <row r="445" spans="1:11" outlineLevel="1" x14ac:dyDescent="0.3">
      <c r="A445" s="13" t="s">
        <v>1380</v>
      </c>
      <c r="B445" s="13" t="s">
        <v>1325</v>
      </c>
      <c r="C445" s="13" t="s">
        <v>9</v>
      </c>
      <c r="D445" s="13" t="s">
        <v>6863</v>
      </c>
      <c r="E445" t="s">
        <v>6031</v>
      </c>
      <c r="K445" t="s">
        <v>6856</v>
      </c>
    </row>
    <row r="446" spans="1:11" outlineLevel="1" x14ac:dyDescent="0.3">
      <c r="A446" s="13" t="s">
        <v>1381</v>
      </c>
      <c r="B446" s="13" t="s">
        <v>1325</v>
      </c>
      <c r="C446" s="13" t="s">
        <v>9</v>
      </c>
      <c r="D446" s="13" t="s">
        <v>1382</v>
      </c>
      <c r="E446" t="s">
        <v>6642</v>
      </c>
    </row>
    <row r="447" spans="1:11" outlineLevel="1" x14ac:dyDescent="0.3">
      <c r="A447" s="13" t="s">
        <v>1383</v>
      </c>
      <c r="B447" s="13" t="s">
        <v>1325</v>
      </c>
      <c r="C447" s="13" t="s">
        <v>7</v>
      </c>
      <c r="D447" s="13" t="s">
        <v>1384</v>
      </c>
      <c r="E447" t="s">
        <v>6155</v>
      </c>
    </row>
    <row r="448" spans="1:11" outlineLevel="1" x14ac:dyDescent="0.3">
      <c r="A448" s="13" t="s">
        <v>1385</v>
      </c>
      <c r="B448" s="13" t="s">
        <v>1325</v>
      </c>
      <c r="C448" s="13" t="s">
        <v>7</v>
      </c>
      <c r="D448" s="13" t="s">
        <v>1384</v>
      </c>
      <c r="E448" t="s">
        <v>6155</v>
      </c>
      <c r="J448" t="s">
        <v>6867</v>
      </c>
      <c r="K448" t="s">
        <v>6809</v>
      </c>
    </row>
    <row r="449" spans="1:11" outlineLevel="1" x14ac:dyDescent="0.3">
      <c r="A449" s="13" t="s">
        <v>1386</v>
      </c>
      <c r="B449" s="13" t="s">
        <v>1325</v>
      </c>
      <c r="C449" s="13" t="s">
        <v>7</v>
      </c>
      <c r="D449" s="13" t="s">
        <v>1384</v>
      </c>
      <c r="E449" t="s">
        <v>6155</v>
      </c>
    </row>
    <row r="450" spans="1:11" outlineLevel="1" x14ac:dyDescent="0.3">
      <c r="A450" s="13" t="s">
        <v>1387</v>
      </c>
      <c r="B450" s="13" t="s">
        <v>1325</v>
      </c>
      <c r="C450" s="13" t="s">
        <v>9</v>
      </c>
      <c r="D450" s="13" t="s">
        <v>1388</v>
      </c>
      <c r="E450" t="s">
        <v>6628</v>
      </c>
      <c r="K450" t="s">
        <v>6856</v>
      </c>
    </row>
    <row r="451" spans="1:11" outlineLevel="1" x14ac:dyDescent="0.3">
      <c r="A451" s="13" t="s">
        <v>1389</v>
      </c>
      <c r="B451" s="13" t="s">
        <v>1325</v>
      </c>
      <c r="C451" s="13" t="s">
        <v>9</v>
      </c>
      <c r="D451" s="13" t="s">
        <v>1390</v>
      </c>
      <c r="E451" t="s">
        <v>6628</v>
      </c>
    </row>
    <row r="452" spans="1:11" outlineLevel="1" x14ac:dyDescent="0.3">
      <c r="A452" s="13" t="s">
        <v>1391</v>
      </c>
      <c r="B452" s="13" t="s">
        <v>1325</v>
      </c>
      <c r="C452" s="13" t="s">
        <v>9</v>
      </c>
      <c r="D452" s="13" t="s">
        <v>1392</v>
      </c>
      <c r="E452" t="s">
        <v>6076</v>
      </c>
    </row>
    <row r="453" spans="1:11" outlineLevel="1" x14ac:dyDescent="0.3">
      <c r="A453" s="13" t="s">
        <v>1393</v>
      </c>
      <c r="B453" s="13" t="s">
        <v>1325</v>
      </c>
      <c r="C453" s="13" t="s">
        <v>9</v>
      </c>
      <c r="D453" s="13" t="s">
        <v>1392</v>
      </c>
      <c r="E453" t="s">
        <v>6076</v>
      </c>
    </row>
    <row r="454" spans="1:11" outlineLevel="1" x14ac:dyDescent="0.3">
      <c r="A454" s="13" t="s">
        <v>1394</v>
      </c>
      <c r="B454" s="13" t="s">
        <v>1325</v>
      </c>
      <c r="C454" s="13" t="s">
        <v>9</v>
      </c>
      <c r="D454" s="13" t="s">
        <v>1392</v>
      </c>
      <c r="E454" t="s">
        <v>6076</v>
      </c>
    </row>
    <row r="455" spans="1:11" outlineLevel="1" x14ac:dyDescent="0.3">
      <c r="A455" s="26" t="s">
        <v>2733</v>
      </c>
      <c r="B455" s="26" t="s">
        <v>2548</v>
      </c>
      <c r="C455" s="25"/>
      <c r="D455" s="26" t="s">
        <v>6720</v>
      </c>
      <c r="E455" s="25" t="s">
        <v>6095</v>
      </c>
      <c r="F455" s="25"/>
      <c r="G455" s="25"/>
      <c r="H455" s="25"/>
      <c r="I455" s="25"/>
      <c r="J455" s="25" t="s">
        <v>6848</v>
      </c>
      <c r="K455" s="25" t="s">
        <v>6840</v>
      </c>
    </row>
    <row r="456" spans="1:11" outlineLevel="1" x14ac:dyDescent="0.3">
      <c r="A456" s="26" t="s">
        <v>2735</v>
      </c>
      <c r="B456" s="26" t="s">
        <v>2548</v>
      </c>
      <c r="C456" s="25"/>
      <c r="D456" s="26" t="s">
        <v>6720</v>
      </c>
      <c r="E456" s="25" t="s">
        <v>6095</v>
      </c>
      <c r="F456" s="25"/>
      <c r="G456" s="25"/>
      <c r="H456" s="25"/>
      <c r="I456" s="25"/>
      <c r="J456" s="25" t="s">
        <v>6848</v>
      </c>
      <c r="K456" s="25" t="s">
        <v>6840</v>
      </c>
    </row>
    <row r="457" spans="1:11" outlineLevel="1" x14ac:dyDescent="0.3">
      <c r="A457" s="26" t="s">
        <v>2736</v>
      </c>
      <c r="B457" s="26" t="s">
        <v>2548</v>
      </c>
      <c r="C457" s="25"/>
      <c r="D457" s="26" t="s">
        <v>6721</v>
      </c>
      <c r="E457" s="25" t="s">
        <v>6098</v>
      </c>
      <c r="F457" s="25"/>
      <c r="G457" s="25"/>
      <c r="H457" s="25"/>
      <c r="I457" s="25"/>
      <c r="J457" s="25" t="s">
        <v>6882</v>
      </c>
      <c r="K457" s="25" t="s">
        <v>6840</v>
      </c>
    </row>
    <row r="458" spans="1:11" outlineLevel="1" x14ac:dyDescent="0.3">
      <c r="A458" s="13" t="s">
        <v>2737</v>
      </c>
      <c r="B458" s="13" t="s">
        <v>2548</v>
      </c>
      <c r="D458" s="13" t="s">
        <v>6721</v>
      </c>
      <c r="E458" t="s">
        <v>6098</v>
      </c>
    </row>
    <row r="459" spans="1:11" outlineLevel="1" x14ac:dyDescent="0.3">
      <c r="A459" s="13" t="s">
        <v>2738</v>
      </c>
      <c r="B459" s="13" t="s">
        <v>2548</v>
      </c>
      <c r="D459" s="13" t="s">
        <v>6735</v>
      </c>
      <c r="E459" t="s">
        <v>6761</v>
      </c>
    </row>
    <row r="460" spans="1:11" outlineLevel="1" x14ac:dyDescent="0.3">
      <c r="A460" s="26" t="s">
        <v>2739</v>
      </c>
      <c r="B460" s="26" t="s">
        <v>2548</v>
      </c>
      <c r="C460" s="25"/>
      <c r="D460" s="26" t="s">
        <v>6735</v>
      </c>
      <c r="E460" s="25" t="s">
        <v>6761</v>
      </c>
      <c r="F460" s="25"/>
      <c r="G460" s="25"/>
      <c r="H460" s="25"/>
      <c r="I460" s="25"/>
      <c r="J460" s="25" t="s">
        <v>6883</v>
      </c>
      <c r="K460" s="25" t="s">
        <v>6856</v>
      </c>
    </row>
    <row r="461" spans="1:11" outlineLevel="1" x14ac:dyDescent="0.3">
      <c r="A461" s="13" t="s">
        <v>2740</v>
      </c>
      <c r="B461" s="13" t="s">
        <v>2548</v>
      </c>
      <c r="D461" s="13" t="s">
        <v>6722</v>
      </c>
      <c r="E461" t="s">
        <v>6127</v>
      </c>
      <c r="J461" s="34" t="s">
        <v>6882</v>
      </c>
    </row>
    <row r="462" spans="1:11" outlineLevel="1" x14ac:dyDescent="0.3">
      <c r="A462" s="26" t="s">
        <v>2741</v>
      </c>
      <c r="B462" s="26" t="s">
        <v>2548</v>
      </c>
      <c r="C462" s="25"/>
      <c r="D462" s="26" t="s">
        <v>1375</v>
      </c>
      <c r="E462" s="25" t="s">
        <v>6101</v>
      </c>
      <c r="F462" s="25"/>
      <c r="G462" s="25"/>
      <c r="H462" s="25"/>
      <c r="I462" s="25"/>
      <c r="J462" s="25" t="s">
        <v>6882</v>
      </c>
      <c r="K462" s="25"/>
    </row>
    <row r="463" spans="1:11" outlineLevel="1" x14ac:dyDescent="0.3">
      <c r="A463" s="13" t="s">
        <v>2744</v>
      </c>
      <c r="B463" s="13" t="s">
        <v>2548</v>
      </c>
      <c r="D463" s="13" t="s">
        <v>1375</v>
      </c>
      <c r="E463" t="s">
        <v>6101</v>
      </c>
    </row>
    <row r="464" spans="1:11" outlineLevel="1" x14ac:dyDescent="0.3">
      <c r="A464" s="26" t="s">
        <v>2747</v>
      </c>
      <c r="B464" s="26" t="s">
        <v>2548</v>
      </c>
      <c r="C464" s="25"/>
      <c r="D464" s="26" t="s">
        <v>6723</v>
      </c>
      <c r="E464" s="25" t="s">
        <v>6135</v>
      </c>
      <c r="F464" s="25"/>
      <c r="G464" s="25"/>
      <c r="H464" s="25"/>
      <c r="I464" s="25"/>
      <c r="J464" s="25" t="s">
        <v>6852</v>
      </c>
      <c r="K464" s="25" t="s">
        <v>6835</v>
      </c>
    </row>
    <row r="465" spans="1:11" outlineLevel="1" x14ac:dyDescent="0.3">
      <c r="A465" s="26" t="s">
        <v>2750</v>
      </c>
      <c r="B465" s="26" t="s">
        <v>2548</v>
      </c>
      <c r="C465" s="25"/>
      <c r="D465" s="26" t="s">
        <v>6738</v>
      </c>
      <c r="E465" s="25" t="s">
        <v>6046</v>
      </c>
      <c r="F465" s="25"/>
      <c r="G465" s="25"/>
      <c r="H465" s="25"/>
      <c r="I465" s="25"/>
      <c r="J465" s="25" t="s">
        <v>6886</v>
      </c>
      <c r="K465" s="25" t="s">
        <v>6835</v>
      </c>
    </row>
    <row r="466" spans="1:11" outlineLevel="1" x14ac:dyDescent="0.3">
      <c r="A466" s="13" t="s">
        <v>2753</v>
      </c>
      <c r="B466" s="13" t="s">
        <v>2548</v>
      </c>
      <c r="D466" s="13" t="s">
        <v>6724</v>
      </c>
      <c r="E466" t="s">
        <v>6148</v>
      </c>
    </row>
    <row r="467" spans="1:11" outlineLevel="1" x14ac:dyDescent="0.3">
      <c r="A467" s="13" t="s">
        <v>2756</v>
      </c>
      <c r="B467" s="13" t="s">
        <v>2548</v>
      </c>
      <c r="D467" s="13" t="s">
        <v>6725</v>
      </c>
      <c r="E467" t="s">
        <v>6124</v>
      </c>
    </row>
    <row r="468" spans="1:11" outlineLevel="1" x14ac:dyDescent="0.3">
      <c r="A468" s="26" t="s">
        <v>2758</v>
      </c>
      <c r="B468" s="26" t="s">
        <v>2548</v>
      </c>
      <c r="C468" s="25"/>
      <c r="D468" s="26" t="s">
        <v>6721</v>
      </c>
      <c r="E468" s="25" t="s">
        <v>6098</v>
      </c>
      <c r="F468" s="25"/>
      <c r="G468" s="25"/>
      <c r="H468" s="25"/>
      <c r="I468" s="25"/>
      <c r="J468" s="25" t="s">
        <v>6882</v>
      </c>
      <c r="K468" s="25" t="s">
        <v>6840</v>
      </c>
    </row>
    <row r="469" spans="1:11" outlineLevel="1" x14ac:dyDescent="0.3">
      <c r="A469" s="13" t="s">
        <v>2760</v>
      </c>
      <c r="B469" s="13" t="s">
        <v>2548</v>
      </c>
      <c r="D469" s="13" t="s">
        <v>6725</v>
      </c>
      <c r="E469" t="s">
        <v>6124</v>
      </c>
    </row>
    <row r="470" spans="1:11" outlineLevel="1" x14ac:dyDescent="0.3">
      <c r="A470" s="13" t="s">
        <v>2762</v>
      </c>
      <c r="B470" s="13" t="s">
        <v>2548</v>
      </c>
      <c r="D470" s="13" t="s">
        <v>6722</v>
      </c>
      <c r="E470" t="s">
        <v>6127</v>
      </c>
    </row>
    <row r="471" spans="1:11" outlineLevel="1" x14ac:dyDescent="0.3">
      <c r="A471" s="13" t="s">
        <v>2765</v>
      </c>
      <c r="B471" s="13" t="s">
        <v>2548</v>
      </c>
      <c r="D471" s="13" t="s">
        <v>6739</v>
      </c>
      <c r="E471" t="s">
        <v>6762</v>
      </c>
    </row>
    <row r="472" spans="1:11" outlineLevel="1" x14ac:dyDescent="0.3">
      <c r="A472" s="13" t="s">
        <v>2768</v>
      </c>
      <c r="B472" s="13" t="s">
        <v>2548</v>
      </c>
      <c r="D472" s="13" t="s">
        <v>6739</v>
      </c>
      <c r="E472" t="s">
        <v>6762</v>
      </c>
    </row>
    <row r="473" spans="1:11" outlineLevel="1" x14ac:dyDescent="0.3">
      <c r="A473" s="13" t="s">
        <v>2771</v>
      </c>
      <c r="B473" s="13" t="s">
        <v>2548</v>
      </c>
      <c r="D473" s="13" t="s">
        <v>6739</v>
      </c>
      <c r="E473" t="s">
        <v>6762</v>
      </c>
    </row>
    <row r="474" spans="1:11" outlineLevel="1" x14ac:dyDescent="0.3">
      <c r="A474" s="13" t="s">
        <v>2773</v>
      </c>
      <c r="B474" s="13" t="s">
        <v>2548</v>
      </c>
      <c r="D474" s="13" t="s">
        <v>6726</v>
      </c>
      <c r="E474" t="s">
        <v>6120</v>
      </c>
    </row>
    <row r="475" spans="1:11" outlineLevel="1" x14ac:dyDescent="0.3">
      <c r="A475" s="13" t="s">
        <v>2775</v>
      </c>
      <c r="B475" s="13" t="s">
        <v>2548</v>
      </c>
      <c r="D475" s="13" t="s">
        <v>6760</v>
      </c>
      <c r="E475" t="s">
        <v>6763</v>
      </c>
    </row>
    <row r="476" spans="1:11" outlineLevel="1" x14ac:dyDescent="0.3">
      <c r="A476" s="13" t="s">
        <v>2772</v>
      </c>
      <c r="B476" s="13" t="s">
        <v>2548</v>
      </c>
      <c r="D476" s="13" t="s">
        <v>6736</v>
      </c>
      <c r="E476" t="s">
        <v>6143</v>
      </c>
    </row>
    <row r="477" spans="1:11" outlineLevel="1" x14ac:dyDescent="0.3">
      <c r="A477" s="13" t="s">
        <v>2774</v>
      </c>
      <c r="B477" s="13" t="s">
        <v>2548</v>
      </c>
      <c r="D477" s="13" t="s">
        <v>6724</v>
      </c>
      <c r="E477" t="s">
        <v>6148</v>
      </c>
    </row>
    <row r="478" spans="1:11" outlineLevel="1" x14ac:dyDescent="0.3">
      <c r="A478" s="13" t="s">
        <v>2776</v>
      </c>
      <c r="B478" s="13" t="s">
        <v>2548</v>
      </c>
      <c r="D478" s="13" t="s">
        <v>6760</v>
      </c>
      <c r="E478" t="s">
        <v>6763</v>
      </c>
    </row>
    <row r="479" spans="1:11" outlineLevel="1" x14ac:dyDescent="0.3">
      <c r="A479" s="13" t="s">
        <v>2600</v>
      </c>
      <c r="B479" s="13" t="s">
        <v>2601</v>
      </c>
      <c r="D479" t="s">
        <v>937</v>
      </c>
      <c r="E479" t="s">
        <v>6263</v>
      </c>
    </row>
    <row r="480" spans="1:11" outlineLevel="1" x14ac:dyDescent="0.3">
      <c r="A480" s="13" t="s">
        <v>2602</v>
      </c>
      <c r="B480" s="13" t="s">
        <v>2601</v>
      </c>
      <c r="D480" t="s">
        <v>937</v>
      </c>
      <c r="E480" t="s">
        <v>6263</v>
      </c>
    </row>
    <row r="481" spans="1:11" outlineLevel="1" x14ac:dyDescent="0.3">
      <c r="A481" s="13" t="s">
        <v>2603</v>
      </c>
      <c r="B481" s="13" t="s">
        <v>2601</v>
      </c>
      <c r="D481" t="s">
        <v>937</v>
      </c>
      <c r="E481" t="s">
        <v>6263</v>
      </c>
    </row>
    <row r="482" spans="1:11" outlineLevel="1" x14ac:dyDescent="0.3">
      <c r="A482" s="13" t="s">
        <v>2604</v>
      </c>
      <c r="B482" s="13" t="s">
        <v>2601</v>
      </c>
      <c r="D482" t="s">
        <v>937</v>
      </c>
      <c r="E482" t="s">
        <v>6263</v>
      </c>
    </row>
    <row r="483" spans="1:11" outlineLevel="1" x14ac:dyDescent="0.3">
      <c r="A483" s="13" t="s">
        <v>2605</v>
      </c>
      <c r="B483" s="13" t="s">
        <v>2601</v>
      </c>
      <c r="D483" t="s">
        <v>6759</v>
      </c>
      <c r="E483" t="s">
        <v>6249</v>
      </c>
    </row>
    <row r="484" spans="1:11" outlineLevel="1" x14ac:dyDescent="0.3">
      <c r="A484" s="13" t="s">
        <v>2782</v>
      </c>
      <c r="B484" s="13" t="s">
        <v>2551</v>
      </c>
      <c r="D484" t="s">
        <v>6756</v>
      </c>
      <c r="E484" t="s">
        <v>6483</v>
      </c>
    </row>
    <row r="485" spans="1:11" outlineLevel="1" x14ac:dyDescent="0.3">
      <c r="A485" s="13" t="s">
        <v>2783</v>
      </c>
      <c r="B485" s="13" t="s">
        <v>2551</v>
      </c>
      <c r="D485" t="s">
        <v>909</v>
      </c>
      <c r="E485" t="s">
        <v>6104</v>
      </c>
    </row>
    <row r="486" spans="1:11" outlineLevel="1" x14ac:dyDescent="0.3">
      <c r="A486" s="13" t="s">
        <v>2784</v>
      </c>
      <c r="B486" s="13" t="s">
        <v>2551</v>
      </c>
      <c r="D486" t="s">
        <v>6752</v>
      </c>
      <c r="E486" t="s">
        <v>6764</v>
      </c>
    </row>
    <row r="487" spans="1:11" outlineLevel="1" x14ac:dyDescent="0.3">
      <c r="A487" s="13" t="s">
        <v>2785</v>
      </c>
      <c r="B487" s="13" t="s">
        <v>2551</v>
      </c>
      <c r="D487" t="s">
        <v>6741</v>
      </c>
      <c r="E487" t="s">
        <v>6152</v>
      </c>
      <c r="J487" t="s">
        <v>6884</v>
      </c>
      <c r="K487" t="s">
        <v>6856</v>
      </c>
    </row>
    <row r="488" spans="1:11" outlineLevel="1" x14ac:dyDescent="0.3">
      <c r="A488" s="13" t="s">
        <v>2786</v>
      </c>
      <c r="B488" s="13" t="s">
        <v>2551</v>
      </c>
      <c r="D488" t="s">
        <v>6741</v>
      </c>
      <c r="E488" t="s">
        <v>6152</v>
      </c>
    </row>
    <row r="489" spans="1:11" outlineLevel="1" x14ac:dyDescent="0.3">
      <c r="A489" s="13" t="s">
        <v>2787</v>
      </c>
      <c r="B489" s="13" t="s">
        <v>2551</v>
      </c>
      <c r="D489" t="s">
        <v>6740</v>
      </c>
      <c r="E489" t="s">
        <v>6093</v>
      </c>
    </row>
    <row r="490" spans="1:11" outlineLevel="1" x14ac:dyDescent="0.3">
      <c r="A490" s="13" t="s">
        <v>2788</v>
      </c>
      <c r="B490" s="13" t="s">
        <v>2551</v>
      </c>
      <c r="D490" t="s">
        <v>6753</v>
      </c>
      <c r="E490" t="s">
        <v>6124</v>
      </c>
    </row>
    <row r="491" spans="1:11" outlineLevel="1" x14ac:dyDescent="0.3">
      <c r="A491" s="13" t="s">
        <v>2789</v>
      </c>
      <c r="B491" s="13" t="s">
        <v>2551</v>
      </c>
      <c r="D491" t="s">
        <v>6754</v>
      </c>
      <c r="E491" t="s">
        <v>6117</v>
      </c>
    </row>
    <row r="492" spans="1:11" outlineLevel="1" x14ac:dyDescent="0.3">
      <c r="A492" s="13" t="s">
        <v>2790</v>
      </c>
      <c r="B492" s="13" t="s">
        <v>2551</v>
      </c>
      <c r="D492" t="s">
        <v>6755</v>
      </c>
      <c r="E492" t="s">
        <v>6765</v>
      </c>
    </row>
    <row r="493" spans="1:11" outlineLevel="1" x14ac:dyDescent="0.3">
      <c r="A493" s="26" t="s">
        <v>2791</v>
      </c>
      <c r="B493" s="26" t="s">
        <v>2551</v>
      </c>
      <c r="C493" s="25"/>
      <c r="D493" s="25" t="s">
        <v>6742</v>
      </c>
      <c r="E493" s="25" t="s">
        <v>6090</v>
      </c>
      <c r="F493" s="25"/>
      <c r="G493" s="25"/>
      <c r="H493" s="25"/>
      <c r="I493" s="25"/>
      <c r="J493" s="25" t="s">
        <v>6808</v>
      </c>
      <c r="K493" s="25" t="s">
        <v>6803</v>
      </c>
    </row>
    <row r="494" spans="1:11" outlineLevel="1" x14ac:dyDescent="0.3">
      <c r="A494" s="26" t="s">
        <v>2792</v>
      </c>
      <c r="B494" s="26" t="s">
        <v>2551</v>
      </c>
      <c r="C494" s="25"/>
      <c r="D494" s="25" t="s">
        <v>1368</v>
      </c>
      <c r="E494" s="25" t="s">
        <v>6087</v>
      </c>
      <c r="F494" s="25"/>
      <c r="G494" s="25"/>
      <c r="H494" s="25"/>
      <c r="I494" s="25"/>
      <c r="J494" s="25" t="s">
        <v>6857</v>
      </c>
      <c r="K494" s="25" t="s">
        <v>6803</v>
      </c>
    </row>
    <row r="495" spans="1:11" outlineLevel="1" x14ac:dyDescent="0.3">
      <c r="A495" s="13" t="s">
        <v>2793</v>
      </c>
      <c r="B495" s="13" t="s">
        <v>2551</v>
      </c>
      <c r="D495" t="s">
        <v>6741</v>
      </c>
      <c r="E495" t="s">
        <v>6152</v>
      </c>
    </row>
    <row r="496" spans="1:11" outlineLevel="1" x14ac:dyDescent="0.3">
      <c r="A496" s="13" t="s">
        <v>2794</v>
      </c>
      <c r="B496" s="13" t="s">
        <v>2551</v>
      </c>
      <c r="D496" t="s">
        <v>6741</v>
      </c>
      <c r="E496" t="s">
        <v>6152</v>
      </c>
    </row>
    <row r="497" spans="1:11" outlineLevel="1" x14ac:dyDescent="0.3">
      <c r="A497" s="13" t="s">
        <v>2795</v>
      </c>
      <c r="B497" s="13" t="s">
        <v>2551</v>
      </c>
      <c r="D497" t="s">
        <v>930</v>
      </c>
      <c r="E497" t="s">
        <v>6084</v>
      </c>
    </row>
    <row r="498" spans="1:11" outlineLevel="1" x14ac:dyDescent="0.3">
      <c r="A498" s="13" t="s">
        <v>2796</v>
      </c>
      <c r="B498" s="13" t="s">
        <v>2551</v>
      </c>
      <c r="D498" t="s">
        <v>930</v>
      </c>
      <c r="E498" t="s">
        <v>6084</v>
      </c>
      <c r="J498" t="s">
        <v>6808</v>
      </c>
      <c r="K498" t="s">
        <v>6803</v>
      </c>
    </row>
    <row r="499" spans="1:11" outlineLevel="1" x14ac:dyDescent="0.3">
      <c r="A499" s="13" t="s">
        <v>2797</v>
      </c>
      <c r="B499" s="13" t="s">
        <v>2551</v>
      </c>
      <c r="D499" t="s">
        <v>6743</v>
      </c>
      <c r="E499" t="s">
        <v>6766</v>
      </c>
    </row>
    <row r="500" spans="1:11" outlineLevel="1" x14ac:dyDescent="0.3">
      <c r="A500" s="13" t="s">
        <v>2798</v>
      </c>
      <c r="B500" s="13" t="s">
        <v>2551</v>
      </c>
      <c r="D500" t="s">
        <v>6744</v>
      </c>
      <c r="E500" t="s">
        <v>6763</v>
      </c>
    </row>
    <row r="501" spans="1:11" outlineLevel="1" x14ac:dyDescent="0.3">
      <c r="A501" s="13" t="s">
        <v>2799</v>
      </c>
      <c r="B501" s="13" t="s">
        <v>2551</v>
      </c>
      <c r="D501" t="s">
        <v>6746</v>
      </c>
      <c r="E501" t="s">
        <v>6767</v>
      </c>
      <c r="J501" t="s">
        <v>6880</v>
      </c>
      <c r="K501" t="s">
        <v>6881</v>
      </c>
    </row>
    <row r="502" spans="1:11" outlineLevel="1" x14ac:dyDescent="0.3">
      <c r="A502" s="13" t="s">
        <v>2800</v>
      </c>
      <c r="B502" s="13" t="s">
        <v>2734</v>
      </c>
      <c r="D502" t="s">
        <v>6757</v>
      </c>
      <c r="E502" t="s">
        <v>6768</v>
      </c>
    </row>
    <row r="503" spans="1:11" outlineLevel="1" x14ac:dyDescent="0.3">
      <c r="A503" s="13" t="s">
        <v>2801</v>
      </c>
      <c r="B503" s="13" t="s">
        <v>2734</v>
      </c>
      <c r="D503" t="s">
        <v>6758</v>
      </c>
      <c r="E503" t="s">
        <v>6053</v>
      </c>
    </row>
    <row r="504" spans="1:11" outlineLevel="1" x14ac:dyDescent="0.3">
      <c r="A504" s="13" t="s">
        <v>2802</v>
      </c>
      <c r="B504" s="13" t="s">
        <v>2734</v>
      </c>
      <c r="D504" t="s">
        <v>1382</v>
      </c>
      <c r="E504" t="s">
        <v>6642</v>
      </c>
    </row>
    <row r="505" spans="1:11" outlineLevel="1" x14ac:dyDescent="0.3">
      <c r="A505" s="13" t="s">
        <v>2803</v>
      </c>
      <c r="B505" s="13" t="s">
        <v>2734</v>
      </c>
      <c r="D505" t="s">
        <v>6751</v>
      </c>
      <c r="E505" t="s">
        <v>6618</v>
      </c>
    </row>
    <row r="506" spans="1:11" outlineLevel="1" x14ac:dyDescent="0.3">
      <c r="A506" s="13" t="s">
        <v>2804</v>
      </c>
      <c r="B506" s="13" t="s">
        <v>2732</v>
      </c>
      <c r="D506" t="s">
        <v>6743</v>
      </c>
      <c r="E506" t="s">
        <v>6766</v>
      </c>
    </row>
    <row r="507" spans="1:11" outlineLevel="1" x14ac:dyDescent="0.3">
      <c r="A507" s="13" t="s">
        <v>2805</v>
      </c>
      <c r="B507" s="13" t="s">
        <v>2732</v>
      </c>
      <c r="D507" t="s">
        <v>6743</v>
      </c>
      <c r="E507" t="s">
        <v>6766</v>
      </c>
    </row>
    <row r="508" spans="1:11" outlineLevel="1" x14ac:dyDescent="0.3">
      <c r="A508" s="13" t="s">
        <v>2806</v>
      </c>
      <c r="B508" s="13" t="s">
        <v>2732</v>
      </c>
      <c r="D508" t="s">
        <v>6743</v>
      </c>
      <c r="E508" t="s">
        <v>6766</v>
      </c>
    </row>
    <row r="509" spans="1:11" outlineLevel="1" x14ac:dyDescent="0.3">
      <c r="A509" s="13" t="s">
        <v>2807</v>
      </c>
      <c r="B509" s="13" t="s">
        <v>2732</v>
      </c>
      <c r="D509" t="s">
        <v>6744</v>
      </c>
      <c r="E509" t="s">
        <v>6763</v>
      </c>
    </row>
    <row r="510" spans="1:11" outlineLevel="1" x14ac:dyDescent="0.3">
      <c r="A510" s="13" t="s">
        <v>2808</v>
      </c>
      <c r="B510" s="13" t="s">
        <v>2732</v>
      </c>
      <c r="D510" t="s">
        <v>6744</v>
      </c>
      <c r="E510" t="s">
        <v>6763</v>
      </c>
    </row>
    <row r="511" spans="1:11" outlineLevel="1" x14ac:dyDescent="0.3">
      <c r="A511" s="13" t="s">
        <v>2809</v>
      </c>
      <c r="B511" s="13" t="s">
        <v>2732</v>
      </c>
      <c r="D511" t="s">
        <v>6744</v>
      </c>
      <c r="E511" t="s">
        <v>6763</v>
      </c>
    </row>
    <row r="512" spans="1:11" outlineLevel="1" x14ac:dyDescent="0.3">
      <c r="A512" s="13" t="s">
        <v>2810</v>
      </c>
      <c r="B512" s="13" t="s">
        <v>2732</v>
      </c>
      <c r="D512" t="s">
        <v>6746</v>
      </c>
      <c r="E512" t="s">
        <v>6767</v>
      </c>
      <c r="J512" t="s">
        <v>6880</v>
      </c>
      <c r="K512" t="s">
        <v>6881</v>
      </c>
    </row>
    <row r="513" spans="1:11" outlineLevel="1" x14ac:dyDescent="0.3">
      <c r="A513" s="13" t="s">
        <v>2811</v>
      </c>
      <c r="B513" s="13" t="s">
        <v>2732</v>
      </c>
      <c r="D513" t="s">
        <v>6745</v>
      </c>
      <c r="E513" t="s">
        <v>6769</v>
      </c>
      <c r="J513" t="s">
        <v>6880</v>
      </c>
      <c r="K513" t="s">
        <v>6881</v>
      </c>
    </row>
    <row r="514" spans="1:11" outlineLevel="1" x14ac:dyDescent="0.3">
      <c r="A514" s="13" t="s">
        <v>2812</v>
      </c>
      <c r="B514" s="13" t="s">
        <v>2732</v>
      </c>
      <c r="D514" t="s">
        <v>6745</v>
      </c>
      <c r="E514" t="s">
        <v>6769</v>
      </c>
      <c r="J514" t="s">
        <v>6880</v>
      </c>
      <c r="K514" t="s">
        <v>6881</v>
      </c>
    </row>
    <row r="515" spans="1:11" outlineLevel="1" x14ac:dyDescent="0.3">
      <c r="A515" s="13" t="s">
        <v>2813</v>
      </c>
      <c r="B515" s="13" t="s">
        <v>2732</v>
      </c>
      <c r="D515" t="s">
        <v>6743</v>
      </c>
      <c r="E515" t="s">
        <v>6766</v>
      </c>
    </row>
    <row r="516" spans="1:11" outlineLevel="1" x14ac:dyDescent="0.3">
      <c r="A516" s="13" t="s">
        <v>2814</v>
      </c>
      <c r="B516" s="13" t="s">
        <v>2732</v>
      </c>
      <c r="D516" t="s">
        <v>6744</v>
      </c>
      <c r="E516" t="s">
        <v>6763</v>
      </c>
    </row>
    <row r="517" spans="1:11" outlineLevel="1" x14ac:dyDescent="0.3">
      <c r="A517" s="13" t="s">
        <v>2815</v>
      </c>
      <c r="B517" s="13" t="s">
        <v>2732</v>
      </c>
      <c r="D517" t="s">
        <v>6746</v>
      </c>
      <c r="E517" t="s">
        <v>6767</v>
      </c>
    </row>
    <row r="518" spans="1:11" outlineLevel="1" x14ac:dyDescent="0.3">
      <c r="A518" s="13" t="s">
        <v>2816</v>
      </c>
      <c r="B518" s="13" t="s">
        <v>2553</v>
      </c>
      <c r="D518" t="s">
        <v>6747</v>
      </c>
      <c r="E518" t="s">
        <v>6770</v>
      </c>
    </row>
    <row r="519" spans="1:11" outlineLevel="1" x14ac:dyDescent="0.3">
      <c r="A519" s="13" t="s">
        <v>2817</v>
      </c>
      <c r="B519" s="13" t="s">
        <v>2553</v>
      </c>
      <c r="D519" t="s">
        <v>6748</v>
      </c>
      <c r="E519" t="s">
        <v>6771</v>
      </c>
    </row>
    <row r="520" spans="1:11" outlineLevel="1" x14ac:dyDescent="0.3">
      <c r="A520" s="13" t="s">
        <v>2818</v>
      </c>
      <c r="B520" s="13" t="s">
        <v>2553</v>
      </c>
      <c r="D520" t="s">
        <v>1384</v>
      </c>
      <c r="E520" t="s">
        <v>6155</v>
      </c>
    </row>
    <row r="521" spans="1:11" outlineLevel="1" x14ac:dyDescent="0.3">
      <c r="A521" s="13" t="s">
        <v>2819</v>
      </c>
      <c r="B521" s="13" t="s">
        <v>2553</v>
      </c>
      <c r="D521" t="s">
        <v>1384</v>
      </c>
      <c r="E521" t="s">
        <v>6155</v>
      </c>
    </row>
    <row r="522" spans="1:11" outlineLevel="1" x14ac:dyDescent="0.3">
      <c r="A522" s="13" t="s">
        <v>2820</v>
      </c>
      <c r="B522" s="13" t="s">
        <v>2553</v>
      </c>
      <c r="D522" t="s">
        <v>6749</v>
      </c>
      <c r="E522" t="s">
        <v>6084</v>
      </c>
    </row>
    <row r="523" spans="1:11" outlineLevel="1" x14ac:dyDescent="0.3">
      <c r="A523" s="13" t="s">
        <v>2821</v>
      </c>
      <c r="B523" s="13" t="s">
        <v>2553</v>
      </c>
      <c r="D523" t="s">
        <v>6749</v>
      </c>
      <c r="E523" t="s">
        <v>6084</v>
      </c>
    </row>
    <row r="524" spans="1:11" outlineLevel="1" x14ac:dyDescent="0.3">
      <c r="A524" s="13" t="s">
        <v>2822</v>
      </c>
      <c r="B524" s="13" t="s">
        <v>2553</v>
      </c>
      <c r="D524" t="s">
        <v>6750</v>
      </c>
      <c r="E524" t="s">
        <v>6164</v>
      </c>
    </row>
    <row r="525" spans="1:11" outlineLevel="1" x14ac:dyDescent="0.3">
      <c r="A525" s="13" t="s">
        <v>2823</v>
      </c>
      <c r="B525" s="13" t="s">
        <v>2553</v>
      </c>
      <c r="D525" t="s">
        <v>6750</v>
      </c>
      <c r="E525" t="s">
        <v>6164</v>
      </c>
    </row>
    <row r="526" spans="1:11" outlineLevel="1" x14ac:dyDescent="0.3">
      <c r="A526" s="13" t="s">
        <v>2824</v>
      </c>
      <c r="B526" s="13" t="s">
        <v>2550</v>
      </c>
      <c r="D526" t="s">
        <v>6727</v>
      </c>
      <c r="E526" t="s">
        <v>6050</v>
      </c>
    </row>
    <row r="527" spans="1:11" outlineLevel="1" x14ac:dyDescent="0.3">
      <c r="A527" s="13" t="s">
        <v>2825</v>
      </c>
      <c r="B527" s="13" t="s">
        <v>2550</v>
      </c>
      <c r="D527" t="s">
        <v>6727</v>
      </c>
      <c r="E527" t="s">
        <v>6050</v>
      </c>
    </row>
    <row r="528" spans="1:11" outlineLevel="1" x14ac:dyDescent="0.3">
      <c r="A528" s="13" t="s">
        <v>2826</v>
      </c>
      <c r="B528" s="13" t="s">
        <v>2550</v>
      </c>
      <c r="D528" t="s">
        <v>6728</v>
      </c>
      <c r="E528" t="s">
        <v>6058</v>
      </c>
    </row>
    <row r="529" spans="1:5" outlineLevel="1" x14ac:dyDescent="0.3">
      <c r="A529" s="13" t="s">
        <v>2827</v>
      </c>
      <c r="B529" s="13" t="s">
        <v>2550</v>
      </c>
      <c r="D529" t="s">
        <v>6728</v>
      </c>
      <c r="E529" t="s">
        <v>6058</v>
      </c>
    </row>
    <row r="530" spans="1:5" outlineLevel="1" x14ac:dyDescent="0.3">
      <c r="A530" s="13" t="s">
        <v>2828</v>
      </c>
      <c r="B530" s="13" t="s">
        <v>2550</v>
      </c>
      <c r="D530" t="s">
        <v>6729</v>
      </c>
      <c r="E530" t="s">
        <v>6115</v>
      </c>
    </row>
    <row r="531" spans="1:5" outlineLevel="1" x14ac:dyDescent="0.3">
      <c r="A531" s="13" t="s">
        <v>2829</v>
      </c>
      <c r="B531" s="13" t="s">
        <v>2550</v>
      </c>
      <c r="D531" t="s">
        <v>6729</v>
      </c>
      <c r="E531" t="s">
        <v>6115</v>
      </c>
    </row>
    <row r="532" spans="1:5" outlineLevel="1" x14ac:dyDescent="0.3">
      <c r="A532" s="13" t="s">
        <v>2830</v>
      </c>
      <c r="B532" s="13" t="s">
        <v>2550</v>
      </c>
      <c r="D532" t="s">
        <v>6729</v>
      </c>
      <c r="E532" t="s">
        <v>6115</v>
      </c>
    </row>
    <row r="533" spans="1:5" outlineLevel="1" x14ac:dyDescent="0.3">
      <c r="A533" s="13" t="s">
        <v>2831</v>
      </c>
      <c r="B533" s="13" t="s">
        <v>2550</v>
      </c>
      <c r="D533" t="s">
        <v>6737</v>
      </c>
      <c r="E533" t="s">
        <v>6178</v>
      </c>
    </row>
    <row r="534" spans="1:5" outlineLevel="1" x14ac:dyDescent="0.3">
      <c r="A534" s="13" t="s">
        <v>2832</v>
      </c>
      <c r="B534" s="13" t="s">
        <v>2550</v>
      </c>
      <c r="D534" t="s">
        <v>6737</v>
      </c>
      <c r="E534" t="s">
        <v>6178</v>
      </c>
    </row>
    <row r="535" spans="1:5" outlineLevel="1" x14ac:dyDescent="0.3">
      <c r="A535" s="13" t="s">
        <v>2833</v>
      </c>
      <c r="B535" s="13" t="s">
        <v>2550</v>
      </c>
      <c r="D535" t="s">
        <v>6730</v>
      </c>
      <c r="E535" t="s">
        <v>6267</v>
      </c>
    </row>
    <row r="536" spans="1:5" outlineLevel="1" x14ac:dyDescent="0.3">
      <c r="A536" s="13" t="s">
        <v>2834</v>
      </c>
      <c r="B536" s="13" t="s">
        <v>2550</v>
      </c>
      <c r="D536" t="s">
        <v>6730</v>
      </c>
      <c r="E536" t="s">
        <v>6267</v>
      </c>
    </row>
    <row r="537" spans="1:5" outlineLevel="1" x14ac:dyDescent="0.3">
      <c r="A537" s="13" t="s">
        <v>2835</v>
      </c>
      <c r="B537" s="13" t="s">
        <v>2550</v>
      </c>
    </row>
    <row r="538" spans="1:5" outlineLevel="1" x14ac:dyDescent="0.3">
      <c r="A538" s="13" t="s">
        <v>2836</v>
      </c>
      <c r="B538" s="13" t="s">
        <v>2550</v>
      </c>
    </row>
    <row r="539" spans="1:5" outlineLevel="1" x14ac:dyDescent="0.3">
      <c r="A539" s="13" t="s">
        <v>2837</v>
      </c>
      <c r="B539" s="13" t="s">
        <v>2550</v>
      </c>
    </row>
    <row r="540" spans="1:5" outlineLevel="1" x14ac:dyDescent="0.3">
      <c r="A540" s="13" t="s">
        <v>2838</v>
      </c>
      <c r="B540" s="13" t="s">
        <v>2550</v>
      </c>
    </row>
    <row r="541" spans="1:5" outlineLevel="1" x14ac:dyDescent="0.3">
      <c r="A541" s="13" t="s">
        <v>2839</v>
      </c>
      <c r="B541" s="13" t="s">
        <v>2550</v>
      </c>
    </row>
    <row r="542" spans="1:5" outlineLevel="1" x14ac:dyDescent="0.3">
      <c r="A542" s="13" t="s">
        <v>2840</v>
      </c>
      <c r="B542" s="13" t="s">
        <v>2550</v>
      </c>
    </row>
    <row r="543" spans="1:5" outlineLevel="1" x14ac:dyDescent="0.3">
      <c r="A543" s="13" t="s">
        <v>2841</v>
      </c>
      <c r="B543" s="13" t="s">
        <v>2550</v>
      </c>
    </row>
    <row r="544" spans="1:5" outlineLevel="1" x14ac:dyDescent="0.3">
      <c r="A544" s="13" t="s">
        <v>2842</v>
      </c>
      <c r="B544" s="13" t="s">
        <v>2550</v>
      </c>
    </row>
    <row r="545" spans="1:5" outlineLevel="1" x14ac:dyDescent="0.3">
      <c r="A545" s="13" t="s">
        <v>2843</v>
      </c>
      <c r="B545" s="13" t="s">
        <v>2550</v>
      </c>
    </row>
    <row r="546" spans="1:5" outlineLevel="1" x14ac:dyDescent="0.3">
      <c r="A546" s="13" t="s">
        <v>2779</v>
      </c>
      <c r="B546" s="13" t="s">
        <v>2550</v>
      </c>
    </row>
    <row r="547" spans="1:5" outlineLevel="1" x14ac:dyDescent="0.3">
      <c r="A547" s="13" t="s">
        <v>2845</v>
      </c>
      <c r="B547" s="13" t="s">
        <v>2550</v>
      </c>
    </row>
    <row r="548" spans="1:5" outlineLevel="1" x14ac:dyDescent="0.3">
      <c r="A548" s="13" t="s">
        <v>2846</v>
      </c>
      <c r="B548" s="13" t="s">
        <v>2546</v>
      </c>
      <c r="D548" t="s">
        <v>937</v>
      </c>
      <c r="E548" t="s">
        <v>6263</v>
      </c>
    </row>
    <row r="549" spans="1:5" outlineLevel="1" x14ac:dyDescent="0.3">
      <c r="A549" s="13" t="s">
        <v>2848</v>
      </c>
      <c r="B549" s="13" t="s">
        <v>2546</v>
      </c>
      <c r="D549" t="s">
        <v>937</v>
      </c>
      <c r="E549" t="s">
        <v>6263</v>
      </c>
    </row>
    <row r="550" spans="1:5" outlineLevel="1" x14ac:dyDescent="0.3">
      <c r="A550" s="13" t="s">
        <v>2849</v>
      </c>
      <c r="B550" s="13" t="s">
        <v>2546</v>
      </c>
      <c r="D550" t="s">
        <v>937</v>
      </c>
      <c r="E550" t="s">
        <v>6263</v>
      </c>
    </row>
    <row r="551" spans="1:5" outlineLevel="1" x14ac:dyDescent="0.3">
      <c r="A551" s="13" t="s">
        <v>2850</v>
      </c>
      <c r="B551" s="13" t="s">
        <v>2546</v>
      </c>
      <c r="D551" t="s">
        <v>937</v>
      </c>
      <c r="E551" t="s">
        <v>6263</v>
      </c>
    </row>
    <row r="552" spans="1:5" outlineLevel="1" x14ac:dyDescent="0.3">
      <c r="A552" s="13" t="s">
        <v>2851</v>
      </c>
      <c r="B552" s="13" t="s">
        <v>2546</v>
      </c>
      <c r="D552" t="s">
        <v>937</v>
      </c>
      <c r="E552" t="s">
        <v>6263</v>
      </c>
    </row>
    <row r="553" spans="1:5" outlineLevel="1" x14ac:dyDescent="0.3">
      <c r="A553" s="13" t="s">
        <v>2853</v>
      </c>
      <c r="B553" s="13" t="s">
        <v>2546</v>
      </c>
    </row>
    <row r="554" spans="1:5" outlineLevel="1" x14ac:dyDescent="0.3">
      <c r="A554" s="13" t="s">
        <v>2854</v>
      </c>
      <c r="B554" s="13" t="s">
        <v>2556</v>
      </c>
      <c r="D554" t="s">
        <v>6740</v>
      </c>
      <c r="E554" t="s">
        <v>6093</v>
      </c>
    </row>
    <row r="556" spans="1:5" outlineLevel="1" x14ac:dyDescent="0.3"/>
    <row r="557" spans="1:5" outlineLevel="1" x14ac:dyDescent="0.3"/>
    <row r="558" spans="1:5" outlineLevel="1" x14ac:dyDescent="0.3"/>
    <row r="559" spans="1:5" outlineLevel="1" x14ac:dyDescent="0.3"/>
    <row r="560" spans="1:5" outlineLevel="1" x14ac:dyDescent="0.3"/>
    <row r="561" outlineLevel="1" x14ac:dyDescent="0.3"/>
    <row r="562" outlineLevel="1" x14ac:dyDescent="0.3"/>
    <row r="563" outlineLevel="1" x14ac:dyDescent="0.3"/>
    <row r="564" outlineLevel="1" x14ac:dyDescent="0.3"/>
    <row r="565" outlineLevel="1" x14ac:dyDescent="0.3"/>
    <row r="566" outlineLevel="1" x14ac:dyDescent="0.3"/>
    <row r="567" outlineLevel="1" x14ac:dyDescent="0.3"/>
    <row r="568" outlineLevel="1" x14ac:dyDescent="0.3"/>
    <row r="569" outlineLevel="1" x14ac:dyDescent="0.3"/>
    <row r="570" outlineLevel="1" x14ac:dyDescent="0.3"/>
    <row r="571" outlineLevel="1" x14ac:dyDescent="0.3"/>
    <row r="572" outlineLevel="1" x14ac:dyDescent="0.3"/>
    <row r="573" outlineLevel="1" x14ac:dyDescent="0.3"/>
    <row r="574" outlineLevel="1" x14ac:dyDescent="0.3"/>
    <row r="575" outlineLevel="1" x14ac:dyDescent="0.3"/>
    <row r="576" outlineLevel="1" x14ac:dyDescent="0.3"/>
    <row r="577" outlineLevel="1" x14ac:dyDescent="0.3"/>
    <row r="578" outlineLevel="1" x14ac:dyDescent="0.3"/>
    <row r="579" outlineLevel="1" x14ac:dyDescent="0.3"/>
    <row r="580" outlineLevel="1" x14ac:dyDescent="0.3"/>
    <row r="581" outlineLevel="1" x14ac:dyDescent="0.3"/>
    <row r="582" outlineLevel="1" x14ac:dyDescent="0.3"/>
    <row r="583" outlineLevel="1" x14ac:dyDescent="0.3"/>
    <row r="584" outlineLevel="1" x14ac:dyDescent="0.3"/>
    <row r="585" outlineLevel="1" x14ac:dyDescent="0.3"/>
    <row r="586" outlineLevel="1" x14ac:dyDescent="0.3"/>
    <row r="587" outlineLevel="1" x14ac:dyDescent="0.3"/>
    <row r="588" outlineLevel="1" x14ac:dyDescent="0.3"/>
    <row r="589" outlineLevel="1" x14ac:dyDescent="0.3"/>
    <row r="590" outlineLevel="1" x14ac:dyDescent="0.3"/>
    <row r="591" outlineLevel="1" x14ac:dyDescent="0.3"/>
    <row r="592" outlineLevel="1" x14ac:dyDescent="0.3"/>
    <row r="593" outlineLevel="1" x14ac:dyDescent="0.3"/>
    <row r="594" outlineLevel="1" x14ac:dyDescent="0.3"/>
    <row r="595" outlineLevel="1" x14ac:dyDescent="0.3"/>
    <row r="596" outlineLevel="1" x14ac:dyDescent="0.3"/>
    <row r="597" outlineLevel="1" x14ac:dyDescent="0.3"/>
    <row r="598" outlineLevel="1" x14ac:dyDescent="0.3"/>
    <row r="599" outlineLevel="1" x14ac:dyDescent="0.3"/>
    <row r="600" outlineLevel="1" x14ac:dyDescent="0.3"/>
    <row r="601" outlineLevel="1" x14ac:dyDescent="0.3"/>
    <row r="602" outlineLevel="1" x14ac:dyDescent="0.3"/>
    <row r="603" outlineLevel="1" x14ac:dyDescent="0.3"/>
    <row r="604" outlineLevel="1" x14ac:dyDescent="0.3"/>
    <row r="605" outlineLevel="1" x14ac:dyDescent="0.3"/>
    <row r="606" outlineLevel="1" x14ac:dyDescent="0.3"/>
    <row r="607" outlineLevel="1" x14ac:dyDescent="0.3"/>
    <row r="608" outlineLevel="1" x14ac:dyDescent="0.3"/>
    <row r="609" outlineLevel="1" x14ac:dyDescent="0.3"/>
    <row r="610" outlineLevel="1" x14ac:dyDescent="0.3"/>
    <row r="611" outlineLevel="1" x14ac:dyDescent="0.3"/>
    <row r="612" outlineLevel="1" x14ac:dyDescent="0.3"/>
    <row r="613" outlineLevel="1" x14ac:dyDescent="0.3"/>
    <row r="614" outlineLevel="1" x14ac:dyDescent="0.3"/>
    <row r="615" outlineLevel="1" x14ac:dyDescent="0.3"/>
    <row r="616" outlineLevel="1" x14ac:dyDescent="0.3"/>
    <row r="617" outlineLevel="1" x14ac:dyDescent="0.3"/>
    <row r="618" outlineLevel="1" x14ac:dyDescent="0.3"/>
    <row r="619" outlineLevel="1" x14ac:dyDescent="0.3"/>
    <row r="620" outlineLevel="1" x14ac:dyDescent="0.3"/>
    <row r="621" outlineLevel="1" x14ac:dyDescent="0.3"/>
    <row r="622" outlineLevel="1" x14ac:dyDescent="0.3"/>
    <row r="623" outlineLevel="1" x14ac:dyDescent="0.3"/>
    <row r="624" outlineLevel="1" x14ac:dyDescent="0.3"/>
    <row r="625" outlineLevel="1" x14ac:dyDescent="0.3"/>
    <row r="626" outlineLevel="1" x14ac:dyDescent="0.3"/>
    <row r="627" outlineLevel="1" x14ac:dyDescent="0.3"/>
    <row r="628" outlineLevel="1" x14ac:dyDescent="0.3"/>
    <row r="629" outlineLevel="1" x14ac:dyDescent="0.3"/>
    <row r="630" outlineLevel="1" x14ac:dyDescent="0.3"/>
    <row r="631" outlineLevel="1" x14ac:dyDescent="0.3"/>
    <row r="632" outlineLevel="1" x14ac:dyDescent="0.3"/>
    <row r="633" outlineLevel="1" x14ac:dyDescent="0.3"/>
    <row r="634" outlineLevel="1" x14ac:dyDescent="0.3"/>
    <row r="635" outlineLevel="1" x14ac:dyDescent="0.3"/>
    <row r="636" outlineLevel="1" x14ac:dyDescent="0.3"/>
    <row r="637" outlineLevel="1" x14ac:dyDescent="0.3"/>
    <row r="638" outlineLevel="1" x14ac:dyDescent="0.3"/>
    <row r="639" outlineLevel="1" x14ac:dyDescent="0.3"/>
    <row r="640" outlineLevel="1" x14ac:dyDescent="0.3"/>
    <row r="641" outlineLevel="1" x14ac:dyDescent="0.3"/>
    <row r="642" outlineLevel="1" x14ac:dyDescent="0.3"/>
    <row r="643" outlineLevel="1" x14ac:dyDescent="0.3"/>
    <row r="644" outlineLevel="1" x14ac:dyDescent="0.3"/>
    <row r="645" outlineLevel="1" x14ac:dyDescent="0.3"/>
    <row r="646" outlineLevel="1" x14ac:dyDescent="0.3"/>
    <row r="647" outlineLevel="1" x14ac:dyDescent="0.3"/>
    <row r="648" outlineLevel="1" x14ac:dyDescent="0.3"/>
    <row r="649" outlineLevel="1" x14ac:dyDescent="0.3"/>
    <row r="650" outlineLevel="1" x14ac:dyDescent="0.3"/>
    <row r="651" outlineLevel="1" x14ac:dyDescent="0.3"/>
    <row r="652" outlineLevel="1" x14ac:dyDescent="0.3"/>
    <row r="653" outlineLevel="1" x14ac:dyDescent="0.3"/>
    <row r="654" outlineLevel="1" x14ac:dyDescent="0.3"/>
    <row r="655" outlineLevel="1" x14ac:dyDescent="0.3"/>
    <row r="656" outlineLevel="1" x14ac:dyDescent="0.3"/>
    <row r="657" outlineLevel="1" x14ac:dyDescent="0.3"/>
    <row r="658" outlineLevel="1" x14ac:dyDescent="0.3"/>
    <row r="659" outlineLevel="1" x14ac:dyDescent="0.3"/>
    <row r="660" outlineLevel="1" x14ac:dyDescent="0.3"/>
    <row r="661" outlineLevel="1" x14ac:dyDescent="0.3"/>
    <row r="662" outlineLevel="1" x14ac:dyDescent="0.3"/>
    <row r="663" outlineLevel="1" x14ac:dyDescent="0.3"/>
    <row r="664" outlineLevel="1" x14ac:dyDescent="0.3"/>
    <row r="665" outlineLevel="1" x14ac:dyDescent="0.3"/>
    <row r="666" outlineLevel="1" x14ac:dyDescent="0.3"/>
    <row r="667" outlineLevel="1" x14ac:dyDescent="0.3"/>
    <row r="668" outlineLevel="1" x14ac:dyDescent="0.3"/>
    <row r="669" outlineLevel="1" x14ac:dyDescent="0.3"/>
    <row r="670" outlineLevel="1" x14ac:dyDescent="0.3"/>
    <row r="671" outlineLevel="1" x14ac:dyDescent="0.3"/>
    <row r="672" outlineLevel="1" x14ac:dyDescent="0.3"/>
    <row r="673" outlineLevel="1" x14ac:dyDescent="0.3"/>
    <row r="674" outlineLevel="1" x14ac:dyDescent="0.3"/>
    <row r="675" outlineLevel="1" x14ac:dyDescent="0.3"/>
    <row r="676" outlineLevel="1" x14ac:dyDescent="0.3"/>
    <row r="677" outlineLevel="1" x14ac:dyDescent="0.3"/>
    <row r="678" outlineLevel="1" x14ac:dyDescent="0.3"/>
    <row r="679" outlineLevel="1" x14ac:dyDescent="0.3"/>
    <row r="680" outlineLevel="1" x14ac:dyDescent="0.3"/>
    <row r="681" outlineLevel="1" x14ac:dyDescent="0.3"/>
    <row r="682" outlineLevel="1" x14ac:dyDescent="0.3"/>
    <row r="683" outlineLevel="1" x14ac:dyDescent="0.3"/>
    <row r="684" outlineLevel="1" x14ac:dyDescent="0.3"/>
    <row r="685" outlineLevel="1" x14ac:dyDescent="0.3"/>
    <row r="686" outlineLevel="1" x14ac:dyDescent="0.3"/>
    <row r="687" outlineLevel="1" x14ac:dyDescent="0.3"/>
    <row r="688" outlineLevel="1" x14ac:dyDescent="0.3"/>
    <row r="689" outlineLevel="1" x14ac:dyDescent="0.3"/>
    <row r="690" outlineLevel="1" x14ac:dyDescent="0.3"/>
    <row r="691" outlineLevel="1" x14ac:dyDescent="0.3"/>
    <row r="692" outlineLevel="1" x14ac:dyDescent="0.3"/>
    <row r="693" outlineLevel="1" x14ac:dyDescent="0.3"/>
    <row r="694" outlineLevel="1" x14ac:dyDescent="0.3"/>
    <row r="695" outlineLevel="1" x14ac:dyDescent="0.3"/>
    <row r="696" outlineLevel="1" x14ac:dyDescent="0.3"/>
    <row r="697" outlineLevel="1" x14ac:dyDescent="0.3"/>
    <row r="698" outlineLevel="1" x14ac:dyDescent="0.3"/>
    <row r="699" outlineLevel="1" x14ac:dyDescent="0.3"/>
    <row r="700" outlineLevel="1" x14ac:dyDescent="0.3"/>
    <row r="701" outlineLevel="1" x14ac:dyDescent="0.3"/>
    <row r="702" outlineLevel="1" x14ac:dyDescent="0.3"/>
    <row r="703" outlineLevel="1" x14ac:dyDescent="0.3"/>
    <row r="704" outlineLevel="1" x14ac:dyDescent="0.3"/>
    <row r="705" outlineLevel="1" x14ac:dyDescent="0.3"/>
    <row r="706" outlineLevel="1" x14ac:dyDescent="0.3"/>
    <row r="707" outlineLevel="1" x14ac:dyDescent="0.3"/>
    <row r="708" outlineLevel="1" x14ac:dyDescent="0.3"/>
    <row r="709" outlineLevel="1" x14ac:dyDescent="0.3"/>
    <row r="710" outlineLevel="1" x14ac:dyDescent="0.3"/>
    <row r="711" outlineLevel="1" x14ac:dyDescent="0.3"/>
    <row r="712" outlineLevel="1" x14ac:dyDescent="0.3"/>
    <row r="713" outlineLevel="1" x14ac:dyDescent="0.3"/>
    <row r="714" outlineLevel="1" x14ac:dyDescent="0.3"/>
    <row r="715" outlineLevel="1" x14ac:dyDescent="0.3"/>
    <row r="716" outlineLevel="1" x14ac:dyDescent="0.3"/>
    <row r="717" outlineLevel="1" x14ac:dyDescent="0.3"/>
    <row r="718" outlineLevel="1" x14ac:dyDescent="0.3"/>
    <row r="719" outlineLevel="1" x14ac:dyDescent="0.3"/>
    <row r="720" outlineLevel="1" x14ac:dyDescent="0.3"/>
    <row r="721" outlineLevel="1" x14ac:dyDescent="0.3"/>
    <row r="722" outlineLevel="1" x14ac:dyDescent="0.3"/>
    <row r="723" outlineLevel="1" x14ac:dyDescent="0.3"/>
    <row r="724" outlineLevel="1" x14ac:dyDescent="0.3"/>
    <row r="725" outlineLevel="1" x14ac:dyDescent="0.3"/>
    <row r="726" outlineLevel="1" x14ac:dyDescent="0.3"/>
    <row r="727" outlineLevel="1" x14ac:dyDescent="0.3"/>
    <row r="728" outlineLevel="1" x14ac:dyDescent="0.3"/>
    <row r="729" outlineLevel="1" x14ac:dyDescent="0.3"/>
    <row r="730" outlineLevel="1" x14ac:dyDescent="0.3"/>
    <row r="731" outlineLevel="1" x14ac:dyDescent="0.3"/>
    <row r="732" outlineLevel="1" x14ac:dyDescent="0.3"/>
    <row r="733" outlineLevel="1" x14ac:dyDescent="0.3"/>
    <row r="734" outlineLevel="1" x14ac:dyDescent="0.3"/>
    <row r="735" outlineLevel="1" x14ac:dyDescent="0.3"/>
    <row r="736" outlineLevel="1" x14ac:dyDescent="0.3"/>
    <row r="737" outlineLevel="1" x14ac:dyDescent="0.3"/>
    <row r="738" outlineLevel="1" x14ac:dyDescent="0.3"/>
    <row r="739" outlineLevel="1" x14ac:dyDescent="0.3"/>
    <row r="740" outlineLevel="1" x14ac:dyDescent="0.3"/>
    <row r="741" outlineLevel="1" x14ac:dyDescent="0.3"/>
    <row r="742" outlineLevel="1" x14ac:dyDescent="0.3"/>
    <row r="743" outlineLevel="1" x14ac:dyDescent="0.3"/>
    <row r="744" outlineLevel="1" x14ac:dyDescent="0.3"/>
    <row r="745" outlineLevel="1" x14ac:dyDescent="0.3"/>
    <row r="746" outlineLevel="1" x14ac:dyDescent="0.3"/>
    <row r="747" outlineLevel="1" x14ac:dyDescent="0.3"/>
    <row r="748" outlineLevel="1" x14ac:dyDescent="0.3"/>
    <row r="749" outlineLevel="1" x14ac:dyDescent="0.3"/>
    <row r="750" outlineLevel="1" x14ac:dyDescent="0.3"/>
    <row r="751" outlineLevel="1" x14ac:dyDescent="0.3"/>
    <row r="752" outlineLevel="1" x14ac:dyDescent="0.3"/>
    <row r="753" outlineLevel="1" x14ac:dyDescent="0.3"/>
    <row r="754" outlineLevel="1" x14ac:dyDescent="0.3"/>
    <row r="755" outlineLevel="1" x14ac:dyDescent="0.3"/>
    <row r="756" outlineLevel="1" x14ac:dyDescent="0.3"/>
    <row r="757" outlineLevel="1" x14ac:dyDescent="0.3"/>
    <row r="758" outlineLevel="1" x14ac:dyDescent="0.3"/>
    <row r="759" outlineLevel="1" x14ac:dyDescent="0.3"/>
    <row r="760" outlineLevel="1" x14ac:dyDescent="0.3"/>
    <row r="761" outlineLevel="1" x14ac:dyDescent="0.3"/>
    <row r="762" outlineLevel="1" x14ac:dyDescent="0.3"/>
    <row r="763" outlineLevel="1" x14ac:dyDescent="0.3"/>
    <row r="764" outlineLevel="1" x14ac:dyDescent="0.3"/>
    <row r="765" outlineLevel="1" x14ac:dyDescent="0.3"/>
    <row r="766" outlineLevel="1" x14ac:dyDescent="0.3"/>
    <row r="767" outlineLevel="1" x14ac:dyDescent="0.3"/>
    <row r="768" outlineLevel="1" x14ac:dyDescent="0.3"/>
    <row r="769" outlineLevel="1" x14ac:dyDescent="0.3"/>
    <row r="770" outlineLevel="1" x14ac:dyDescent="0.3"/>
    <row r="771" outlineLevel="1" x14ac:dyDescent="0.3"/>
    <row r="772" outlineLevel="1" x14ac:dyDescent="0.3"/>
    <row r="773" outlineLevel="1" x14ac:dyDescent="0.3"/>
    <row r="774" outlineLevel="1" x14ac:dyDescent="0.3"/>
    <row r="775" outlineLevel="1" x14ac:dyDescent="0.3"/>
    <row r="776" outlineLevel="1" x14ac:dyDescent="0.3"/>
    <row r="777" outlineLevel="1" x14ac:dyDescent="0.3"/>
    <row r="778" outlineLevel="1" x14ac:dyDescent="0.3"/>
    <row r="779" outlineLevel="1" x14ac:dyDescent="0.3"/>
    <row r="780" outlineLevel="1" x14ac:dyDescent="0.3"/>
    <row r="781" outlineLevel="1" x14ac:dyDescent="0.3"/>
    <row r="782" outlineLevel="1" x14ac:dyDescent="0.3"/>
    <row r="783" outlineLevel="1" x14ac:dyDescent="0.3"/>
    <row r="784" outlineLevel="1" x14ac:dyDescent="0.3"/>
    <row r="785" outlineLevel="1" x14ac:dyDescent="0.3"/>
    <row r="786" outlineLevel="1" x14ac:dyDescent="0.3"/>
    <row r="787" outlineLevel="1" x14ac:dyDescent="0.3"/>
    <row r="788" outlineLevel="1" x14ac:dyDescent="0.3"/>
    <row r="789" outlineLevel="1" x14ac:dyDescent="0.3"/>
    <row r="790" outlineLevel="1" x14ac:dyDescent="0.3"/>
    <row r="791" outlineLevel="1" x14ac:dyDescent="0.3"/>
    <row r="792" outlineLevel="1" x14ac:dyDescent="0.3"/>
    <row r="793" outlineLevel="1" x14ac:dyDescent="0.3"/>
    <row r="794" outlineLevel="1" x14ac:dyDescent="0.3"/>
    <row r="795" outlineLevel="1" x14ac:dyDescent="0.3"/>
    <row r="796" outlineLevel="1" x14ac:dyDescent="0.3"/>
    <row r="797" outlineLevel="1" x14ac:dyDescent="0.3"/>
    <row r="798" outlineLevel="1" x14ac:dyDescent="0.3"/>
    <row r="799" outlineLevel="1" x14ac:dyDescent="0.3"/>
    <row r="800" outlineLevel="1" x14ac:dyDescent="0.3"/>
    <row r="801" outlineLevel="1" x14ac:dyDescent="0.3"/>
    <row r="802" outlineLevel="1" x14ac:dyDescent="0.3"/>
    <row r="803" outlineLevel="1" x14ac:dyDescent="0.3"/>
    <row r="804" outlineLevel="1" x14ac:dyDescent="0.3"/>
    <row r="805" outlineLevel="1" x14ac:dyDescent="0.3"/>
    <row r="806" outlineLevel="1" x14ac:dyDescent="0.3"/>
    <row r="807" outlineLevel="1" x14ac:dyDescent="0.3"/>
    <row r="808" outlineLevel="1" x14ac:dyDescent="0.3"/>
    <row r="809" outlineLevel="1" x14ac:dyDescent="0.3"/>
    <row r="810" outlineLevel="1" x14ac:dyDescent="0.3"/>
    <row r="811" outlineLevel="1" x14ac:dyDescent="0.3"/>
    <row r="812" outlineLevel="1" x14ac:dyDescent="0.3"/>
    <row r="813" outlineLevel="1" x14ac:dyDescent="0.3"/>
    <row r="814" outlineLevel="1" x14ac:dyDescent="0.3"/>
    <row r="815" outlineLevel="1" x14ac:dyDescent="0.3"/>
    <row r="816" outlineLevel="1" x14ac:dyDescent="0.3"/>
    <row r="817" outlineLevel="1" x14ac:dyDescent="0.3"/>
    <row r="818" outlineLevel="1" x14ac:dyDescent="0.3"/>
    <row r="819" outlineLevel="1" x14ac:dyDescent="0.3"/>
    <row r="820" outlineLevel="1" x14ac:dyDescent="0.3"/>
    <row r="821" outlineLevel="1" x14ac:dyDescent="0.3"/>
    <row r="822" outlineLevel="1" x14ac:dyDescent="0.3"/>
    <row r="823" outlineLevel="1" x14ac:dyDescent="0.3"/>
    <row r="824" outlineLevel="1" x14ac:dyDescent="0.3"/>
    <row r="825" outlineLevel="1" x14ac:dyDescent="0.3"/>
    <row r="826" outlineLevel="1" x14ac:dyDescent="0.3"/>
    <row r="827" outlineLevel="1" x14ac:dyDescent="0.3"/>
    <row r="828" outlineLevel="1" x14ac:dyDescent="0.3"/>
    <row r="829" outlineLevel="1" x14ac:dyDescent="0.3"/>
    <row r="830" outlineLevel="1" x14ac:dyDescent="0.3"/>
    <row r="831" outlineLevel="1" x14ac:dyDescent="0.3"/>
    <row r="832" outlineLevel="1" x14ac:dyDescent="0.3"/>
    <row r="833" outlineLevel="1" x14ac:dyDescent="0.3"/>
    <row r="834" outlineLevel="1" x14ac:dyDescent="0.3"/>
    <row r="835" outlineLevel="1" x14ac:dyDescent="0.3"/>
    <row r="836" outlineLevel="1" x14ac:dyDescent="0.3"/>
    <row r="837" outlineLevel="1" x14ac:dyDescent="0.3"/>
    <row r="838" outlineLevel="1" x14ac:dyDescent="0.3"/>
    <row r="839" outlineLevel="1" x14ac:dyDescent="0.3"/>
    <row r="840" outlineLevel="1" x14ac:dyDescent="0.3"/>
    <row r="841" outlineLevel="1" x14ac:dyDescent="0.3"/>
    <row r="842" outlineLevel="1" x14ac:dyDescent="0.3"/>
    <row r="843" outlineLevel="1" x14ac:dyDescent="0.3"/>
    <row r="844" outlineLevel="1" x14ac:dyDescent="0.3"/>
    <row r="845" outlineLevel="1" x14ac:dyDescent="0.3"/>
    <row r="846" outlineLevel="1" x14ac:dyDescent="0.3"/>
    <row r="847" outlineLevel="1" x14ac:dyDescent="0.3"/>
    <row r="848" outlineLevel="1" x14ac:dyDescent="0.3"/>
    <row r="849" outlineLevel="1" x14ac:dyDescent="0.3"/>
    <row r="850" outlineLevel="1" x14ac:dyDescent="0.3"/>
    <row r="851" outlineLevel="1" x14ac:dyDescent="0.3"/>
    <row r="852" outlineLevel="1" x14ac:dyDescent="0.3"/>
    <row r="853" outlineLevel="1" x14ac:dyDescent="0.3"/>
    <row r="854" outlineLevel="1" x14ac:dyDescent="0.3"/>
    <row r="855" outlineLevel="1" x14ac:dyDescent="0.3"/>
    <row r="856" outlineLevel="1" x14ac:dyDescent="0.3"/>
    <row r="857" outlineLevel="1" x14ac:dyDescent="0.3"/>
    <row r="858" outlineLevel="1" x14ac:dyDescent="0.3"/>
    <row r="859" outlineLevel="1" x14ac:dyDescent="0.3"/>
    <row r="860" outlineLevel="1" x14ac:dyDescent="0.3"/>
    <row r="861" outlineLevel="1" x14ac:dyDescent="0.3"/>
    <row r="862" outlineLevel="1" x14ac:dyDescent="0.3"/>
    <row r="863" outlineLevel="1" x14ac:dyDescent="0.3"/>
    <row r="864" outlineLevel="1" x14ac:dyDescent="0.3"/>
    <row r="865" outlineLevel="1" x14ac:dyDescent="0.3"/>
    <row r="866" outlineLevel="1" x14ac:dyDescent="0.3"/>
    <row r="867" outlineLevel="1" x14ac:dyDescent="0.3"/>
    <row r="868" outlineLevel="1" x14ac:dyDescent="0.3"/>
    <row r="869" outlineLevel="1" x14ac:dyDescent="0.3"/>
    <row r="870" outlineLevel="1" x14ac:dyDescent="0.3"/>
    <row r="871" outlineLevel="1" x14ac:dyDescent="0.3"/>
    <row r="872" outlineLevel="1" x14ac:dyDescent="0.3"/>
    <row r="873" outlineLevel="1" x14ac:dyDescent="0.3"/>
    <row r="874" outlineLevel="1" x14ac:dyDescent="0.3"/>
    <row r="875" outlineLevel="1" x14ac:dyDescent="0.3"/>
    <row r="876" outlineLevel="1" x14ac:dyDescent="0.3"/>
    <row r="877" outlineLevel="1" x14ac:dyDescent="0.3"/>
    <row r="878" outlineLevel="1" x14ac:dyDescent="0.3"/>
    <row r="879" outlineLevel="1" x14ac:dyDescent="0.3"/>
    <row r="880" outlineLevel="1" x14ac:dyDescent="0.3"/>
    <row r="881" outlineLevel="1" x14ac:dyDescent="0.3"/>
    <row r="882" outlineLevel="1" x14ac:dyDescent="0.3"/>
    <row r="883" outlineLevel="1" x14ac:dyDescent="0.3"/>
    <row r="884" outlineLevel="1" x14ac:dyDescent="0.3"/>
    <row r="885" outlineLevel="1" x14ac:dyDescent="0.3"/>
    <row r="886" outlineLevel="1" x14ac:dyDescent="0.3"/>
    <row r="887" outlineLevel="1" x14ac:dyDescent="0.3"/>
    <row r="888" outlineLevel="1" x14ac:dyDescent="0.3"/>
    <row r="889" outlineLevel="1" x14ac:dyDescent="0.3"/>
    <row r="890" outlineLevel="1" x14ac:dyDescent="0.3"/>
    <row r="891" outlineLevel="1" x14ac:dyDescent="0.3"/>
    <row r="892" outlineLevel="1" x14ac:dyDescent="0.3"/>
    <row r="893" outlineLevel="1" x14ac:dyDescent="0.3"/>
    <row r="894" outlineLevel="1" x14ac:dyDescent="0.3"/>
    <row r="895" outlineLevel="1" x14ac:dyDescent="0.3"/>
    <row r="896" outlineLevel="1" x14ac:dyDescent="0.3"/>
    <row r="897" outlineLevel="1" x14ac:dyDescent="0.3"/>
    <row r="898" outlineLevel="1" x14ac:dyDescent="0.3"/>
    <row r="899" outlineLevel="1" x14ac:dyDescent="0.3"/>
    <row r="900" outlineLevel="1" x14ac:dyDescent="0.3"/>
    <row r="901" outlineLevel="1" x14ac:dyDescent="0.3"/>
    <row r="902" outlineLevel="1" x14ac:dyDescent="0.3"/>
    <row r="903" outlineLevel="1" x14ac:dyDescent="0.3"/>
    <row r="904" outlineLevel="1" x14ac:dyDescent="0.3"/>
    <row r="905" outlineLevel="1" x14ac:dyDescent="0.3"/>
    <row r="906" outlineLevel="1" x14ac:dyDescent="0.3"/>
    <row r="907" outlineLevel="1" x14ac:dyDescent="0.3"/>
    <row r="908" outlineLevel="1" x14ac:dyDescent="0.3"/>
    <row r="909" outlineLevel="1" x14ac:dyDescent="0.3"/>
    <row r="910" outlineLevel="1" x14ac:dyDescent="0.3"/>
    <row r="911" outlineLevel="1" x14ac:dyDescent="0.3"/>
    <row r="912" outlineLevel="1" x14ac:dyDescent="0.3"/>
    <row r="913" outlineLevel="1" x14ac:dyDescent="0.3"/>
    <row r="914" outlineLevel="1" x14ac:dyDescent="0.3"/>
    <row r="915" outlineLevel="1" x14ac:dyDescent="0.3"/>
    <row r="916" outlineLevel="1" x14ac:dyDescent="0.3"/>
    <row r="917" outlineLevel="1" x14ac:dyDescent="0.3"/>
    <row r="918" outlineLevel="1" x14ac:dyDescent="0.3"/>
    <row r="919" outlineLevel="1" x14ac:dyDescent="0.3"/>
    <row r="920" outlineLevel="1" x14ac:dyDescent="0.3"/>
    <row r="921" outlineLevel="1" x14ac:dyDescent="0.3"/>
    <row r="922" outlineLevel="1" x14ac:dyDescent="0.3"/>
    <row r="923" outlineLevel="1" x14ac:dyDescent="0.3"/>
    <row r="924" outlineLevel="1" x14ac:dyDescent="0.3"/>
    <row r="925" outlineLevel="1" x14ac:dyDescent="0.3"/>
    <row r="926" outlineLevel="1" x14ac:dyDescent="0.3"/>
    <row r="927" outlineLevel="1" x14ac:dyDescent="0.3"/>
    <row r="928" outlineLevel="1" x14ac:dyDescent="0.3"/>
    <row r="929" outlineLevel="1" x14ac:dyDescent="0.3"/>
    <row r="930" outlineLevel="1" x14ac:dyDescent="0.3"/>
    <row r="931" outlineLevel="1" x14ac:dyDescent="0.3"/>
    <row r="932" outlineLevel="1" x14ac:dyDescent="0.3"/>
    <row r="933" outlineLevel="1" x14ac:dyDescent="0.3"/>
    <row r="934" outlineLevel="1" x14ac:dyDescent="0.3"/>
    <row r="935" outlineLevel="1" x14ac:dyDescent="0.3"/>
    <row r="936" outlineLevel="1" x14ac:dyDescent="0.3"/>
    <row r="937" outlineLevel="1" x14ac:dyDescent="0.3"/>
    <row r="938" outlineLevel="1" x14ac:dyDescent="0.3"/>
    <row r="939" outlineLevel="1" x14ac:dyDescent="0.3"/>
    <row r="940" outlineLevel="1" x14ac:dyDescent="0.3"/>
    <row r="941" outlineLevel="1" x14ac:dyDescent="0.3"/>
    <row r="942" outlineLevel="1" x14ac:dyDescent="0.3"/>
    <row r="943" outlineLevel="1" x14ac:dyDescent="0.3"/>
    <row r="944" outlineLevel="1" x14ac:dyDescent="0.3"/>
    <row r="945" outlineLevel="1" x14ac:dyDescent="0.3"/>
    <row r="946" outlineLevel="1" x14ac:dyDescent="0.3"/>
    <row r="947" outlineLevel="1" x14ac:dyDescent="0.3"/>
    <row r="948" outlineLevel="1" x14ac:dyDescent="0.3"/>
    <row r="949" outlineLevel="1" x14ac:dyDescent="0.3"/>
    <row r="950" outlineLevel="1" x14ac:dyDescent="0.3"/>
    <row r="951" outlineLevel="1" x14ac:dyDescent="0.3"/>
    <row r="952" outlineLevel="1" x14ac:dyDescent="0.3"/>
    <row r="953" outlineLevel="1" x14ac:dyDescent="0.3"/>
    <row r="954" outlineLevel="1" x14ac:dyDescent="0.3"/>
    <row r="955" outlineLevel="1" x14ac:dyDescent="0.3"/>
    <row r="956" outlineLevel="1" x14ac:dyDescent="0.3"/>
    <row r="957" outlineLevel="1" x14ac:dyDescent="0.3"/>
    <row r="958" outlineLevel="1" x14ac:dyDescent="0.3"/>
    <row r="959" outlineLevel="1" x14ac:dyDescent="0.3"/>
    <row r="960" outlineLevel="1" x14ac:dyDescent="0.3"/>
    <row r="961" outlineLevel="1" x14ac:dyDescent="0.3"/>
    <row r="962" outlineLevel="1" x14ac:dyDescent="0.3"/>
    <row r="963" outlineLevel="1" x14ac:dyDescent="0.3"/>
    <row r="964" outlineLevel="1" x14ac:dyDescent="0.3"/>
    <row r="965" outlineLevel="1" x14ac:dyDescent="0.3"/>
    <row r="966" outlineLevel="1" x14ac:dyDescent="0.3"/>
    <row r="967" outlineLevel="1" x14ac:dyDescent="0.3"/>
    <row r="968" outlineLevel="1" x14ac:dyDescent="0.3"/>
    <row r="969" outlineLevel="1" x14ac:dyDescent="0.3"/>
    <row r="970" outlineLevel="1" x14ac:dyDescent="0.3"/>
    <row r="971" outlineLevel="1" x14ac:dyDescent="0.3"/>
    <row r="972" outlineLevel="1" x14ac:dyDescent="0.3"/>
    <row r="973" outlineLevel="1" x14ac:dyDescent="0.3"/>
    <row r="974" outlineLevel="1" x14ac:dyDescent="0.3"/>
    <row r="975" outlineLevel="1" x14ac:dyDescent="0.3"/>
    <row r="976" outlineLevel="1" x14ac:dyDescent="0.3"/>
    <row r="977" outlineLevel="1" x14ac:dyDescent="0.3"/>
    <row r="978" outlineLevel="1" x14ac:dyDescent="0.3"/>
    <row r="979" outlineLevel="1" x14ac:dyDescent="0.3"/>
    <row r="980" outlineLevel="1" x14ac:dyDescent="0.3"/>
    <row r="981" outlineLevel="1" x14ac:dyDescent="0.3"/>
    <row r="982" outlineLevel="1" x14ac:dyDescent="0.3"/>
    <row r="983" outlineLevel="1" x14ac:dyDescent="0.3"/>
    <row r="984" outlineLevel="1" x14ac:dyDescent="0.3"/>
    <row r="985" outlineLevel="1" x14ac:dyDescent="0.3"/>
    <row r="986" outlineLevel="1" x14ac:dyDescent="0.3"/>
    <row r="987" outlineLevel="1" x14ac:dyDescent="0.3"/>
    <row r="988" outlineLevel="1" x14ac:dyDescent="0.3"/>
    <row r="989" outlineLevel="1" x14ac:dyDescent="0.3"/>
    <row r="990" outlineLevel="1" x14ac:dyDescent="0.3"/>
    <row r="991" outlineLevel="1" x14ac:dyDescent="0.3"/>
    <row r="992" outlineLevel="1" x14ac:dyDescent="0.3"/>
    <row r="993" outlineLevel="1" x14ac:dyDescent="0.3"/>
    <row r="994" outlineLevel="1" x14ac:dyDescent="0.3"/>
    <row r="995" outlineLevel="1" x14ac:dyDescent="0.3"/>
    <row r="996" outlineLevel="1" x14ac:dyDescent="0.3"/>
    <row r="997" outlineLevel="1" x14ac:dyDescent="0.3"/>
    <row r="998" outlineLevel="1" x14ac:dyDescent="0.3"/>
    <row r="999" outlineLevel="1" x14ac:dyDescent="0.3"/>
    <row r="1000" outlineLevel="1" x14ac:dyDescent="0.3"/>
    <row r="1001" outlineLevel="1" x14ac:dyDescent="0.3"/>
    <row r="1002" outlineLevel="1" x14ac:dyDescent="0.3"/>
    <row r="1003" outlineLevel="1" x14ac:dyDescent="0.3"/>
    <row r="1004" outlineLevel="1" x14ac:dyDescent="0.3"/>
    <row r="1005" outlineLevel="1" x14ac:dyDescent="0.3"/>
    <row r="1006" outlineLevel="1" x14ac:dyDescent="0.3"/>
    <row r="1007" outlineLevel="1" x14ac:dyDescent="0.3"/>
    <row r="1008" outlineLevel="1" x14ac:dyDescent="0.3"/>
    <row r="1009" outlineLevel="1" x14ac:dyDescent="0.3"/>
    <row r="1010" outlineLevel="1" x14ac:dyDescent="0.3"/>
    <row r="1011" outlineLevel="1" x14ac:dyDescent="0.3"/>
    <row r="1012" outlineLevel="1" x14ac:dyDescent="0.3"/>
    <row r="1013" outlineLevel="1" x14ac:dyDescent="0.3"/>
    <row r="1014" outlineLevel="1" x14ac:dyDescent="0.3"/>
    <row r="1015" outlineLevel="1" x14ac:dyDescent="0.3"/>
    <row r="1016" outlineLevel="1" x14ac:dyDescent="0.3"/>
    <row r="1017" outlineLevel="1" x14ac:dyDescent="0.3"/>
    <row r="1018" outlineLevel="1" x14ac:dyDescent="0.3"/>
    <row r="1019" outlineLevel="1" x14ac:dyDescent="0.3"/>
    <row r="1020" outlineLevel="1" x14ac:dyDescent="0.3"/>
    <row r="1021" outlineLevel="1" x14ac:dyDescent="0.3"/>
    <row r="1022" outlineLevel="1" x14ac:dyDescent="0.3"/>
    <row r="1023" outlineLevel="1" x14ac:dyDescent="0.3"/>
    <row r="1024" outlineLevel="1" x14ac:dyDescent="0.3"/>
    <row r="1025" outlineLevel="1" x14ac:dyDescent="0.3"/>
    <row r="1026" outlineLevel="1" x14ac:dyDescent="0.3"/>
    <row r="1027" outlineLevel="1" x14ac:dyDescent="0.3"/>
    <row r="1028" outlineLevel="1" x14ac:dyDescent="0.3"/>
    <row r="1029" outlineLevel="1" x14ac:dyDescent="0.3"/>
    <row r="1030" outlineLevel="1" x14ac:dyDescent="0.3"/>
    <row r="1031" outlineLevel="1" x14ac:dyDescent="0.3"/>
    <row r="1032" outlineLevel="1" x14ac:dyDescent="0.3"/>
    <row r="1033" outlineLevel="1" x14ac:dyDescent="0.3"/>
    <row r="1034" outlineLevel="1" x14ac:dyDescent="0.3"/>
    <row r="1035" outlineLevel="1" x14ac:dyDescent="0.3"/>
    <row r="1036" outlineLevel="1" x14ac:dyDescent="0.3"/>
    <row r="1037" outlineLevel="1" x14ac:dyDescent="0.3"/>
    <row r="1038" outlineLevel="1" x14ac:dyDescent="0.3"/>
    <row r="1039" outlineLevel="1" x14ac:dyDescent="0.3"/>
    <row r="1040" outlineLevel="1" x14ac:dyDescent="0.3"/>
    <row r="1041" outlineLevel="1" x14ac:dyDescent="0.3"/>
    <row r="1042" outlineLevel="1" x14ac:dyDescent="0.3"/>
    <row r="1043" outlineLevel="1" x14ac:dyDescent="0.3"/>
    <row r="1044" outlineLevel="1" x14ac:dyDescent="0.3"/>
    <row r="1045" outlineLevel="1" x14ac:dyDescent="0.3"/>
    <row r="1046" outlineLevel="1" x14ac:dyDescent="0.3"/>
    <row r="1047" outlineLevel="1" x14ac:dyDescent="0.3"/>
    <row r="1048" outlineLevel="1" x14ac:dyDescent="0.3"/>
    <row r="1049" outlineLevel="1" x14ac:dyDescent="0.3"/>
    <row r="1050" outlineLevel="1" x14ac:dyDescent="0.3"/>
    <row r="1051" outlineLevel="1" x14ac:dyDescent="0.3"/>
    <row r="1052" outlineLevel="1" x14ac:dyDescent="0.3"/>
    <row r="1053" outlineLevel="1" x14ac:dyDescent="0.3"/>
    <row r="1054" outlineLevel="1" x14ac:dyDescent="0.3"/>
    <row r="1055" outlineLevel="1" x14ac:dyDescent="0.3"/>
    <row r="1056" outlineLevel="1" x14ac:dyDescent="0.3"/>
    <row r="1057" outlineLevel="1" x14ac:dyDescent="0.3"/>
    <row r="1058" outlineLevel="1" x14ac:dyDescent="0.3"/>
    <row r="1059" outlineLevel="1" x14ac:dyDescent="0.3"/>
    <row r="1060" outlineLevel="1" x14ac:dyDescent="0.3"/>
    <row r="1061" outlineLevel="1" x14ac:dyDescent="0.3"/>
    <row r="1062" outlineLevel="1" x14ac:dyDescent="0.3"/>
    <row r="1063" outlineLevel="1" x14ac:dyDescent="0.3"/>
    <row r="1064" outlineLevel="1" x14ac:dyDescent="0.3"/>
    <row r="1065" outlineLevel="1" x14ac:dyDescent="0.3"/>
    <row r="1066" outlineLevel="1" x14ac:dyDescent="0.3"/>
    <row r="1067" outlineLevel="1" x14ac:dyDescent="0.3"/>
    <row r="1068" outlineLevel="1" x14ac:dyDescent="0.3"/>
    <row r="1069" outlineLevel="1" x14ac:dyDescent="0.3"/>
    <row r="1070" outlineLevel="1" x14ac:dyDescent="0.3"/>
    <row r="1071" outlineLevel="1" x14ac:dyDescent="0.3"/>
    <row r="1072" outlineLevel="1" x14ac:dyDescent="0.3"/>
    <row r="1073" outlineLevel="1" x14ac:dyDescent="0.3"/>
    <row r="1074" outlineLevel="1" x14ac:dyDescent="0.3"/>
    <row r="1075" outlineLevel="1" x14ac:dyDescent="0.3"/>
    <row r="1076" outlineLevel="1" x14ac:dyDescent="0.3"/>
    <row r="1077" outlineLevel="1" x14ac:dyDescent="0.3"/>
    <row r="1078" outlineLevel="1" x14ac:dyDescent="0.3"/>
    <row r="1079" outlineLevel="1" x14ac:dyDescent="0.3"/>
    <row r="1080" outlineLevel="1" x14ac:dyDescent="0.3"/>
    <row r="1081" outlineLevel="1" x14ac:dyDescent="0.3"/>
    <row r="1082" outlineLevel="1" x14ac:dyDescent="0.3"/>
    <row r="1083" outlineLevel="1" x14ac:dyDescent="0.3"/>
    <row r="1084" outlineLevel="1" x14ac:dyDescent="0.3"/>
    <row r="1085" outlineLevel="1" x14ac:dyDescent="0.3"/>
    <row r="1086" outlineLevel="1" x14ac:dyDescent="0.3"/>
    <row r="1087" outlineLevel="1" x14ac:dyDescent="0.3"/>
    <row r="1088" outlineLevel="1" x14ac:dyDescent="0.3"/>
    <row r="1089" outlineLevel="1" x14ac:dyDescent="0.3"/>
    <row r="1090" outlineLevel="1" x14ac:dyDescent="0.3"/>
    <row r="1091" outlineLevel="1" x14ac:dyDescent="0.3"/>
    <row r="1092" outlineLevel="1" x14ac:dyDescent="0.3"/>
    <row r="1093" outlineLevel="1" x14ac:dyDescent="0.3"/>
    <row r="1094" outlineLevel="1" x14ac:dyDescent="0.3"/>
    <row r="1095" outlineLevel="1" x14ac:dyDescent="0.3"/>
    <row r="1096" outlineLevel="1" x14ac:dyDescent="0.3"/>
    <row r="1097" outlineLevel="1" x14ac:dyDescent="0.3"/>
    <row r="1098" outlineLevel="1" x14ac:dyDescent="0.3"/>
    <row r="1099" outlineLevel="1" x14ac:dyDescent="0.3"/>
    <row r="1100" outlineLevel="1" x14ac:dyDescent="0.3"/>
    <row r="1101" outlineLevel="1" x14ac:dyDescent="0.3"/>
    <row r="1102" outlineLevel="1" x14ac:dyDescent="0.3"/>
    <row r="1103" outlineLevel="1" x14ac:dyDescent="0.3"/>
    <row r="1104" outlineLevel="1" x14ac:dyDescent="0.3"/>
    <row r="1105" outlineLevel="1" x14ac:dyDescent="0.3"/>
    <row r="1106" outlineLevel="1" x14ac:dyDescent="0.3"/>
    <row r="1107" outlineLevel="1" x14ac:dyDescent="0.3"/>
    <row r="1108" outlineLevel="1" x14ac:dyDescent="0.3"/>
    <row r="1109" outlineLevel="1" x14ac:dyDescent="0.3"/>
    <row r="1110" outlineLevel="1" x14ac:dyDescent="0.3"/>
    <row r="1111" outlineLevel="1" x14ac:dyDescent="0.3"/>
    <row r="1112" outlineLevel="1" x14ac:dyDescent="0.3"/>
    <row r="1113" outlineLevel="1" x14ac:dyDescent="0.3"/>
    <row r="1114" outlineLevel="1" x14ac:dyDescent="0.3"/>
    <row r="1115" outlineLevel="1" x14ac:dyDescent="0.3"/>
    <row r="1116" outlineLevel="1" x14ac:dyDescent="0.3"/>
    <row r="1117" outlineLevel="1" x14ac:dyDescent="0.3"/>
    <row r="1118" outlineLevel="1" x14ac:dyDescent="0.3"/>
    <row r="1119" outlineLevel="1" x14ac:dyDescent="0.3"/>
    <row r="1120" outlineLevel="1" x14ac:dyDescent="0.3"/>
    <row r="1121" outlineLevel="1" x14ac:dyDescent="0.3"/>
    <row r="1122" outlineLevel="1" x14ac:dyDescent="0.3"/>
    <row r="1123" outlineLevel="1" x14ac:dyDescent="0.3"/>
    <row r="1124" outlineLevel="1" x14ac:dyDescent="0.3"/>
    <row r="1125" outlineLevel="1" x14ac:dyDescent="0.3"/>
    <row r="1126" outlineLevel="1" x14ac:dyDescent="0.3"/>
    <row r="1127" outlineLevel="1" x14ac:dyDescent="0.3"/>
    <row r="1128" outlineLevel="1" x14ac:dyDescent="0.3"/>
    <row r="1129" outlineLevel="1" x14ac:dyDescent="0.3"/>
    <row r="1130" outlineLevel="1" x14ac:dyDescent="0.3"/>
    <row r="1131" outlineLevel="1" x14ac:dyDescent="0.3"/>
    <row r="1132" outlineLevel="1" x14ac:dyDescent="0.3"/>
    <row r="1133" outlineLevel="1" x14ac:dyDescent="0.3"/>
    <row r="1134" outlineLevel="1" x14ac:dyDescent="0.3"/>
    <row r="1135" outlineLevel="1" x14ac:dyDescent="0.3"/>
    <row r="1136" outlineLevel="1" x14ac:dyDescent="0.3"/>
    <row r="1137" outlineLevel="1" x14ac:dyDescent="0.3"/>
    <row r="1138" outlineLevel="1" x14ac:dyDescent="0.3"/>
    <row r="1139" outlineLevel="1" x14ac:dyDescent="0.3"/>
    <row r="1140" outlineLevel="1" x14ac:dyDescent="0.3"/>
    <row r="1141" outlineLevel="1" x14ac:dyDescent="0.3"/>
    <row r="1142" outlineLevel="1" x14ac:dyDescent="0.3"/>
    <row r="1143" outlineLevel="1" x14ac:dyDescent="0.3"/>
    <row r="1144" outlineLevel="1" x14ac:dyDescent="0.3"/>
    <row r="1145" outlineLevel="1" x14ac:dyDescent="0.3"/>
    <row r="1146" outlineLevel="1" x14ac:dyDescent="0.3"/>
    <row r="1147" outlineLevel="1" x14ac:dyDescent="0.3"/>
    <row r="1148" outlineLevel="1" x14ac:dyDescent="0.3"/>
    <row r="1149" outlineLevel="1" x14ac:dyDescent="0.3"/>
    <row r="1150" outlineLevel="1" x14ac:dyDescent="0.3"/>
    <row r="1151" outlineLevel="1" x14ac:dyDescent="0.3"/>
    <row r="1152" outlineLevel="1" x14ac:dyDescent="0.3"/>
    <row r="1153" outlineLevel="1" x14ac:dyDescent="0.3"/>
    <row r="1154" outlineLevel="1" x14ac:dyDescent="0.3"/>
    <row r="1155" outlineLevel="1" x14ac:dyDescent="0.3"/>
    <row r="1156" outlineLevel="1" x14ac:dyDescent="0.3"/>
    <row r="1157" outlineLevel="1" x14ac:dyDescent="0.3"/>
    <row r="1158" outlineLevel="1" x14ac:dyDescent="0.3"/>
    <row r="1159" outlineLevel="1" x14ac:dyDescent="0.3"/>
    <row r="1160" outlineLevel="1" x14ac:dyDescent="0.3"/>
    <row r="1161" outlineLevel="1" x14ac:dyDescent="0.3"/>
    <row r="1162" outlineLevel="1" x14ac:dyDescent="0.3"/>
    <row r="1163" outlineLevel="1" x14ac:dyDescent="0.3"/>
    <row r="1164" outlineLevel="1" x14ac:dyDescent="0.3"/>
    <row r="1165" outlineLevel="1" x14ac:dyDescent="0.3"/>
    <row r="1166" outlineLevel="1" x14ac:dyDescent="0.3"/>
    <row r="1167" outlineLevel="1" x14ac:dyDescent="0.3"/>
    <row r="1168" outlineLevel="1" x14ac:dyDescent="0.3"/>
    <row r="1169" outlineLevel="1" x14ac:dyDescent="0.3"/>
    <row r="1170" outlineLevel="1" x14ac:dyDescent="0.3"/>
    <row r="1171" outlineLevel="1" x14ac:dyDescent="0.3"/>
    <row r="1172" outlineLevel="1" x14ac:dyDescent="0.3"/>
    <row r="1173" outlineLevel="1" x14ac:dyDescent="0.3"/>
    <row r="1174" outlineLevel="1" x14ac:dyDescent="0.3"/>
    <row r="1175" outlineLevel="1" x14ac:dyDescent="0.3"/>
    <row r="1176" outlineLevel="1" x14ac:dyDescent="0.3"/>
    <row r="1177" outlineLevel="1" x14ac:dyDescent="0.3"/>
    <row r="1178" outlineLevel="1" x14ac:dyDescent="0.3"/>
    <row r="1179" outlineLevel="1" x14ac:dyDescent="0.3"/>
    <row r="1180" outlineLevel="1" x14ac:dyDescent="0.3"/>
    <row r="1181" outlineLevel="1" x14ac:dyDescent="0.3"/>
    <row r="1182" outlineLevel="1" x14ac:dyDescent="0.3"/>
    <row r="1183" outlineLevel="1" x14ac:dyDescent="0.3"/>
    <row r="1184" outlineLevel="1" x14ac:dyDescent="0.3"/>
    <row r="1185" outlineLevel="1" x14ac:dyDescent="0.3"/>
    <row r="1186" outlineLevel="1" x14ac:dyDescent="0.3"/>
    <row r="1187" outlineLevel="1" x14ac:dyDescent="0.3"/>
    <row r="1188" outlineLevel="1" x14ac:dyDescent="0.3"/>
    <row r="1189" outlineLevel="1" x14ac:dyDescent="0.3"/>
    <row r="1190" outlineLevel="1" x14ac:dyDescent="0.3"/>
    <row r="1191" outlineLevel="1" x14ac:dyDescent="0.3"/>
    <row r="1192" outlineLevel="1" x14ac:dyDescent="0.3"/>
    <row r="1193" outlineLevel="1" x14ac:dyDescent="0.3"/>
    <row r="1194" outlineLevel="1" x14ac:dyDescent="0.3"/>
    <row r="1195" outlineLevel="1" x14ac:dyDescent="0.3"/>
    <row r="1196" outlineLevel="1" x14ac:dyDescent="0.3"/>
    <row r="1197" outlineLevel="1" x14ac:dyDescent="0.3"/>
    <row r="1198" outlineLevel="1" x14ac:dyDescent="0.3"/>
    <row r="1199" outlineLevel="1" x14ac:dyDescent="0.3"/>
    <row r="1200" outlineLevel="1" x14ac:dyDescent="0.3"/>
    <row r="1201" outlineLevel="1" x14ac:dyDescent="0.3"/>
    <row r="1202" outlineLevel="1" x14ac:dyDescent="0.3"/>
    <row r="1203" outlineLevel="1" x14ac:dyDescent="0.3"/>
    <row r="1204" outlineLevel="1" x14ac:dyDescent="0.3"/>
    <row r="1205" outlineLevel="1" x14ac:dyDescent="0.3"/>
    <row r="1206" outlineLevel="1" x14ac:dyDescent="0.3"/>
    <row r="1207" outlineLevel="1" x14ac:dyDescent="0.3"/>
    <row r="1208" outlineLevel="1" x14ac:dyDescent="0.3"/>
    <row r="1209" outlineLevel="1" x14ac:dyDescent="0.3"/>
    <row r="1210" outlineLevel="1" x14ac:dyDescent="0.3"/>
    <row r="1211" outlineLevel="1" x14ac:dyDescent="0.3"/>
    <row r="1212" outlineLevel="1" x14ac:dyDescent="0.3"/>
    <row r="1213" outlineLevel="1" x14ac:dyDescent="0.3"/>
    <row r="1214" outlineLevel="1" x14ac:dyDescent="0.3"/>
    <row r="1215" outlineLevel="1" x14ac:dyDescent="0.3"/>
    <row r="1216" outlineLevel="1" x14ac:dyDescent="0.3"/>
    <row r="1217" outlineLevel="1" x14ac:dyDescent="0.3"/>
    <row r="1218" outlineLevel="1" x14ac:dyDescent="0.3"/>
    <row r="1219" outlineLevel="1" x14ac:dyDescent="0.3"/>
    <row r="1220" outlineLevel="1" x14ac:dyDescent="0.3"/>
    <row r="1221" outlineLevel="1" x14ac:dyDescent="0.3"/>
    <row r="1222" outlineLevel="1" x14ac:dyDescent="0.3"/>
    <row r="1223" outlineLevel="1" x14ac:dyDescent="0.3"/>
    <row r="1224" outlineLevel="1" x14ac:dyDescent="0.3"/>
    <row r="1225" outlineLevel="1" x14ac:dyDescent="0.3"/>
    <row r="1226" outlineLevel="1" x14ac:dyDescent="0.3"/>
    <row r="1227" outlineLevel="1" x14ac:dyDescent="0.3"/>
    <row r="1228" outlineLevel="1" x14ac:dyDescent="0.3"/>
    <row r="1229" outlineLevel="1" x14ac:dyDescent="0.3"/>
    <row r="1230" outlineLevel="1" x14ac:dyDescent="0.3"/>
    <row r="1231" outlineLevel="1" x14ac:dyDescent="0.3"/>
    <row r="1232" outlineLevel="1" x14ac:dyDescent="0.3"/>
    <row r="1233" outlineLevel="1" x14ac:dyDescent="0.3"/>
    <row r="1234" outlineLevel="1" x14ac:dyDescent="0.3"/>
    <row r="1235" outlineLevel="1" x14ac:dyDescent="0.3"/>
    <row r="1236" outlineLevel="1" x14ac:dyDescent="0.3"/>
    <row r="1237" outlineLevel="1" x14ac:dyDescent="0.3"/>
    <row r="1238" outlineLevel="1" x14ac:dyDescent="0.3"/>
    <row r="1239" outlineLevel="1" x14ac:dyDescent="0.3"/>
    <row r="1240" outlineLevel="1" x14ac:dyDescent="0.3"/>
    <row r="1241" outlineLevel="1" x14ac:dyDescent="0.3"/>
    <row r="1242" outlineLevel="1" x14ac:dyDescent="0.3"/>
    <row r="1243" outlineLevel="1" x14ac:dyDescent="0.3"/>
    <row r="1244" outlineLevel="1" x14ac:dyDescent="0.3"/>
    <row r="1245" outlineLevel="1" x14ac:dyDescent="0.3"/>
    <row r="1246" outlineLevel="1" x14ac:dyDescent="0.3"/>
    <row r="1247" outlineLevel="1" x14ac:dyDescent="0.3"/>
    <row r="1248" outlineLevel="1" x14ac:dyDescent="0.3"/>
    <row r="1249" outlineLevel="1" x14ac:dyDescent="0.3"/>
    <row r="1250" outlineLevel="1" x14ac:dyDescent="0.3"/>
    <row r="1251" outlineLevel="1" x14ac:dyDescent="0.3"/>
    <row r="1252" outlineLevel="1" x14ac:dyDescent="0.3"/>
    <row r="1253" outlineLevel="1" x14ac:dyDescent="0.3"/>
    <row r="1254" outlineLevel="1" x14ac:dyDescent="0.3"/>
    <row r="1255" outlineLevel="1" x14ac:dyDescent="0.3"/>
    <row r="1256" outlineLevel="1" x14ac:dyDescent="0.3"/>
    <row r="1257" outlineLevel="1" x14ac:dyDescent="0.3"/>
    <row r="1258" outlineLevel="1" x14ac:dyDescent="0.3"/>
    <row r="1259" outlineLevel="1" x14ac:dyDescent="0.3"/>
    <row r="1260" outlineLevel="1" x14ac:dyDescent="0.3"/>
    <row r="1261" outlineLevel="1" x14ac:dyDescent="0.3"/>
    <row r="1262" outlineLevel="1" x14ac:dyDescent="0.3"/>
    <row r="1263" outlineLevel="1" x14ac:dyDescent="0.3"/>
    <row r="1264" outlineLevel="1" x14ac:dyDescent="0.3"/>
    <row r="1265" outlineLevel="1" x14ac:dyDescent="0.3"/>
    <row r="1266" outlineLevel="1" x14ac:dyDescent="0.3"/>
    <row r="1267" outlineLevel="1" x14ac:dyDescent="0.3"/>
    <row r="1268" outlineLevel="1" x14ac:dyDescent="0.3"/>
    <row r="1269" outlineLevel="1" x14ac:dyDescent="0.3"/>
    <row r="1270" outlineLevel="1" x14ac:dyDescent="0.3"/>
    <row r="1271" outlineLevel="1" x14ac:dyDescent="0.3"/>
    <row r="1272" outlineLevel="1" x14ac:dyDescent="0.3"/>
    <row r="1273" outlineLevel="1" x14ac:dyDescent="0.3"/>
    <row r="1274" outlineLevel="1" x14ac:dyDescent="0.3"/>
    <row r="1275" outlineLevel="1" x14ac:dyDescent="0.3"/>
    <row r="1276" outlineLevel="1" x14ac:dyDescent="0.3"/>
    <row r="1277" outlineLevel="1" x14ac:dyDescent="0.3"/>
    <row r="1278" outlineLevel="1" x14ac:dyDescent="0.3"/>
    <row r="1279" outlineLevel="1" x14ac:dyDescent="0.3"/>
    <row r="1280" outlineLevel="1" x14ac:dyDescent="0.3"/>
    <row r="1281" outlineLevel="1" x14ac:dyDescent="0.3"/>
    <row r="1282" outlineLevel="1" x14ac:dyDescent="0.3"/>
    <row r="1283" outlineLevel="1" x14ac:dyDescent="0.3"/>
    <row r="1284" outlineLevel="1" x14ac:dyDescent="0.3"/>
    <row r="1285" outlineLevel="1" x14ac:dyDescent="0.3"/>
    <row r="1286" outlineLevel="1" x14ac:dyDescent="0.3"/>
    <row r="1287" outlineLevel="1" x14ac:dyDescent="0.3"/>
    <row r="1288" outlineLevel="1" x14ac:dyDescent="0.3"/>
    <row r="1289" outlineLevel="1" x14ac:dyDescent="0.3"/>
    <row r="1290" outlineLevel="1" x14ac:dyDescent="0.3"/>
    <row r="1291" outlineLevel="1" x14ac:dyDescent="0.3"/>
    <row r="1292" outlineLevel="1" x14ac:dyDescent="0.3"/>
    <row r="1293" outlineLevel="1" x14ac:dyDescent="0.3"/>
    <row r="1294" outlineLevel="1" x14ac:dyDescent="0.3"/>
    <row r="1295" outlineLevel="1" x14ac:dyDescent="0.3"/>
    <row r="1296" outlineLevel="1" x14ac:dyDescent="0.3"/>
    <row r="1297" outlineLevel="1" x14ac:dyDescent="0.3"/>
    <row r="1298" outlineLevel="1" x14ac:dyDescent="0.3"/>
    <row r="1299" outlineLevel="1" x14ac:dyDescent="0.3"/>
    <row r="1300" outlineLevel="1" x14ac:dyDescent="0.3"/>
    <row r="1301" outlineLevel="1" x14ac:dyDescent="0.3"/>
    <row r="1302" outlineLevel="1" x14ac:dyDescent="0.3"/>
    <row r="1303" outlineLevel="1" x14ac:dyDescent="0.3"/>
    <row r="1304" outlineLevel="1" x14ac:dyDescent="0.3"/>
    <row r="1305" outlineLevel="1" x14ac:dyDescent="0.3"/>
    <row r="1306" outlineLevel="1" x14ac:dyDescent="0.3"/>
    <row r="1307" outlineLevel="1" x14ac:dyDescent="0.3"/>
    <row r="1308" outlineLevel="1" x14ac:dyDescent="0.3"/>
    <row r="1309" outlineLevel="1" x14ac:dyDescent="0.3"/>
    <row r="1310" outlineLevel="1" x14ac:dyDescent="0.3"/>
    <row r="1311" outlineLevel="1" x14ac:dyDescent="0.3"/>
    <row r="1312" outlineLevel="1" x14ac:dyDescent="0.3"/>
    <row r="1313" outlineLevel="1" x14ac:dyDescent="0.3"/>
    <row r="1314" outlineLevel="1" x14ac:dyDescent="0.3"/>
    <row r="1315" outlineLevel="1" x14ac:dyDescent="0.3"/>
    <row r="1316" outlineLevel="1" x14ac:dyDescent="0.3"/>
    <row r="1317" outlineLevel="1" x14ac:dyDescent="0.3"/>
    <row r="1318" outlineLevel="1" x14ac:dyDescent="0.3"/>
    <row r="1319" outlineLevel="1" x14ac:dyDescent="0.3"/>
    <row r="1320" outlineLevel="1" x14ac:dyDescent="0.3"/>
    <row r="1321" outlineLevel="1" x14ac:dyDescent="0.3"/>
    <row r="1322" outlineLevel="1" x14ac:dyDescent="0.3"/>
    <row r="1323" outlineLevel="1" x14ac:dyDescent="0.3"/>
    <row r="1324" outlineLevel="1" x14ac:dyDescent="0.3"/>
    <row r="1325" outlineLevel="1" x14ac:dyDescent="0.3"/>
    <row r="1326" outlineLevel="1" x14ac:dyDescent="0.3"/>
    <row r="1327" outlineLevel="1" x14ac:dyDescent="0.3"/>
    <row r="1328" outlineLevel="1" x14ac:dyDescent="0.3"/>
    <row r="1329" outlineLevel="1" x14ac:dyDescent="0.3"/>
    <row r="1330" outlineLevel="1" x14ac:dyDescent="0.3"/>
    <row r="1331" outlineLevel="1" x14ac:dyDescent="0.3"/>
    <row r="1332" outlineLevel="1" x14ac:dyDescent="0.3"/>
    <row r="1333" outlineLevel="1" x14ac:dyDescent="0.3"/>
    <row r="1334" outlineLevel="1" x14ac:dyDescent="0.3"/>
    <row r="1335" outlineLevel="1" x14ac:dyDescent="0.3"/>
    <row r="1336" outlineLevel="1" x14ac:dyDescent="0.3"/>
    <row r="1337" outlineLevel="1" x14ac:dyDescent="0.3"/>
    <row r="1338" outlineLevel="1" x14ac:dyDescent="0.3"/>
    <row r="1339" outlineLevel="1" x14ac:dyDescent="0.3"/>
    <row r="1340" outlineLevel="1" x14ac:dyDescent="0.3"/>
    <row r="1341" outlineLevel="1" x14ac:dyDescent="0.3"/>
    <row r="1342" outlineLevel="1" x14ac:dyDescent="0.3"/>
    <row r="1343" outlineLevel="1" x14ac:dyDescent="0.3"/>
    <row r="1344" outlineLevel="1" x14ac:dyDescent="0.3"/>
    <row r="1345" outlineLevel="1" x14ac:dyDescent="0.3"/>
    <row r="1346" outlineLevel="1" x14ac:dyDescent="0.3"/>
    <row r="1347" outlineLevel="1" x14ac:dyDescent="0.3"/>
    <row r="1348" outlineLevel="1" x14ac:dyDescent="0.3"/>
    <row r="1349" outlineLevel="1" x14ac:dyDescent="0.3"/>
    <row r="1350" outlineLevel="1" x14ac:dyDescent="0.3"/>
    <row r="1351" outlineLevel="1" x14ac:dyDescent="0.3"/>
    <row r="1352" outlineLevel="1" x14ac:dyDescent="0.3"/>
    <row r="1353" outlineLevel="1" x14ac:dyDescent="0.3"/>
    <row r="1354" outlineLevel="1" x14ac:dyDescent="0.3"/>
    <row r="1355" outlineLevel="1" x14ac:dyDescent="0.3"/>
    <row r="1356" outlineLevel="1" x14ac:dyDescent="0.3"/>
    <row r="1357" outlineLevel="1" x14ac:dyDescent="0.3"/>
    <row r="1358" outlineLevel="1" x14ac:dyDescent="0.3"/>
    <row r="1359" outlineLevel="1" x14ac:dyDescent="0.3"/>
    <row r="1360" outlineLevel="1" x14ac:dyDescent="0.3"/>
    <row r="1361" outlineLevel="1" x14ac:dyDescent="0.3"/>
    <row r="1362" outlineLevel="1" x14ac:dyDescent="0.3"/>
    <row r="1363" outlineLevel="1" x14ac:dyDescent="0.3"/>
    <row r="1364" outlineLevel="1" x14ac:dyDescent="0.3"/>
    <row r="1365" outlineLevel="1" x14ac:dyDescent="0.3"/>
    <row r="1366" outlineLevel="1" x14ac:dyDescent="0.3"/>
    <row r="1367" outlineLevel="1" x14ac:dyDescent="0.3"/>
    <row r="1368" outlineLevel="1" x14ac:dyDescent="0.3"/>
    <row r="1369" outlineLevel="1" x14ac:dyDescent="0.3"/>
    <row r="1370" outlineLevel="1" x14ac:dyDescent="0.3"/>
    <row r="1371" outlineLevel="1" x14ac:dyDescent="0.3"/>
    <row r="1372" outlineLevel="1" x14ac:dyDescent="0.3"/>
    <row r="1373" outlineLevel="1" x14ac:dyDescent="0.3"/>
    <row r="1374" outlineLevel="1" x14ac:dyDescent="0.3"/>
    <row r="1375" outlineLevel="1" x14ac:dyDescent="0.3"/>
    <row r="1376" outlineLevel="1" x14ac:dyDescent="0.3"/>
    <row r="1377" outlineLevel="1" x14ac:dyDescent="0.3"/>
    <row r="1378" outlineLevel="1" x14ac:dyDescent="0.3"/>
    <row r="1379" outlineLevel="1" x14ac:dyDescent="0.3"/>
    <row r="1380" outlineLevel="1" x14ac:dyDescent="0.3"/>
    <row r="1381" outlineLevel="1" x14ac:dyDescent="0.3"/>
    <row r="1382" outlineLevel="1" x14ac:dyDescent="0.3"/>
    <row r="1383" outlineLevel="1" x14ac:dyDescent="0.3"/>
    <row r="1384" outlineLevel="1" x14ac:dyDescent="0.3"/>
    <row r="1385" outlineLevel="1" x14ac:dyDescent="0.3"/>
    <row r="1386" outlineLevel="1" x14ac:dyDescent="0.3"/>
    <row r="1387" outlineLevel="1" x14ac:dyDescent="0.3"/>
    <row r="1388" outlineLevel="1" x14ac:dyDescent="0.3"/>
    <row r="1389" outlineLevel="1" x14ac:dyDescent="0.3"/>
    <row r="1390" outlineLevel="1" x14ac:dyDescent="0.3"/>
    <row r="1391" outlineLevel="1" x14ac:dyDescent="0.3"/>
    <row r="1392" outlineLevel="1" x14ac:dyDescent="0.3"/>
    <row r="1393" outlineLevel="1" x14ac:dyDescent="0.3"/>
    <row r="1394" outlineLevel="1" x14ac:dyDescent="0.3"/>
    <row r="1395" outlineLevel="1" x14ac:dyDescent="0.3"/>
    <row r="1396" outlineLevel="1" x14ac:dyDescent="0.3"/>
    <row r="1397" outlineLevel="1" x14ac:dyDescent="0.3"/>
    <row r="1398" outlineLevel="1" x14ac:dyDescent="0.3"/>
    <row r="1399" outlineLevel="1" x14ac:dyDescent="0.3"/>
    <row r="1400" outlineLevel="1" x14ac:dyDescent="0.3"/>
    <row r="1401" outlineLevel="1" x14ac:dyDescent="0.3"/>
    <row r="1402" outlineLevel="1" x14ac:dyDescent="0.3"/>
    <row r="1403" outlineLevel="1" x14ac:dyDescent="0.3"/>
    <row r="1404" outlineLevel="1" x14ac:dyDescent="0.3"/>
    <row r="1405" outlineLevel="1" x14ac:dyDescent="0.3"/>
    <row r="1406" outlineLevel="1" x14ac:dyDescent="0.3"/>
    <row r="1407" outlineLevel="1" x14ac:dyDescent="0.3"/>
    <row r="1408" outlineLevel="1" x14ac:dyDescent="0.3"/>
    <row r="1409" outlineLevel="1" x14ac:dyDescent="0.3"/>
    <row r="1410" outlineLevel="1" x14ac:dyDescent="0.3"/>
    <row r="1411" outlineLevel="1" x14ac:dyDescent="0.3"/>
    <row r="1412" outlineLevel="1" x14ac:dyDescent="0.3"/>
    <row r="1413" outlineLevel="1" x14ac:dyDescent="0.3"/>
    <row r="1414" outlineLevel="1" x14ac:dyDescent="0.3"/>
    <row r="1415" outlineLevel="1" x14ac:dyDescent="0.3"/>
    <row r="1416" outlineLevel="1" x14ac:dyDescent="0.3"/>
    <row r="1417" outlineLevel="1" x14ac:dyDescent="0.3"/>
    <row r="1418" outlineLevel="1" x14ac:dyDescent="0.3"/>
    <row r="1419" outlineLevel="1" x14ac:dyDescent="0.3"/>
    <row r="1420" outlineLevel="1" x14ac:dyDescent="0.3"/>
    <row r="1421" outlineLevel="1" x14ac:dyDescent="0.3"/>
    <row r="1422" outlineLevel="1" x14ac:dyDescent="0.3"/>
    <row r="1423" outlineLevel="1" x14ac:dyDescent="0.3"/>
    <row r="1424" outlineLevel="1" x14ac:dyDescent="0.3"/>
    <row r="1425" spans="2:2" outlineLevel="1" x14ac:dyDescent="0.3"/>
    <row r="1426" spans="2:2" outlineLevel="1" x14ac:dyDescent="0.3"/>
    <row r="1427" spans="2:2" outlineLevel="1" x14ac:dyDescent="0.3"/>
    <row r="1428" spans="2:2" outlineLevel="1" x14ac:dyDescent="0.3"/>
    <row r="1429" spans="2:2" outlineLevel="1" x14ac:dyDescent="0.3"/>
    <row r="1430" spans="2:2" outlineLevel="1" x14ac:dyDescent="0.3"/>
    <row r="1431" spans="2:2" outlineLevel="1" x14ac:dyDescent="0.3"/>
    <row r="1432" spans="2:2" outlineLevel="1" x14ac:dyDescent="0.3"/>
    <row r="1433" spans="2:2" outlineLevel="1" x14ac:dyDescent="0.3"/>
    <row r="1434" spans="2:2" outlineLevel="1" x14ac:dyDescent="0.3"/>
    <row r="1435" spans="2:2" outlineLevel="1" x14ac:dyDescent="0.3"/>
    <row r="1436" spans="2:2" outlineLevel="1" x14ac:dyDescent="0.3">
      <c r="B1436" t="s">
        <v>6676</v>
      </c>
    </row>
    <row r="1437" spans="2:2" outlineLevel="1" x14ac:dyDescent="0.3">
      <c r="B1437" t="s">
        <v>6676</v>
      </c>
    </row>
    <row r="1438" spans="2:2" outlineLevel="1" x14ac:dyDescent="0.3">
      <c r="B1438" t="s">
        <v>6676</v>
      </c>
    </row>
    <row r="1439" spans="2:2" outlineLevel="1" x14ac:dyDescent="0.3">
      <c r="B1439" t="s">
        <v>6676</v>
      </c>
    </row>
    <row r="1440" spans="2:2" outlineLevel="1" x14ac:dyDescent="0.3">
      <c r="B1440" t="s">
        <v>6676</v>
      </c>
    </row>
    <row r="1441" spans="2:2" outlineLevel="1" x14ac:dyDescent="0.3">
      <c r="B1441" t="s">
        <v>6676</v>
      </c>
    </row>
    <row r="1442" spans="2:2" outlineLevel="1" x14ac:dyDescent="0.3">
      <c r="B1442" t="s">
        <v>6676</v>
      </c>
    </row>
    <row r="1443" spans="2:2" outlineLevel="1" x14ac:dyDescent="0.3">
      <c r="B1443" t="s">
        <v>6676</v>
      </c>
    </row>
    <row r="1444" spans="2:2" outlineLevel="1" x14ac:dyDescent="0.3">
      <c r="B1444" t="s">
        <v>6676</v>
      </c>
    </row>
    <row r="1445" spans="2:2" outlineLevel="1" x14ac:dyDescent="0.3">
      <c r="B1445" t="s">
        <v>6676</v>
      </c>
    </row>
    <row r="1446" spans="2:2" outlineLevel="1" x14ac:dyDescent="0.3">
      <c r="B1446" t="s">
        <v>6676</v>
      </c>
    </row>
    <row r="1447" spans="2:2" outlineLevel="1" x14ac:dyDescent="0.3">
      <c r="B1447" t="s">
        <v>6676</v>
      </c>
    </row>
    <row r="1448" spans="2:2" outlineLevel="1" x14ac:dyDescent="0.3">
      <c r="B1448" t="s">
        <v>6676</v>
      </c>
    </row>
    <row r="1449" spans="2:2" outlineLevel="1" x14ac:dyDescent="0.3">
      <c r="B1449" t="s">
        <v>6676</v>
      </c>
    </row>
    <row r="1450" spans="2:2" outlineLevel="1" x14ac:dyDescent="0.3"/>
    <row r="1451" spans="2:2" outlineLevel="1" x14ac:dyDescent="0.3"/>
    <row r="1452" spans="2:2" outlineLevel="1" x14ac:dyDescent="0.3"/>
    <row r="1453" spans="2:2" outlineLevel="1" x14ac:dyDescent="0.3"/>
    <row r="1454" spans="2:2" outlineLevel="1" x14ac:dyDescent="0.3"/>
    <row r="1455" spans="2:2" outlineLevel="1" x14ac:dyDescent="0.3"/>
    <row r="1456" spans="2:2" outlineLevel="1" x14ac:dyDescent="0.3"/>
    <row r="1457" outlineLevel="1" x14ac:dyDescent="0.3"/>
    <row r="1458" outlineLevel="1" x14ac:dyDescent="0.3"/>
    <row r="1459" outlineLevel="1" x14ac:dyDescent="0.3"/>
    <row r="1460" outlineLevel="1" x14ac:dyDescent="0.3"/>
    <row r="1461" outlineLevel="1" x14ac:dyDescent="0.3"/>
    <row r="1462" outlineLevel="1" x14ac:dyDescent="0.3"/>
    <row r="1463" outlineLevel="1" x14ac:dyDescent="0.3"/>
    <row r="1464" outlineLevel="1" x14ac:dyDescent="0.3"/>
    <row r="1465" outlineLevel="1" x14ac:dyDescent="0.3"/>
    <row r="1466" outlineLevel="1" x14ac:dyDescent="0.3"/>
    <row r="1467" outlineLevel="1" x14ac:dyDescent="0.3"/>
    <row r="1468" outlineLevel="1" x14ac:dyDescent="0.3"/>
    <row r="1469" outlineLevel="1" x14ac:dyDescent="0.3"/>
    <row r="1470" outlineLevel="1" x14ac:dyDescent="0.3"/>
    <row r="1471" outlineLevel="1" x14ac:dyDescent="0.3"/>
    <row r="1472" outlineLevel="1" x14ac:dyDescent="0.3"/>
    <row r="1473" outlineLevel="1" x14ac:dyDescent="0.3"/>
    <row r="1474" outlineLevel="1" x14ac:dyDescent="0.3"/>
    <row r="1475" outlineLevel="1" x14ac:dyDescent="0.3"/>
    <row r="1476" outlineLevel="1" x14ac:dyDescent="0.3"/>
    <row r="1477" outlineLevel="1" x14ac:dyDescent="0.3"/>
    <row r="1478" outlineLevel="1" x14ac:dyDescent="0.3"/>
    <row r="1479" outlineLevel="1" x14ac:dyDescent="0.3"/>
    <row r="1480" outlineLevel="1" x14ac:dyDescent="0.3"/>
    <row r="1481" outlineLevel="1" x14ac:dyDescent="0.3"/>
    <row r="1482" outlineLevel="1" x14ac:dyDescent="0.3"/>
    <row r="1483" outlineLevel="1" x14ac:dyDescent="0.3"/>
    <row r="1484" outlineLevel="1" x14ac:dyDescent="0.3"/>
    <row r="1485" outlineLevel="1" x14ac:dyDescent="0.3"/>
    <row r="1486" outlineLevel="1" x14ac:dyDescent="0.3"/>
    <row r="1487" outlineLevel="1" x14ac:dyDescent="0.3"/>
    <row r="1488" outlineLevel="1" x14ac:dyDescent="0.3"/>
    <row r="1489" outlineLevel="1" x14ac:dyDescent="0.3"/>
    <row r="1490" outlineLevel="1" x14ac:dyDescent="0.3"/>
    <row r="1491" outlineLevel="1" x14ac:dyDescent="0.3"/>
    <row r="1492" outlineLevel="1" x14ac:dyDescent="0.3"/>
    <row r="1493" outlineLevel="1" x14ac:dyDescent="0.3"/>
    <row r="1494" outlineLevel="1" x14ac:dyDescent="0.3"/>
    <row r="1495" outlineLevel="1" x14ac:dyDescent="0.3"/>
    <row r="1496" outlineLevel="1" x14ac:dyDescent="0.3"/>
    <row r="1497" outlineLevel="1" x14ac:dyDescent="0.3"/>
    <row r="1498" outlineLevel="1" x14ac:dyDescent="0.3"/>
    <row r="1499" outlineLevel="1" x14ac:dyDescent="0.3"/>
    <row r="1500" outlineLevel="1" x14ac:dyDescent="0.3"/>
    <row r="1501" outlineLevel="1" x14ac:dyDescent="0.3"/>
    <row r="1502" outlineLevel="1" x14ac:dyDescent="0.3"/>
    <row r="1503" outlineLevel="1" x14ac:dyDescent="0.3"/>
    <row r="1504" outlineLevel="1" x14ac:dyDescent="0.3"/>
    <row r="1505" outlineLevel="1" x14ac:dyDescent="0.3"/>
    <row r="1506" outlineLevel="1" x14ac:dyDescent="0.3"/>
    <row r="1507" outlineLevel="1" x14ac:dyDescent="0.3"/>
    <row r="1508" outlineLevel="1" x14ac:dyDescent="0.3"/>
    <row r="1509" outlineLevel="1" x14ac:dyDescent="0.3"/>
    <row r="1510" outlineLevel="1" x14ac:dyDescent="0.3"/>
    <row r="1511" outlineLevel="1" x14ac:dyDescent="0.3"/>
    <row r="1512" outlineLevel="1" x14ac:dyDescent="0.3"/>
    <row r="1513" outlineLevel="1" x14ac:dyDescent="0.3"/>
    <row r="1514" outlineLevel="1" x14ac:dyDescent="0.3"/>
    <row r="1515" outlineLevel="1" x14ac:dyDescent="0.3"/>
    <row r="1516" outlineLevel="1" x14ac:dyDescent="0.3"/>
    <row r="1517" outlineLevel="1" x14ac:dyDescent="0.3"/>
    <row r="1518" outlineLevel="1" x14ac:dyDescent="0.3"/>
    <row r="1519" outlineLevel="1" x14ac:dyDescent="0.3"/>
    <row r="1520" outlineLevel="1" x14ac:dyDescent="0.3"/>
    <row r="1521" outlineLevel="1" x14ac:dyDescent="0.3"/>
    <row r="1522" outlineLevel="1" x14ac:dyDescent="0.3"/>
    <row r="1523" outlineLevel="1" x14ac:dyDescent="0.3"/>
    <row r="1524" outlineLevel="1" x14ac:dyDescent="0.3"/>
    <row r="1525" outlineLevel="1" x14ac:dyDescent="0.3"/>
    <row r="1526" outlineLevel="1" x14ac:dyDescent="0.3"/>
    <row r="1527" outlineLevel="1" x14ac:dyDescent="0.3"/>
    <row r="1528" outlineLevel="1" x14ac:dyDescent="0.3"/>
    <row r="1529" outlineLevel="1" x14ac:dyDescent="0.3"/>
    <row r="1530" outlineLevel="1" x14ac:dyDescent="0.3"/>
    <row r="1531" outlineLevel="1" x14ac:dyDescent="0.3"/>
    <row r="1532" outlineLevel="1" x14ac:dyDescent="0.3"/>
    <row r="1533" outlineLevel="1" x14ac:dyDescent="0.3"/>
    <row r="1534" outlineLevel="1" x14ac:dyDescent="0.3"/>
    <row r="1535" outlineLevel="1" x14ac:dyDescent="0.3"/>
    <row r="1536" outlineLevel="1" x14ac:dyDescent="0.3"/>
    <row r="1537" outlineLevel="1" x14ac:dyDescent="0.3"/>
    <row r="1538" outlineLevel="1" x14ac:dyDescent="0.3"/>
    <row r="1539" outlineLevel="1" x14ac:dyDescent="0.3"/>
    <row r="1540" outlineLevel="1" x14ac:dyDescent="0.3"/>
    <row r="1541" outlineLevel="1" x14ac:dyDescent="0.3"/>
    <row r="1542" outlineLevel="1" x14ac:dyDescent="0.3"/>
    <row r="1543" outlineLevel="1" x14ac:dyDescent="0.3"/>
    <row r="1544" outlineLevel="1" x14ac:dyDescent="0.3"/>
    <row r="1545" outlineLevel="1" x14ac:dyDescent="0.3"/>
    <row r="1546" outlineLevel="1" x14ac:dyDescent="0.3"/>
    <row r="1547" outlineLevel="1" x14ac:dyDescent="0.3"/>
    <row r="1548" outlineLevel="1" x14ac:dyDescent="0.3"/>
    <row r="1549" outlineLevel="1" x14ac:dyDescent="0.3"/>
    <row r="1550" outlineLevel="1" x14ac:dyDescent="0.3"/>
    <row r="1551" outlineLevel="1" x14ac:dyDescent="0.3"/>
    <row r="1552" outlineLevel="1" x14ac:dyDescent="0.3"/>
    <row r="1553" outlineLevel="1" x14ac:dyDescent="0.3"/>
    <row r="1554" outlineLevel="1" x14ac:dyDescent="0.3"/>
    <row r="1555" outlineLevel="1" x14ac:dyDescent="0.3"/>
    <row r="1556" outlineLevel="1" x14ac:dyDescent="0.3"/>
    <row r="1557" outlineLevel="1" x14ac:dyDescent="0.3"/>
    <row r="1558" outlineLevel="1" x14ac:dyDescent="0.3"/>
    <row r="1559" outlineLevel="1" x14ac:dyDescent="0.3"/>
    <row r="1560" outlineLevel="1" x14ac:dyDescent="0.3"/>
    <row r="1561" outlineLevel="1" x14ac:dyDescent="0.3"/>
    <row r="1562" outlineLevel="1" x14ac:dyDescent="0.3"/>
    <row r="1563" outlineLevel="1" x14ac:dyDescent="0.3"/>
    <row r="1564" outlineLevel="1" x14ac:dyDescent="0.3"/>
    <row r="1565" outlineLevel="1" x14ac:dyDescent="0.3"/>
    <row r="1566" outlineLevel="1" x14ac:dyDescent="0.3"/>
    <row r="1567" outlineLevel="1" x14ac:dyDescent="0.3"/>
    <row r="1568" outlineLevel="1" x14ac:dyDescent="0.3"/>
    <row r="1569" outlineLevel="1" x14ac:dyDescent="0.3"/>
    <row r="1570" outlineLevel="1" x14ac:dyDescent="0.3"/>
    <row r="1571" outlineLevel="1" x14ac:dyDescent="0.3"/>
    <row r="1572" outlineLevel="1" x14ac:dyDescent="0.3"/>
    <row r="1573" outlineLevel="1" x14ac:dyDescent="0.3"/>
    <row r="1574" outlineLevel="1" x14ac:dyDescent="0.3"/>
    <row r="1575" outlineLevel="1" x14ac:dyDescent="0.3"/>
    <row r="1576" outlineLevel="1" x14ac:dyDescent="0.3"/>
    <row r="1577" outlineLevel="1" x14ac:dyDescent="0.3"/>
    <row r="1578" outlineLevel="1" x14ac:dyDescent="0.3"/>
    <row r="1579" outlineLevel="1" x14ac:dyDescent="0.3"/>
    <row r="1580" outlineLevel="1" x14ac:dyDescent="0.3"/>
    <row r="1581" outlineLevel="1" x14ac:dyDescent="0.3"/>
    <row r="1582" outlineLevel="1" x14ac:dyDescent="0.3"/>
    <row r="1583" outlineLevel="1" x14ac:dyDescent="0.3"/>
    <row r="1584" outlineLevel="1" x14ac:dyDescent="0.3"/>
    <row r="1585" outlineLevel="1" x14ac:dyDescent="0.3"/>
    <row r="1586" outlineLevel="1" x14ac:dyDescent="0.3"/>
    <row r="1587" outlineLevel="1" x14ac:dyDescent="0.3"/>
    <row r="1588" outlineLevel="1" x14ac:dyDescent="0.3"/>
    <row r="1589" outlineLevel="1" x14ac:dyDescent="0.3"/>
    <row r="1590" outlineLevel="1" x14ac:dyDescent="0.3"/>
    <row r="1591" outlineLevel="1" x14ac:dyDescent="0.3"/>
    <row r="1592" outlineLevel="1" x14ac:dyDescent="0.3"/>
    <row r="1593" outlineLevel="1" x14ac:dyDescent="0.3"/>
    <row r="1594" outlineLevel="1" x14ac:dyDescent="0.3"/>
    <row r="1595" outlineLevel="1" x14ac:dyDescent="0.3"/>
    <row r="1596" outlineLevel="1" x14ac:dyDescent="0.3"/>
    <row r="1597" outlineLevel="1" x14ac:dyDescent="0.3"/>
    <row r="1598" outlineLevel="1" x14ac:dyDescent="0.3"/>
    <row r="1599" outlineLevel="1" x14ac:dyDescent="0.3"/>
    <row r="1600" outlineLevel="1" x14ac:dyDescent="0.3"/>
    <row r="1601" outlineLevel="1" x14ac:dyDescent="0.3"/>
    <row r="1602" outlineLevel="1" x14ac:dyDescent="0.3"/>
    <row r="1603" outlineLevel="1" x14ac:dyDescent="0.3"/>
    <row r="1604" outlineLevel="1" x14ac:dyDescent="0.3"/>
    <row r="1605" outlineLevel="1" x14ac:dyDescent="0.3"/>
    <row r="1606" outlineLevel="1" x14ac:dyDescent="0.3"/>
    <row r="1607" outlineLevel="1" x14ac:dyDescent="0.3"/>
    <row r="1608" outlineLevel="1" x14ac:dyDescent="0.3"/>
    <row r="1609" outlineLevel="1" x14ac:dyDescent="0.3"/>
    <row r="1610" outlineLevel="1" x14ac:dyDescent="0.3"/>
    <row r="1611" outlineLevel="1" x14ac:dyDescent="0.3"/>
    <row r="1612" outlineLevel="1" x14ac:dyDescent="0.3"/>
    <row r="1613" outlineLevel="1" x14ac:dyDescent="0.3"/>
    <row r="1614" outlineLevel="1" x14ac:dyDescent="0.3"/>
    <row r="1615" outlineLevel="1" x14ac:dyDescent="0.3"/>
    <row r="1616" outlineLevel="1" x14ac:dyDescent="0.3"/>
    <row r="1617" outlineLevel="1" x14ac:dyDescent="0.3"/>
    <row r="1618" outlineLevel="1" x14ac:dyDescent="0.3"/>
    <row r="1619" outlineLevel="1" x14ac:dyDescent="0.3"/>
    <row r="1620" outlineLevel="1" x14ac:dyDescent="0.3"/>
    <row r="1621" outlineLevel="1" x14ac:dyDescent="0.3"/>
    <row r="1622" outlineLevel="1" x14ac:dyDescent="0.3"/>
    <row r="1623" outlineLevel="1" x14ac:dyDescent="0.3"/>
    <row r="1624" outlineLevel="1" x14ac:dyDescent="0.3"/>
    <row r="1625" outlineLevel="1" x14ac:dyDescent="0.3"/>
    <row r="1626" outlineLevel="1" x14ac:dyDescent="0.3"/>
    <row r="1627" outlineLevel="1" x14ac:dyDescent="0.3"/>
    <row r="1628" outlineLevel="1" x14ac:dyDescent="0.3"/>
    <row r="1629" outlineLevel="1" x14ac:dyDescent="0.3"/>
    <row r="1630" outlineLevel="1" x14ac:dyDescent="0.3"/>
    <row r="1631" outlineLevel="1" x14ac:dyDescent="0.3"/>
    <row r="1632" outlineLevel="1" x14ac:dyDescent="0.3"/>
    <row r="1633" outlineLevel="1" x14ac:dyDescent="0.3"/>
    <row r="1634" outlineLevel="1" x14ac:dyDescent="0.3"/>
    <row r="1635" outlineLevel="1" x14ac:dyDescent="0.3"/>
    <row r="1636" outlineLevel="1" x14ac:dyDescent="0.3"/>
    <row r="1637" outlineLevel="1" x14ac:dyDescent="0.3"/>
    <row r="1638" outlineLevel="1" x14ac:dyDescent="0.3"/>
    <row r="1639" outlineLevel="1" x14ac:dyDescent="0.3"/>
    <row r="1640" outlineLevel="1" x14ac:dyDescent="0.3"/>
    <row r="1641" outlineLevel="1" x14ac:dyDescent="0.3"/>
    <row r="1642" outlineLevel="1" x14ac:dyDescent="0.3"/>
    <row r="1643" outlineLevel="1" x14ac:dyDescent="0.3"/>
    <row r="1644" outlineLevel="1" x14ac:dyDescent="0.3"/>
    <row r="1645" outlineLevel="1" x14ac:dyDescent="0.3"/>
    <row r="1646" outlineLevel="1" x14ac:dyDescent="0.3"/>
    <row r="1647" outlineLevel="1" x14ac:dyDescent="0.3"/>
    <row r="1648" outlineLevel="1" x14ac:dyDescent="0.3"/>
    <row r="1649" outlineLevel="1" x14ac:dyDescent="0.3"/>
    <row r="1650" outlineLevel="1" x14ac:dyDescent="0.3"/>
    <row r="1651" outlineLevel="1" x14ac:dyDescent="0.3"/>
    <row r="1652" outlineLevel="1" x14ac:dyDescent="0.3"/>
    <row r="1653" outlineLevel="1" x14ac:dyDescent="0.3"/>
    <row r="1654" outlineLevel="1" x14ac:dyDescent="0.3"/>
    <row r="1655" outlineLevel="1" x14ac:dyDescent="0.3"/>
    <row r="1656" outlineLevel="1" x14ac:dyDescent="0.3"/>
    <row r="1657" outlineLevel="1" x14ac:dyDescent="0.3"/>
    <row r="1658" outlineLevel="1" x14ac:dyDescent="0.3"/>
    <row r="1659" outlineLevel="1" x14ac:dyDescent="0.3"/>
    <row r="1660" outlineLevel="1" x14ac:dyDescent="0.3"/>
    <row r="1661" outlineLevel="1" x14ac:dyDescent="0.3"/>
    <row r="1662" outlineLevel="1" x14ac:dyDescent="0.3"/>
    <row r="1663" outlineLevel="1" x14ac:dyDescent="0.3"/>
    <row r="1664" outlineLevel="1" x14ac:dyDescent="0.3"/>
    <row r="1665" outlineLevel="1" x14ac:dyDescent="0.3"/>
    <row r="1666" outlineLevel="1" x14ac:dyDescent="0.3"/>
    <row r="1667" outlineLevel="1" x14ac:dyDescent="0.3"/>
    <row r="1668" outlineLevel="1" x14ac:dyDescent="0.3"/>
    <row r="1669" outlineLevel="1" x14ac:dyDescent="0.3"/>
    <row r="1670" outlineLevel="1" x14ac:dyDescent="0.3"/>
    <row r="1671" outlineLevel="1" x14ac:dyDescent="0.3"/>
    <row r="1672" outlineLevel="1" x14ac:dyDescent="0.3"/>
    <row r="1673" outlineLevel="1" x14ac:dyDescent="0.3"/>
    <row r="1674" outlineLevel="1" x14ac:dyDescent="0.3"/>
    <row r="1675" outlineLevel="1" x14ac:dyDescent="0.3"/>
    <row r="1676" outlineLevel="1" x14ac:dyDescent="0.3"/>
    <row r="1677" outlineLevel="1" x14ac:dyDescent="0.3"/>
    <row r="1678" outlineLevel="1" x14ac:dyDescent="0.3"/>
    <row r="1679" outlineLevel="1" x14ac:dyDescent="0.3"/>
    <row r="1680" outlineLevel="1" x14ac:dyDescent="0.3"/>
    <row r="1681" outlineLevel="1" x14ac:dyDescent="0.3"/>
    <row r="1682" outlineLevel="1" x14ac:dyDescent="0.3"/>
    <row r="1683" outlineLevel="1" x14ac:dyDescent="0.3"/>
    <row r="1684" outlineLevel="1" x14ac:dyDescent="0.3"/>
    <row r="1685" outlineLevel="1" x14ac:dyDescent="0.3"/>
    <row r="1686" outlineLevel="1" x14ac:dyDescent="0.3"/>
    <row r="1687" outlineLevel="1" x14ac:dyDescent="0.3"/>
    <row r="1688" outlineLevel="1" x14ac:dyDescent="0.3"/>
    <row r="1689" outlineLevel="1" x14ac:dyDescent="0.3"/>
    <row r="1690" outlineLevel="1" x14ac:dyDescent="0.3"/>
    <row r="1691" outlineLevel="1" x14ac:dyDescent="0.3"/>
    <row r="1692" outlineLevel="1" x14ac:dyDescent="0.3"/>
    <row r="1693" outlineLevel="1" x14ac:dyDescent="0.3"/>
    <row r="1694" outlineLevel="1" x14ac:dyDescent="0.3"/>
    <row r="1695" outlineLevel="1" x14ac:dyDescent="0.3"/>
    <row r="1696" outlineLevel="1" x14ac:dyDescent="0.3"/>
    <row r="1697" outlineLevel="1" x14ac:dyDescent="0.3"/>
    <row r="1698" outlineLevel="1" x14ac:dyDescent="0.3"/>
    <row r="1699" outlineLevel="1" x14ac:dyDescent="0.3"/>
    <row r="1700" outlineLevel="1" x14ac:dyDescent="0.3"/>
    <row r="1701" outlineLevel="1" x14ac:dyDescent="0.3"/>
    <row r="1702" outlineLevel="1" x14ac:dyDescent="0.3"/>
    <row r="1703" outlineLevel="1" x14ac:dyDescent="0.3"/>
    <row r="1704" outlineLevel="1" x14ac:dyDescent="0.3"/>
    <row r="1705" outlineLevel="1" x14ac:dyDescent="0.3"/>
    <row r="1706" outlineLevel="1" x14ac:dyDescent="0.3"/>
    <row r="1707" outlineLevel="1" x14ac:dyDescent="0.3"/>
    <row r="1708" outlineLevel="1" x14ac:dyDescent="0.3"/>
    <row r="1709" outlineLevel="1" x14ac:dyDescent="0.3"/>
    <row r="1710" outlineLevel="1" x14ac:dyDescent="0.3"/>
    <row r="1711" outlineLevel="1" x14ac:dyDescent="0.3"/>
    <row r="1712" outlineLevel="1" x14ac:dyDescent="0.3"/>
    <row r="1713" outlineLevel="1" x14ac:dyDescent="0.3"/>
    <row r="1714" outlineLevel="1" x14ac:dyDescent="0.3"/>
    <row r="1715" outlineLevel="1" x14ac:dyDescent="0.3"/>
    <row r="1716" outlineLevel="1" x14ac:dyDescent="0.3"/>
    <row r="1717" outlineLevel="1" x14ac:dyDescent="0.3"/>
    <row r="1718" outlineLevel="1" x14ac:dyDescent="0.3"/>
    <row r="1719" outlineLevel="1" x14ac:dyDescent="0.3"/>
    <row r="1720" outlineLevel="1" x14ac:dyDescent="0.3"/>
    <row r="1721" outlineLevel="1" x14ac:dyDescent="0.3"/>
    <row r="1722" outlineLevel="1" x14ac:dyDescent="0.3"/>
    <row r="1723" outlineLevel="1" x14ac:dyDescent="0.3"/>
    <row r="1724" outlineLevel="1" x14ac:dyDescent="0.3"/>
    <row r="1725" outlineLevel="1" x14ac:dyDescent="0.3"/>
    <row r="1726" outlineLevel="1" x14ac:dyDescent="0.3"/>
    <row r="1727" outlineLevel="1" x14ac:dyDescent="0.3"/>
    <row r="1728" outlineLevel="1" x14ac:dyDescent="0.3"/>
    <row r="1729" outlineLevel="1" x14ac:dyDescent="0.3"/>
    <row r="1730" outlineLevel="1" x14ac:dyDescent="0.3"/>
    <row r="1731" outlineLevel="1" x14ac:dyDescent="0.3"/>
    <row r="1732" outlineLevel="1" x14ac:dyDescent="0.3"/>
    <row r="1733" outlineLevel="1" x14ac:dyDescent="0.3"/>
    <row r="1734" outlineLevel="1" x14ac:dyDescent="0.3"/>
    <row r="1735" outlineLevel="1" x14ac:dyDescent="0.3"/>
    <row r="1736" outlineLevel="1" x14ac:dyDescent="0.3"/>
    <row r="1737" outlineLevel="1" x14ac:dyDescent="0.3"/>
    <row r="1738" outlineLevel="1" x14ac:dyDescent="0.3"/>
    <row r="1739" outlineLevel="1" x14ac:dyDescent="0.3"/>
    <row r="1740" outlineLevel="1" x14ac:dyDescent="0.3"/>
    <row r="1741" outlineLevel="1" x14ac:dyDescent="0.3"/>
    <row r="1742" outlineLevel="1" x14ac:dyDescent="0.3"/>
    <row r="1743" outlineLevel="1" x14ac:dyDescent="0.3"/>
    <row r="1744" outlineLevel="1" x14ac:dyDescent="0.3"/>
    <row r="1745" outlineLevel="1" x14ac:dyDescent="0.3"/>
    <row r="1746" outlineLevel="1" x14ac:dyDescent="0.3"/>
    <row r="1747" outlineLevel="1" x14ac:dyDescent="0.3"/>
    <row r="1748" outlineLevel="1" x14ac:dyDescent="0.3"/>
    <row r="1749" outlineLevel="1" x14ac:dyDescent="0.3"/>
    <row r="1750" outlineLevel="1" x14ac:dyDescent="0.3"/>
    <row r="1751" outlineLevel="1" x14ac:dyDescent="0.3"/>
    <row r="1752" outlineLevel="1" x14ac:dyDescent="0.3"/>
    <row r="1753" outlineLevel="1" x14ac:dyDescent="0.3"/>
    <row r="1754" outlineLevel="1" x14ac:dyDescent="0.3"/>
    <row r="1755" outlineLevel="1" x14ac:dyDescent="0.3"/>
    <row r="1756" outlineLevel="1" x14ac:dyDescent="0.3"/>
    <row r="1757" outlineLevel="1" x14ac:dyDescent="0.3"/>
    <row r="1758" outlineLevel="1" x14ac:dyDescent="0.3"/>
    <row r="1759" outlineLevel="1" x14ac:dyDescent="0.3"/>
    <row r="1760" outlineLevel="1" x14ac:dyDescent="0.3"/>
    <row r="1761" outlineLevel="1" x14ac:dyDescent="0.3"/>
    <row r="1762" outlineLevel="1" x14ac:dyDescent="0.3"/>
    <row r="1763" outlineLevel="1" x14ac:dyDescent="0.3"/>
    <row r="1764" outlineLevel="1" x14ac:dyDescent="0.3"/>
    <row r="1765" outlineLevel="1" x14ac:dyDescent="0.3"/>
    <row r="1766" outlineLevel="1" x14ac:dyDescent="0.3"/>
    <row r="1767" outlineLevel="1" x14ac:dyDescent="0.3"/>
    <row r="1768" outlineLevel="1" x14ac:dyDescent="0.3"/>
    <row r="1769" outlineLevel="1" x14ac:dyDescent="0.3"/>
    <row r="1770" outlineLevel="1" x14ac:dyDescent="0.3"/>
    <row r="1771" outlineLevel="1" x14ac:dyDescent="0.3"/>
    <row r="1772" outlineLevel="1" x14ac:dyDescent="0.3"/>
    <row r="1773" outlineLevel="1" x14ac:dyDescent="0.3"/>
    <row r="1774" outlineLevel="1" x14ac:dyDescent="0.3"/>
    <row r="1775" outlineLevel="1" x14ac:dyDescent="0.3"/>
    <row r="1776" outlineLevel="1" x14ac:dyDescent="0.3"/>
    <row r="1777" outlineLevel="1" x14ac:dyDescent="0.3"/>
    <row r="1778" outlineLevel="1" x14ac:dyDescent="0.3"/>
    <row r="1779" outlineLevel="1" x14ac:dyDescent="0.3"/>
    <row r="1780" outlineLevel="1" x14ac:dyDescent="0.3"/>
    <row r="1781" outlineLevel="1" x14ac:dyDescent="0.3"/>
    <row r="1782" outlineLevel="1" x14ac:dyDescent="0.3"/>
    <row r="1783" outlineLevel="1" x14ac:dyDescent="0.3"/>
    <row r="1784" outlineLevel="1" x14ac:dyDescent="0.3"/>
    <row r="1785" outlineLevel="1" x14ac:dyDescent="0.3"/>
    <row r="1786" outlineLevel="1" x14ac:dyDescent="0.3"/>
    <row r="1787" outlineLevel="1" x14ac:dyDescent="0.3"/>
    <row r="1788" outlineLevel="1" x14ac:dyDescent="0.3"/>
    <row r="1789" outlineLevel="1" x14ac:dyDescent="0.3"/>
    <row r="1790" outlineLevel="1" x14ac:dyDescent="0.3"/>
    <row r="1791" outlineLevel="1" x14ac:dyDescent="0.3"/>
    <row r="1792" outlineLevel="1" x14ac:dyDescent="0.3"/>
    <row r="1793" outlineLevel="1" x14ac:dyDescent="0.3"/>
    <row r="1794" outlineLevel="1" x14ac:dyDescent="0.3"/>
    <row r="1795" outlineLevel="1" x14ac:dyDescent="0.3"/>
    <row r="1796" outlineLevel="1" x14ac:dyDescent="0.3"/>
    <row r="1797" outlineLevel="1" x14ac:dyDescent="0.3"/>
    <row r="1798" outlineLevel="1" x14ac:dyDescent="0.3"/>
    <row r="1799" outlineLevel="1" x14ac:dyDescent="0.3"/>
    <row r="1800" outlineLevel="1" x14ac:dyDescent="0.3"/>
    <row r="1801" outlineLevel="1" x14ac:dyDescent="0.3"/>
    <row r="1802" outlineLevel="1" x14ac:dyDescent="0.3"/>
    <row r="1803" outlineLevel="1" x14ac:dyDescent="0.3"/>
    <row r="1804" outlineLevel="1" x14ac:dyDescent="0.3"/>
    <row r="1805" outlineLevel="1" x14ac:dyDescent="0.3"/>
    <row r="1806" outlineLevel="1" x14ac:dyDescent="0.3"/>
    <row r="1807" outlineLevel="1" x14ac:dyDescent="0.3"/>
    <row r="1808" outlineLevel="1" x14ac:dyDescent="0.3"/>
    <row r="1809" outlineLevel="1" x14ac:dyDescent="0.3"/>
    <row r="1810" outlineLevel="1" x14ac:dyDescent="0.3"/>
    <row r="1811" outlineLevel="1" x14ac:dyDescent="0.3"/>
    <row r="1812" outlineLevel="1" x14ac:dyDescent="0.3"/>
    <row r="1813" outlineLevel="1" x14ac:dyDescent="0.3"/>
    <row r="1814" outlineLevel="1" x14ac:dyDescent="0.3"/>
    <row r="1815" outlineLevel="1" x14ac:dyDescent="0.3"/>
    <row r="1816" outlineLevel="1" x14ac:dyDescent="0.3"/>
    <row r="1817" outlineLevel="1" x14ac:dyDescent="0.3"/>
    <row r="1818" outlineLevel="1" x14ac:dyDescent="0.3"/>
    <row r="1819" outlineLevel="1" x14ac:dyDescent="0.3"/>
    <row r="1820" outlineLevel="1" x14ac:dyDescent="0.3"/>
    <row r="1821" outlineLevel="1" x14ac:dyDescent="0.3"/>
    <row r="1822" outlineLevel="1" x14ac:dyDescent="0.3"/>
    <row r="1823" outlineLevel="1" x14ac:dyDescent="0.3"/>
    <row r="1824" outlineLevel="1" x14ac:dyDescent="0.3"/>
    <row r="1825" outlineLevel="1" x14ac:dyDescent="0.3"/>
    <row r="1826" outlineLevel="1" x14ac:dyDescent="0.3"/>
    <row r="1827" outlineLevel="1" x14ac:dyDescent="0.3"/>
    <row r="1828" outlineLevel="1" x14ac:dyDescent="0.3"/>
    <row r="1829" outlineLevel="1" x14ac:dyDescent="0.3"/>
    <row r="1830" outlineLevel="1" x14ac:dyDescent="0.3"/>
    <row r="1831" outlineLevel="1" x14ac:dyDescent="0.3"/>
    <row r="1832" outlineLevel="1" x14ac:dyDescent="0.3"/>
    <row r="1833" outlineLevel="1" x14ac:dyDescent="0.3"/>
    <row r="1834" outlineLevel="1" x14ac:dyDescent="0.3"/>
    <row r="1835" outlineLevel="1" x14ac:dyDescent="0.3"/>
    <row r="1836" outlineLevel="1" x14ac:dyDescent="0.3"/>
    <row r="1837" outlineLevel="1" x14ac:dyDescent="0.3"/>
    <row r="1838" outlineLevel="1" x14ac:dyDescent="0.3"/>
    <row r="1839" outlineLevel="1" x14ac:dyDescent="0.3"/>
    <row r="1840" outlineLevel="1" x14ac:dyDescent="0.3"/>
    <row r="1841" outlineLevel="1" x14ac:dyDescent="0.3"/>
    <row r="1842" outlineLevel="1" x14ac:dyDescent="0.3"/>
    <row r="1843" outlineLevel="1" x14ac:dyDescent="0.3"/>
    <row r="1844" outlineLevel="1" x14ac:dyDescent="0.3"/>
    <row r="1845" outlineLevel="1" x14ac:dyDescent="0.3"/>
    <row r="1846" outlineLevel="1" x14ac:dyDescent="0.3"/>
    <row r="1847" outlineLevel="1" x14ac:dyDescent="0.3"/>
    <row r="1848" outlineLevel="1" x14ac:dyDescent="0.3"/>
    <row r="1849" outlineLevel="1" x14ac:dyDescent="0.3"/>
    <row r="1850" outlineLevel="1" x14ac:dyDescent="0.3"/>
    <row r="1851" outlineLevel="1" x14ac:dyDescent="0.3"/>
    <row r="1852" outlineLevel="1" x14ac:dyDescent="0.3"/>
    <row r="1853" outlineLevel="1" x14ac:dyDescent="0.3"/>
    <row r="1854" outlineLevel="1" x14ac:dyDescent="0.3"/>
    <row r="1855" outlineLevel="1" x14ac:dyDescent="0.3"/>
    <row r="1856" outlineLevel="1" x14ac:dyDescent="0.3"/>
    <row r="1857" outlineLevel="1" x14ac:dyDescent="0.3"/>
    <row r="1858" outlineLevel="1" x14ac:dyDescent="0.3"/>
    <row r="1859" outlineLevel="1" x14ac:dyDescent="0.3"/>
    <row r="1860" outlineLevel="1" x14ac:dyDescent="0.3"/>
    <row r="1861" outlineLevel="1" x14ac:dyDescent="0.3"/>
    <row r="1862" outlineLevel="1" x14ac:dyDescent="0.3"/>
    <row r="1863" outlineLevel="1" x14ac:dyDescent="0.3"/>
    <row r="1864" outlineLevel="1" x14ac:dyDescent="0.3"/>
    <row r="1865" outlineLevel="1" x14ac:dyDescent="0.3"/>
    <row r="1866" outlineLevel="1" x14ac:dyDescent="0.3"/>
    <row r="1867" outlineLevel="1" x14ac:dyDescent="0.3"/>
    <row r="1868" outlineLevel="1" x14ac:dyDescent="0.3"/>
    <row r="1869" outlineLevel="1" x14ac:dyDescent="0.3"/>
    <row r="1870" outlineLevel="1" x14ac:dyDescent="0.3"/>
    <row r="1871" outlineLevel="1" x14ac:dyDescent="0.3"/>
    <row r="1872" outlineLevel="1" x14ac:dyDescent="0.3"/>
    <row r="1873" outlineLevel="1" x14ac:dyDescent="0.3"/>
    <row r="1874" outlineLevel="1" x14ac:dyDescent="0.3"/>
    <row r="1875" outlineLevel="1" x14ac:dyDescent="0.3"/>
    <row r="1876" outlineLevel="1" x14ac:dyDescent="0.3"/>
    <row r="1877" outlineLevel="1" x14ac:dyDescent="0.3"/>
    <row r="1878" outlineLevel="1" x14ac:dyDescent="0.3"/>
    <row r="1879" outlineLevel="1" x14ac:dyDescent="0.3"/>
    <row r="1880" outlineLevel="1" x14ac:dyDescent="0.3"/>
    <row r="1881" outlineLevel="1" x14ac:dyDescent="0.3"/>
    <row r="1882" outlineLevel="1" x14ac:dyDescent="0.3"/>
    <row r="1883" outlineLevel="1" x14ac:dyDescent="0.3"/>
    <row r="1884" outlineLevel="1" x14ac:dyDescent="0.3"/>
    <row r="1885" outlineLevel="1" x14ac:dyDescent="0.3"/>
    <row r="1886" outlineLevel="1" x14ac:dyDescent="0.3"/>
    <row r="1887" outlineLevel="1" x14ac:dyDescent="0.3"/>
    <row r="1888" outlineLevel="1" x14ac:dyDescent="0.3"/>
    <row r="1889" outlineLevel="1" x14ac:dyDescent="0.3"/>
    <row r="1890" outlineLevel="1" x14ac:dyDescent="0.3"/>
    <row r="1891" outlineLevel="1" x14ac:dyDescent="0.3"/>
    <row r="1892" outlineLevel="1" x14ac:dyDescent="0.3"/>
    <row r="1893" outlineLevel="1" x14ac:dyDescent="0.3"/>
    <row r="1894" outlineLevel="1" x14ac:dyDescent="0.3"/>
    <row r="1895" outlineLevel="1" x14ac:dyDescent="0.3"/>
    <row r="1896" outlineLevel="1" x14ac:dyDescent="0.3"/>
    <row r="1897" outlineLevel="1" x14ac:dyDescent="0.3"/>
    <row r="1898" outlineLevel="1" x14ac:dyDescent="0.3"/>
    <row r="1899" outlineLevel="1" x14ac:dyDescent="0.3"/>
    <row r="1900" outlineLevel="1" x14ac:dyDescent="0.3"/>
    <row r="1901" outlineLevel="1" x14ac:dyDescent="0.3"/>
    <row r="1902" outlineLevel="1" x14ac:dyDescent="0.3"/>
    <row r="1903" outlineLevel="1" x14ac:dyDescent="0.3"/>
    <row r="1904" outlineLevel="1" x14ac:dyDescent="0.3"/>
    <row r="1905" outlineLevel="1" x14ac:dyDescent="0.3"/>
    <row r="1906" outlineLevel="1" x14ac:dyDescent="0.3"/>
    <row r="1907" outlineLevel="1" x14ac:dyDescent="0.3"/>
    <row r="1908" outlineLevel="1" x14ac:dyDescent="0.3"/>
    <row r="1909" outlineLevel="1" x14ac:dyDescent="0.3"/>
    <row r="1910" outlineLevel="1" x14ac:dyDescent="0.3"/>
    <row r="1911" outlineLevel="1" x14ac:dyDescent="0.3"/>
    <row r="1912" outlineLevel="1" x14ac:dyDescent="0.3"/>
    <row r="1913" outlineLevel="1" x14ac:dyDescent="0.3"/>
    <row r="1914" outlineLevel="1" x14ac:dyDescent="0.3"/>
    <row r="1915" outlineLevel="1" x14ac:dyDescent="0.3"/>
    <row r="1916" outlineLevel="1" x14ac:dyDescent="0.3"/>
    <row r="1917" outlineLevel="1" x14ac:dyDescent="0.3"/>
    <row r="1918" outlineLevel="1" x14ac:dyDescent="0.3"/>
    <row r="1919" outlineLevel="1" x14ac:dyDescent="0.3"/>
    <row r="1920" outlineLevel="1" x14ac:dyDescent="0.3"/>
    <row r="1921" outlineLevel="1" x14ac:dyDescent="0.3"/>
    <row r="1922" outlineLevel="1" x14ac:dyDescent="0.3"/>
    <row r="1923" outlineLevel="1" x14ac:dyDescent="0.3"/>
    <row r="1924" outlineLevel="1" x14ac:dyDescent="0.3"/>
    <row r="1925" outlineLevel="1" x14ac:dyDescent="0.3"/>
    <row r="1926" outlineLevel="1" x14ac:dyDescent="0.3"/>
    <row r="1927" outlineLevel="1" x14ac:dyDescent="0.3"/>
    <row r="1928" outlineLevel="1" x14ac:dyDescent="0.3"/>
    <row r="1929" outlineLevel="1" x14ac:dyDescent="0.3"/>
    <row r="1930" outlineLevel="1" x14ac:dyDescent="0.3"/>
    <row r="1931" outlineLevel="1" x14ac:dyDescent="0.3"/>
    <row r="1932" outlineLevel="1" x14ac:dyDescent="0.3"/>
    <row r="1933" outlineLevel="1" x14ac:dyDescent="0.3"/>
    <row r="1934" outlineLevel="1" x14ac:dyDescent="0.3"/>
    <row r="1935" outlineLevel="1" x14ac:dyDescent="0.3"/>
    <row r="1936" outlineLevel="1" x14ac:dyDescent="0.3"/>
    <row r="1937" outlineLevel="1" x14ac:dyDescent="0.3"/>
    <row r="1938" outlineLevel="1" x14ac:dyDescent="0.3"/>
    <row r="1939" outlineLevel="1" x14ac:dyDescent="0.3"/>
    <row r="1940" outlineLevel="1" x14ac:dyDescent="0.3"/>
    <row r="1941" outlineLevel="1" x14ac:dyDescent="0.3"/>
    <row r="1942" outlineLevel="1" x14ac:dyDescent="0.3"/>
    <row r="1943" outlineLevel="1" x14ac:dyDescent="0.3"/>
    <row r="1944" outlineLevel="1" x14ac:dyDescent="0.3"/>
    <row r="1945" outlineLevel="1" x14ac:dyDescent="0.3"/>
    <row r="1946" outlineLevel="1" x14ac:dyDescent="0.3"/>
    <row r="1947" outlineLevel="1" x14ac:dyDescent="0.3"/>
    <row r="1948" outlineLevel="1" x14ac:dyDescent="0.3"/>
    <row r="1949" outlineLevel="1" x14ac:dyDescent="0.3"/>
    <row r="1950" outlineLevel="1" x14ac:dyDescent="0.3"/>
    <row r="1951" outlineLevel="1" x14ac:dyDescent="0.3"/>
    <row r="1952" outlineLevel="1" x14ac:dyDescent="0.3"/>
    <row r="1953" outlineLevel="1" x14ac:dyDescent="0.3"/>
    <row r="1954" outlineLevel="1" x14ac:dyDescent="0.3"/>
    <row r="1955" outlineLevel="1" x14ac:dyDescent="0.3"/>
    <row r="1956" outlineLevel="1" x14ac:dyDescent="0.3"/>
    <row r="1957" outlineLevel="1" x14ac:dyDescent="0.3"/>
    <row r="1958" outlineLevel="1" x14ac:dyDescent="0.3"/>
    <row r="1959" outlineLevel="1" x14ac:dyDescent="0.3"/>
    <row r="1960" outlineLevel="1" x14ac:dyDescent="0.3"/>
    <row r="1961" outlineLevel="1" x14ac:dyDescent="0.3"/>
    <row r="1962" outlineLevel="1" x14ac:dyDescent="0.3"/>
    <row r="1963" outlineLevel="1" x14ac:dyDescent="0.3"/>
    <row r="1964" outlineLevel="1" x14ac:dyDescent="0.3"/>
    <row r="1965" outlineLevel="1" x14ac:dyDescent="0.3"/>
    <row r="1966" outlineLevel="1" x14ac:dyDescent="0.3"/>
    <row r="1967" outlineLevel="1" x14ac:dyDescent="0.3"/>
    <row r="1968" outlineLevel="1" x14ac:dyDescent="0.3"/>
    <row r="1969" outlineLevel="1" x14ac:dyDescent="0.3"/>
    <row r="1970" outlineLevel="1" x14ac:dyDescent="0.3"/>
    <row r="1971" outlineLevel="1" x14ac:dyDescent="0.3"/>
    <row r="1972" outlineLevel="1" x14ac:dyDescent="0.3"/>
    <row r="1973" outlineLevel="1" x14ac:dyDescent="0.3"/>
    <row r="1974" outlineLevel="1" x14ac:dyDescent="0.3"/>
    <row r="1975" outlineLevel="1" x14ac:dyDescent="0.3"/>
    <row r="1976" outlineLevel="1" x14ac:dyDescent="0.3"/>
    <row r="1977" outlineLevel="1" x14ac:dyDescent="0.3"/>
    <row r="1978" outlineLevel="1" x14ac:dyDescent="0.3"/>
    <row r="1979" outlineLevel="1" x14ac:dyDescent="0.3"/>
    <row r="1980" outlineLevel="1" x14ac:dyDescent="0.3"/>
    <row r="1981" outlineLevel="1" x14ac:dyDescent="0.3"/>
    <row r="1982" outlineLevel="1" x14ac:dyDescent="0.3"/>
    <row r="1983" outlineLevel="1" x14ac:dyDescent="0.3"/>
    <row r="1984" outlineLevel="1" x14ac:dyDescent="0.3"/>
    <row r="1985" outlineLevel="1" x14ac:dyDescent="0.3"/>
    <row r="1986" outlineLevel="1" x14ac:dyDescent="0.3"/>
    <row r="1987" outlineLevel="1" x14ac:dyDescent="0.3"/>
    <row r="1988" outlineLevel="1" x14ac:dyDescent="0.3"/>
    <row r="1989" outlineLevel="1" x14ac:dyDescent="0.3"/>
    <row r="1990" outlineLevel="1" x14ac:dyDescent="0.3"/>
    <row r="1991" outlineLevel="1" x14ac:dyDescent="0.3"/>
    <row r="1992" outlineLevel="1" x14ac:dyDescent="0.3"/>
    <row r="1993" outlineLevel="1" x14ac:dyDescent="0.3"/>
    <row r="1994" outlineLevel="1" x14ac:dyDescent="0.3"/>
    <row r="1995" outlineLevel="1" x14ac:dyDescent="0.3"/>
    <row r="1996" outlineLevel="1" x14ac:dyDescent="0.3"/>
    <row r="1997" outlineLevel="1" x14ac:dyDescent="0.3"/>
    <row r="1998" outlineLevel="1" x14ac:dyDescent="0.3"/>
    <row r="1999" outlineLevel="1" x14ac:dyDescent="0.3"/>
    <row r="2000" outlineLevel="1" x14ac:dyDescent="0.3"/>
    <row r="2001" outlineLevel="1" x14ac:dyDescent="0.3"/>
    <row r="2002" outlineLevel="1" x14ac:dyDescent="0.3"/>
    <row r="2003" outlineLevel="1" x14ac:dyDescent="0.3"/>
    <row r="2004" outlineLevel="1" x14ac:dyDescent="0.3"/>
    <row r="2005" outlineLevel="1" x14ac:dyDescent="0.3"/>
    <row r="2006" outlineLevel="1" x14ac:dyDescent="0.3"/>
    <row r="2007" outlineLevel="1" x14ac:dyDescent="0.3"/>
    <row r="2008" outlineLevel="1" x14ac:dyDescent="0.3"/>
    <row r="2009" outlineLevel="1" x14ac:dyDescent="0.3"/>
    <row r="2010" outlineLevel="1" x14ac:dyDescent="0.3"/>
    <row r="2011" outlineLevel="1" x14ac:dyDescent="0.3"/>
    <row r="2012" outlineLevel="1" x14ac:dyDescent="0.3"/>
    <row r="2013" outlineLevel="1" x14ac:dyDescent="0.3"/>
    <row r="2014" outlineLevel="1" x14ac:dyDescent="0.3"/>
    <row r="2015" outlineLevel="1" x14ac:dyDescent="0.3"/>
    <row r="2016" outlineLevel="1" x14ac:dyDescent="0.3"/>
    <row r="2017" outlineLevel="1" x14ac:dyDescent="0.3"/>
    <row r="2018" outlineLevel="1" x14ac:dyDescent="0.3"/>
    <row r="2019" outlineLevel="1" x14ac:dyDescent="0.3"/>
    <row r="2020" outlineLevel="1" x14ac:dyDescent="0.3"/>
    <row r="2021" outlineLevel="1" x14ac:dyDescent="0.3"/>
    <row r="2022" outlineLevel="1" x14ac:dyDescent="0.3"/>
    <row r="2023" outlineLevel="1" x14ac:dyDescent="0.3"/>
    <row r="2024" outlineLevel="1" x14ac:dyDescent="0.3"/>
    <row r="2025" outlineLevel="1" x14ac:dyDescent="0.3"/>
    <row r="2026" outlineLevel="1" x14ac:dyDescent="0.3"/>
    <row r="2027" outlineLevel="1" x14ac:dyDescent="0.3"/>
    <row r="2028" outlineLevel="1" x14ac:dyDescent="0.3"/>
    <row r="2029" outlineLevel="1" x14ac:dyDescent="0.3"/>
    <row r="2030" outlineLevel="1" x14ac:dyDescent="0.3"/>
    <row r="2031" outlineLevel="1" x14ac:dyDescent="0.3"/>
    <row r="2032" outlineLevel="1" x14ac:dyDescent="0.3"/>
    <row r="2033" outlineLevel="1" x14ac:dyDescent="0.3"/>
    <row r="2034" outlineLevel="1" x14ac:dyDescent="0.3"/>
    <row r="2035" outlineLevel="1" x14ac:dyDescent="0.3"/>
    <row r="2036" outlineLevel="1" x14ac:dyDescent="0.3"/>
    <row r="2037" outlineLevel="1" x14ac:dyDescent="0.3"/>
    <row r="2038" outlineLevel="1" x14ac:dyDescent="0.3"/>
    <row r="2039" outlineLevel="1" x14ac:dyDescent="0.3"/>
    <row r="2040" outlineLevel="1" x14ac:dyDescent="0.3"/>
    <row r="2041" outlineLevel="1" x14ac:dyDescent="0.3"/>
    <row r="2042" outlineLevel="1" x14ac:dyDescent="0.3"/>
    <row r="2043" outlineLevel="1" x14ac:dyDescent="0.3"/>
    <row r="2044" outlineLevel="1" x14ac:dyDescent="0.3"/>
    <row r="2045" outlineLevel="1" x14ac:dyDescent="0.3"/>
    <row r="2046" outlineLevel="1" x14ac:dyDescent="0.3"/>
    <row r="2047" outlineLevel="1" x14ac:dyDescent="0.3"/>
    <row r="2048" outlineLevel="1" x14ac:dyDescent="0.3"/>
    <row r="2049" outlineLevel="1" x14ac:dyDescent="0.3"/>
    <row r="2050" outlineLevel="1" x14ac:dyDescent="0.3"/>
    <row r="2051" outlineLevel="1" x14ac:dyDescent="0.3"/>
    <row r="2052" outlineLevel="1" x14ac:dyDescent="0.3"/>
    <row r="2053" outlineLevel="1" x14ac:dyDescent="0.3"/>
    <row r="2054" outlineLevel="1" x14ac:dyDescent="0.3"/>
    <row r="2055" outlineLevel="1" x14ac:dyDescent="0.3"/>
    <row r="2056" outlineLevel="1" x14ac:dyDescent="0.3"/>
    <row r="2057" outlineLevel="1" x14ac:dyDescent="0.3"/>
    <row r="2058" outlineLevel="1" x14ac:dyDescent="0.3"/>
    <row r="2059" outlineLevel="1" x14ac:dyDescent="0.3"/>
    <row r="2060" outlineLevel="1" x14ac:dyDescent="0.3"/>
    <row r="2061" outlineLevel="1" x14ac:dyDescent="0.3"/>
    <row r="2062" outlineLevel="1" x14ac:dyDescent="0.3"/>
    <row r="2063" outlineLevel="1" x14ac:dyDescent="0.3"/>
    <row r="2064" outlineLevel="1" x14ac:dyDescent="0.3"/>
    <row r="2065" outlineLevel="1" x14ac:dyDescent="0.3"/>
    <row r="2066" outlineLevel="1" x14ac:dyDescent="0.3"/>
    <row r="2067" outlineLevel="1" x14ac:dyDescent="0.3"/>
    <row r="2068" outlineLevel="1" x14ac:dyDescent="0.3"/>
    <row r="2069" outlineLevel="1" x14ac:dyDescent="0.3"/>
    <row r="2070" outlineLevel="1" x14ac:dyDescent="0.3"/>
    <row r="2071" outlineLevel="1" x14ac:dyDescent="0.3"/>
    <row r="2072" outlineLevel="1" x14ac:dyDescent="0.3"/>
    <row r="2073" outlineLevel="1" x14ac:dyDescent="0.3"/>
    <row r="2074" outlineLevel="1" x14ac:dyDescent="0.3"/>
    <row r="2075" outlineLevel="1" x14ac:dyDescent="0.3"/>
    <row r="2076" outlineLevel="1" x14ac:dyDescent="0.3"/>
    <row r="2077" outlineLevel="1" x14ac:dyDescent="0.3"/>
    <row r="2078" outlineLevel="1" x14ac:dyDescent="0.3"/>
    <row r="2079" outlineLevel="1" x14ac:dyDescent="0.3"/>
    <row r="2080" outlineLevel="1" x14ac:dyDescent="0.3"/>
    <row r="2081" outlineLevel="1" x14ac:dyDescent="0.3"/>
    <row r="2082" outlineLevel="1" x14ac:dyDescent="0.3"/>
    <row r="2083" outlineLevel="1" x14ac:dyDescent="0.3"/>
    <row r="2084" outlineLevel="1" x14ac:dyDescent="0.3"/>
    <row r="2085" outlineLevel="1" x14ac:dyDescent="0.3"/>
    <row r="2086" outlineLevel="1" x14ac:dyDescent="0.3"/>
    <row r="2087" outlineLevel="1" x14ac:dyDescent="0.3"/>
    <row r="2088" outlineLevel="1" x14ac:dyDescent="0.3"/>
    <row r="2089" outlineLevel="1" x14ac:dyDescent="0.3"/>
    <row r="2090" outlineLevel="1" x14ac:dyDescent="0.3"/>
    <row r="2091" outlineLevel="1" x14ac:dyDescent="0.3"/>
    <row r="2092" outlineLevel="1" x14ac:dyDescent="0.3"/>
    <row r="2093" outlineLevel="1" x14ac:dyDescent="0.3"/>
    <row r="2094" outlineLevel="1" x14ac:dyDescent="0.3"/>
    <row r="2095" outlineLevel="1" x14ac:dyDescent="0.3"/>
    <row r="2096" outlineLevel="1" x14ac:dyDescent="0.3"/>
    <row r="2097" outlineLevel="1" x14ac:dyDescent="0.3"/>
    <row r="2098" outlineLevel="1" x14ac:dyDescent="0.3"/>
    <row r="2099" outlineLevel="1" x14ac:dyDescent="0.3"/>
    <row r="2100" outlineLevel="1" x14ac:dyDescent="0.3"/>
    <row r="2101" outlineLevel="1" x14ac:dyDescent="0.3"/>
    <row r="2102" outlineLevel="1" x14ac:dyDescent="0.3"/>
    <row r="2103" outlineLevel="1" x14ac:dyDescent="0.3"/>
    <row r="2104" outlineLevel="1" x14ac:dyDescent="0.3"/>
    <row r="2105" outlineLevel="1" x14ac:dyDescent="0.3"/>
    <row r="2106" outlineLevel="1" x14ac:dyDescent="0.3"/>
    <row r="2107" outlineLevel="1" x14ac:dyDescent="0.3"/>
    <row r="2108" outlineLevel="1" x14ac:dyDescent="0.3"/>
    <row r="2109" outlineLevel="1" x14ac:dyDescent="0.3"/>
    <row r="2110" outlineLevel="1" x14ac:dyDescent="0.3"/>
    <row r="2111" outlineLevel="1" x14ac:dyDescent="0.3"/>
    <row r="2112" outlineLevel="1" x14ac:dyDescent="0.3"/>
    <row r="2113" outlineLevel="1" x14ac:dyDescent="0.3"/>
    <row r="2114" outlineLevel="1" x14ac:dyDescent="0.3"/>
    <row r="2115" outlineLevel="1" x14ac:dyDescent="0.3"/>
    <row r="2116" outlineLevel="1" x14ac:dyDescent="0.3"/>
    <row r="2117" outlineLevel="1" x14ac:dyDescent="0.3"/>
    <row r="2118" outlineLevel="1" x14ac:dyDescent="0.3"/>
    <row r="2119" outlineLevel="1" x14ac:dyDescent="0.3"/>
    <row r="2120" outlineLevel="1" x14ac:dyDescent="0.3"/>
    <row r="2121" outlineLevel="1" x14ac:dyDescent="0.3"/>
    <row r="2122" outlineLevel="1" x14ac:dyDescent="0.3"/>
    <row r="2123" outlineLevel="1" x14ac:dyDescent="0.3"/>
    <row r="2124" outlineLevel="1" x14ac:dyDescent="0.3"/>
    <row r="2125" outlineLevel="1" x14ac:dyDescent="0.3"/>
    <row r="2126" outlineLevel="1" x14ac:dyDescent="0.3"/>
    <row r="2127" outlineLevel="1" x14ac:dyDescent="0.3"/>
    <row r="2128" outlineLevel="1" x14ac:dyDescent="0.3"/>
    <row r="2129" outlineLevel="1" x14ac:dyDescent="0.3"/>
    <row r="2130" outlineLevel="1" x14ac:dyDescent="0.3"/>
    <row r="2131" outlineLevel="1" x14ac:dyDescent="0.3"/>
    <row r="2132" outlineLevel="1" x14ac:dyDescent="0.3"/>
    <row r="2133" outlineLevel="1" x14ac:dyDescent="0.3"/>
    <row r="2134" outlineLevel="1" x14ac:dyDescent="0.3"/>
    <row r="2135" outlineLevel="1" x14ac:dyDescent="0.3"/>
    <row r="2136" outlineLevel="1" x14ac:dyDescent="0.3"/>
    <row r="2137" outlineLevel="1" x14ac:dyDescent="0.3"/>
    <row r="2138" outlineLevel="1" x14ac:dyDescent="0.3"/>
    <row r="2139" outlineLevel="1" x14ac:dyDescent="0.3"/>
    <row r="2140" outlineLevel="1" x14ac:dyDescent="0.3"/>
    <row r="2141" outlineLevel="1" x14ac:dyDescent="0.3"/>
    <row r="2142" outlineLevel="1" x14ac:dyDescent="0.3"/>
    <row r="2143" outlineLevel="1" x14ac:dyDescent="0.3"/>
    <row r="2144" outlineLevel="1" x14ac:dyDescent="0.3"/>
    <row r="2145" outlineLevel="1" x14ac:dyDescent="0.3"/>
    <row r="2146" outlineLevel="1" x14ac:dyDescent="0.3"/>
    <row r="2147" outlineLevel="1" x14ac:dyDescent="0.3"/>
    <row r="2148" outlineLevel="1" x14ac:dyDescent="0.3"/>
    <row r="2149" outlineLevel="1" x14ac:dyDescent="0.3"/>
    <row r="2150" outlineLevel="1" x14ac:dyDescent="0.3"/>
    <row r="2151" outlineLevel="1" x14ac:dyDescent="0.3"/>
    <row r="2152" outlineLevel="1" x14ac:dyDescent="0.3"/>
    <row r="2153" outlineLevel="1" x14ac:dyDescent="0.3"/>
    <row r="2154" outlineLevel="1" x14ac:dyDescent="0.3"/>
    <row r="2155" outlineLevel="1" x14ac:dyDescent="0.3"/>
    <row r="2156" outlineLevel="1" x14ac:dyDescent="0.3"/>
    <row r="2157" outlineLevel="1" x14ac:dyDescent="0.3"/>
    <row r="2158" outlineLevel="1" x14ac:dyDescent="0.3"/>
    <row r="2159" outlineLevel="1" x14ac:dyDescent="0.3"/>
    <row r="2160" outlineLevel="1" x14ac:dyDescent="0.3"/>
    <row r="2161" outlineLevel="1" x14ac:dyDescent="0.3"/>
    <row r="2162" outlineLevel="1" x14ac:dyDescent="0.3"/>
    <row r="2163" outlineLevel="1" x14ac:dyDescent="0.3"/>
    <row r="2164" outlineLevel="1" x14ac:dyDescent="0.3"/>
    <row r="2165" outlineLevel="1" x14ac:dyDescent="0.3"/>
    <row r="2166" outlineLevel="1" x14ac:dyDescent="0.3"/>
    <row r="2167" outlineLevel="1" x14ac:dyDescent="0.3"/>
    <row r="2168" outlineLevel="1" x14ac:dyDescent="0.3"/>
    <row r="2169" outlineLevel="1" x14ac:dyDescent="0.3"/>
    <row r="2170" outlineLevel="1" x14ac:dyDescent="0.3"/>
    <row r="2171" outlineLevel="1" x14ac:dyDescent="0.3"/>
    <row r="2172" outlineLevel="1" x14ac:dyDescent="0.3"/>
    <row r="2173" outlineLevel="1" x14ac:dyDescent="0.3"/>
    <row r="2174" outlineLevel="1" x14ac:dyDescent="0.3"/>
    <row r="2175" outlineLevel="1" x14ac:dyDescent="0.3"/>
    <row r="2176" outlineLevel="1" x14ac:dyDescent="0.3"/>
    <row r="2177" outlineLevel="1" x14ac:dyDescent="0.3"/>
    <row r="2178" outlineLevel="1" x14ac:dyDescent="0.3"/>
    <row r="2179" outlineLevel="1" x14ac:dyDescent="0.3"/>
    <row r="2180" outlineLevel="1" x14ac:dyDescent="0.3"/>
    <row r="2181" outlineLevel="1" x14ac:dyDescent="0.3"/>
    <row r="2182" outlineLevel="1" x14ac:dyDescent="0.3"/>
    <row r="2183" outlineLevel="1" x14ac:dyDescent="0.3"/>
    <row r="2184" outlineLevel="1" x14ac:dyDescent="0.3"/>
    <row r="2185" outlineLevel="1" x14ac:dyDescent="0.3"/>
    <row r="2186" outlineLevel="1" x14ac:dyDescent="0.3"/>
    <row r="2187" outlineLevel="1" x14ac:dyDescent="0.3"/>
    <row r="2188" outlineLevel="1" x14ac:dyDescent="0.3"/>
    <row r="2189" outlineLevel="1" x14ac:dyDescent="0.3"/>
    <row r="2190" outlineLevel="1" x14ac:dyDescent="0.3"/>
    <row r="2191" outlineLevel="1" x14ac:dyDescent="0.3"/>
    <row r="2192" outlineLevel="1" x14ac:dyDescent="0.3"/>
    <row r="2193" outlineLevel="1" x14ac:dyDescent="0.3"/>
    <row r="2194" outlineLevel="1" x14ac:dyDescent="0.3"/>
    <row r="2195" outlineLevel="1" x14ac:dyDescent="0.3"/>
    <row r="2196" outlineLevel="1" x14ac:dyDescent="0.3"/>
    <row r="2197" outlineLevel="1" x14ac:dyDescent="0.3"/>
    <row r="2198" outlineLevel="1" x14ac:dyDescent="0.3"/>
    <row r="2199" outlineLevel="1" x14ac:dyDescent="0.3"/>
    <row r="2200" outlineLevel="1" x14ac:dyDescent="0.3"/>
    <row r="2201" outlineLevel="1" x14ac:dyDescent="0.3"/>
    <row r="2202" outlineLevel="1" x14ac:dyDescent="0.3"/>
    <row r="2203" outlineLevel="1" x14ac:dyDescent="0.3"/>
    <row r="2204" outlineLevel="1" x14ac:dyDescent="0.3"/>
    <row r="2205" outlineLevel="1" x14ac:dyDescent="0.3"/>
    <row r="2206" outlineLevel="1" x14ac:dyDescent="0.3"/>
    <row r="2207" outlineLevel="1" x14ac:dyDescent="0.3"/>
    <row r="2208" outlineLevel="1" x14ac:dyDescent="0.3"/>
    <row r="2209" outlineLevel="1" x14ac:dyDescent="0.3"/>
    <row r="2210" outlineLevel="1" x14ac:dyDescent="0.3"/>
    <row r="2211" outlineLevel="1" x14ac:dyDescent="0.3"/>
    <row r="2212" outlineLevel="1" x14ac:dyDescent="0.3"/>
    <row r="2213" outlineLevel="1" x14ac:dyDescent="0.3"/>
    <row r="2214" outlineLevel="1" x14ac:dyDescent="0.3"/>
    <row r="2215" outlineLevel="1" x14ac:dyDescent="0.3"/>
    <row r="2216" outlineLevel="1" x14ac:dyDescent="0.3"/>
    <row r="2217" outlineLevel="1" x14ac:dyDescent="0.3"/>
    <row r="2218" outlineLevel="1" x14ac:dyDescent="0.3"/>
    <row r="2219" outlineLevel="1" x14ac:dyDescent="0.3"/>
    <row r="2220" outlineLevel="1" x14ac:dyDescent="0.3"/>
    <row r="2221" outlineLevel="1" x14ac:dyDescent="0.3"/>
    <row r="2222" outlineLevel="1" x14ac:dyDescent="0.3"/>
    <row r="2223" outlineLevel="1" x14ac:dyDescent="0.3"/>
    <row r="2224" outlineLevel="1" x14ac:dyDescent="0.3"/>
    <row r="2225" outlineLevel="1" x14ac:dyDescent="0.3"/>
    <row r="2226" outlineLevel="1" x14ac:dyDescent="0.3"/>
    <row r="2227" outlineLevel="1" x14ac:dyDescent="0.3"/>
    <row r="2228" outlineLevel="1" x14ac:dyDescent="0.3"/>
    <row r="2229" outlineLevel="1" x14ac:dyDescent="0.3"/>
    <row r="2230" outlineLevel="1" x14ac:dyDescent="0.3"/>
    <row r="2231" outlineLevel="1" x14ac:dyDescent="0.3"/>
    <row r="2232" outlineLevel="1" x14ac:dyDescent="0.3"/>
    <row r="2233" outlineLevel="1" x14ac:dyDescent="0.3"/>
    <row r="2234" outlineLevel="1" x14ac:dyDescent="0.3"/>
    <row r="2235" outlineLevel="1" x14ac:dyDescent="0.3"/>
    <row r="2236" outlineLevel="1" x14ac:dyDescent="0.3"/>
    <row r="2237" outlineLevel="1" x14ac:dyDescent="0.3"/>
    <row r="2238" outlineLevel="1" x14ac:dyDescent="0.3"/>
    <row r="2239" outlineLevel="1" x14ac:dyDescent="0.3"/>
    <row r="2240" outlineLevel="1" x14ac:dyDescent="0.3"/>
    <row r="2241" outlineLevel="1" x14ac:dyDescent="0.3"/>
    <row r="2242" outlineLevel="1" x14ac:dyDescent="0.3"/>
    <row r="2243" outlineLevel="1" x14ac:dyDescent="0.3"/>
    <row r="2244" outlineLevel="1" x14ac:dyDescent="0.3"/>
    <row r="2245" outlineLevel="1" x14ac:dyDescent="0.3"/>
    <row r="2246" outlineLevel="1" x14ac:dyDescent="0.3"/>
    <row r="2247" outlineLevel="1" x14ac:dyDescent="0.3"/>
    <row r="2248" outlineLevel="1" x14ac:dyDescent="0.3"/>
    <row r="2249" outlineLevel="1" x14ac:dyDescent="0.3"/>
    <row r="2250" outlineLevel="1" x14ac:dyDescent="0.3"/>
    <row r="2251" outlineLevel="1" x14ac:dyDescent="0.3"/>
    <row r="2252" outlineLevel="1" x14ac:dyDescent="0.3"/>
    <row r="2253" outlineLevel="1" x14ac:dyDescent="0.3"/>
    <row r="2254" outlineLevel="1" x14ac:dyDescent="0.3"/>
    <row r="2255" outlineLevel="1" x14ac:dyDescent="0.3"/>
    <row r="2256" outlineLevel="1" x14ac:dyDescent="0.3"/>
    <row r="2257" outlineLevel="1" x14ac:dyDescent="0.3"/>
    <row r="2258" outlineLevel="1" x14ac:dyDescent="0.3"/>
    <row r="2259" outlineLevel="1" x14ac:dyDescent="0.3"/>
    <row r="2260" outlineLevel="1" x14ac:dyDescent="0.3"/>
    <row r="2261" outlineLevel="1" x14ac:dyDescent="0.3"/>
    <row r="2262" outlineLevel="1" x14ac:dyDescent="0.3"/>
    <row r="2263" outlineLevel="1" x14ac:dyDescent="0.3"/>
    <row r="2264" outlineLevel="1" x14ac:dyDescent="0.3"/>
    <row r="2265" outlineLevel="1" x14ac:dyDescent="0.3"/>
    <row r="2266" outlineLevel="1" x14ac:dyDescent="0.3"/>
    <row r="2267" outlineLevel="1" x14ac:dyDescent="0.3"/>
    <row r="2268" outlineLevel="1" x14ac:dyDescent="0.3"/>
    <row r="2269" outlineLevel="1" x14ac:dyDescent="0.3"/>
    <row r="2270" outlineLevel="1" x14ac:dyDescent="0.3"/>
    <row r="2271" outlineLevel="1" x14ac:dyDescent="0.3"/>
    <row r="2272" outlineLevel="1" x14ac:dyDescent="0.3"/>
    <row r="2273" outlineLevel="1" x14ac:dyDescent="0.3"/>
    <row r="2274" outlineLevel="1" x14ac:dyDescent="0.3"/>
    <row r="2275" outlineLevel="1" x14ac:dyDescent="0.3"/>
    <row r="2276" outlineLevel="1" x14ac:dyDescent="0.3"/>
    <row r="2277" outlineLevel="1" x14ac:dyDescent="0.3"/>
    <row r="2278" outlineLevel="1" x14ac:dyDescent="0.3"/>
    <row r="2279" outlineLevel="1" x14ac:dyDescent="0.3"/>
    <row r="2280" outlineLevel="1" x14ac:dyDescent="0.3"/>
    <row r="2281" outlineLevel="1" x14ac:dyDescent="0.3"/>
    <row r="2282" outlineLevel="1" x14ac:dyDescent="0.3"/>
    <row r="2283" outlineLevel="1" x14ac:dyDescent="0.3"/>
    <row r="2284" outlineLevel="1" x14ac:dyDescent="0.3"/>
    <row r="2285" outlineLevel="1" x14ac:dyDescent="0.3"/>
    <row r="2286" outlineLevel="1" x14ac:dyDescent="0.3"/>
    <row r="2287" outlineLevel="1" x14ac:dyDescent="0.3"/>
    <row r="2288" outlineLevel="1" x14ac:dyDescent="0.3"/>
    <row r="2289" outlineLevel="1" x14ac:dyDescent="0.3"/>
    <row r="2290" outlineLevel="1" x14ac:dyDescent="0.3"/>
    <row r="2291" outlineLevel="1" x14ac:dyDescent="0.3"/>
    <row r="2292" outlineLevel="1" x14ac:dyDescent="0.3"/>
    <row r="2293" outlineLevel="1" x14ac:dyDescent="0.3"/>
    <row r="2294" outlineLevel="1" x14ac:dyDescent="0.3"/>
    <row r="2295" outlineLevel="1" x14ac:dyDescent="0.3"/>
    <row r="2296" outlineLevel="1" x14ac:dyDescent="0.3"/>
    <row r="2297" outlineLevel="1" x14ac:dyDescent="0.3"/>
    <row r="2298" outlineLevel="1" x14ac:dyDescent="0.3"/>
    <row r="2299" outlineLevel="1" x14ac:dyDescent="0.3"/>
    <row r="2300" outlineLevel="1" x14ac:dyDescent="0.3"/>
    <row r="2301" outlineLevel="1" x14ac:dyDescent="0.3"/>
    <row r="2302" outlineLevel="1" x14ac:dyDescent="0.3"/>
    <row r="2303" outlineLevel="1" x14ac:dyDescent="0.3"/>
    <row r="2304" outlineLevel="1" x14ac:dyDescent="0.3"/>
    <row r="2305" outlineLevel="1" x14ac:dyDescent="0.3"/>
    <row r="2306" outlineLevel="1" x14ac:dyDescent="0.3"/>
    <row r="2307" outlineLevel="1" x14ac:dyDescent="0.3"/>
    <row r="2308" outlineLevel="1" x14ac:dyDescent="0.3"/>
    <row r="2309" outlineLevel="1" x14ac:dyDescent="0.3"/>
    <row r="2310" outlineLevel="1" x14ac:dyDescent="0.3"/>
    <row r="2311" outlineLevel="1" x14ac:dyDescent="0.3"/>
    <row r="2312" outlineLevel="1" x14ac:dyDescent="0.3"/>
    <row r="2313" outlineLevel="1" x14ac:dyDescent="0.3"/>
    <row r="2314" outlineLevel="1" x14ac:dyDescent="0.3"/>
  </sheetData>
  <autoFilter ref="A1:XFB3202" xr:uid="{00000000-0001-0000-0500-000000000000}">
    <filterColumn colId="0" showButton="0"/>
    <filterColumn colId="1" showButton="0"/>
    <filterColumn colId="2" showButton="0"/>
  </autoFilter>
  <mergeCells count="2">
    <mergeCell ref="A1:D1"/>
    <mergeCell ref="A3:D3"/>
  </mergeCells>
  <phoneticPr fontId="13" type="noConversion"/>
  <pageMargins left="0.75" right="0.75" top="1" bottom="1" header="0.511811023622047" footer="0.511811023622047"/>
  <pageSetup paperSize="9" orientation="portrait" horizontalDpi="300" verticalDpi="30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60"/>
  <sheetViews>
    <sheetView workbookViewId="0">
      <selection activeCell="D2" sqref="D2"/>
    </sheetView>
  </sheetViews>
  <sheetFormatPr defaultRowHeight="14.4" x14ac:dyDescent="0.3"/>
  <cols>
    <col min="1" max="1" width="30.88671875" customWidth="1"/>
    <col min="2" max="2" width="14.5546875" customWidth="1"/>
    <col min="3" max="3" width="49.5546875" bestFit="1" customWidth="1"/>
    <col min="4" max="4" width="22.77734375" customWidth="1"/>
    <col min="5" max="59" width="8.88671875" customWidth="1"/>
  </cols>
  <sheetData>
    <row r="1" spans="1:5" x14ac:dyDescent="0.3">
      <c r="A1" s="14" t="s">
        <v>3280</v>
      </c>
      <c r="B1" s="15" t="s">
        <v>3281</v>
      </c>
      <c r="C1" s="15" t="s">
        <v>3282</v>
      </c>
      <c r="D1" s="18" t="s">
        <v>3283</v>
      </c>
    </row>
    <row r="2" spans="1:5" x14ac:dyDescent="0.3">
      <c r="A2" s="16" t="s">
        <v>3284</v>
      </c>
      <c r="B2" s="17" t="s">
        <v>3285</v>
      </c>
      <c r="C2" s="17" t="s">
        <v>1396</v>
      </c>
      <c r="D2" t="e">
        <f t="array" ref="D2:E2">TRANSPOSE(_xlfn._xlws.FILTER('Controllable Asset Registry'!#REF!,IFERROR('Controllable Asset Registry'!#REF!=C2,FALSE),"No Equipment in entity"))</f>
        <v>#REF!</v>
      </c>
      <c r="E2" t="e">
        <v>#REF!</v>
      </c>
    </row>
    <row r="3" spans="1:5" x14ac:dyDescent="0.3">
      <c r="A3" s="16" t="s">
        <v>3286</v>
      </c>
      <c r="B3" s="17" t="s">
        <v>3287</v>
      </c>
      <c r="C3" s="17" t="s">
        <v>1395</v>
      </c>
      <c r="D3" t="e">
        <f t="array" ref="D3:E3">TRANSPOSE(_xlfn._xlws.FILTER('Controllable Asset Registry'!#REF!,IFERROR('Controllable Asset Registry'!#REF!=C3,FALSE),"No Equipment in entity"))</f>
        <v>#REF!</v>
      </c>
      <c r="E3" t="e">
        <v>#REF!</v>
      </c>
    </row>
    <row r="4" spans="1:5" x14ac:dyDescent="0.3">
      <c r="A4" s="16" t="s">
        <v>3288</v>
      </c>
      <c r="B4" s="17" t="s">
        <v>3289</v>
      </c>
      <c r="C4" s="17" t="s">
        <v>3290</v>
      </c>
      <c r="D4" t="e">
        <f t="array" ref="D4">TRANSPOSE(_xlfn._xlws.FILTER('Controllable Asset Registry'!#REF!,IFERROR('Controllable Asset Registry'!#REF!=C4,FALSE),"No Equipment in entity"))</f>
        <v>#REF!</v>
      </c>
    </row>
    <row r="5" spans="1:5" x14ac:dyDescent="0.3">
      <c r="A5" s="16" t="s">
        <v>3291</v>
      </c>
      <c r="B5" s="17" t="s">
        <v>3292</v>
      </c>
      <c r="C5" s="17" t="s">
        <v>3293</v>
      </c>
      <c r="D5" t="e">
        <f t="array" ref="D5">TRANSPOSE(_xlfn._xlws.FILTER('Controllable Asset Registry'!#REF!,IFERROR('Controllable Asset Registry'!#REF!=C5,FALSE),"No Equipment in entity"))</f>
        <v>#REF!</v>
      </c>
    </row>
    <row r="6" spans="1:5" x14ac:dyDescent="0.3">
      <c r="A6" s="16" t="s">
        <v>3294</v>
      </c>
      <c r="B6" s="17" t="s">
        <v>3295</v>
      </c>
      <c r="C6" s="17" t="s">
        <v>1406</v>
      </c>
      <c r="D6" t="e">
        <f t="array" ref="D6">TRANSPOSE(_xlfn._xlws.FILTER('Controllable Asset Registry'!#REF!,IFERROR('Controllable Asset Registry'!#REF!=C6,FALSE),"No Equipment in entity"))</f>
        <v>#REF!</v>
      </c>
    </row>
    <row r="7" spans="1:5" x14ac:dyDescent="0.3">
      <c r="A7" s="16" t="s">
        <v>3296</v>
      </c>
      <c r="B7" s="17" t="s">
        <v>3297</v>
      </c>
      <c r="C7" s="17" t="s">
        <v>3298</v>
      </c>
      <c r="D7" t="e">
        <f t="array" ref="D7">TRANSPOSE(_xlfn._xlws.FILTER('Controllable Asset Registry'!#REF!,IFERROR('Controllable Asset Registry'!#REF!=C7,FALSE),"No Equipment in entity"))</f>
        <v>#REF!</v>
      </c>
    </row>
    <row r="8" spans="1:5" x14ac:dyDescent="0.3">
      <c r="A8" s="16" t="s">
        <v>3296</v>
      </c>
      <c r="B8" s="17" t="s">
        <v>3299</v>
      </c>
      <c r="C8" s="17" t="s">
        <v>3300</v>
      </c>
      <c r="D8" t="e">
        <f t="array" ref="D8">TRANSPOSE(_xlfn._xlws.FILTER('Controllable Asset Registry'!#REF!,IFERROR('Controllable Asset Registry'!#REF!=C8,FALSE),"No Equipment in entity"))</f>
        <v>#REF!</v>
      </c>
    </row>
    <row r="9" spans="1:5" x14ac:dyDescent="0.3">
      <c r="A9" s="16" t="s">
        <v>3301</v>
      </c>
      <c r="B9" s="17" t="s">
        <v>3302</v>
      </c>
      <c r="C9" s="17" t="s">
        <v>1398</v>
      </c>
      <c r="D9" t="e">
        <f t="array" ref="D9">TRANSPOSE(_xlfn._xlws.FILTER('Controllable Asset Registry'!#REF!,IFERROR('Controllable Asset Registry'!#REF!=C9,FALSE),"No Equipment in entity"))</f>
        <v>#REF!</v>
      </c>
    </row>
    <row r="10" spans="1:5" x14ac:dyDescent="0.3">
      <c r="A10" s="16" t="s">
        <v>3303</v>
      </c>
      <c r="B10" s="17" t="s">
        <v>3304</v>
      </c>
      <c r="C10" s="17" t="s">
        <v>3305</v>
      </c>
      <c r="D10" t="e">
        <f t="array" ref="D10">TRANSPOSE(_xlfn._xlws.FILTER('Controllable Asset Registry'!#REF!,IFERROR('Controllable Asset Registry'!#REF!=C10,FALSE),"No Equipment in entity"))</f>
        <v>#REF!</v>
      </c>
    </row>
    <row r="11" spans="1:5" x14ac:dyDescent="0.3">
      <c r="A11" s="16" t="s">
        <v>3306</v>
      </c>
      <c r="B11" s="17" t="s">
        <v>3307</v>
      </c>
      <c r="C11" s="17" t="s">
        <v>3308</v>
      </c>
      <c r="D11" t="e">
        <f t="array" ref="D11">TRANSPOSE(_xlfn._xlws.FILTER('Controllable Asset Registry'!#REF!,IFERROR('Controllable Asset Registry'!#REF!=C11,FALSE),"No Equipment in entity"))</f>
        <v>#REF!</v>
      </c>
    </row>
    <row r="12" spans="1:5" x14ac:dyDescent="0.3">
      <c r="A12" s="16" t="s">
        <v>3309</v>
      </c>
      <c r="B12" s="17" t="s">
        <v>3310</v>
      </c>
      <c r="C12" s="17" t="s">
        <v>3311</v>
      </c>
      <c r="D12" t="e">
        <f t="array" ref="D12">TRANSPOSE(_xlfn._xlws.FILTER('Controllable Asset Registry'!#REF!,IFERROR('Controllable Asset Registry'!#REF!=C12,FALSE),"No Equipment in entity"))</f>
        <v>#REF!</v>
      </c>
    </row>
    <row r="13" spans="1:5" x14ac:dyDescent="0.3">
      <c r="A13" s="16" t="s">
        <v>3312</v>
      </c>
      <c r="B13" s="17" t="s">
        <v>3313</v>
      </c>
      <c r="C13" s="17" t="s">
        <v>3314</v>
      </c>
      <c r="D13" t="e">
        <f t="array" ref="D13">TRANSPOSE(_xlfn._xlws.FILTER('Controllable Asset Registry'!#REF!,IFERROR('Controllable Asset Registry'!#REF!=C13,FALSE),"No Equipment in entity"))</f>
        <v>#REF!</v>
      </c>
    </row>
    <row r="14" spans="1:5" x14ac:dyDescent="0.3">
      <c r="A14" s="16" t="s">
        <v>3315</v>
      </c>
      <c r="B14" s="17" t="s">
        <v>3316</v>
      </c>
      <c r="C14" s="17" t="s">
        <v>3317</v>
      </c>
      <c r="D14" t="e">
        <f t="array" ref="D14">TRANSPOSE(_xlfn._xlws.FILTER('Controllable Asset Registry'!#REF!,IFERROR('Controllable Asset Registry'!#REF!=C14,FALSE),"No Equipment in entity"))</f>
        <v>#REF!</v>
      </c>
    </row>
    <row r="15" spans="1:5" x14ac:dyDescent="0.3">
      <c r="A15" s="16" t="s">
        <v>3318</v>
      </c>
      <c r="B15" s="17" t="s">
        <v>3319</v>
      </c>
      <c r="C15" s="17" t="s">
        <v>3320</v>
      </c>
      <c r="D15" t="e">
        <f t="array" ref="D15">TRANSPOSE(_xlfn._xlws.FILTER('Controllable Asset Registry'!#REF!,IFERROR('Controllable Asset Registry'!#REF!=C15,FALSE),"No Equipment in entity"))</f>
        <v>#REF!</v>
      </c>
    </row>
    <row r="16" spans="1:5" x14ac:dyDescent="0.3">
      <c r="A16" s="16" t="s">
        <v>3318</v>
      </c>
      <c r="B16" s="17" t="s">
        <v>3321</v>
      </c>
      <c r="C16" s="17" t="s">
        <v>3322</v>
      </c>
      <c r="D16" t="e">
        <f t="array" ref="D16">TRANSPOSE(_xlfn._xlws.FILTER('Controllable Asset Registry'!#REF!,IFERROR('Controllable Asset Registry'!#REF!=C16,FALSE),"No Equipment in entity"))</f>
        <v>#REF!</v>
      </c>
    </row>
    <row r="17" spans="1:4" x14ac:dyDescent="0.3">
      <c r="A17" s="16" t="s">
        <v>3318</v>
      </c>
      <c r="B17" s="17" t="s">
        <v>3323</v>
      </c>
      <c r="C17" s="17" t="s">
        <v>3324</v>
      </c>
      <c r="D17" t="e">
        <f t="array" ref="D17">TRANSPOSE(_xlfn._xlws.FILTER('Controllable Asset Registry'!#REF!,IFERROR('Controllable Asset Registry'!#REF!=C17,FALSE),"No Equipment in entity"))</f>
        <v>#REF!</v>
      </c>
    </row>
    <row r="18" spans="1:4" x14ac:dyDescent="0.3">
      <c r="A18" s="16" t="s">
        <v>3318</v>
      </c>
      <c r="B18" s="17" t="s">
        <v>3325</v>
      </c>
      <c r="C18" s="17" t="s">
        <v>3326</v>
      </c>
      <c r="D18" t="e">
        <f t="array" ref="D18">TRANSPOSE(_xlfn._xlws.FILTER('Controllable Asset Registry'!#REF!,IFERROR('Controllable Asset Registry'!#REF!=C18,FALSE),"No Equipment in entity"))</f>
        <v>#REF!</v>
      </c>
    </row>
    <row r="19" spans="1:4" x14ac:dyDescent="0.3">
      <c r="A19" s="16" t="s">
        <v>3318</v>
      </c>
      <c r="B19" s="17" t="s">
        <v>3327</v>
      </c>
      <c r="C19" s="17" t="s">
        <v>3328</v>
      </c>
      <c r="D19" t="e">
        <f t="array" ref="D19">TRANSPOSE(_xlfn._xlws.FILTER('Controllable Asset Registry'!#REF!,IFERROR('Controllable Asset Registry'!#REF!=C19,FALSE),"No Equipment in entity"))</f>
        <v>#REF!</v>
      </c>
    </row>
    <row r="20" spans="1:4" x14ac:dyDescent="0.3">
      <c r="A20" s="16" t="s">
        <v>3318</v>
      </c>
      <c r="B20" s="17" t="s">
        <v>3329</v>
      </c>
      <c r="C20" s="17" t="s">
        <v>3330</v>
      </c>
      <c r="D20" t="e">
        <f t="array" ref="D20">TRANSPOSE(_xlfn._xlws.FILTER('Controllable Asset Registry'!#REF!,IFERROR('Controllable Asset Registry'!#REF!=C20,FALSE),"No Equipment in entity"))</f>
        <v>#REF!</v>
      </c>
    </row>
    <row r="21" spans="1:4" x14ac:dyDescent="0.3">
      <c r="A21" s="16" t="s">
        <v>3284</v>
      </c>
      <c r="B21" s="17" t="s">
        <v>3331</v>
      </c>
      <c r="C21" s="17" t="s">
        <v>1397</v>
      </c>
      <c r="D21" t="e">
        <f t="array" ref="D21">TRANSPOSE(_xlfn._xlws.FILTER('Controllable Asset Registry'!#REF!,IFERROR('Controllable Asset Registry'!#REF!=C21,FALSE),"No Equipment in entity"))</f>
        <v>#REF!</v>
      </c>
    </row>
    <row r="22" spans="1:4" x14ac:dyDescent="0.3">
      <c r="A22" s="16" t="s">
        <v>3332</v>
      </c>
      <c r="B22" s="17" t="s">
        <v>3333</v>
      </c>
      <c r="C22" s="17" t="s">
        <v>3334</v>
      </c>
      <c r="D22" t="e">
        <f t="array" ref="D22">TRANSPOSE(_xlfn._xlws.FILTER('Controllable Asset Registry'!#REF!,IFERROR('Controllable Asset Registry'!#REF!=C22,FALSE),"No Equipment in entity"))</f>
        <v>#REF!</v>
      </c>
    </row>
    <row r="23" spans="1:4" x14ac:dyDescent="0.3">
      <c r="A23" s="16" t="s">
        <v>3335</v>
      </c>
      <c r="B23" s="17" t="s">
        <v>3336</v>
      </c>
      <c r="C23" s="17" t="s">
        <v>3337</v>
      </c>
      <c r="D23" t="e">
        <f t="array" ref="D23">TRANSPOSE(_xlfn._xlws.FILTER('Controllable Asset Registry'!#REF!,IFERROR('Controllable Asset Registry'!#REF!=C23,FALSE),"No Equipment in entity"))</f>
        <v>#REF!</v>
      </c>
    </row>
    <row r="24" spans="1:4" x14ac:dyDescent="0.3">
      <c r="A24" s="16" t="s">
        <v>3338</v>
      </c>
      <c r="B24" s="17" t="s">
        <v>3339</v>
      </c>
      <c r="C24" s="17" t="s">
        <v>3340</v>
      </c>
      <c r="D24" t="e">
        <f t="array" ref="D24">TRANSPOSE(_xlfn._xlws.FILTER('Controllable Asset Registry'!#REF!,IFERROR('Controllable Asset Registry'!#REF!=C24,FALSE),"No Equipment in entity"))</f>
        <v>#REF!</v>
      </c>
    </row>
    <row r="25" spans="1:4" x14ac:dyDescent="0.3">
      <c r="A25" s="16" t="s">
        <v>3341</v>
      </c>
      <c r="B25" s="17" t="s">
        <v>3342</v>
      </c>
      <c r="C25" s="17" t="s">
        <v>3343</v>
      </c>
      <c r="D25" t="e">
        <f t="array" ref="D25">TRANSPOSE(_xlfn._xlws.FILTER('Controllable Asset Registry'!#REF!,IFERROR('Controllable Asset Registry'!#REF!=C25,FALSE),"No Equipment in entity"))</f>
        <v>#REF!</v>
      </c>
    </row>
    <row r="26" spans="1:4" x14ac:dyDescent="0.3">
      <c r="A26" s="16" t="s">
        <v>3344</v>
      </c>
      <c r="B26" s="17" t="s">
        <v>3345</v>
      </c>
      <c r="C26" s="17" t="s">
        <v>3346</v>
      </c>
      <c r="D26" t="e">
        <f t="array" ref="D26">TRANSPOSE(_xlfn._xlws.FILTER('Controllable Asset Registry'!#REF!,IFERROR('Controllable Asset Registry'!#REF!=C26,FALSE),"No Equipment in entity"))</f>
        <v>#REF!</v>
      </c>
    </row>
    <row r="27" spans="1:4" x14ac:dyDescent="0.3">
      <c r="A27" s="16" t="s">
        <v>3347</v>
      </c>
      <c r="B27" s="17" t="s">
        <v>3348</v>
      </c>
      <c r="C27" s="17" t="s">
        <v>3349</v>
      </c>
      <c r="D27" t="e">
        <f t="array" ref="D27">TRANSPOSE(_xlfn._xlws.FILTER('Controllable Asset Registry'!#REF!,IFERROR('Controllable Asset Registry'!#REF!=C27,FALSE),"No Equipment in entity"))</f>
        <v>#REF!</v>
      </c>
    </row>
    <row r="28" spans="1:4" x14ac:dyDescent="0.3">
      <c r="A28" s="16" t="s">
        <v>3350</v>
      </c>
      <c r="B28" s="17" t="s">
        <v>3351</v>
      </c>
      <c r="C28" s="17" t="s">
        <v>3352</v>
      </c>
      <c r="D28" t="e">
        <f t="array" ref="D28">TRANSPOSE(_xlfn._xlws.FILTER('Controllable Asset Registry'!#REF!,IFERROR('Controllable Asset Registry'!#REF!=C28,FALSE),"No Equipment in entity"))</f>
        <v>#REF!</v>
      </c>
    </row>
    <row r="29" spans="1:4" x14ac:dyDescent="0.3">
      <c r="A29" s="16" t="s">
        <v>3353</v>
      </c>
      <c r="B29" s="17" t="s">
        <v>3354</v>
      </c>
      <c r="C29" s="17" t="s">
        <v>3355</v>
      </c>
      <c r="D29" t="e">
        <f t="array" ref="D29">TRANSPOSE(_xlfn._xlws.FILTER('Controllable Asset Registry'!#REF!,IFERROR('Controllable Asset Registry'!#REF!=C29,FALSE),"No Equipment in entity"))</f>
        <v>#REF!</v>
      </c>
    </row>
    <row r="30" spans="1:4" x14ac:dyDescent="0.3">
      <c r="A30" s="16" t="s">
        <v>3356</v>
      </c>
      <c r="B30" s="17" t="s">
        <v>3357</v>
      </c>
      <c r="C30" s="17" t="s">
        <v>3358</v>
      </c>
      <c r="D30" t="e">
        <f t="array" ref="D30">TRANSPOSE(_xlfn._xlws.FILTER('Controllable Asset Registry'!#REF!,IFERROR('Controllable Asset Registry'!#REF!=C30,FALSE),"No Equipment in entity"))</f>
        <v>#REF!</v>
      </c>
    </row>
    <row r="31" spans="1:4" x14ac:dyDescent="0.3">
      <c r="A31" s="16" t="s">
        <v>3359</v>
      </c>
      <c r="B31" s="17" t="s">
        <v>3360</v>
      </c>
      <c r="C31" s="17" t="s">
        <v>3361</v>
      </c>
      <c r="D31" t="e">
        <f t="array" ref="D31">TRANSPOSE(_xlfn._xlws.FILTER('Controllable Asset Registry'!#REF!,IFERROR('Controllable Asset Registry'!#REF!=C31,FALSE),"No Equipment in entity"))</f>
        <v>#REF!</v>
      </c>
    </row>
    <row r="32" spans="1:4" x14ac:dyDescent="0.3">
      <c r="A32" s="16" t="s">
        <v>3362</v>
      </c>
      <c r="B32" s="17" t="s">
        <v>3363</v>
      </c>
      <c r="C32" s="17" t="s">
        <v>3364</v>
      </c>
      <c r="D32" t="e">
        <f t="array" ref="D32">TRANSPOSE(_xlfn._xlws.FILTER('Controllable Asset Registry'!#REF!,IFERROR('Controllable Asset Registry'!#REF!=C32,FALSE),"No Equipment in entity"))</f>
        <v>#REF!</v>
      </c>
    </row>
    <row r="33" spans="1:6" x14ac:dyDescent="0.3">
      <c r="A33" s="16" t="s">
        <v>3365</v>
      </c>
      <c r="B33" s="17" t="s">
        <v>3366</v>
      </c>
      <c r="C33" s="17" t="s">
        <v>3367</v>
      </c>
      <c r="D33" t="e">
        <f t="array" ref="D33">TRANSPOSE(_xlfn._xlws.FILTER('Controllable Asset Registry'!#REF!,IFERROR('Controllable Asset Registry'!#REF!=C33,FALSE),"No Equipment in entity"))</f>
        <v>#REF!</v>
      </c>
    </row>
    <row r="34" spans="1:6" x14ac:dyDescent="0.3">
      <c r="A34" s="16" t="s">
        <v>3368</v>
      </c>
      <c r="B34" s="17" t="s">
        <v>3369</v>
      </c>
      <c r="C34" s="17" t="s">
        <v>3370</v>
      </c>
      <c r="D34" t="e">
        <f t="array" ref="D34">TRANSPOSE(_xlfn._xlws.FILTER('Controllable Asset Registry'!#REF!,IFERROR('Controllable Asset Registry'!#REF!=C34,FALSE),"No Equipment in entity"))</f>
        <v>#REF!</v>
      </c>
    </row>
    <row r="35" spans="1:6" x14ac:dyDescent="0.3">
      <c r="A35" s="16" t="s">
        <v>3371</v>
      </c>
      <c r="B35" s="17" t="s">
        <v>3372</v>
      </c>
      <c r="C35" s="17" t="s">
        <v>1399</v>
      </c>
      <c r="D35" t="e">
        <f t="array" ref="D35">TRANSPOSE(_xlfn._xlws.FILTER('Controllable Asset Registry'!#REF!,IFERROR('Controllable Asset Registry'!#REF!=C35,FALSE),"No Equipment in entity"))</f>
        <v>#REF!</v>
      </c>
    </row>
    <row r="36" spans="1:6" x14ac:dyDescent="0.3">
      <c r="A36" s="16" t="s">
        <v>3309</v>
      </c>
      <c r="B36" s="17" t="s">
        <v>3373</v>
      </c>
      <c r="C36" s="17" t="s">
        <v>3374</v>
      </c>
      <c r="D36" t="e">
        <f t="array" ref="D36">TRANSPOSE(_xlfn._xlws.FILTER('Controllable Asset Registry'!#REF!,IFERROR('Controllable Asset Registry'!#REF!=C36,FALSE),"No Equipment in entity"))</f>
        <v>#REF!</v>
      </c>
    </row>
    <row r="37" spans="1:6" x14ac:dyDescent="0.3">
      <c r="A37" s="16" t="s">
        <v>3318</v>
      </c>
      <c r="B37" s="17" t="s">
        <v>3375</v>
      </c>
      <c r="C37" s="17" t="s">
        <v>3376</v>
      </c>
      <c r="D37" t="e">
        <f t="array" ref="D37">TRANSPOSE(_xlfn._xlws.FILTER('Controllable Asset Registry'!#REF!,IFERROR('Controllable Asset Registry'!#REF!=C37,FALSE),"No Equipment in entity"))</f>
        <v>#REF!</v>
      </c>
    </row>
    <row r="38" spans="1:6" x14ac:dyDescent="0.3">
      <c r="A38" s="16" t="s">
        <v>3309</v>
      </c>
      <c r="B38" s="17" t="s">
        <v>3377</v>
      </c>
      <c r="C38" s="17" t="s">
        <v>3378</v>
      </c>
      <c r="D38" t="e">
        <f t="array" ref="D38">TRANSPOSE(_xlfn._xlws.FILTER('Controllable Asset Registry'!#REF!,IFERROR('Controllable Asset Registry'!#REF!=C38,FALSE),"No Equipment in entity"))</f>
        <v>#REF!</v>
      </c>
    </row>
    <row r="39" spans="1:6" x14ac:dyDescent="0.3">
      <c r="A39" s="16" t="s">
        <v>3309</v>
      </c>
      <c r="B39" s="17" t="s">
        <v>3379</v>
      </c>
      <c r="C39" s="17" t="s">
        <v>3380</v>
      </c>
      <c r="D39" t="e">
        <f t="array" ref="D39">TRANSPOSE(_xlfn._xlws.FILTER('Controllable Asset Registry'!#REF!,IFERROR('Controllable Asset Registry'!#REF!=C39,FALSE),"No Equipment in entity"))</f>
        <v>#REF!</v>
      </c>
    </row>
    <row r="40" spans="1:6" x14ac:dyDescent="0.3">
      <c r="A40" s="16" t="s">
        <v>3381</v>
      </c>
      <c r="B40" s="17" t="s">
        <v>3382</v>
      </c>
      <c r="C40" s="17" t="s">
        <v>3383</v>
      </c>
      <c r="D40" t="e">
        <f t="array" ref="D40">TRANSPOSE(_xlfn._xlws.FILTER('Controllable Asset Registry'!#REF!,IFERROR('Controllable Asset Registry'!#REF!=C40,FALSE),"No Equipment in entity"))</f>
        <v>#REF!</v>
      </c>
    </row>
    <row r="41" spans="1:6" x14ac:dyDescent="0.3">
      <c r="A41" s="16" t="s">
        <v>3384</v>
      </c>
      <c r="B41" s="17" t="s">
        <v>3385</v>
      </c>
      <c r="C41" s="17" t="s">
        <v>3386</v>
      </c>
      <c r="D41" t="e">
        <f t="array" ref="D41">TRANSPOSE(_xlfn._xlws.FILTER('Controllable Asset Registry'!#REF!,IFERROR('Controllable Asset Registry'!#REF!=C41,FALSE),"No Equipment in entity"))</f>
        <v>#REF!</v>
      </c>
    </row>
    <row r="42" spans="1:6" x14ac:dyDescent="0.3">
      <c r="A42" s="16" t="s">
        <v>3387</v>
      </c>
      <c r="B42" s="17" t="s">
        <v>3388</v>
      </c>
      <c r="C42" s="17" t="s">
        <v>3389</v>
      </c>
      <c r="D42" t="e">
        <f t="array" ref="D42">TRANSPOSE(_xlfn._xlws.FILTER('Controllable Asset Registry'!#REF!,IFERROR('Controllable Asset Registry'!#REF!=C42,FALSE),"No Equipment in entity"))</f>
        <v>#REF!</v>
      </c>
    </row>
    <row r="43" spans="1:6" x14ac:dyDescent="0.3">
      <c r="A43" s="16" t="s">
        <v>3390</v>
      </c>
      <c r="B43" s="17" t="s">
        <v>3391</v>
      </c>
      <c r="C43" s="17" t="s">
        <v>3392</v>
      </c>
      <c r="D43" t="e">
        <f t="array" ref="D43">TRANSPOSE(_xlfn._xlws.FILTER('Controllable Asset Registry'!#REF!,IFERROR('Controllable Asset Registry'!#REF!=C43,FALSE),"No Equipment in entity"))</f>
        <v>#REF!</v>
      </c>
    </row>
    <row r="44" spans="1:6" x14ac:dyDescent="0.3">
      <c r="A44" s="16" t="s">
        <v>3393</v>
      </c>
      <c r="B44" s="17">
        <v>1.0369999999999999</v>
      </c>
      <c r="C44" s="17" t="s">
        <v>3394</v>
      </c>
      <c r="D44" t="e">
        <f t="array" ref="D44">TRANSPOSE(_xlfn._xlws.FILTER('Controllable Asset Registry'!#REF!,IFERROR('Controllable Asset Registry'!#REF!=C44,FALSE),"No Equipment in entity"))</f>
        <v>#REF!</v>
      </c>
    </row>
    <row r="45" spans="1:6" x14ac:dyDescent="0.3">
      <c r="A45" s="16" t="s">
        <v>3395</v>
      </c>
      <c r="B45" s="17">
        <v>1.014</v>
      </c>
      <c r="C45" s="17" t="s">
        <v>1407</v>
      </c>
      <c r="D45" t="e">
        <f t="array" ref="D45:F45">TRANSPOSE(_xlfn._xlws.FILTER('Controllable Asset Registry'!#REF!,IFERROR('Controllable Asset Registry'!#REF!=C45,FALSE),"No Equipment in entity"))</f>
        <v>#REF!</v>
      </c>
      <c r="E45" t="e">
        <v>#REF!</v>
      </c>
      <c r="F45" t="e">
        <v>#REF!</v>
      </c>
    </row>
    <row r="46" spans="1:6" x14ac:dyDescent="0.3">
      <c r="A46" s="16" t="s">
        <v>3396</v>
      </c>
      <c r="B46" s="17" t="s">
        <v>3397</v>
      </c>
      <c r="C46" s="17" t="s">
        <v>3398</v>
      </c>
      <c r="D46" t="e">
        <f t="array" ref="D46">TRANSPOSE(_xlfn._xlws.FILTER('Controllable Asset Registry'!#REF!,IFERROR('Controllable Asset Registry'!#REF!=C46,FALSE),"No Equipment in entity"))</f>
        <v>#REF!</v>
      </c>
    </row>
    <row r="47" spans="1:6" x14ac:dyDescent="0.3">
      <c r="A47" s="16" t="s">
        <v>3395</v>
      </c>
      <c r="B47" s="17">
        <v>1.0149999999999999</v>
      </c>
      <c r="C47" s="17" t="s">
        <v>1408</v>
      </c>
      <c r="D47" t="e">
        <f t="array" ref="D47:F47">TRANSPOSE(_xlfn._xlws.FILTER('Controllable Asset Registry'!#REF!,IFERROR('Controllable Asset Registry'!#REF!=C47,FALSE),"No Equipment in entity"))</f>
        <v>#REF!</v>
      </c>
      <c r="E47" t="e">
        <v>#REF!</v>
      </c>
      <c r="F47" t="e">
        <v>#REF!</v>
      </c>
    </row>
    <row r="48" spans="1:6" x14ac:dyDescent="0.3">
      <c r="A48" s="16" t="s">
        <v>3399</v>
      </c>
      <c r="B48" s="17" t="s">
        <v>3400</v>
      </c>
      <c r="C48" s="17" t="s">
        <v>3401</v>
      </c>
      <c r="D48" t="e">
        <f t="array" ref="D48">TRANSPOSE(_xlfn._xlws.FILTER('Controllable Asset Registry'!#REF!,IFERROR('Controllable Asset Registry'!#REF!=C48,FALSE),"No Equipment in entity"))</f>
        <v>#REF!</v>
      </c>
    </row>
    <row r="49" spans="1:9" x14ac:dyDescent="0.3">
      <c r="A49" s="16" t="s">
        <v>3395</v>
      </c>
      <c r="B49" s="17">
        <v>1.016</v>
      </c>
      <c r="C49" s="17" t="s">
        <v>1417</v>
      </c>
      <c r="D49" t="e">
        <f t="array" ref="D49">TRANSPOSE(_xlfn._xlws.FILTER('Controllable Asset Registry'!#REF!,IFERROR('Controllable Asset Registry'!#REF!=C49,FALSE),"No Equipment in entity"))</f>
        <v>#REF!</v>
      </c>
    </row>
    <row r="50" spans="1:9" x14ac:dyDescent="0.3">
      <c r="A50" s="16" t="s">
        <v>3335</v>
      </c>
      <c r="B50" s="17">
        <v>1.0409999999999999</v>
      </c>
      <c r="C50" s="17" t="s">
        <v>3402</v>
      </c>
      <c r="D50" t="e">
        <f t="array" ref="D50">TRANSPOSE(_xlfn._xlws.FILTER('Controllable Asset Registry'!#REF!,IFERROR('Controllable Asset Registry'!#REF!=C50,FALSE),"No Equipment in entity"))</f>
        <v>#REF!</v>
      </c>
    </row>
    <row r="51" spans="1:9" x14ac:dyDescent="0.3">
      <c r="A51" s="16" t="s">
        <v>3403</v>
      </c>
      <c r="B51" s="17">
        <v>1.0169999999999999</v>
      </c>
      <c r="C51" s="17" t="s">
        <v>3404</v>
      </c>
      <c r="D51" t="e">
        <f t="array" ref="D51">TRANSPOSE(_xlfn._xlws.FILTER('Controllable Asset Registry'!#REF!,IFERROR('Controllable Asset Registry'!#REF!=C51,FALSE),"No Equipment in entity"))</f>
        <v>#REF!</v>
      </c>
    </row>
    <row r="52" spans="1:9" x14ac:dyDescent="0.3">
      <c r="A52" s="16" t="s">
        <v>3318</v>
      </c>
      <c r="B52" s="17">
        <v>1.018</v>
      </c>
      <c r="C52" s="17" t="s">
        <v>1418</v>
      </c>
      <c r="D52" t="e">
        <f t="array" ref="D52">TRANSPOSE(_xlfn._xlws.FILTER('Controllable Asset Registry'!#REF!,IFERROR('Controllable Asset Registry'!#REF!=C52,FALSE),"No Equipment in entity"))</f>
        <v>#REF!</v>
      </c>
    </row>
    <row r="53" spans="1:9" x14ac:dyDescent="0.3">
      <c r="A53" s="16" t="s">
        <v>3395</v>
      </c>
      <c r="B53" s="17">
        <v>1.002</v>
      </c>
      <c r="C53" s="17" t="s">
        <v>1416</v>
      </c>
      <c r="D53" t="e">
        <f t="array" ref="D53:G53">TRANSPOSE(_xlfn._xlws.FILTER('Controllable Asset Registry'!#REF!,IFERROR('Controllable Asset Registry'!#REF!=C53,FALSE),"No Equipment in entity"))</f>
        <v>#REF!</v>
      </c>
      <c r="E53" t="e">
        <v>#REF!</v>
      </c>
      <c r="F53" t="e">
        <v>#REF!</v>
      </c>
      <c r="G53" t="e">
        <v>#REF!</v>
      </c>
    </row>
    <row r="54" spans="1:9" x14ac:dyDescent="0.3">
      <c r="A54" s="16" t="s">
        <v>3405</v>
      </c>
      <c r="B54" s="17">
        <v>1.022</v>
      </c>
      <c r="C54" s="17" t="s">
        <v>1419</v>
      </c>
      <c r="D54" t="e">
        <f t="array" ref="D54">TRANSPOSE(_xlfn._xlws.FILTER('Controllable Asset Registry'!#REF!,IFERROR('Controllable Asset Registry'!#REF!=C54,FALSE),"No Equipment in entity"))</f>
        <v>#REF!</v>
      </c>
    </row>
    <row r="55" spans="1:9" x14ac:dyDescent="0.3">
      <c r="A55" s="16" t="s">
        <v>3405</v>
      </c>
      <c r="B55" s="17">
        <v>1.0209999999999999</v>
      </c>
      <c r="C55" s="17" t="s">
        <v>3406</v>
      </c>
      <c r="D55" t="e">
        <f t="array" ref="D55">TRANSPOSE(_xlfn._xlws.FILTER('Controllable Asset Registry'!#REF!,IFERROR('Controllable Asset Registry'!#REF!=C55,FALSE),"No Equipment in entity"))</f>
        <v>#REF!</v>
      </c>
    </row>
    <row r="56" spans="1:9" x14ac:dyDescent="0.3">
      <c r="A56" s="16" t="s">
        <v>3318</v>
      </c>
      <c r="B56" s="17">
        <v>1.0229999999999999</v>
      </c>
      <c r="C56" s="17" t="s">
        <v>3407</v>
      </c>
      <c r="D56" t="e">
        <f t="array" ref="D56">TRANSPOSE(_xlfn._xlws.FILTER('Controllable Asset Registry'!#REF!,IFERROR('Controllable Asset Registry'!#REF!=C56,FALSE),"No Equipment in entity"))</f>
        <v>#REF!</v>
      </c>
    </row>
    <row r="57" spans="1:9" x14ac:dyDescent="0.3">
      <c r="A57" s="16" t="s">
        <v>3318</v>
      </c>
      <c r="B57" s="17">
        <v>1.02</v>
      </c>
      <c r="C57" s="17" t="s">
        <v>3408</v>
      </c>
      <c r="D57" t="e">
        <f t="array" ref="D57">TRANSPOSE(_xlfn._xlws.FILTER('Controllable Asset Registry'!#REF!,IFERROR('Controllable Asset Registry'!#REF!=C57,FALSE),"No Equipment in entity"))</f>
        <v>#REF!</v>
      </c>
    </row>
    <row r="58" spans="1:9" x14ac:dyDescent="0.3">
      <c r="A58" s="16" t="s">
        <v>3318</v>
      </c>
      <c r="B58" s="17">
        <v>1.024</v>
      </c>
      <c r="C58" s="17" t="s">
        <v>1409</v>
      </c>
      <c r="D58" t="e">
        <f t="array" ref="D58">TRANSPOSE(_xlfn._xlws.FILTER('Controllable Asset Registry'!#REF!,IFERROR('Controllable Asset Registry'!#REF!=C58,FALSE),"No Equipment in entity"))</f>
        <v>#REF!</v>
      </c>
    </row>
    <row r="59" spans="1:9" x14ac:dyDescent="0.3">
      <c r="A59" s="16" t="s">
        <v>3409</v>
      </c>
      <c r="B59" s="17">
        <v>1.0389999999999999</v>
      </c>
      <c r="C59" s="17" t="s">
        <v>1402</v>
      </c>
      <c r="D59" t="e">
        <f t="array" ref="D59:E59">TRANSPOSE(_xlfn._xlws.FILTER('Controllable Asset Registry'!#REF!,IFERROR('Controllable Asset Registry'!#REF!=C59,FALSE),"No Equipment in entity"))</f>
        <v>#REF!</v>
      </c>
      <c r="E59" t="e">
        <v>#REF!</v>
      </c>
    </row>
    <row r="60" spans="1:9" x14ac:dyDescent="0.3">
      <c r="A60" s="16" t="s">
        <v>3410</v>
      </c>
      <c r="B60" s="17">
        <v>1.0269999999999999</v>
      </c>
      <c r="C60" s="17" t="s">
        <v>1401</v>
      </c>
      <c r="D60" t="e">
        <f t="array" ref="D60:E60">TRANSPOSE(_xlfn._xlws.FILTER('Controllable Asset Registry'!#REF!,IFERROR('Controllable Asset Registry'!#REF!=C60,FALSE),"No Equipment in entity"))</f>
        <v>#REF!</v>
      </c>
      <c r="E60" t="e">
        <v>#REF!</v>
      </c>
    </row>
    <row r="61" spans="1:9" x14ac:dyDescent="0.3">
      <c r="A61" s="16" t="s">
        <v>3411</v>
      </c>
      <c r="B61" s="17">
        <v>1.026</v>
      </c>
      <c r="C61" s="17" t="s">
        <v>3412</v>
      </c>
      <c r="D61" t="e">
        <f t="array" ref="D61">TRANSPOSE(_xlfn._xlws.FILTER('Controllable Asset Registry'!#REF!,IFERROR('Controllable Asset Registry'!#REF!=C61,FALSE),"No Equipment in entity"))</f>
        <v>#REF!</v>
      </c>
    </row>
    <row r="62" spans="1:9" x14ac:dyDescent="0.3">
      <c r="A62" s="16" t="s">
        <v>3413</v>
      </c>
      <c r="B62" s="17">
        <v>1.0249999999999999</v>
      </c>
      <c r="C62" s="17" t="s">
        <v>3414</v>
      </c>
      <c r="D62" t="e">
        <f t="array" ref="D62">TRANSPOSE(_xlfn._xlws.FILTER('Controllable Asset Registry'!#REF!,IFERROR('Controllable Asset Registry'!#REF!=C62,FALSE),"No Equipment in entity"))</f>
        <v>#REF!</v>
      </c>
    </row>
    <row r="63" spans="1:9" x14ac:dyDescent="0.3">
      <c r="A63" s="16" t="s">
        <v>3415</v>
      </c>
      <c r="B63" s="17">
        <v>1.0189999999999999</v>
      </c>
      <c r="C63" s="17" t="s">
        <v>1410</v>
      </c>
      <c r="D63" t="e">
        <f t="array" ref="D63:I63">TRANSPOSE(_xlfn._xlws.FILTER('Controllable Asset Registry'!#REF!,IFERROR('Controllable Asset Registry'!#REF!=C63,FALSE),"No Equipment in entity"))</f>
        <v>#REF!</v>
      </c>
      <c r="E63" t="e">
        <v>#REF!</v>
      </c>
      <c r="F63" t="e">
        <v>#REF!</v>
      </c>
      <c r="G63" t="e">
        <v>#REF!</v>
      </c>
      <c r="H63" t="e">
        <v>#REF!</v>
      </c>
      <c r="I63" t="e">
        <v>#REF!</v>
      </c>
    </row>
    <row r="64" spans="1:9" x14ac:dyDescent="0.3">
      <c r="A64" s="16" t="s">
        <v>3318</v>
      </c>
      <c r="B64" s="17">
        <v>1.0009999999999999</v>
      </c>
      <c r="C64" s="17" t="s">
        <v>1415</v>
      </c>
      <c r="D64" t="e">
        <f t="array" ref="D64:F64">TRANSPOSE(_xlfn._xlws.FILTER('Controllable Asset Registry'!#REF!,IFERROR('Controllable Asset Registry'!#REF!=C64,FALSE),"No Equipment in entity"))</f>
        <v>#REF!</v>
      </c>
      <c r="E64" t="e">
        <v>#REF!</v>
      </c>
      <c r="F64" t="e">
        <v>#REF!</v>
      </c>
    </row>
    <row r="65" spans="1:7" x14ac:dyDescent="0.3">
      <c r="A65" s="16" t="s">
        <v>3416</v>
      </c>
      <c r="B65" s="17">
        <v>1.0029999999999999</v>
      </c>
      <c r="C65" s="17" t="s">
        <v>1414</v>
      </c>
      <c r="D65" t="e">
        <f t="array" ref="D65:G65">TRANSPOSE(_xlfn._xlws.FILTER('Controllable Asset Registry'!#REF!,IFERROR('Controllable Asset Registry'!#REF!=C65,FALSE),"No Equipment in entity"))</f>
        <v>#REF!</v>
      </c>
      <c r="E65" t="e">
        <v>#REF!</v>
      </c>
      <c r="F65" t="e">
        <v>#REF!</v>
      </c>
      <c r="G65" t="e">
        <v>#REF!</v>
      </c>
    </row>
    <row r="66" spans="1:7" x14ac:dyDescent="0.3">
      <c r="A66" s="16" t="s">
        <v>3395</v>
      </c>
      <c r="B66" s="17">
        <v>1.0289999999999999</v>
      </c>
      <c r="C66" s="17" t="s">
        <v>1412</v>
      </c>
      <c r="D66" t="e">
        <f t="array" ref="D66:F66">TRANSPOSE(_xlfn._xlws.FILTER('Controllable Asset Registry'!#REF!,IFERROR('Controllable Asset Registry'!#REF!=C66,FALSE),"No Equipment in entity"))</f>
        <v>#REF!</v>
      </c>
      <c r="E66" t="e">
        <v>#REF!</v>
      </c>
      <c r="F66" t="e">
        <v>#REF!</v>
      </c>
    </row>
    <row r="67" spans="1:7" x14ac:dyDescent="0.3">
      <c r="A67" s="16" t="s">
        <v>3335</v>
      </c>
      <c r="B67" s="17">
        <v>1.012</v>
      </c>
      <c r="C67" s="17" t="s">
        <v>3417</v>
      </c>
      <c r="D67" t="e">
        <f t="array" ref="D67">TRANSPOSE(_xlfn._xlws.FILTER('Controllable Asset Registry'!#REF!,IFERROR('Controllable Asset Registry'!#REF!=C67,FALSE),"No Equipment in entity"))</f>
        <v>#REF!</v>
      </c>
    </row>
    <row r="68" spans="1:7" x14ac:dyDescent="0.3">
      <c r="A68" s="16" t="s">
        <v>3296</v>
      </c>
      <c r="B68" s="17" t="s">
        <v>3418</v>
      </c>
      <c r="C68" s="17" t="s">
        <v>3419</v>
      </c>
      <c r="D68" t="e">
        <f t="array" ref="D68">TRANSPOSE(_xlfn._xlws.FILTER('Controllable Asset Registry'!#REF!,IFERROR('Controllable Asset Registry'!#REF!=C68,FALSE),"No Equipment in entity"))</f>
        <v>#REF!</v>
      </c>
    </row>
    <row r="69" spans="1:7" x14ac:dyDescent="0.3">
      <c r="A69" s="16" t="s">
        <v>3296</v>
      </c>
      <c r="B69" s="17" t="s">
        <v>3420</v>
      </c>
      <c r="C69" s="17" t="s">
        <v>3421</v>
      </c>
      <c r="D69" t="e">
        <f t="array" ref="D69">TRANSPOSE(_xlfn._xlws.FILTER('Controllable Asset Registry'!#REF!,IFERROR('Controllable Asset Registry'!#REF!=C69,FALSE),"No Equipment in entity"))</f>
        <v>#REF!</v>
      </c>
    </row>
    <row r="70" spans="1:7" x14ac:dyDescent="0.3">
      <c r="A70" s="16" t="s">
        <v>3318</v>
      </c>
      <c r="B70" s="17">
        <v>1.0129999999999999</v>
      </c>
      <c r="C70" s="17" t="s">
        <v>1413</v>
      </c>
      <c r="D70" t="e">
        <f t="array" ref="D70">TRANSPOSE(_xlfn._xlws.FILTER('Controllable Asset Registry'!#REF!,IFERROR('Controllable Asset Registry'!#REF!=C70,FALSE),"No Equipment in entity"))</f>
        <v>#REF!</v>
      </c>
    </row>
    <row r="71" spans="1:7" x14ac:dyDescent="0.3">
      <c r="A71" s="16" t="s">
        <v>3291</v>
      </c>
      <c r="B71" s="17" t="s">
        <v>3422</v>
      </c>
      <c r="C71" s="17" t="s">
        <v>3423</v>
      </c>
      <c r="D71" t="e">
        <f t="array" ref="D71">TRANSPOSE(_xlfn._xlws.FILTER('Controllable Asset Registry'!#REF!,IFERROR('Controllable Asset Registry'!#REF!=C71,FALSE),"No Equipment in entity"))</f>
        <v>#REF!</v>
      </c>
    </row>
    <row r="72" spans="1:7" x14ac:dyDescent="0.3">
      <c r="A72" s="16" t="s">
        <v>3424</v>
      </c>
      <c r="B72" s="17">
        <v>1.0089999999999999</v>
      </c>
      <c r="C72" s="17" t="s">
        <v>3425</v>
      </c>
      <c r="D72" t="e">
        <f t="array" ref="D72">TRANSPOSE(_xlfn._xlws.FILTER('Controllable Asset Registry'!#REF!,IFERROR('Controllable Asset Registry'!#REF!=C72,FALSE),"No Equipment in entity"))</f>
        <v>#REF!</v>
      </c>
    </row>
    <row r="73" spans="1:7" x14ac:dyDescent="0.3">
      <c r="A73" s="16" t="s">
        <v>3426</v>
      </c>
      <c r="B73" s="17">
        <v>1.038</v>
      </c>
      <c r="C73" s="17" t="s">
        <v>3427</v>
      </c>
      <c r="D73" t="e">
        <f t="array" ref="D73">TRANSPOSE(_xlfn._xlws.FILTER('Controllable Asset Registry'!#REF!,IFERROR('Controllable Asset Registry'!#REF!=C73,FALSE),"No Equipment in entity"))</f>
        <v>#REF!</v>
      </c>
    </row>
    <row r="74" spans="1:7" x14ac:dyDescent="0.3">
      <c r="A74" s="16" t="s">
        <v>3428</v>
      </c>
      <c r="B74" s="17">
        <v>1.008</v>
      </c>
      <c r="C74" s="17" t="s">
        <v>1400</v>
      </c>
      <c r="D74" t="e">
        <f t="array" ref="D74:E74">TRANSPOSE(_xlfn._xlws.FILTER('Controllable Asset Registry'!#REF!,IFERROR('Controllable Asset Registry'!#REF!=C74,FALSE),"No Equipment in entity"))</f>
        <v>#REF!</v>
      </c>
      <c r="E74" t="e">
        <v>#REF!</v>
      </c>
    </row>
    <row r="75" spans="1:7" x14ac:dyDescent="0.3">
      <c r="A75" s="16" t="s">
        <v>3403</v>
      </c>
      <c r="B75" s="17">
        <v>1.0069999999999999</v>
      </c>
      <c r="C75" s="17" t="s">
        <v>3429</v>
      </c>
      <c r="D75" t="e">
        <f t="array" ref="D75">TRANSPOSE(_xlfn._xlws.FILTER('Controllable Asset Registry'!#REF!,IFERROR('Controllable Asset Registry'!#REF!=C75,FALSE),"No Equipment in entity"))</f>
        <v>#REF!</v>
      </c>
    </row>
    <row r="76" spans="1:7" x14ac:dyDescent="0.3">
      <c r="A76" s="16" t="s">
        <v>3413</v>
      </c>
      <c r="B76" s="17">
        <v>1.006</v>
      </c>
      <c r="C76" s="17" t="s">
        <v>3430</v>
      </c>
      <c r="D76" t="e">
        <f t="array" ref="D76">TRANSPOSE(_xlfn._xlws.FILTER('Controllable Asset Registry'!#REF!,IFERROR('Controllable Asset Registry'!#REF!=C76,FALSE),"No Equipment in entity"))</f>
        <v>#REF!</v>
      </c>
    </row>
    <row r="77" spans="1:7" x14ac:dyDescent="0.3">
      <c r="A77" s="16" t="s">
        <v>3431</v>
      </c>
      <c r="B77" s="17">
        <v>1.0049999999999999</v>
      </c>
      <c r="C77" s="17" t="s">
        <v>3432</v>
      </c>
      <c r="D77" t="e">
        <f t="array" ref="D77">TRANSPOSE(_xlfn._xlws.FILTER('Controllable Asset Registry'!#REF!,IFERROR('Controllable Asset Registry'!#REF!=C77,FALSE),"No Equipment in entity"))</f>
        <v>#REF!</v>
      </c>
    </row>
    <row r="78" spans="1:7" x14ac:dyDescent="0.3">
      <c r="A78" s="16" t="s">
        <v>3318</v>
      </c>
      <c r="B78" s="17">
        <v>1.004</v>
      </c>
      <c r="C78" s="17" t="s">
        <v>3433</v>
      </c>
      <c r="D78" t="e">
        <f t="array" ref="D78">TRANSPOSE(_xlfn._xlws.FILTER('Controllable Asset Registry'!#REF!,IFERROR('Controllable Asset Registry'!#REF!=C78,FALSE),"No Equipment in entity"))</f>
        <v>#REF!</v>
      </c>
    </row>
    <row r="79" spans="1:7" x14ac:dyDescent="0.3">
      <c r="A79" s="16" t="s">
        <v>3434</v>
      </c>
      <c r="B79" s="17" t="s">
        <v>3435</v>
      </c>
      <c r="C79" s="17" t="s">
        <v>1420</v>
      </c>
      <c r="D79" t="e">
        <f t="array" ref="D79">TRANSPOSE(_xlfn._xlws.FILTER('Controllable Asset Registry'!#REF!,IFERROR('Controllable Asset Registry'!#REF!=C79,FALSE),"No Equipment in entity"))</f>
        <v>#REF!</v>
      </c>
    </row>
    <row r="80" spans="1:7" x14ac:dyDescent="0.3">
      <c r="A80" s="16" t="s">
        <v>3436</v>
      </c>
      <c r="B80" s="17">
        <v>1.0109999999999999</v>
      </c>
      <c r="C80" s="17" t="s">
        <v>3437</v>
      </c>
      <c r="D80" t="e">
        <f t="array" ref="D80">TRANSPOSE(_xlfn._xlws.FILTER('Controllable Asset Registry'!#REF!,IFERROR('Controllable Asset Registry'!#REF!=C80,FALSE),"No Equipment in entity"))</f>
        <v>#REF!</v>
      </c>
    </row>
    <row r="81" spans="1:5" x14ac:dyDescent="0.3">
      <c r="A81" s="16" t="s">
        <v>3318</v>
      </c>
      <c r="B81" s="17">
        <v>1.01</v>
      </c>
      <c r="C81" s="17" t="s">
        <v>1404</v>
      </c>
      <c r="D81" t="e">
        <f t="array" ref="D81:E81">TRANSPOSE(_xlfn._xlws.FILTER('Controllable Asset Registry'!#REF!,IFERROR('Controllable Asset Registry'!#REF!=C81,FALSE),"No Equipment in entity"))</f>
        <v>#REF!</v>
      </c>
      <c r="E81" t="e">
        <v>#REF!</v>
      </c>
    </row>
    <row r="82" spans="1:5" x14ac:dyDescent="0.3">
      <c r="A82" s="16" t="s">
        <v>3438</v>
      </c>
      <c r="B82" s="17" t="s">
        <v>3439</v>
      </c>
      <c r="C82" s="17" t="s">
        <v>3440</v>
      </c>
      <c r="D82" t="e">
        <f t="array" ref="D82">TRANSPOSE(_xlfn._xlws.FILTER('Controllable Asset Registry'!#REF!,IFERROR('Controllable Asset Registry'!#REF!=C82,FALSE),"No Equipment in entity"))</f>
        <v>#REF!</v>
      </c>
    </row>
    <row r="83" spans="1:5" x14ac:dyDescent="0.3">
      <c r="A83" s="16" t="s">
        <v>3335</v>
      </c>
      <c r="B83" s="17">
        <v>1.03</v>
      </c>
      <c r="C83" s="17" t="s">
        <v>3441</v>
      </c>
      <c r="D83" t="e">
        <f t="array" ref="D83">TRANSPOSE(_xlfn._xlws.FILTER('Controllable Asset Registry'!#REF!,IFERROR('Controllable Asset Registry'!#REF!=C83,FALSE),"No Equipment in entity"))</f>
        <v>#REF!</v>
      </c>
    </row>
    <row r="84" spans="1:5" x14ac:dyDescent="0.3">
      <c r="A84" s="16" t="s">
        <v>3344</v>
      </c>
      <c r="B84" s="17">
        <v>1.0309999999999999</v>
      </c>
      <c r="C84" s="17" t="s">
        <v>3442</v>
      </c>
      <c r="D84" t="e">
        <f t="array" ref="D84">TRANSPOSE(_xlfn._xlws.FILTER('Controllable Asset Registry'!#REF!,IFERROR('Controllable Asset Registry'!#REF!=C84,FALSE),"No Equipment in entity"))</f>
        <v>#REF!</v>
      </c>
    </row>
    <row r="85" spans="1:5" x14ac:dyDescent="0.3">
      <c r="A85" s="16" t="s">
        <v>3341</v>
      </c>
      <c r="B85" s="17">
        <v>1.032</v>
      </c>
      <c r="C85" s="17" t="s">
        <v>3443</v>
      </c>
      <c r="D85" t="e">
        <f t="array" ref="D85">TRANSPOSE(_xlfn._xlws.FILTER('Controllable Asset Registry'!#REF!,IFERROR('Controllable Asset Registry'!#REF!=C85,FALSE),"No Equipment in entity"))</f>
        <v>#REF!</v>
      </c>
    </row>
    <row r="86" spans="1:5" x14ac:dyDescent="0.3">
      <c r="A86" s="16" t="s">
        <v>3338</v>
      </c>
      <c r="B86" s="17">
        <v>1.0329999999999999</v>
      </c>
      <c r="C86" s="17" t="s">
        <v>3444</v>
      </c>
      <c r="D86" t="e">
        <f t="array" ref="D86">TRANSPOSE(_xlfn._xlws.FILTER('Controllable Asset Registry'!#REF!,IFERROR('Controllable Asset Registry'!#REF!=C86,FALSE),"No Equipment in entity"))</f>
        <v>#REF!</v>
      </c>
    </row>
    <row r="87" spans="1:5" x14ac:dyDescent="0.3">
      <c r="A87" s="16" t="s">
        <v>3318</v>
      </c>
      <c r="B87" s="17">
        <v>1.0349999999999999</v>
      </c>
      <c r="C87" s="17" t="s">
        <v>3445</v>
      </c>
      <c r="D87" t="e">
        <f t="array" ref="D87">TRANSPOSE(_xlfn._xlws.FILTER('Controllable Asset Registry'!#REF!,IFERROR('Controllable Asset Registry'!#REF!=C87,FALSE),"No Equipment in entity"))</f>
        <v>#REF!</v>
      </c>
    </row>
    <row r="88" spans="1:5" x14ac:dyDescent="0.3">
      <c r="A88" s="16" t="s">
        <v>3436</v>
      </c>
      <c r="B88" s="17">
        <v>1.034</v>
      </c>
      <c r="C88" s="17" t="s">
        <v>3446</v>
      </c>
      <c r="D88" t="e">
        <f t="array" ref="D88">TRANSPOSE(_xlfn._xlws.FILTER('Controllable Asset Registry'!#REF!,IFERROR('Controllable Asset Registry'!#REF!=C88,FALSE),"No Equipment in entity"))</f>
        <v>#REF!</v>
      </c>
    </row>
    <row r="89" spans="1:5" x14ac:dyDescent="0.3">
      <c r="A89" s="16" t="s">
        <v>3447</v>
      </c>
      <c r="B89" s="17" t="s">
        <v>3448</v>
      </c>
      <c r="C89" s="17" t="s">
        <v>3449</v>
      </c>
      <c r="D89" t="e">
        <f t="array" ref="D89">TRANSPOSE(_xlfn._xlws.FILTER('Controllable Asset Registry'!#REF!,IFERROR('Controllable Asset Registry'!#REF!=C89,FALSE),"No Equipment in entity"))</f>
        <v>#REF!</v>
      </c>
    </row>
    <row r="90" spans="1:5" x14ac:dyDescent="0.3">
      <c r="A90" s="16" t="s">
        <v>3393</v>
      </c>
      <c r="B90" s="17">
        <v>1.036</v>
      </c>
      <c r="C90" s="17" t="s">
        <v>3450</v>
      </c>
      <c r="D90" t="e">
        <f t="array" ref="D90">TRANSPOSE(_xlfn._xlws.FILTER('Controllable Asset Registry'!#REF!,IFERROR('Controllable Asset Registry'!#REF!=C90,FALSE),"No Equipment in entity"))</f>
        <v>#REF!</v>
      </c>
    </row>
    <row r="91" spans="1:5" x14ac:dyDescent="0.3">
      <c r="A91" s="16" t="s">
        <v>3332</v>
      </c>
      <c r="B91" s="17" t="s">
        <v>3451</v>
      </c>
      <c r="C91" s="17" t="s">
        <v>3452</v>
      </c>
      <c r="D91" t="e">
        <f t="array" ref="D91">TRANSPOSE(_xlfn._xlws.FILTER('Controllable Asset Registry'!#REF!,IFERROR('Controllable Asset Registry'!#REF!=C91,FALSE),"No Equipment in entity"))</f>
        <v>#REF!</v>
      </c>
    </row>
    <row r="92" spans="1:5" x14ac:dyDescent="0.3">
      <c r="A92" s="16" t="s">
        <v>3318</v>
      </c>
      <c r="B92" s="17">
        <v>1.028</v>
      </c>
      <c r="C92" s="17" t="s">
        <v>1403</v>
      </c>
      <c r="D92" t="e">
        <f t="array" ref="D92:E92">TRANSPOSE(_xlfn._xlws.FILTER('Controllable Asset Registry'!#REF!,IFERROR('Controllable Asset Registry'!#REF!=C92,FALSE),"No Equipment in entity"))</f>
        <v>#REF!</v>
      </c>
      <c r="E92" t="e">
        <v>#REF!</v>
      </c>
    </row>
    <row r="93" spans="1:5" x14ac:dyDescent="0.3">
      <c r="A93" s="16" t="s">
        <v>3453</v>
      </c>
      <c r="B93" s="17">
        <v>3.0150000000000001</v>
      </c>
      <c r="C93" s="17" t="s">
        <v>1427</v>
      </c>
      <c r="D93" t="e">
        <f t="array" ref="D93">TRANSPOSE(_xlfn._xlws.FILTER('Controllable Asset Registry'!#REF!,IFERROR('Controllable Asset Registry'!#REF!=C93,FALSE),"No Equipment in entity"))</f>
        <v>#REF!</v>
      </c>
    </row>
    <row r="94" spans="1:5" x14ac:dyDescent="0.3">
      <c r="A94" s="16" t="s">
        <v>3454</v>
      </c>
      <c r="B94" s="17">
        <v>3.0139999999999998</v>
      </c>
      <c r="C94" s="17" t="s">
        <v>1428</v>
      </c>
      <c r="D94" t="e">
        <f t="array" ref="D94">TRANSPOSE(_xlfn._xlws.FILTER('Controllable Asset Registry'!#REF!,IFERROR('Controllable Asset Registry'!#REF!=C94,FALSE),"No Equipment in entity"))</f>
        <v>#REF!</v>
      </c>
    </row>
    <row r="95" spans="1:5" x14ac:dyDescent="0.3">
      <c r="A95" s="16" t="s">
        <v>3453</v>
      </c>
      <c r="B95" s="17">
        <v>3.0129999999999999</v>
      </c>
      <c r="C95" s="17" t="s">
        <v>1429</v>
      </c>
      <c r="D95" t="e">
        <f t="array" ref="D95">TRANSPOSE(_xlfn._xlws.FILTER('Controllable Asset Registry'!#REF!,IFERROR('Controllable Asset Registry'!#REF!=C95,FALSE),"No Equipment in entity"))</f>
        <v>#REF!</v>
      </c>
    </row>
    <row r="96" spans="1:5" x14ac:dyDescent="0.3">
      <c r="A96" s="16" t="s">
        <v>3453</v>
      </c>
      <c r="B96" s="17">
        <v>3.012</v>
      </c>
      <c r="C96" s="17" t="s">
        <v>1430</v>
      </c>
      <c r="D96" t="e">
        <f t="array" ref="D96">TRANSPOSE(_xlfn._xlws.FILTER('Controllable Asset Registry'!#REF!,IFERROR('Controllable Asset Registry'!#REF!=C96,FALSE),"No Equipment in entity"))</f>
        <v>#REF!</v>
      </c>
    </row>
    <row r="97" spans="1:14" x14ac:dyDescent="0.3">
      <c r="A97" s="16" t="s">
        <v>3454</v>
      </c>
      <c r="B97" s="17">
        <v>3.0110000000000001</v>
      </c>
      <c r="C97" s="17" t="s">
        <v>1431</v>
      </c>
      <c r="D97" t="e">
        <f t="array" ref="D97">TRANSPOSE(_xlfn._xlws.FILTER('Controllable Asset Registry'!#REF!,IFERROR('Controllable Asset Registry'!#REF!=C97,FALSE),"No Equipment in entity"))</f>
        <v>#REF!</v>
      </c>
    </row>
    <row r="98" spans="1:14" x14ac:dyDescent="0.3">
      <c r="A98" s="16" t="s">
        <v>3453</v>
      </c>
      <c r="B98" s="17">
        <v>3.01</v>
      </c>
      <c r="C98" s="17" t="s">
        <v>1432</v>
      </c>
      <c r="D98" t="e">
        <f t="array" ref="D98">TRANSPOSE(_xlfn._xlws.FILTER('Controllable Asset Registry'!#REF!,IFERROR('Controllable Asset Registry'!#REF!=C98,FALSE),"No Equipment in entity"))</f>
        <v>#REF!</v>
      </c>
    </row>
    <row r="99" spans="1:14" x14ac:dyDescent="0.3">
      <c r="A99" s="16" t="s">
        <v>3453</v>
      </c>
      <c r="B99" s="17">
        <v>3.0089999999999999</v>
      </c>
      <c r="C99" s="17" t="s">
        <v>1433</v>
      </c>
      <c r="D99" t="e">
        <f t="array" ref="D99">TRANSPOSE(_xlfn._xlws.FILTER('Controllable Asset Registry'!#REF!,IFERROR('Controllable Asset Registry'!#REF!=C99,FALSE),"No Equipment in entity"))</f>
        <v>#REF!</v>
      </c>
    </row>
    <row r="100" spans="1:14" x14ac:dyDescent="0.3">
      <c r="A100" s="16" t="s">
        <v>3454</v>
      </c>
      <c r="B100" s="17">
        <v>3.008</v>
      </c>
      <c r="C100" s="17" t="s">
        <v>1434</v>
      </c>
      <c r="D100" t="e">
        <f t="array" ref="D100">TRANSPOSE(_xlfn._xlws.FILTER('Controllable Asset Registry'!#REF!,IFERROR('Controllable Asset Registry'!#REF!=C100,FALSE),"No Equipment in entity"))</f>
        <v>#REF!</v>
      </c>
    </row>
    <row r="101" spans="1:14" x14ac:dyDescent="0.3">
      <c r="A101" s="16" t="s">
        <v>3455</v>
      </c>
      <c r="B101" s="17">
        <v>3.0070000000000001</v>
      </c>
      <c r="C101" s="17" t="s">
        <v>1435</v>
      </c>
      <c r="D101" t="e">
        <f t="array" ref="D101">TRANSPOSE(_xlfn._xlws.FILTER('Controllable Asset Registry'!#REF!,IFERROR('Controllable Asset Registry'!#REF!=C101,FALSE),"No Equipment in entity"))</f>
        <v>#REF!</v>
      </c>
    </row>
    <row r="102" spans="1:14" x14ac:dyDescent="0.3">
      <c r="A102" s="16" t="s">
        <v>3456</v>
      </c>
      <c r="B102" s="17">
        <v>3.0059999999999998</v>
      </c>
      <c r="C102" s="17" t="s">
        <v>1436</v>
      </c>
      <c r="D102" t="e">
        <f t="array" ref="D102:E102">TRANSPOSE(_xlfn._xlws.FILTER('Controllable Asset Registry'!#REF!,IFERROR('Controllable Asset Registry'!#REF!=C102,FALSE),"No Equipment in entity"))</f>
        <v>#REF!</v>
      </c>
      <c r="E102" t="e">
        <v>#REF!</v>
      </c>
    </row>
    <row r="103" spans="1:14" x14ac:dyDescent="0.3">
      <c r="A103" s="16" t="s">
        <v>3453</v>
      </c>
      <c r="B103" s="17">
        <v>3.0049999999999999</v>
      </c>
      <c r="C103" s="17" t="s">
        <v>1437</v>
      </c>
      <c r="D103" t="e">
        <f t="array" ref="D103">TRANSPOSE(_xlfn._xlws.FILTER('Controllable Asset Registry'!#REF!,IFERROR('Controllable Asset Registry'!#REF!=C103,FALSE),"No Equipment in entity"))</f>
        <v>#REF!</v>
      </c>
    </row>
    <row r="104" spans="1:14" x14ac:dyDescent="0.3">
      <c r="A104" s="16" t="s">
        <v>3454</v>
      </c>
      <c r="B104" s="17">
        <v>3.004</v>
      </c>
      <c r="C104" s="17" t="s">
        <v>1438</v>
      </c>
      <c r="D104" t="e">
        <f t="array" ref="D104">TRANSPOSE(_xlfn._xlws.FILTER('Controllable Asset Registry'!#REF!,IFERROR('Controllable Asset Registry'!#REF!=C104,FALSE),"No Equipment in entity"))</f>
        <v>#REF!</v>
      </c>
    </row>
    <row r="105" spans="1:14" x14ac:dyDescent="0.3">
      <c r="A105" s="16" t="s">
        <v>3453</v>
      </c>
      <c r="B105" s="17">
        <v>3.0030000000000001</v>
      </c>
      <c r="C105" s="17" t="s">
        <v>1439</v>
      </c>
      <c r="D105" t="e">
        <f t="array" ref="D105">TRANSPOSE(_xlfn._xlws.FILTER('Controllable Asset Registry'!#REF!,IFERROR('Controllable Asset Registry'!#REF!=C105,FALSE),"No Equipment in entity"))</f>
        <v>#REF!</v>
      </c>
    </row>
    <row r="106" spans="1:14" x14ac:dyDescent="0.3">
      <c r="A106" s="16" t="s">
        <v>3457</v>
      </c>
      <c r="B106" s="17">
        <v>3.0019999999999998</v>
      </c>
      <c r="C106" s="17" t="s">
        <v>1440</v>
      </c>
      <c r="D106" t="e">
        <f t="array" ref="D106:N106">TRANSPOSE(_xlfn._xlws.FILTER('Controllable Asset Registry'!#REF!,IFERROR('Controllable Asset Registry'!#REF!=C106,FALSE),"No Equipment in entity"))</f>
        <v>#REF!</v>
      </c>
      <c r="E106" t="e">
        <v>#REF!</v>
      </c>
      <c r="F106" t="e">
        <v>#REF!</v>
      </c>
      <c r="G106" t="e">
        <v>#REF!</v>
      </c>
      <c r="H106" t="e">
        <v>#REF!</v>
      </c>
      <c r="I106" t="e">
        <v>#REF!</v>
      </c>
      <c r="J106" t="e">
        <v>#REF!</v>
      </c>
      <c r="K106" t="e">
        <v>#REF!</v>
      </c>
      <c r="L106" t="e">
        <v>#REF!</v>
      </c>
      <c r="M106" t="e">
        <v>#REF!</v>
      </c>
      <c r="N106" t="e">
        <v>#REF!</v>
      </c>
    </row>
    <row r="107" spans="1:14" x14ac:dyDescent="0.3">
      <c r="A107" s="16" t="s">
        <v>3458</v>
      </c>
      <c r="B107" s="17">
        <v>3.0009999999999999</v>
      </c>
      <c r="C107" s="17" t="s">
        <v>1441</v>
      </c>
      <c r="D107" t="e">
        <f t="array" ref="D107">TRANSPOSE(_xlfn._xlws.FILTER('Controllable Asset Registry'!#REF!,IFERROR('Controllable Asset Registry'!#REF!=C107,FALSE),"No Equipment in entity"))</f>
        <v>#REF!</v>
      </c>
    </row>
    <row r="108" spans="1:14" x14ac:dyDescent="0.3">
      <c r="A108" s="16" t="s">
        <v>3453</v>
      </c>
      <c r="B108" s="17">
        <v>3.0169999999999999</v>
      </c>
      <c r="C108" s="17" t="s">
        <v>1454</v>
      </c>
      <c r="D108" t="e">
        <f t="array" ref="D108">TRANSPOSE(_xlfn._xlws.FILTER('Controllable Asset Registry'!#REF!,IFERROR('Controllable Asset Registry'!#REF!=C108,FALSE),"No Equipment in entity"))</f>
        <v>#REF!</v>
      </c>
    </row>
    <row r="109" spans="1:14" x14ac:dyDescent="0.3">
      <c r="A109" s="16" t="s">
        <v>3454</v>
      </c>
      <c r="B109" s="17">
        <v>3.0179999999999998</v>
      </c>
      <c r="C109" s="17" t="s">
        <v>1453</v>
      </c>
      <c r="D109" t="e">
        <f t="array" ref="D109">TRANSPOSE(_xlfn._xlws.FILTER('Controllable Asset Registry'!#REF!,IFERROR('Controllable Asset Registry'!#REF!=C109,FALSE),"No Equipment in entity"))</f>
        <v>#REF!</v>
      </c>
    </row>
    <row r="110" spans="1:14" x14ac:dyDescent="0.3">
      <c r="A110" s="16" t="s">
        <v>3459</v>
      </c>
      <c r="B110" s="17">
        <v>3.0190000000000001</v>
      </c>
      <c r="C110" s="17" t="s">
        <v>1452</v>
      </c>
      <c r="D110" t="e">
        <f t="array" ref="D110">TRANSPOSE(_xlfn._xlws.FILTER('Controllable Asset Registry'!#REF!,IFERROR('Controllable Asset Registry'!#REF!=C110,FALSE),"No Equipment in entity"))</f>
        <v>#REF!</v>
      </c>
    </row>
    <row r="111" spans="1:14" x14ac:dyDescent="0.3">
      <c r="A111" s="16" t="s">
        <v>3453</v>
      </c>
      <c r="B111" s="17">
        <v>3.02</v>
      </c>
      <c r="C111" s="17" t="s">
        <v>1451</v>
      </c>
      <c r="D111" t="e">
        <f t="array" ref="D111">TRANSPOSE(_xlfn._xlws.FILTER('Controllable Asset Registry'!#REF!,IFERROR('Controllable Asset Registry'!#REF!=C111,FALSE),"No Equipment in entity"))</f>
        <v>#REF!</v>
      </c>
    </row>
    <row r="112" spans="1:14" x14ac:dyDescent="0.3">
      <c r="A112" s="16" t="s">
        <v>3454</v>
      </c>
      <c r="B112" s="17">
        <v>3.0209999999999999</v>
      </c>
      <c r="C112" s="17" t="s">
        <v>1450</v>
      </c>
      <c r="D112" t="e">
        <f t="array" ref="D112">TRANSPOSE(_xlfn._xlws.FILTER('Controllable Asset Registry'!#REF!,IFERROR('Controllable Asset Registry'!#REF!=C112,FALSE),"No Equipment in entity"))</f>
        <v>#REF!</v>
      </c>
    </row>
    <row r="113" spans="1:6" x14ac:dyDescent="0.3">
      <c r="A113" s="16" t="s">
        <v>3453</v>
      </c>
      <c r="B113" s="17">
        <v>3.0219999999999998</v>
      </c>
      <c r="C113" s="17" t="s">
        <v>1449</v>
      </c>
      <c r="D113" t="e">
        <f t="array" ref="D113">TRANSPOSE(_xlfn._xlws.FILTER('Controllable Asset Registry'!#REF!,IFERROR('Controllable Asset Registry'!#REF!=C113,FALSE),"No Equipment in entity"))</f>
        <v>#REF!</v>
      </c>
    </row>
    <row r="114" spans="1:6" x14ac:dyDescent="0.3">
      <c r="A114" s="16" t="s">
        <v>3453</v>
      </c>
      <c r="B114" s="17">
        <v>3.0230000000000001</v>
      </c>
      <c r="C114" s="17" t="s">
        <v>1448</v>
      </c>
      <c r="D114" t="e">
        <f t="array" ref="D114">TRANSPOSE(_xlfn._xlws.FILTER('Controllable Asset Registry'!#REF!,IFERROR('Controllable Asset Registry'!#REF!=C114,FALSE),"No Equipment in entity"))</f>
        <v>#REF!</v>
      </c>
    </row>
    <row r="115" spans="1:6" x14ac:dyDescent="0.3">
      <c r="A115" s="16" t="s">
        <v>3454</v>
      </c>
      <c r="B115" s="17">
        <v>3.024</v>
      </c>
      <c r="C115" s="17" t="s">
        <v>1447</v>
      </c>
      <c r="D115" t="e">
        <f t="array" ref="D115">TRANSPOSE(_xlfn._xlws.FILTER('Controllable Asset Registry'!#REF!,IFERROR('Controllable Asset Registry'!#REF!=C115,FALSE),"No Equipment in entity"))</f>
        <v>#REF!</v>
      </c>
    </row>
    <row r="116" spans="1:6" x14ac:dyDescent="0.3">
      <c r="A116" s="16" t="s">
        <v>3460</v>
      </c>
      <c r="B116" s="17">
        <v>3.0249999999999999</v>
      </c>
      <c r="C116" s="17" t="s">
        <v>1446</v>
      </c>
      <c r="D116" t="e">
        <f t="array" ref="D116">TRANSPOSE(_xlfn._xlws.FILTER('Controllable Asset Registry'!#REF!,IFERROR('Controllable Asset Registry'!#REF!=C116,FALSE),"No Equipment in entity"))</f>
        <v>#REF!</v>
      </c>
    </row>
    <row r="117" spans="1:6" x14ac:dyDescent="0.3">
      <c r="A117" s="16" t="s">
        <v>3456</v>
      </c>
      <c r="B117" s="17">
        <v>3.0259999999999998</v>
      </c>
      <c r="C117" s="17" t="s">
        <v>1445</v>
      </c>
      <c r="D117" t="e">
        <f t="array" ref="D117:F117">TRANSPOSE(_xlfn._xlws.FILTER('Controllable Asset Registry'!#REF!,IFERROR('Controllable Asset Registry'!#REF!=C117,FALSE),"No Equipment in entity"))</f>
        <v>#REF!</v>
      </c>
      <c r="E117" t="e">
        <v>#REF!</v>
      </c>
      <c r="F117" t="e">
        <v>#REF!</v>
      </c>
    </row>
    <row r="118" spans="1:6" x14ac:dyDescent="0.3">
      <c r="A118" s="16" t="s">
        <v>3453</v>
      </c>
      <c r="B118" s="17">
        <v>3.0270000000000001</v>
      </c>
      <c r="C118" s="17" t="s">
        <v>1444</v>
      </c>
      <c r="D118" t="e">
        <f t="array" ref="D118">TRANSPOSE(_xlfn._xlws.FILTER('Controllable Asset Registry'!#REF!,IFERROR('Controllable Asset Registry'!#REF!=C118,FALSE),"No Equipment in entity"))</f>
        <v>#REF!</v>
      </c>
    </row>
    <row r="119" spans="1:6" x14ac:dyDescent="0.3">
      <c r="A119" s="16" t="s">
        <v>3454</v>
      </c>
      <c r="B119" s="17">
        <v>3.028</v>
      </c>
      <c r="C119" s="17" t="s">
        <v>1443</v>
      </c>
      <c r="D119" t="e">
        <f t="array" ref="D119">TRANSPOSE(_xlfn._xlws.FILTER('Controllable Asset Registry'!#REF!,IFERROR('Controllable Asset Registry'!#REF!=C119,FALSE),"No Equipment in entity"))</f>
        <v>#REF!</v>
      </c>
    </row>
    <row r="120" spans="1:6" x14ac:dyDescent="0.3">
      <c r="A120" s="16" t="s">
        <v>3453</v>
      </c>
      <c r="B120" s="17">
        <v>3.0289999999999999</v>
      </c>
      <c r="C120" s="17" t="s">
        <v>1442</v>
      </c>
      <c r="D120" t="e">
        <f t="array" ref="D120">TRANSPOSE(_xlfn._xlws.FILTER('Controllable Asset Registry'!#REF!,IFERROR('Controllable Asset Registry'!#REF!=C120,FALSE),"No Equipment in entity"))</f>
        <v>#REF!</v>
      </c>
    </row>
    <row r="121" spans="1:6" x14ac:dyDescent="0.3">
      <c r="A121" s="16" t="s">
        <v>3461</v>
      </c>
      <c r="B121" s="17">
        <v>3.03</v>
      </c>
      <c r="C121" s="17" t="s">
        <v>3462</v>
      </c>
      <c r="D121" t="e">
        <f t="array" ref="D121">TRANSPOSE(_xlfn._xlws.FILTER('Controllable Asset Registry'!#REF!,IFERROR('Controllable Asset Registry'!#REF!=C121,FALSE),"No Equipment in entity"))</f>
        <v>#REF!</v>
      </c>
    </row>
    <row r="122" spans="1:6" x14ac:dyDescent="0.3">
      <c r="A122" s="16" t="s">
        <v>3463</v>
      </c>
      <c r="B122" s="17">
        <v>3.0310000000000001</v>
      </c>
      <c r="C122" s="17" t="s">
        <v>3464</v>
      </c>
      <c r="D122" t="e">
        <f t="array" ref="D122">TRANSPOSE(_xlfn._xlws.FILTER('Controllable Asset Registry'!#REF!,IFERROR('Controllable Asset Registry'!#REF!=C122,FALSE),"No Equipment in entity"))</f>
        <v>#REF!</v>
      </c>
    </row>
    <row r="123" spans="1:6" x14ac:dyDescent="0.3">
      <c r="A123" s="16" t="s">
        <v>3465</v>
      </c>
      <c r="B123" s="17">
        <v>3.032</v>
      </c>
      <c r="C123" s="17" t="s">
        <v>3466</v>
      </c>
      <c r="D123" t="e">
        <f t="array" ref="D123">TRANSPOSE(_xlfn._xlws.FILTER('Controllable Asset Registry'!#REF!,IFERROR('Controllable Asset Registry'!#REF!=C123,FALSE),"No Equipment in entity"))</f>
        <v>#REF!</v>
      </c>
    </row>
    <row r="124" spans="1:6" x14ac:dyDescent="0.3">
      <c r="A124" s="16" t="s">
        <v>3467</v>
      </c>
      <c r="B124" s="17">
        <v>3.0329999999999999</v>
      </c>
      <c r="C124" s="17" t="s">
        <v>1405</v>
      </c>
      <c r="D124" t="e">
        <f t="array" ref="D124">TRANSPOSE(_xlfn._xlws.FILTER('Controllable Asset Registry'!#REF!,IFERROR('Controllable Asset Registry'!#REF!=C124,FALSE),"No Equipment in entity"))</f>
        <v>#REF!</v>
      </c>
    </row>
    <row r="125" spans="1:6" x14ac:dyDescent="0.3">
      <c r="A125" s="16" t="s">
        <v>3332</v>
      </c>
      <c r="B125" s="17" t="s">
        <v>3468</v>
      </c>
      <c r="C125" s="17" t="s">
        <v>3469</v>
      </c>
      <c r="D125" t="e">
        <f t="array" ref="D125">TRANSPOSE(_xlfn._xlws.FILTER('Controllable Asset Registry'!#REF!,IFERROR('Controllable Asset Registry'!#REF!=C125,FALSE),"No Equipment in entity"))</f>
        <v>#REF!</v>
      </c>
    </row>
    <row r="126" spans="1:6" x14ac:dyDescent="0.3">
      <c r="A126" s="16" t="s">
        <v>3335</v>
      </c>
      <c r="B126" s="17">
        <v>3.0459999999999998</v>
      </c>
      <c r="C126" s="17" t="s">
        <v>3470</v>
      </c>
      <c r="D126" t="e">
        <f t="array" ref="D126">TRANSPOSE(_xlfn._xlws.FILTER('Controllable Asset Registry'!#REF!,IFERROR('Controllable Asset Registry'!#REF!=C126,FALSE),"No Equipment in entity"))</f>
        <v>#REF!</v>
      </c>
    </row>
    <row r="127" spans="1:6" x14ac:dyDescent="0.3">
      <c r="A127" s="16" t="s">
        <v>3471</v>
      </c>
      <c r="B127" s="17">
        <v>3.0449999999999999</v>
      </c>
      <c r="C127" s="17" t="s">
        <v>3472</v>
      </c>
      <c r="D127" t="e">
        <f t="array" ref="D127">TRANSPOSE(_xlfn._xlws.FILTER('Controllable Asset Registry'!#REF!,IFERROR('Controllable Asset Registry'!#REF!=C127,FALSE),"No Equipment in entity"))</f>
        <v>#REF!</v>
      </c>
    </row>
    <row r="128" spans="1:6" x14ac:dyDescent="0.3">
      <c r="A128" s="16" t="s">
        <v>3473</v>
      </c>
      <c r="B128" s="17">
        <v>3.0470000000000002</v>
      </c>
      <c r="C128" s="17" t="s">
        <v>3474</v>
      </c>
      <c r="D128" t="e">
        <f t="array" ref="D128">TRANSPOSE(_xlfn._xlws.FILTER('Controllable Asset Registry'!#REF!,IFERROR('Controllable Asset Registry'!#REF!=C128,FALSE),"No Equipment in entity"))</f>
        <v>#REF!</v>
      </c>
    </row>
    <row r="129" spans="1:7" x14ac:dyDescent="0.3">
      <c r="A129" s="16" t="s">
        <v>3475</v>
      </c>
      <c r="B129" s="17">
        <v>3.016</v>
      </c>
      <c r="C129" s="17" t="s">
        <v>1455</v>
      </c>
      <c r="D129" t="e">
        <f t="array" ref="D129:E129">TRANSPOSE(_xlfn._xlws.FILTER('Controllable Asset Registry'!#REF!,IFERROR('Controllable Asset Registry'!#REF!=C129,FALSE),"No Equipment in entity"))</f>
        <v>#REF!</v>
      </c>
      <c r="E129" t="e">
        <v>#REF!</v>
      </c>
    </row>
    <row r="130" spans="1:7" x14ac:dyDescent="0.3">
      <c r="A130" s="16" t="s">
        <v>3476</v>
      </c>
      <c r="B130" s="17">
        <v>3.0379999999999998</v>
      </c>
      <c r="C130" s="17" t="s">
        <v>3477</v>
      </c>
      <c r="D130" t="e">
        <f t="array" ref="D130">TRANSPOSE(_xlfn._xlws.FILTER('Controllable Asset Registry'!#REF!,IFERROR('Controllable Asset Registry'!#REF!=C130,FALSE),"No Equipment in entity"))</f>
        <v>#REF!</v>
      </c>
    </row>
    <row r="131" spans="1:7" x14ac:dyDescent="0.3">
      <c r="A131" s="16" t="s">
        <v>3478</v>
      </c>
      <c r="B131" s="17">
        <v>3.0489999999999999</v>
      </c>
      <c r="C131" s="17" t="s">
        <v>1456</v>
      </c>
      <c r="D131" t="e">
        <f t="array" ref="D131">TRANSPOSE(_xlfn._xlws.FILTER('Controllable Asset Registry'!#REF!,IFERROR('Controllable Asset Registry'!#REF!=C131,FALSE),"No Equipment in entity"))</f>
        <v>#REF!</v>
      </c>
    </row>
    <row r="132" spans="1:7" x14ac:dyDescent="0.3">
      <c r="A132" s="16" t="s">
        <v>3403</v>
      </c>
      <c r="B132" s="17">
        <v>3.0390000000000001</v>
      </c>
      <c r="C132" s="17" t="s">
        <v>3479</v>
      </c>
      <c r="D132" t="e">
        <f t="array" ref="D132">TRANSPOSE(_xlfn._xlws.FILTER('Controllable Asset Registry'!#REF!,IFERROR('Controllable Asset Registry'!#REF!=C132,FALSE),"No Equipment in entity"))</f>
        <v>#REF!</v>
      </c>
    </row>
    <row r="133" spans="1:7" x14ac:dyDescent="0.3">
      <c r="A133" s="16" t="s">
        <v>3413</v>
      </c>
      <c r="B133" s="17">
        <v>3.0369999999999999</v>
      </c>
      <c r="C133" s="17" t="s">
        <v>3480</v>
      </c>
      <c r="D133" t="e">
        <f t="array" ref="D133">TRANSPOSE(_xlfn._xlws.FILTER('Controllable Asset Registry'!#REF!,IFERROR('Controllable Asset Registry'!#REF!=C133,FALSE),"No Equipment in entity"))</f>
        <v>#REF!</v>
      </c>
    </row>
    <row r="134" spans="1:7" x14ac:dyDescent="0.3">
      <c r="A134" s="16" t="s">
        <v>3431</v>
      </c>
      <c r="B134" s="17">
        <v>3.036</v>
      </c>
      <c r="C134" s="17" t="s">
        <v>3481</v>
      </c>
      <c r="D134" t="e">
        <f t="array" ref="D134">TRANSPOSE(_xlfn._xlws.FILTER('Controllable Asset Registry'!#REF!,IFERROR('Controllable Asset Registry'!#REF!=C134,FALSE),"No Equipment in entity"))</f>
        <v>#REF!</v>
      </c>
    </row>
    <row r="135" spans="1:7" x14ac:dyDescent="0.3">
      <c r="A135" s="16" t="s">
        <v>3291</v>
      </c>
      <c r="B135" s="17" t="s">
        <v>3482</v>
      </c>
      <c r="C135" s="17" t="s">
        <v>3483</v>
      </c>
      <c r="D135" t="e">
        <f t="array" ref="D135">TRANSPOSE(_xlfn._xlws.FILTER('Controllable Asset Registry'!#REF!,IFERROR('Controllable Asset Registry'!#REF!=C135,FALSE),"No Equipment in entity"))</f>
        <v>#REF!</v>
      </c>
    </row>
    <row r="136" spans="1:7" x14ac:dyDescent="0.3">
      <c r="A136" s="16" t="s">
        <v>3296</v>
      </c>
      <c r="B136" s="17" t="s">
        <v>3484</v>
      </c>
      <c r="C136" s="17" t="s">
        <v>3485</v>
      </c>
      <c r="D136" t="e">
        <f t="array" ref="D136">TRANSPOSE(_xlfn._xlws.FILTER('Controllable Asset Registry'!#REF!,IFERROR('Controllable Asset Registry'!#REF!=C136,FALSE),"No Equipment in entity"))</f>
        <v>#REF!</v>
      </c>
    </row>
    <row r="137" spans="1:7" x14ac:dyDescent="0.3">
      <c r="A137" s="16" t="s">
        <v>3296</v>
      </c>
      <c r="B137" s="17" t="s">
        <v>3486</v>
      </c>
      <c r="C137" s="17" t="s">
        <v>3487</v>
      </c>
      <c r="D137" t="e">
        <f t="array" ref="D137">TRANSPOSE(_xlfn._xlws.FILTER('Controllable Asset Registry'!#REF!,IFERROR('Controllable Asset Registry'!#REF!=C137,FALSE),"No Equipment in entity"))</f>
        <v>#REF!</v>
      </c>
    </row>
    <row r="138" spans="1:7" x14ac:dyDescent="0.3">
      <c r="A138" s="16" t="s">
        <v>3318</v>
      </c>
      <c r="B138" s="17">
        <v>3.04</v>
      </c>
      <c r="C138" s="17" t="s">
        <v>3488</v>
      </c>
      <c r="D138" t="e">
        <f t="array" ref="D138">TRANSPOSE(_xlfn._xlws.FILTER('Controllable Asset Registry'!#REF!,IFERROR('Controllable Asset Registry'!#REF!=C138,FALSE),"No Equipment in entity"))</f>
        <v>#REF!</v>
      </c>
    </row>
    <row r="139" spans="1:7" x14ac:dyDescent="0.3">
      <c r="A139" s="16" t="s">
        <v>3318</v>
      </c>
      <c r="B139" s="17">
        <v>3.0409999999999999</v>
      </c>
      <c r="C139" s="17" t="s">
        <v>1458</v>
      </c>
      <c r="D139" t="e">
        <f t="array" ref="D139">TRANSPOSE(_xlfn._xlws.FILTER('Controllable Asset Registry'!#REF!,IFERROR('Controllable Asset Registry'!#REF!=C139,FALSE),"No Equipment in entity"))</f>
        <v>#REF!</v>
      </c>
    </row>
    <row r="140" spans="1:7" x14ac:dyDescent="0.3">
      <c r="A140" s="16" t="s">
        <v>3318</v>
      </c>
      <c r="B140" s="17">
        <v>3.0339999999999998</v>
      </c>
      <c r="C140" s="17" t="s">
        <v>1460</v>
      </c>
      <c r="D140" t="e">
        <f t="array" ref="D140:G140">TRANSPOSE(_xlfn._xlws.FILTER('Controllable Asset Registry'!#REF!,IFERROR('Controllable Asset Registry'!#REF!=C140,FALSE),"No Equipment in entity"))</f>
        <v>#REF!</v>
      </c>
      <c r="E140" t="e">
        <v>#REF!</v>
      </c>
      <c r="F140" t="e">
        <v>#REF!</v>
      </c>
      <c r="G140" t="e">
        <v>#REF!</v>
      </c>
    </row>
    <row r="141" spans="1:7" x14ac:dyDescent="0.3">
      <c r="A141" s="16" t="s">
        <v>3318</v>
      </c>
      <c r="B141" s="17">
        <v>3.0419999999999998</v>
      </c>
      <c r="C141" s="17" t="s">
        <v>1457</v>
      </c>
      <c r="D141" t="e">
        <f t="array" ref="D141:E141">TRANSPOSE(_xlfn._xlws.FILTER('Controllable Asset Registry'!#REF!,IFERROR('Controllable Asset Registry'!#REF!=C141,FALSE),"No Equipment in entity"))</f>
        <v>#REF!</v>
      </c>
      <c r="E141" t="e">
        <v>#REF!</v>
      </c>
    </row>
    <row r="142" spans="1:7" x14ac:dyDescent="0.3">
      <c r="A142" s="16" t="s">
        <v>3489</v>
      </c>
      <c r="B142" s="17">
        <v>3.0350000000000001</v>
      </c>
      <c r="C142" s="17" t="s">
        <v>3490</v>
      </c>
      <c r="D142" t="e">
        <f t="array" ref="D142">TRANSPOSE(_xlfn._xlws.FILTER('Controllable Asset Registry'!#REF!,IFERROR('Controllable Asset Registry'!#REF!=C142,FALSE),"No Equipment in entity"))</f>
        <v>#REF!</v>
      </c>
    </row>
    <row r="143" spans="1:7" x14ac:dyDescent="0.3">
      <c r="A143" s="16" t="s">
        <v>3318</v>
      </c>
      <c r="B143" s="17">
        <v>3.044</v>
      </c>
      <c r="C143" s="17" t="s">
        <v>1459</v>
      </c>
      <c r="D143" t="e">
        <f t="array" ref="D143">TRANSPOSE(_xlfn._xlws.FILTER('Controllable Asset Registry'!#REF!,IFERROR('Controllable Asset Registry'!#REF!=C143,FALSE),"No Equipment in entity"))</f>
        <v>#REF!</v>
      </c>
    </row>
    <row r="144" spans="1:7" x14ac:dyDescent="0.3">
      <c r="A144" s="16" t="s">
        <v>3491</v>
      </c>
      <c r="B144" s="17">
        <v>3.0430000000000001</v>
      </c>
      <c r="C144" s="17" t="s">
        <v>3492</v>
      </c>
      <c r="D144" t="e">
        <f t="array" ref="D144">TRANSPOSE(_xlfn._xlws.FILTER('Controllable Asset Registry'!#REF!,IFERROR('Controllable Asset Registry'!#REF!=C144,FALSE),"No Equipment in entity"))</f>
        <v>#REF!</v>
      </c>
    </row>
    <row r="145" spans="1:7" x14ac:dyDescent="0.3">
      <c r="A145" s="16" t="s">
        <v>3473</v>
      </c>
      <c r="B145" s="17">
        <v>3.048</v>
      </c>
      <c r="C145" s="17" t="s">
        <v>3493</v>
      </c>
      <c r="D145" t="e">
        <f t="array" ref="D145">TRANSPOSE(_xlfn._xlws.FILTER('Controllable Asset Registry'!#REF!,IFERROR('Controllable Asset Registry'!#REF!=C145,FALSE),"No Equipment in entity"))</f>
        <v>#REF!</v>
      </c>
    </row>
    <row r="146" spans="1:7" x14ac:dyDescent="0.3">
      <c r="A146" s="16" t="s">
        <v>3494</v>
      </c>
      <c r="B146" s="17" t="s">
        <v>3495</v>
      </c>
      <c r="C146" s="17" t="s">
        <v>3496</v>
      </c>
      <c r="D146" t="e">
        <f t="array" ref="D146">TRANSPOSE(_xlfn._xlws.FILTER('Controllable Asset Registry'!#REF!,IFERROR('Controllable Asset Registry'!#REF!=C146,FALSE),"No Equipment in entity"))</f>
        <v>#REF!</v>
      </c>
    </row>
    <row r="147" spans="1:7" x14ac:dyDescent="0.3">
      <c r="A147" s="16" t="s">
        <v>3497</v>
      </c>
      <c r="B147" s="17">
        <v>2.0049999999999999</v>
      </c>
      <c r="C147" s="17" t="s">
        <v>1422</v>
      </c>
      <c r="D147" t="e">
        <f t="array" ref="D147:F147">TRANSPOSE(_xlfn._xlws.FILTER('Controllable Asset Registry'!#REF!,IFERROR('Controllable Asset Registry'!#REF!=C147,FALSE),"No Equipment in entity"))</f>
        <v>#REF!</v>
      </c>
      <c r="E147" t="e">
        <v>#REF!</v>
      </c>
      <c r="F147" t="e">
        <v>#REF!</v>
      </c>
    </row>
    <row r="148" spans="1:7" x14ac:dyDescent="0.3">
      <c r="A148" s="16" t="s">
        <v>3498</v>
      </c>
      <c r="B148" s="17">
        <v>2.0059999999999998</v>
      </c>
      <c r="C148" s="17" t="s">
        <v>1421</v>
      </c>
      <c r="D148" t="e">
        <f t="array" ref="D148:E148">TRANSPOSE(_xlfn._xlws.FILTER('Controllable Asset Registry'!#REF!,IFERROR('Controllable Asset Registry'!#REF!=C148,FALSE),"No Equipment in entity"))</f>
        <v>#REF!</v>
      </c>
      <c r="E148" t="e">
        <v>#REF!</v>
      </c>
    </row>
    <row r="149" spans="1:7" x14ac:dyDescent="0.3">
      <c r="A149" s="16" t="s">
        <v>3296</v>
      </c>
      <c r="B149" s="17" t="s">
        <v>3499</v>
      </c>
      <c r="C149" s="17" t="s">
        <v>3500</v>
      </c>
      <c r="D149" t="e">
        <f t="array" ref="D149">TRANSPOSE(_xlfn._xlws.FILTER('Controllable Asset Registry'!#REF!,IFERROR('Controllable Asset Registry'!#REF!=C149,FALSE),"No Equipment in entity"))</f>
        <v>#REF!</v>
      </c>
    </row>
    <row r="150" spans="1:7" x14ac:dyDescent="0.3">
      <c r="A150" s="16" t="s">
        <v>3296</v>
      </c>
      <c r="B150" s="17" t="s">
        <v>3501</v>
      </c>
      <c r="C150" s="17" t="s">
        <v>3502</v>
      </c>
      <c r="D150" t="e">
        <f t="array" ref="D150">TRANSPOSE(_xlfn._xlws.FILTER('Controllable Asset Registry'!#REF!,IFERROR('Controllable Asset Registry'!#REF!=C150,FALSE),"No Equipment in entity"))</f>
        <v>#REF!</v>
      </c>
    </row>
    <row r="151" spans="1:7" x14ac:dyDescent="0.3">
      <c r="A151" s="16" t="s">
        <v>3503</v>
      </c>
      <c r="B151" s="17">
        <v>2.0070000000000001</v>
      </c>
      <c r="C151" s="17" t="s">
        <v>3504</v>
      </c>
      <c r="D151" t="e">
        <f t="array" ref="D151">TRANSPOSE(_xlfn._xlws.FILTER('Controllable Asset Registry'!#REF!,IFERROR('Controllable Asset Registry'!#REF!=C151,FALSE),"No Equipment in entity"))</f>
        <v>#REF!</v>
      </c>
    </row>
    <row r="152" spans="1:7" x14ac:dyDescent="0.3">
      <c r="A152" s="16" t="s">
        <v>3344</v>
      </c>
      <c r="B152" s="17">
        <v>2.008</v>
      </c>
      <c r="C152" s="17" t="s">
        <v>3505</v>
      </c>
      <c r="D152" t="e">
        <f t="array" ref="D152">TRANSPOSE(_xlfn._xlws.FILTER('Controllable Asset Registry'!#REF!,IFERROR('Controllable Asset Registry'!#REF!=C152,FALSE),"No Equipment in entity"))</f>
        <v>#REF!</v>
      </c>
    </row>
    <row r="153" spans="1:7" x14ac:dyDescent="0.3">
      <c r="A153" s="16" t="s">
        <v>3341</v>
      </c>
      <c r="B153" s="17">
        <v>2.0099999999999998</v>
      </c>
      <c r="C153" s="17" t="s">
        <v>3506</v>
      </c>
      <c r="D153" t="e">
        <f t="array" ref="D153">TRANSPOSE(_xlfn._xlws.FILTER('Controllable Asset Registry'!#REF!,IFERROR('Controllable Asset Registry'!#REF!=C153,FALSE),"No Equipment in entity"))</f>
        <v>#REF!</v>
      </c>
    </row>
    <row r="154" spans="1:7" x14ac:dyDescent="0.3">
      <c r="A154" s="16" t="s">
        <v>3332</v>
      </c>
      <c r="B154" s="17" t="s">
        <v>3507</v>
      </c>
      <c r="C154" s="17" t="s">
        <v>3508</v>
      </c>
      <c r="D154" t="e">
        <f t="array" ref="D154">TRANSPOSE(_xlfn._xlws.FILTER('Controllable Asset Registry'!#REF!,IFERROR('Controllable Asset Registry'!#REF!=C154,FALSE),"No Equipment in entity"))</f>
        <v>#REF!</v>
      </c>
    </row>
    <row r="155" spans="1:7" x14ac:dyDescent="0.3">
      <c r="A155" s="16" t="s">
        <v>3509</v>
      </c>
      <c r="B155" s="17">
        <v>2.0019999999999998</v>
      </c>
      <c r="C155" s="17" t="s">
        <v>1425</v>
      </c>
      <c r="D155" t="e">
        <f t="array" ref="D155:G155">TRANSPOSE(_xlfn._xlws.FILTER('Controllable Asset Registry'!#REF!,IFERROR('Controllable Asset Registry'!#REF!=C155,FALSE),"No Equipment in entity"))</f>
        <v>#REF!</v>
      </c>
      <c r="E155" t="e">
        <v>#REF!</v>
      </c>
      <c r="F155" t="e">
        <v>#REF!</v>
      </c>
      <c r="G155" t="e">
        <v>#REF!</v>
      </c>
    </row>
    <row r="156" spans="1:7" x14ac:dyDescent="0.3">
      <c r="A156" s="16" t="s">
        <v>3510</v>
      </c>
      <c r="B156" s="17">
        <v>2.0009999999999999</v>
      </c>
      <c r="C156" s="17" t="s">
        <v>1424</v>
      </c>
      <c r="D156" t="e">
        <f t="array" ref="D156:E156">TRANSPOSE(_xlfn._xlws.FILTER('Controllable Asset Registry'!#REF!,IFERROR('Controllable Asset Registry'!#REF!=C156,FALSE),"No Equipment in entity"))</f>
        <v>#REF!</v>
      </c>
      <c r="E156" t="e">
        <v>#REF!</v>
      </c>
    </row>
    <row r="157" spans="1:7" x14ac:dyDescent="0.3">
      <c r="A157" s="16" t="s">
        <v>3318</v>
      </c>
      <c r="B157" s="17">
        <v>2.004</v>
      </c>
      <c r="C157" s="17" t="s">
        <v>1423</v>
      </c>
      <c r="D157" t="e">
        <f t="array" ref="D157">TRANSPOSE(_xlfn._xlws.FILTER('Controllable Asset Registry'!#REF!,IFERROR('Controllable Asset Registry'!#REF!=C157,FALSE),"No Equipment in entity"))</f>
        <v>#REF!</v>
      </c>
    </row>
    <row r="158" spans="1:7" x14ac:dyDescent="0.3">
      <c r="A158" s="16" t="s">
        <v>3318</v>
      </c>
      <c r="B158" s="17">
        <v>2.0030000000000001</v>
      </c>
      <c r="C158" s="17" t="s">
        <v>1426</v>
      </c>
      <c r="D158" t="e">
        <f t="array" ref="D158">TRANSPOSE(_xlfn._xlws.FILTER('Controllable Asset Registry'!#REF!,IFERROR('Controllable Asset Registry'!#REF!=C158,FALSE),"No Equipment in entity"))</f>
        <v>#REF!</v>
      </c>
    </row>
    <row r="159" spans="1:7" x14ac:dyDescent="0.3">
      <c r="A159" s="16" t="s">
        <v>3291</v>
      </c>
      <c r="B159" s="17" t="s">
        <v>3511</v>
      </c>
      <c r="C159" s="17" t="s">
        <v>3512</v>
      </c>
      <c r="D159" t="e">
        <f t="array" ref="D159">TRANSPOSE(_xlfn._xlws.FILTER('Controllable Asset Registry'!#REF!,IFERROR('Controllable Asset Registry'!#REF!=C159,FALSE),"No Equipment in entity"))</f>
        <v>#REF!</v>
      </c>
    </row>
    <row r="160" spans="1:7" x14ac:dyDescent="0.3">
      <c r="A160" s="16" t="s">
        <v>3399</v>
      </c>
      <c r="B160" s="17" t="s">
        <v>3513</v>
      </c>
      <c r="C160" s="17" t="s">
        <v>3514</v>
      </c>
      <c r="D160" t="e">
        <f t="array" ref="D160">TRANSPOSE(_xlfn._xlws.FILTER('Controllable Asset Registry'!#REF!,IFERROR('Controllable Asset Registry'!#REF!=C160,FALSE),"No Equipment in entity"))</f>
        <v>#REF!</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3A863-148F-4FA2-B036-F07D9D75B34C}">
  <dimension ref="A1:O1041"/>
  <sheetViews>
    <sheetView topLeftCell="A18" zoomScale="70" zoomScaleNormal="70" workbookViewId="0">
      <selection activeCell="A61" sqref="A61"/>
    </sheetView>
  </sheetViews>
  <sheetFormatPr defaultRowHeight="14.4" x14ac:dyDescent="0.3"/>
  <cols>
    <col min="1" max="1" width="57.44140625" bestFit="1" customWidth="1"/>
    <col min="3" max="3" width="41.6640625" bestFit="1" customWidth="1"/>
    <col min="4" max="4" width="19.77734375" bestFit="1" customWidth="1"/>
    <col min="5" max="6" width="11.6640625" bestFit="1" customWidth="1"/>
    <col min="14" max="14" width="26.88671875" bestFit="1" customWidth="1"/>
    <col min="15" max="15" width="21.109375" bestFit="1" customWidth="1"/>
    <col min="16" max="23" width="12.33203125" bestFit="1" customWidth="1"/>
    <col min="24" max="24" width="2.21875" bestFit="1" customWidth="1"/>
    <col min="25" max="25" width="26.88671875" bestFit="1" customWidth="1"/>
  </cols>
  <sheetData>
    <row r="1" spans="1:15" ht="15.6" x14ac:dyDescent="0.3">
      <c r="A1" t="s">
        <v>4101</v>
      </c>
      <c r="B1" t="s">
        <v>4102</v>
      </c>
      <c r="C1" t="s">
        <v>4103</v>
      </c>
      <c r="N1" s="23" t="s">
        <v>4948</v>
      </c>
    </row>
    <row r="2" spans="1:15" x14ac:dyDescent="0.3">
      <c r="A2" t="s">
        <v>4104</v>
      </c>
      <c r="B2" t="s">
        <v>4105</v>
      </c>
      <c r="C2" t="s">
        <v>4106</v>
      </c>
      <c r="D2" t="e" cm="1">
        <f t="array" ref="D2">TRANSPOSE(_xlfn._xlws.FILTER('Controllable Asset Registry'!#REF!,IFERROR('Controllable Asset Registry'!#REF!=A2,FALSE),"No Equipment in entity"))</f>
        <v>#REF!</v>
      </c>
      <c r="N2" t="s">
        <v>4949</v>
      </c>
      <c r="O2">
        <f>COUNTA(A2:A1042)</f>
        <v>1040</v>
      </c>
    </row>
    <row r="3" spans="1:15" x14ac:dyDescent="0.3">
      <c r="A3" t="s">
        <v>3523</v>
      </c>
      <c r="B3" t="s">
        <v>3379</v>
      </c>
      <c r="C3" t="s">
        <v>4107</v>
      </c>
      <c r="D3" t="e" cm="1">
        <f t="array" ref="D3">TRANSPOSE(_xlfn._xlws.FILTER('Controllable Asset Registry'!#REF!,IFERROR('Controllable Asset Registry'!#REF!=A3,FALSE),"No Equipment in entity"))</f>
        <v>#REF!</v>
      </c>
      <c r="N3" t="s">
        <v>4950</v>
      </c>
      <c r="O3">
        <f>COUNTA(D2:L1042)-COUNTIF(D2:L1042,"No Equipment in entity")</f>
        <v>1040</v>
      </c>
    </row>
    <row r="4" spans="1:15" x14ac:dyDescent="0.3">
      <c r="A4" t="s">
        <v>4108</v>
      </c>
      <c r="B4" t="s">
        <v>3382</v>
      </c>
      <c r="C4" t="s">
        <v>4109</v>
      </c>
      <c r="D4" t="e" cm="1">
        <f t="array" ref="D4">TRANSPOSE(_xlfn._xlws.FILTER('Controllable Asset Registry'!#REF!,IFERROR('Controllable Asset Registry'!#REF!=A4,FALSE),"No Equipment in entity"))</f>
        <v>#REF!</v>
      </c>
      <c r="N4" t="s">
        <v>4951</v>
      </c>
      <c r="O4">
        <f>COUNTIF(D2:L1042,"No Equipment in entity")</f>
        <v>0</v>
      </c>
    </row>
    <row r="5" spans="1:15" x14ac:dyDescent="0.3">
      <c r="A5" t="s">
        <v>3529</v>
      </c>
      <c r="B5" t="s">
        <v>3385</v>
      </c>
      <c r="C5" t="s">
        <v>4110</v>
      </c>
      <c r="D5" t="e" cm="1">
        <f t="array" ref="D5">TRANSPOSE(_xlfn._xlws.FILTER('Controllable Asset Registry'!#REF!,IFERROR('Controllable Asset Registry'!#REF!=A5,FALSE),"No Equipment in entity"))</f>
        <v>#REF!</v>
      </c>
      <c r="N5" t="s">
        <v>4952</v>
      </c>
      <c r="O5">
        <f>COUNTA('Controllable Asset Registry'!#REF!)</f>
        <v>1</v>
      </c>
    </row>
    <row r="6" spans="1:15" x14ac:dyDescent="0.3">
      <c r="A6" t="s">
        <v>4111</v>
      </c>
      <c r="B6" t="s">
        <v>3351</v>
      </c>
      <c r="C6" t="s">
        <v>4112</v>
      </c>
      <c r="D6" t="e" cm="1">
        <f t="array" ref="D6">TRANSPOSE(_xlfn._xlws.FILTER('Controllable Asset Registry'!#REF!,IFERROR('Controllable Asset Registry'!#REF!=A6,FALSE),"No Equipment in entity"))</f>
        <v>#REF!</v>
      </c>
      <c r="N6" t="s">
        <v>5937</v>
      </c>
      <c r="O6" t="e" cm="1" vm="1">
        <f t="array" ref="O6">SUM(--(_xlfn.UNIQUE(_xlfn.TOCOL(D2:L1042,3))&lt;&gt;"No Equipment in entity"))</f>
        <v>#VALUE!</v>
      </c>
    </row>
    <row r="7" spans="1:15" x14ac:dyDescent="0.3">
      <c r="A7" t="s">
        <v>3524</v>
      </c>
      <c r="B7" t="s">
        <v>3354</v>
      </c>
      <c r="C7" t="s">
        <v>4113</v>
      </c>
      <c r="D7" t="e" cm="1">
        <f t="array" ref="D7">TRANSPOSE(_xlfn._xlws.FILTER('Controllable Asset Registry'!#REF!,IFERROR('Controllable Asset Registry'!#REF!=A7,FALSE),"No Equipment in entity"))</f>
        <v>#REF!</v>
      </c>
      <c r="N7" t="s">
        <v>5935</v>
      </c>
      <c r="O7" cm="1">
        <f t="array" ref="O7">SUMPRODUCT((A2:A1042&lt;&gt;"")*(COUNTIF(A2:A1042,A2:A1042)&gt;1))</f>
        <v>0</v>
      </c>
    </row>
    <row r="8" spans="1:15" x14ac:dyDescent="0.3">
      <c r="A8" t="s">
        <v>4114</v>
      </c>
      <c r="B8" t="s">
        <v>3348</v>
      </c>
      <c r="C8" t="s">
        <v>4115</v>
      </c>
      <c r="D8" t="e" cm="1">
        <f t="array" ref="D8">TRANSPOSE(_xlfn._xlws.FILTER('Controllable Asset Registry'!#REF!,IFERROR('Controllable Asset Registry'!#REF!=A8,FALSE),"No Equipment in entity"))</f>
        <v>#REF!</v>
      </c>
      <c r="N8" t="s">
        <v>5936</v>
      </c>
      <c r="O8" t="e" cm="1">
        <f t="array" ref="O8">SUMPRODUCT((D2:L1042&lt;&gt;"")*(D2:L1042&lt;&gt;"No Equipment in entity")*(COUNTIF(D2:L1042,D2:L1042)&gt;1))</f>
        <v>#REF!</v>
      </c>
    </row>
    <row r="9" spans="1:15" x14ac:dyDescent="0.3">
      <c r="A9" t="s">
        <v>4116</v>
      </c>
      <c r="B9" t="s">
        <v>3331</v>
      </c>
      <c r="C9" t="s">
        <v>4117</v>
      </c>
      <c r="D9" t="e" cm="1">
        <f t="array" ref="D9">TRANSPOSE(_xlfn._xlws.FILTER('Controllable Asset Registry'!#REF!,IFERROR('Controllable Asset Registry'!#REF!=A9,FALSE),"No Equipment in entity"))</f>
        <v>#REF!</v>
      </c>
      <c r="N9" t="s">
        <v>5938</v>
      </c>
      <c r="O9" t="e" vm="2">
        <f>O5-O6</f>
        <v>#VALUE!</v>
      </c>
    </row>
    <row r="10" spans="1:15" x14ac:dyDescent="0.3">
      <c r="A10" t="s">
        <v>4118</v>
      </c>
      <c r="B10" t="s">
        <v>3345</v>
      </c>
      <c r="C10" t="s">
        <v>4119</v>
      </c>
      <c r="D10" t="e" cm="1">
        <f t="array" ref="D10">TRANSPOSE(_xlfn._xlws.FILTER('Controllable Asset Registry'!#REF!,IFERROR('Controllable Asset Registry'!#REF!=A10,FALSE),"No Equipment in entity"))</f>
        <v>#REF!</v>
      </c>
    </row>
    <row r="11" spans="1:15" x14ac:dyDescent="0.3">
      <c r="A11" t="s">
        <v>4120</v>
      </c>
      <c r="B11" t="s">
        <v>3342</v>
      </c>
      <c r="C11" t="s">
        <v>4121</v>
      </c>
      <c r="D11" t="e" cm="1">
        <f t="array" ref="D11">TRANSPOSE(_xlfn._xlws.FILTER('Controllable Asset Registry'!#REF!,IFERROR('Controllable Asset Registry'!#REF!=A11,FALSE),"No Equipment in entity"))</f>
        <v>#REF!</v>
      </c>
    </row>
    <row r="12" spans="1:15" x14ac:dyDescent="0.3">
      <c r="A12" t="s">
        <v>4122</v>
      </c>
      <c r="B12" t="s">
        <v>3339</v>
      </c>
      <c r="C12" t="s">
        <v>4123</v>
      </c>
      <c r="D12" t="e" cm="1">
        <f t="array" ref="D12">TRANSPOSE(_xlfn._xlws.FILTER('Controllable Asset Registry'!#REF!,IFERROR('Controllable Asset Registry'!#REF!=A12,FALSE),"No Equipment in entity"))</f>
        <v>#REF!</v>
      </c>
    </row>
    <row r="13" spans="1:15" x14ac:dyDescent="0.3">
      <c r="A13" t="s">
        <v>4124</v>
      </c>
      <c r="B13" t="s">
        <v>3289</v>
      </c>
      <c r="C13" t="s">
        <v>3288</v>
      </c>
      <c r="D13" t="e" cm="1">
        <f t="array" ref="D13">TRANSPOSE(_xlfn._xlws.FILTER('Controllable Asset Registry'!#REF!,IFERROR('Controllable Asset Registry'!#REF!=A13,FALSE),"No Equipment in entity"))</f>
        <v>#REF!</v>
      </c>
    </row>
    <row r="14" spans="1:15" x14ac:dyDescent="0.3">
      <c r="A14" t="s">
        <v>4125</v>
      </c>
      <c r="B14" t="s">
        <v>3287</v>
      </c>
      <c r="C14" t="s">
        <v>4126</v>
      </c>
      <c r="D14" t="e" cm="1">
        <f t="array" ref="D14">TRANSPOSE(_xlfn._xlws.FILTER('Controllable Asset Registry'!#REF!,IFERROR('Controllable Asset Registry'!#REF!=A14,FALSE),"No Equipment in entity"))</f>
        <v>#REF!</v>
      </c>
    </row>
    <row r="15" spans="1:15" x14ac:dyDescent="0.3">
      <c r="A15" t="s">
        <v>3535</v>
      </c>
      <c r="B15" t="s">
        <v>3285</v>
      </c>
      <c r="C15" t="s">
        <v>4127</v>
      </c>
      <c r="D15" t="e" cm="1">
        <f t="array" ref="D15">TRANSPOSE(_xlfn._xlws.FILTER('Controllable Asset Registry'!#REF!,IFERROR('Controllable Asset Registry'!#REF!=A15,FALSE),"No Equipment in entity"))</f>
        <v>#REF!</v>
      </c>
    </row>
    <row r="16" spans="1:15" x14ac:dyDescent="0.3">
      <c r="A16" t="s">
        <v>3536</v>
      </c>
      <c r="B16" t="s">
        <v>3295</v>
      </c>
      <c r="C16" t="s">
        <v>4128</v>
      </c>
      <c r="D16" t="e" cm="1">
        <f t="array" ref="D16">TRANSPOSE(_xlfn._xlws.FILTER('Controllable Asset Registry'!#REF!,IFERROR('Controllable Asset Registry'!#REF!=A16,FALSE),"No Equipment in entity"))</f>
        <v>#REF!</v>
      </c>
    </row>
    <row r="17" spans="1:4" x14ac:dyDescent="0.3">
      <c r="A17" t="s">
        <v>3525</v>
      </c>
      <c r="B17" t="s">
        <v>3302</v>
      </c>
      <c r="C17" t="s">
        <v>4129</v>
      </c>
      <c r="D17" t="e" cm="1">
        <f t="array" ref="D17">TRANSPOSE(_xlfn._xlws.FILTER('Controllable Asset Registry'!#REF!,IFERROR('Controllable Asset Registry'!#REF!=A17,FALSE),"No Equipment in entity"))</f>
        <v>#REF!</v>
      </c>
    </row>
    <row r="18" spans="1:4" x14ac:dyDescent="0.3">
      <c r="A18" t="s">
        <v>4130</v>
      </c>
      <c r="B18" t="s">
        <v>3307</v>
      </c>
      <c r="C18" t="s">
        <v>4131</v>
      </c>
      <c r="D18" t="e" cm="1">
        <f t="array" ref="D18">TRANSPOSE(_xlfn._xlws.FILTER('Controllable Asset Registry'!#REF!,IFERROR('Controllable Asset Registry'!#REF!=A18,FALSE),"No Equipment in entity"))</f>
        <v>#REF!</v>
      </c>
    </row>
    <row r="19" spans="1:4" x14ac:dyDescent="0.3">
      <c r="A19" t="s">
        <v>4132</v>
      </c>
      <c r="B19" t="s">
        <v>3313</v>
      </c>
      <c r="C19" t="s">
        <v>4133</v>
      </c>
      <c r="D19" t="e" cm="1">
        <f t="array" ref="D19">TRANSPOSE(_xlfn._xlws.FILTER('Controllable Asset Registry'!#REF!,IFERROR('Controllable Asset Registry'!#REF!=A19,FALSE),"No Equipment in entity"))</f>
        <v>#REF!</v>
      </c>
    </row>
    <row r="20" spans="1:4" x14ac:dyDescent="0.3">
      <c r="A20" t="s">
        <v>3527</v>
      </c>
      <c r="B20" t="s">
        <v>3310</v>
      </c>
      <c r="C20" t="s">
        <v>6</v>
      </c>
      <c r="D20" t="e" cm="1">
        <f t="array" ref="D20">TRANSPOSE(_xlfn._xlws.FILTER('Controllable Asset Registry'!#REF!,IFERROR('Controllable Asset Registry'!#REF!=A20,FALSE),"No Equipment in entity"))</f>
        <v>#REF!</v>
      </c>
    </row>
    <row r="21" spans="1:4" x14ac:dyDescent="0.3">
      <c r="A21" t="s">
        <v>4134</v>
      </c>
      <c r="B21" t="s">
        <v>3377</v>
      </c>
      <c r="C21" t="s">
        <v>4135</v>
      </c>
      <c r="D21" t="e" cm="1">
        <f t="array" ref="D21">TRANSPOSE(_xlfn._xlws.FILTER('Controllable Asset Registry'!#REF!,IFERROR('Controllable Asset Registry'!#REF!=A21,FALSE),"No Equipment in entity"))</f>
        <v>#REF!</v>
      </c>
    </row>
    <row r="22" spans="1:4" x14ac:dyDescent="0.3">
      <c r="A22" t="s">
        <v>4136</v>
      </c>
      <c r="B22" t="s">
        <v>3373</v>
      </c>
      <c r="C22" t="s">
        <v>4137</v>
      </c>
      <c r="D22" t="e" cm="1">
        <f t="array" ref="D22">TRANSPOSE(_xlfn._xlws.FILTER('Controllable Asset Registry'!#REF!,IFERROR('Controllable Asset Registry'!#REF!=A22,FALSE),"No Equipment in entity"))</f>
        <v>#REF!</v>
      </c>
    </row>
    <row r="23" spans="1:4" x14ac:dyDescent="0.3">
      <c r="A23" t="s">
        <v>3526</v>
      </c>
      <c r="B23" t="s">
        <v>3360</v>
      </c>
      <c r="C23" t="s">
        <v>4138</v>
      </c>
      <c r="D23" t="e" cm="1">
        <f t="array" ref="D23">TRANSPOSE(_xlfn._xlws.FILTER('Controllable Asset Registry'!#REF!,IFERROR('Controllable Asset Registry'!#REF!=A23,FALSE),"No Equipment in entity"))</f>
        <v>#REF!</v>
      </c>
    </row>
    <row r="24" spans="1:4" x14ac:dyDescent="0.3">
      <c r="A24" t="s">
        <v>4139</v>
      </c>
      <c r="B24" t="s">
        <v>3363</v>
      </c>
      <c r="C24" t="s">
        <v>4140</v>
      </c>
      <c r="D24" t="e" cm="1">
        <f t="array" ref="D24">TRANSPOSE(_xlfn._xlws.FILTER('Controllable Asset Registry'!#REF!,IFERROR('Controllable Asset Registry'!#REF!=A24,FALSE),"No Equipment in entity"))</f>
        <v>#REF!</v>
      </c>
    </row>
    <row r="25" spans="1:4" x14ac:dyDescent="0.3">
      <c r="A25" t="s">
        <v>4141</v>
      </c>
      <c r="B25" t="s">
        <v>3369</v>
      </c>
      <c r="C25" t="s">
        <v>4142</v>
      </c>
      <c r="D25" t="e" cm="1">
        <f t="array" ref="D25">TRANSPOSE(_xlfn._xlws.FILTER('Controllable Asset Registry'!#REF!,IFERROR('Controllable Asset Registry'!#REF!=A25,FALSE),"No Equipment in entity"))</f>
        <v>#REF!</v>
      </c>
    </row>
    <row r="26" spans="1:4" x14ac:dyDescent="0.3">
      <c r="A26" t="s">
        <v>4143</v>
      </c>
      <c r="B26" t="s">
        <v>3357</v>
      </c>
      <c r="C26" t="s">
        <v>4144</v>
      </c>
      <c r="D26" t="e" cm="1">
        <f t="array" ref="D26">TRANSPOSE(_xlfn._xlws.FILTER('Controllable Asset Registry'!#REF!,IFERROR('Controllable Asset Registry'!#REF!=A26,FALSE),"No Equipment in entity"))</f>
        <v>#REF!</v>
      </c>
    </row>
    <row r="27" spans="1:4" x14ac:dyDescent="0.3">
      <c r="A27" t="s">
        <v>4145</v>
      </c>
      <c r="B27" t="s">
        <v>3366</v>
      </c>
      <c r="C27" t="s">
        <v>4146</v>
      </c>
      <c r="D27" t="e" cm="1">
        <f t="array" ref="D27">TRANSPOSE(_xlfn._xlws.FILTER('Controllable Asset Registry'!#REF!,IFERROR('Controllable Asset Registry'!#REF!=A27,FALSE),"No Equipment in entity"))</f>
        <v>#REF!</v>
      </c>
    </row>
    <row r="28" spans="1:4" x14ac:dyDescent="0.3">
      <c r="A28" t="s">
        <v>4147</v>
      </c>
      <c r="B28" t="s">
        <v>4148</v>
      </c>
      <c r="C28" t="s">
        <v>4149</v>
      </c>
      <c r="D28" t="e" cm="1">
        <f t="array" ref="D28">TRANSPOSE(_xlfn._xlws.FILTER('Controllable Asset Registry'!#REF!,IFERROR('Controllable Asset Registry'!#REF!=A28,FALSE),"No Equipment in entity"))</f>
        <v>#REF!</v>
      </c>
    </row>
    <row r="29" spans="1:4" x14ac:dyDescent="0.3">
      <c r="A29" t="s">
        <v>4150</v>
      </c>
      <c r="B29" t="s">
        <v>4151</v>
      </c>
      <c r="C29" t="s">
        <v>4152</v>
      </c>
      <c r="D29" t="e" cm="1">
        <f t="array" ref="D29">TRANSPOSE(_xlfn._xlws.FILTER('Controllable Asset Registry'!#REF!,IFERROR('Controllable Asset Registry'!#REF!=A29,FALSE),"No Equipment in entity"))</f>
        <v>#REF!</v>
      </c>
    </row>
    <row r="30" spans="1:4" x14ac:dyDescent="0.3">
      <c r="A30" t="s">
        <v>3613</v>
      </c>
      <c r="B30" t="s">
        <v>4153</v>
      </c>
      <c r="C30" t="s">
        <v>4154</v>
      </c>
      <c r="D30" t="e" cm="1">
        <f t="array" ref="D30">TRANSPOSE(_xlfn._xlws.FILTER('Controllable Asset Registry'!#REF!,IFERROR('Controllable Asset Registry'!#REF!=A30,FALSE),"No Equipment in entity"))</f>
        <v>#REF!</v>
      </c>
    </row>
    <row r="31" spans="1:4" x14ac:dyDescent="0.3">
      <c r="A31" t="s">
        <v>4155</v>
      </c>
      <c r="B31" t="s">
        <v>4156</v>
      </c>
      <c r="C31" t="s">
        <v>4157</v>
      </c>
      <c r="D31" t="e" cm="1">
        <f t="array" ref="D31">TRANSPOSE(_xlfn._xlws.FILTER('Controllable Asset Registry'!#REF!,IFERROR('Controllable Asset Registry'!#REF!=A31,FALSE),"No Equipment in entity"))</f>
        <v>#REF!</v>
      </c>
    </row>
    <row r="32" spans="1:4" x14ac:dyDescent="0.3">
      <c r="A32" t="s">
        <v>3530</v>
      </c>
      <c r="B32" t="s">
        <v>4158</v>
      </c>
      <c r="C32" t="s">
        <v>4159</v>
      </c>
      <c r="D32" t="e" cm="1">
        <f t="array" ref="D32">TRANSPOSE(_xlfn._xlws.FILTER('Controllable Asset Registry'!#REF!,IFERROR('Controllable Asset Registry'!#REF!=A32,FALSE),"No Equipment in entity"))</f>
        <v>#REF!</v>
      </c>
    </row>
    <row r="33" spans="1:4" x14ac:dyDescent="0.3">
      <c r="A33" t="s">
        <v>4160</v>
      </c>
      <c r="B33" t="s">
        <v>4161</v>
      </c>
      <c r="C33" t="s">
        <v>4162</v>
      </c>
      <c r="D33" t="e" cm="1">
        <f t="array" ref="D33">TRANSPOSE(_xlfn._xlws.FILTER('Controllable Asset Registry'!#REF!,IFERROR('Controllable Asset Registry'!#REF!=A33,FALSE),"No Equipment in entity"))</f>
        <v>#REF!</v>
      </c>
    </row>
    <row r="34" spans="1:4" x14ac:dyDescent="0.3">
      <c r="A34" t="s">
        <v>3614</v>
      </c>
      <c r="B34" t="s">
        <v>4163</v>
      </c>
      <c r="C34" t="s">
        <v>4164</v>
      </c>
      <c r="D34" t="e" cm="1">
        <f t="array" ref="D34">TRANSPOSE(_xlfn._xlws.FILTER('Controllable Asset Registry'!#REF!,IFERROR('Controllable Asset Registry'!#REF!=A34,FALSE),"No Equipment in entity"))</f>
        <v>#REF!</v>
      </c>
    </row>
    <row r="35" spans="1:4" x14ac:dyDescent="0.3">
      <c r="A35" t="s">
        <v>4165</v>
      </c>
      <c r="B35" t="s">
        <v>4166</v>
      </c>
      <c r="C35" t="s">
        <v>4167</v>
      </c>
      <c r="D35" t="e" cm="1">
        <f t="array" ref="D35">TRANSPOSE(_xlfn._xlws.FILTER('Controllable Asset Registry'!#REF!,IFERROR('Controllable Asset Registry'!#REF!=A35,FALSE),"No Equipment in entity"))</f>
        <v>#REF!</v>
      </c>
    </row>
    <row r="36" spans="1:4" x14ac:dyDescent="0.3">
      <c r="A36" t="s">
        <v>4168</v>
      </c>
      <c r="B36" t="s">
        <v>4169</v>
      </c>
      <c r="C36" t="s">
        <v>4167</v>
      </c>
      <c r="D36" t="e" cm="1">
        <f t="array" ref="D36">TRANSPOSE(_xlfn._xlws.FILTER('Controllable Asset Registry'!#REF!,IFERROR('Controllable Asset Registry'!#REF!=A36,FALSE),"No Equipment in entity"))</f>
        <v>#REF!</v>
      </c>
    </row>
    <row r="37" spans="1:4" x14ac:dyDescent="0.3">
      <c r="A37" t="s">
        <v>3531</v>
      </c>
      <c r="B37" t="s">
        <v>4170</v>
      </c>
      <c r="C37" t="s">
        <v>4171</v>
      </c>
      <c r="D37" t="e" cm="1">
        <f t="array" ref="D37">TRANSPOSE(_xlfn._xlws.FILTER('Controllable Asset Registry'!#REF!,IFERROR('Controllable Asset Registry'!#REF!=A37,FALSE),"No Equipment in entity"))</f>
        <v>#REF!</v>
      </c>
    </row>
    <row r="38" spans="1:4" x14ac:dyDescent="0.3">
      <c r="A38" t="s">
        <v>4172</v>
      </c>
      <c r="B38" t="s">
        <v>4173</v>
      </c>
      <c r="C38" t="s">
        <v>4137</v>
      </c>
      <c r="D38" t="e" cm="1">
        <f t="array" ref="D38">TRANSPOSE(_xlfn._xlws.FILTER('Controllable Asset Registry'!#REF!,IFERROR('Controllable Asset Registry'!#REF!=A38,FALSE),"No Equipment in entity"))</f>
        <v>#REF!</v>
      </c>
    </row>
    <row r="39" spans="1:4" x14ac:dyDescent="0.3">
      <c r="A39" t="s">
        <v>4174</v>
      </c>
      <c r="B39" t="s">
        <v>4175</v>
      </c>
      <c r="C39" t="s">
        <v>4176</v>
      </c>
      <c r="D39" t="e" cm="1">
        <f t="array" ref="D39">TRANSPOSE(_xlfn._xlws.FILTER('Controllable Asset Registry'!#REF!,IFERROR('Controllable Asset Registry'!#REF!=A39,FALSE),"No Equipment in entity"))</f>
        <v>#REF!</v>
      </c>
    </row>
    <row r="40" spans="1:4" x14ac:dyDescent="0.3">
      <c r="A40" t="s">
        <v>3615</v>
      </c>
      <c r="B40" t="s">
        <v>4177</v>
      </c>
      <c r="C40" t="s">
        <v>4178</v>
      </c>
      <c r="D40" t="e" cm="1">
        <f t="array" ref="D40">TRANSPOSE(_xlfn._xlws.FILTER('Controllable Asset Registry'!#REF!,IFERROR('Controllable Asset Registry'!#REF!=A40,FALSE),"No Equipment in entity"))</f>
        <v>#REF!</v>
      </c>
    </row>
    <row r="41" spans="1:4" x14ac:dyDescent="0.3">
      <c r="A41" t="s">
        <v>3537</v>
      </c>
      <c r="B41" t="s">
        <v>4179</v>
      </c>
      <c r="C41" t="s">
        <v>4180</v>
      </c>
      <c r="D41" t="e" cm="1">
        <f t="array" ref="D41">TRANSPOSE(_xlfn._xlws.FILTER('Controllable Asset Registry'!#REF!,IFERROR('Controllable Asset Registry'!#REF!=A41,FALSE),"No Equipment in entity"))</f>
        <v>#REF!</v>
      </c>
    </row>
    <row r="42" spans="1:4" x14ac:dyDescent="0.3">
      <c r="A42" t="s">
        <v>4181</v>
      </c>
      <c r="B42" t="s">
        <v>4182</v>
      </c>
      <c r="C42" t="s">
        <v>4183</v>
      </c>
      <c r="D42" t="e" cm="1">
        <f t="array" ref="D42">TRANSPOSE(_xlfn._xlws.FILTER('Controllable Asset Registry'!#REF!,IFERROR('Controllable Asset Registry'!#REF!=A42,FALSE),"No Equipment in entity"))</f>
        <v>#REF!</v>
      </c>
    </row>
    <row r="43" spans="1:4" x14ac:dyDescent="0.3">
      <c r="A43" t="s">
        <v>4184</v>
      </c>
      <c r="B43" t="s">
        <v>4185</v>
      </c>
      <c r="C43" t="s">
        <v>4186</v>
      </c>
      <c r="D43" t="e" cm="1">
        <f t="array" ref="D43">TRANSPOSE(_xlfn._xlws.FILTER('Controllable Asset Registry'!#REF!,IFERROR('Controllable Asset Registry'!#REF!=A43,FALSE),"No Equipment in entity"))</f>
        <v>#REF!</v>
      </c>
    </row>
    <row r="44" spans="1:4" x14ac:dyDescent="0.3">
      <c r="A44" t="s">
        <v>4187</v>
      </c>
      <c r="B44" t="s">
        <v>4188</v>
      </c>
      <c r="C44" t="s">
        <v>4189</v>
      </c>
      <c r="D44" t="e" cm="1">
        <f t="array" ref="D44">TRANSPOSE(_xlfn._xlws.FILTER('Controllable Asset Registry'!#REF!,IFERROR('Controllable Asset Registry'!#REF!=A44,FALSE),"No Equipment in entity"))</f>
        <v>#REF!</v>
      </c>
    </row>
    <row r="45" spans="1:4" x14ac:dyDescent="0.3">
      <c r="A45" t="s">
        <v>4190</v>
      </c>
      <c r="B45" t="s">
        <v>4191</v>
      </c>
      <c r="C45" t="s">
        <v>4192</v>
      </c>
      <c r="D45" t="e" cm="1">
        <f t="array" ref="D45">TRANSPOSE(_xlfn._xlws.FILTER('Controllable Asset Registry'!#REF!,IFERROR('Controllable Asset Registry'!#REF!=A45,FALSE),"No Equipment in entity"))</f>
        <v>#REF!</v>
      </c>
    </row>
    <row r="46" spans="1:4" x14ac:dyDescent="0.3">
      <c r="A46" t="s">
        <v>3533</v>
      </c>
      <c r="B46" t="s">
        <v>4193</v>
      </c>
      <c r="C46" t="s">
        <v>4194</v>
      </c>
      <c r="D46" t="e" cm="1">
        <f t="array" ref="D46">TRANSPOSE(_xlfn._xlws.FILTER('Controllable Asset Registry'!#REF!,IFERROR('Controllable Asset Registry'!#REF!=A46,FALSE),"No Equipment in entity"))</f>
        <v>#REF!</v>
      </c>
    </row>
    <row r="47" spans="1:4" x14ac:dyDescent="0.3">
      <c r="A47" t="s">
        <v>3534</v>
      </c>
      <c r="B47" t="s">
        <v>4195</v>
      </c>
      <c r="C47" t="s">
        <v>4194</v>
      </c>
      <c r="D47" t="e" cm="1">
        <f t="array" ref="D47">TRANSPOSE(_xlfn._xlws.FILTER('Controllable Asset Registry'!#REF!,IFERROR('Controllable Asset Registry'!#REF!=A47,FALSE),"No Equipment in entity"))</f>
        <v>#REF!</v>
      </c>
    </row>
    <row r="48" spans="1:4" x14ac:dyDescent="0.3">
      <c r="A48" t="s">
        <v>3532</v>
      </c>
      <c r="B48" t="s">
        <v>4196</v>
      </c>
      <c r="C48" t="s">
        <v>4197</v>
      </c>
      <c r="D48" t="e" cm="1">
        <f t="array" ref="D48">TRANSPOSE(_xlfn._xlws.FILTER('Controllable Asset Registry'!#REF!,IFERROR('Controllable Asset Registry'!#REF!=A48,FALSE),"No Equipment in entity"))</f>
        <v>#REF!</v>
      </c>
    </row>
    <row r="49" spans="1:4" x14ac:dyDescent="0.3">
      <c r="A49" t="s">
        <v>4198</v>
      </c>
      <c r="B49" t="s">
        <v>4199</v>
      </c>
      <c r="C49" t="s">
        <v>4200</v>
      </c>
      <c r="D49" t="e" cm="1">
        <f t="array" ref="D49">TRANSPOSE(_xlfn._xlws.FILTER('Controllable Asset Registry'!#REF!,IFERROR('Controllable Asset Registry'!#REF!=A49,FALSE),"No Equipment in entity"))</f>
        <v>#REF!</v>
      </c>
    </row>
    <row r="50" spans="1:4" x14ac:dyDescent="0.3">
      <c r="A50" t="s">
        <v>4201</v>
      </c>
      <c r="B50" t="s">
        <v>4202</v>
      </c>
      <c r="C50" t="s">
        <v>3344</v>
      </c>
      <c r="D50" t="e" cm="1">
        <f t="array" ref="D50">TRANSPOSE(_xlfn._xlws.FILTER('Controllable Asset Registry'!#REF!,IFERROR('Controllable Asset Registry'!#REF!=A50,FALSE),"No Equipment in entity"))</f>
        <v>#REF!</v>
      </c>
    </row>
    <row r="51" spans="1:4" x14ac:dyDescent="0.3">
      <c r="A51" t="s">
        <v>4203</v>
      </c>
      <c r="B51" t="s">
        <v>4204</v>
      </c>
      <c r="C51" t="s">
        <v>3341</v>
      </c>
      <c r="D51" t="e" cm="1">
        <f t="array" ref="D51">TRANSPOSE(_xlfn._xlws.FILTER('Controllable Asset Registry'!#REF!,IFERROR('Controllable Asset Registry'!#REF!=A51,FALSE),"No Equipment in entity"))</f>
        <v>#REF!</v>
      </c>
    </row>
    <row r="52" spans="1:4" x14ac:dyDescent="0.3">
      <c r="A52" t="s">
        <v>3528</v>
      </c>
      <c r="B52" t="s">
        <v>4205</v>
      </c>
      <c r="C52" t="s">
        <v>4206</v>
      </c>
      <c r="D52" t="e" cm="1">
        <f t="array" ref="D52">TRANSPOSE(_xlfn._xlws.FILTER('Controllable Asset Registry'!#REF!,IFERROR('Controllable Asset Registry'!#REF!=A52,FALSE),"No Equipment in entity"))</f>
        <v>#REF!</v>
      </c>
    </row>
    <row r="53" spans="1:4" x14ac:dyDescent="0.3">
      <c r="A53" t="s">
        <v>4207</v>
      </c>
      <c r="B53" t="s">
        <v>4208</v>
      </c>
      <c r="C53" t="s">
        <v>3341</v>
      </c>
      <c r="D53" t="e" cm="1">
        <f t="array" ref="D53">TRANSPOSE(_xlfn._xlws.FILTER('Controllable Asset Registry'!#REF!,IFERROR('Controllable Asset Registry'!#REF!=A53,FALSE),"No Equipment in entity"))</f>
        <v>#REF!</v>
      </c>
    </row>
    <row r="54" spans="1:4" x14ac:dyDescent="0.3">
      <c r="A54" t="s">
        <v>4209</v>
      </c>
      <c r="B54" t="s">
        <v>4210</v>
      </c>
      <c r="C54" t="s">
        <v>3341</v>
      </c>
      <c r="D54" t="e" cm="1">
        <f t="array" ref="D54">TRANSPOSE(_xlfn._xlws.FILTER('Controllable Asset Registry'!#REF!,IFERROR('Controllable Asset Registry'!#REF!=A54,FALSE),"No Equipment in entity"))</f>
        <v>#REF!</v>
      </c>
    </row>
    <row r="55" spans="1:4" x14ac:dyDescent="0.3">
      <c r="A55" t="s">
        <v>4211</v>
      </c>
      <c r="B55" t="s">
        <v>4212</v>
      </c>
      <c r="C55" t="s">
        <v>3341</v>
      </c>
      <c r="D55" t="e" cm="1">
        <f t="array" ref="D55">TRANSPOSE(_xlfn._xlws.FILTER('Controllable Asset Registry'!#REF!,IFERROR('Controllable Asset Registry'!#REF!=A55,FALSE),"No Equipment in entity"))</f>
        <v>#REF!</v>
      </c>
    </row>
    <row r="56" spans="1:4" x14ac:dyDescent="0.3">
      <c r="A56" t="s">
        <v>4213</v>
      </c>
      <c r="B56" t="s">
        <v>4214</v>
      </c>
      <c r="C56" t="s">
        <v>4215</v>
      </c>
      <c r="D56" t="e" cm="1">
        <f t="array" ref="D56">TRANSPOSE(_xlfn._xlws.FILTER('Controllable Asset Registry'!#REF!,IFERROR('Controllable Asset Registry'!#REF!=A56,FALSE),"No Equipment in entity"))</f>
        <v>#REF!</v>
      </c>
    </row>
    <row r="57" spans="1:4" x14ac:dyDescent="0.3">
      <c r="A57" t="s">
        <v>4216</v>
      </c>
      <c r="B57" t="s">
        <v>4217</v>
      </c>
      <c r="C57" t="s">
        <v>3318</v>
      </c>
      <c r="D57" t="e" cm="1">
        <f t="array" ref="D57">TRANSPOSE(_xlfn._xlws.FILTER('Controllable Asset Registry'!#REF!,IFERROR('Controllable Asset Registry'!#REF!=A57,FALSE),"No Equipment in entity"))</f>
        <v>#REF!</v>
      </c>
    </row>
    <row r="58" spans="1:4" x14ac:dyDescent="0.3">
      <c r="A58" t="s">
        <v>4218</v>
      </c>
      <c r="B58" t="s">
        <v>4219</v>
      </c>
      <c r="C58" t="s">
        <v>3318</v>
      </c>
      <c r="D58" t="e" cm="1">
        <f t="array" ref="D58">TRANSPOSE(_xlfn._xlws.FILTER('Controllable Asset Registry'!#REF!,IFERROR('Controllable Asset Registry'!#REF!=A58,FALSE),"No Equipment in entity"))</f>
        <v>#REF!</v>
      </c>
    </row>
    <row r="59" spans="1:4" x14ac:dyDescent="0.3">
      <c r="A59" t="s">
        <v>4220</v>
      </c>
      <c r="B59" t="s">
        <v>4221</v>
      </c>
      <c r="C59" t="s">
        <v>3318</v>
      </c>
      <c r="D59" t="e" cm="1">
        <f t="array" ref="D59">TRANSPOSE(_xlfn._xlws.FILTER('Controllable Asset Registry'!#REF!,IFERROR('Controllable Asset Registry'!#REF!=A59,FALSE),"No Equipment in entity"))</f>
        <v>#REF!</v>
      </c>
    </row>
    <row r="60" spans="1:4" x14ac:dyDescent="0.3">
      <c r="A60" t="s">
        <v>4222</v>
      </c>
      <c r="B60" t="s">
        <v>4223</v>
      </c>
      <c r="C60" t="s">
        <v>3318</v>
      </c>
      <c r="D60" t="e" cm="1">
        <f t="array" ref="D60">TRANSPOSE(_xlfn._xlws.FILTER('Controllable Asset Registry'!#REF!,IFERROR('Controllable Asset Registry'!#REF!=A60,FALSE),"No Equipment in entity"))</f>
        <v>#REF!</v>
      </c>
    </row>
    <row r="61" spans="1:4" x14ac:dyDescent="0.3">
      <c r="A61" t="s">
        <v>4224</v>
      </c>
      <c r="B61" t="s">
        <v>4225</v>
      </c>
      <c r="C61" t="s">
        <v>4226</v>
      </c>
      <c r="D61" t="e" cm="1">
        <f t="array" ref="D61">TRANSPOSE(_xlfn._xlws.FILTER('Controllable Asset Registry'!#REF!,IFERROR('Controllable Asset Registry'!#REF!=A61,FALSE),"No Equipment in entity"))</f>
        <v>#REF!</v>
      </c>
    </row>
    <row r="62" spans="1:4" x14ac:dyDescent="0.3">
      <c r="A62" t="s">
        <v>4227</v>
      </c>
      <c r="B62" t="s">
        <v>4228</v>
      </c>
      <c r="C62" t="s">
        <v>4229</v>
      </c>
      <c r="D62" t="e" cm="1">
        <f t="array" ref="D62">TRANSPOSE(_xlfn._xlws.FILTER('Controllable Asset Registry'!#REF!,IFERROR('Controllable Asset Registry'!#REF!=A62,FALSE),"No Equipment in entity"))</f>
        <v>#REF!</v>
      </c>
    </row>
    <row r="63" spans="1:4" x14ac:dyDescent="0.3">
      <c r="A63" t="s">
        <v>4230</v>
      </c>
      <c r="B63" t="s">
        <v>4231</v>
      </c>
      <c r="C63" t="s">
        <v>4232</v>
      </c>
      <c r="D63" t="e" cm="1">
        <f t="array" ref="D63">TRANSPOSE(_xlfn._xlws.FILTER('Controllable Asset Registry'!#REF!,IFERROR('Controllable Asset Registry'!#REF!=A63,FALSE),"No Equipment in entity"))</f>
        <v>#REF!</v>
      </c>
    </row>
    <row r="64" spans="1:4" x14ac:dyDescent="0.3">
      <c r="A64" t="s">
        <v>4233</v>
      </c>
      <c r="B64" t="s">
        <v>4234</v>
      </c>
      <c r="C64" t="s">
        <v>4235</v>
      </c>
      <c r="D64" t="e" cm="1">
        <f t="array" ref="D64">TRANSPOSE(_xlfn._xlws.FILTER('Controllable Asset Registry'!#REF!,IFERROR('Controllable Asset Registry'!#REF!=A64,FALSE),"No Equipment in entity"))</f>
        <v>#REF!</v>
      </c>
    </row>
    <row r="65" spans="1:4" x14ac:dyDescent="0.3">
      <c r="A65" t="s">
        <v>4236</v>
      </c>
      <c r="B65" t="s">
        <v>4237</v>
      </c>
      <c r="C65" t="s">
        <v>4238</v>
      </c>
      <c r="D65" t="e" cm="1">
        <f t="array" ref="D65">TRANSPOSE(_xlfn._xlws.FILTER('Controllable Asset Registry'!#REF!,IFERROR('Controllable Asset Registry'!#REF!=A65,FALSE),"No Equipment in entity"))</f>
        <v>#REF!</v>
      </c>
    </row>
    <row r="66" spans="1:4" x14ac:dyDescent="0.3">
      <c r="A66" t="s">
        <v>4239</v>
      </c>
      <c r="B66" t="s">
        <v>4240</v>
      </c>
      <c r="C66" t="s">
        <v>4241</v>
      </c>
      <c r="D66" t="e" cm="1">
        <f t="array" ref="D66">TRANSPOSE(_xlfn._xlws.FILTER('Controllable Asset Registry'!#REF!,IFERROR('Controllable Asset Registry'!#REF!=A66,FALSE),"No Equipment in entity"))</f>
        <v>#REF!</v>
      </c>
    </row>
    <row r="67" spans="1:4" x14ac:dyDescent="0.3">
      <c r="A67" t="s">
        <v>4242</v>
      </c>
      <c r="B67" t="s">
        <v>4243</v>
      </c>
      <c r="C67" t="s">
        <v>4244</v>
      </c>
      <c r="D67" t="e" cm="1">
        <f t="array" ref="D67">TRANSPOSE(_xlfn._xlws.FILTER('Controllable Asset Registry'!#REF!,IFERROR('Controllable Asset Registry'!#REF!=A67,FALSE),"No Equipment in entity"))</f>
        <v>#REF!</v>
      </c>
    </row>
    <row r="68" spans="1:4" x14ac:dyDescent="0.3">
      <c r="A68" t="s">
        <v>4245</v>
      </c>
      <c r="B68" t="s">
        <v>3292</v>
      </c>
      <c r="C68" t="s">
        <v>4246</v>
      </c>
      <c r="D68" t="e" cm="1">
        <f t="array" ref="D68">TRANSPOSE(_xlfn._xlws.FILTER('Controllable Asset Registry'!#REF!,IFERROR('Controllable Asset Registry'!#REF!=A68,FALSE),"No Equipment in entity"))</f>
        <v>#REF!</v>
      </c>
    </row>
    <row r="69" spans="1:4" x14ac:dyDescent="0.3">
      <c r="A69" t="s">
        <v>4247</v>
      </c>
      <c r="B69" t="s">
        <v>3333</v>
      </c>
      <c r="C69" t="s">
        <v>4248</v>
      </c>
      <c r="D69" t="e" cm="1">
        <f t="array" ref="D69">TRANSPOSE(_xlfn._xlws.FILTER('Controllable Asset Registry'!#REF!,IFERROR('Controllable Asset Registry'!#REF!=A69,FALSE),"No Equipment in entity"))</f>
        <v>#REF!</v>
      </c>
    </row>
    <row r="70" spans="1:4" x14ac:dyDescent="0.3">
      <c r="A70" t="s">
        <v>4249</v>
      </c>
      <c r="B70" t="s">
        <v>4250</v>
      </c>
      <c r="C70" t="s">
        <v>4251</v>
      </c>
      <c r="D70" t="e" cm="1">
        <f t="array" ref="D70">TRANSPOSE(_xlfn._xlws.FILTER('Controllable Asset Registry'!#REF!,IFERROR('Controllable Asset Registry'!#REF!=A70,FALSE),"No Equipment in entity"))</f>
        <v>#REF!</v>
      </c>
    </row>
    <row r="71" spans="1:4" x14ac:dyDescent="0.3">
      <c r="A71" t="s">
        <v>4252</v>
      </c>
      <c r="B71" t="s">
        <v>4253</v>
      </c>
      <c r="C71" t="s">
        <v>4254</v>
      </c>
      <c r="D71" t="e" cm="1">
        <f t="array" ref="D71">TRANSPOSE(_xlfn._xlws.FILTER('Controllable Asset Registry'!#REF!,IFERROR('Controllable Asset Registry'!#REF!=A71,FALSE),"No Equipment in entity"))</f>
        <v>#REF!</v>
      </c>
    </row>
    <row r="72" spans="1:4" x14ac:dyDescent="0.3">
      <c r="A72" t="s">
        <v>3635</v>
      </c>
      <c r="B72" t="s">
        <v>4255</v>
      </c>
      <c r="C72" t="s">
        <v>4256</v>
      </c>
      <c r="D72" t="e" cm="1">
        <f t="array" ref="D72">TRANSPOSE(_xlfn._xlws.FILTER('Controllable Asset Registry'!#REF!,IFERROR('Controllable Asset Registry'!#REF!=A72,FALSE),"No Equipment in entity"))</f>
        <v>#REF!</v>
      </c>
    </row>
    <row r="73" spans="1:4" x14ac:dyDescent="0.3">
      <c r="A73" t="s">
        <v>3634</v>
      </c>
      <c r="B73" t="s">
        <v>4257</v>
      </c>
      <c r="C73" t="s">
        <v>4256</v>
      </c>
      <c r="D73" t="e" cm="1">
        <f t="array" ref="D73">TRANSPOSE(_xlfn._xlws.FILTER('Controllable Asset Registry'!#REF!,IFERROR('Controllable Asset Registry'!#REF!=A73,FALSE),"No Equipment in entity"))</f>
        <v>#REF!</v>
      </c>
    </row>
    <row r="74" spans="1:4" x14ac:dyDescent="0.3">
      <c r="A74" t="s">
        <v>3633</v>
      </c>
      <c r="B74" t="s">
        <v>4258</v>
      </c>
      <c r="C74" t="s">
        <v>4256</v>
      </c>
      <c r="D74" t="e" cm="1">
        <f t="array" ref="D74">TRANSPOSE(_xlfn._xlws.FILTER('Controllable Asset Registry'!#REF!,IFERROR('Controllable Asset Registry'!#REF!=A74,FALSE),"No Equipment in entity"))</f>
        <v>#REF!</v>
      </c>
    </row>
    <row r="75" spans="1:4" x14ac:dyDescent="0.3">
      <c r="A75" t="s">
        <v>3542</v>
      </c>
      <c r="B75" t="s">
        <v>4259</v>
      </c>
      <c r="C75" t="s">
        <v>4260</v>
      </c>
      <c r="D75" t="e" cm="1">
        <f t="array" ref="D75">TRANSPOSE(_xlfn._xlws.FILTER('Controllable Asset Registry'!#REF!,IFERROR('Controllable Asset Registry'!#REF!=A75,FALSE),"No Equipment in entity"))</f>
        <v>#REF!</v>
      </c>
    </row>
    <row r="76" spans="1:4" x14ac:dyDescent="0.3">
      <c r="A76" t="s">
        <v>4261</v>
      </c>
      <c r="B76" t="s">
        <v>4262</v>
      </c>
      <c r="C76" t="s">
        <v>4263</v>
      </c>
      <c r="D76" t="e" cm="1">
        <f t="array" ref="D76">TRANSPOSE(_xlfn._xlws.FILTER('Controllable Asset Registry'!#REF!,IFERROR('Controllable Asset Registry'!#REF!=A76,FALSE),"No Equipment in entity"))</f>
        <v>#REF!</v>
      </c>
    </row>
    <row r="77" spans="1:4" x14ac:dyDescent="0.3">
      <c r="A77" t="s">
        <v>4264</v>
      </c>
      <c r="B77" t="s">
        <v>4265</v>
      </c>
      <c r="C77" t="s">
        <v>4266</v>
      </c>
      <c r="D77" t="e" cm="1">
        <f t="array" ref="D77">TRANSPOSE(_xlfn._xlws.FILTER('Controllable Asset Registry'!#REF!,IFERROR('Controllable Asset Registry'!#REF!=A77,FALSE),"No Equipment in entity"))</f>
        <v>#REF!</v>
      </c>
    </row>
    <row r="78" spans="1:4" x14ac:dyDescent="0.3">
      <c r="A78" t="s">
        <v>3616</v>
      </c>
      <c r="B78" t="s">
        <v>4267</v>
      </c>
      <c r="C78" t="s">
        <v>4110</v>
      </c>
      <c r="D78" t="e" cm="1">
        <f t="array" ref="D78">TRANSPOSE(_xlfn._xlws.FILTER('Controllable Asset Registry'!#REF!,IFERROR('Controllable Asset Registry'!#REF!=A78,FALSE),"No Equipment in entity"))</f>
        <v>#REF!</v>
      </c>
    </row>
    <row r="79" spans="1:4" x14ac:dyDescent="0.3">
      <c r="A79" t="s">
        <v>3617</v>
      </c>
      <c r="B79" t="s">
        <v>4268</v>
      </c>
      <c r="C79" t="s">
        <v>4256</v>
      </c>
      <c r="D79" t="e" cm="1">
        <f t="array" ref="D79">TRANSPOSE(_xlfn._xlws.FILTER('Controllable Asset Registry'!#REF!,IFERROR('Controllable Asset Registry'!#REF!=A79,FALSE),"No Equipment in entity"))</f>
        <v>#REF!</v>
      </c>
    </row>
    <row r="80" spans="1:4" x14ac:dyDescent="0.3">
      <c r="A80" t="s">
        <v>3618</v>
      </c>
      <c r="B80" t="s">
        <v>4269</v>
      </c>
      <c r="C80" t="s">
        <v>4270</v>
      </c>
      <c r="D80" t="e" cm="1">
        <f t="array" ref="D80">TRANSPOSE(_xlfn._xlws.FILTER('Controllable Asset Registry'!#REF!,IFERROR('Controllable Asset Registry'!#REF!=A80,FALSE),"No Equipment in entity"))</f>
        <v>#REF!</v>
      </c>
    </row>
    <row r="81" spans="1:4" x14ac:dyDescent="0.3">
      <c r="A81" t="s">
        <v>3619</v>
      </c>
      <c r="B81" t="s">
        <v>4271</v>
      </c>
      <c r="C81" t="s">
        <v>4256</v>
      </c>
      <c r="D81" t="e" cm="1">
        <f t="array" ref="D81">TRANSPOSE(_xlfn._xlws.FILTER('Controllable Asset Registry'!#REF!,IFERROR('Controllable Asset Registry'!#REF!=A81,FALSE),"No Equipment in entity"))</f>
        <v>#REF!</v>
      </c>
    </row>
    <row r="82" spans="1:4" x14ac:dyDescent="0.3">
      <c r="A82" t="s">
        <v>3620</v>
      </c>
      <c r="B82" t="s">
        <v>4272</v>
      </c>
      <c r="C82" t="s">
        <v>4270</v>
      </c>
      <c r="D82" t="e" cm="1">
        <f t="array" ref="D82">TRANSPOSE(_xlfn._xlws.FILTER('Controllable Asset Registry'!#REF!,IFERROR('Controllable Asset Registry'!#REF!=A82,FALSE),"No Equipment in entity"))</f>
        <v>#REF!</v>
      </c>
    </row>
    <row r="83" spans="1:4" x14ac:dyDescent="0.3">
      <c r="A83" t="s">
        <v>4093</v>
      </c>
      <c r="B83" t="s">
        <v>4273</v>
      </c>
      <c r="C83" t="s">
        <v>4270</v>
      </c>
      <c r="D83" t="e" cm="1">
        <f t="array" ref="D83">TRANSPOSE(_xlfn._xlws.FILTER('Controllable Asset Registry'!#REF!,IFERROR('Controllable Asset Registry'!#REF!=A83,FALSE),"No Equipment in entity"))</f>
        <v>#REF!</v>
      </c>
    </row>
    <row r="84" spans="1:4" x14ac:dyDescent="0.3">
      <c r="A84" t="s">
        <v>3621</v>
      </c>
      <c r="B84" t="s">
        <v>4274</v>
      </c>
      <c r="C84" t="s">
        <v>4275</v>
      </c>
      <c r="D84" t="e" cm="1">
        <f t="array" ref="D84">TRANSPOSE(_xlfn._xlws.FILTER('Controllable Asset Registry'!#REF!,IFERROR('Controllable Asset Registry'!#REF!=A84,FALSE),"No Equipment in entity"))</f>
        <v>#REF!</v>
      </c>
    </row>
    <row r="85" spans="1:4" x14ac:dyDescent="0.3">
      <c r="A85" t="s">
        <v>3622</v>
      </c>
      <c r="B85" t="s">
        <v>4276</v>
      </c>
      <c r="C85" t="s">
        <v>4270</v>
      </c>
      <c r="D85" t="e" cm="1">
        <f t="array" ref="D85">TRANSPOSE(_xlfn._xlws.FILTER('Controllable Asset Registry'!#REF!,IFERROR('Controllable Asset Registry'!#REF!=A85,FALSE),"No Equipment in entity"))</f>
        <v>#REF!</v>
      </c>
    </row>
    <row r="86" spans="1:4" x14ac:dyDescent="0.3">
      <c r="A86" t="s">
        <v>4277</v>
      </c>
      <c r="B86" t="s">
        <v>4278</v>
      </c>
      <c r="C86" t="s">
        <v>4279</v>
      </c>
      <c r="D86" t="e" cm="1">
        <f t="array" ref="D86">TRANSPOSE(_xlfn._xlws.FILTER('Controllable Asset Registry'!#REF!,IFERROR('Controllable Asset Registry'!#REF!=A86,FALSE),"No Equipment in entity"))</f>
        <v>#REF!</v>
      </c>
    </row>
    <row r="87" spans="1:4" x14ac:dyDescent="0.3">
      <c r="A87" t="s">
        <v>3541</v>
      </c>
      <c r="B87" t="s">
        <v>4280</v>
      </c>
      <c r="C87" t="s">
        <v>4281</v>
      </c>
      <c r="D87" t="e" cm="1">
        <f t="array" ref="D87">TRANSPOSE(_xlfn._xlws.FILTER('Controllable Asset Registry'!#REF!,IFERROR('Controllable Asset Registry'!#REF!=A87,FALSE),"No Equipment in entity"))</f>
        <v>#REF!</v>
      </c>
    </row>
    <row r="88" spans="1:4" x14ac:dyDescent="0.3">
      <c r="A88" t="s">
        <v>3623</v>
      </c>
      <c r="B88" t="s">
        <v>4282</v>
      </c>
      <c r="C88" t="s">
        <v>4270</v>
      </c>
      <c r="D88" t="e" cm="1">
        <f t="array" ref="D88">TRANSPOSE(_xlfn._xlws.FILTER('Controllable Asset Registry'!#REF!,IFERROR('Controllable Asset Registry'!#REF!=A88,FALSE),"No Equipment in entity"))</f>
        <v>#REF!</v>
      </c>
    </row>
    <row r="89" spans="1:4" x14ac:dyDescent="0.3">
      <c r="A89" t="s">
        <v>3624</v>
      </c>
      <c r="B89" t="s">
        <v>4283</v>
      </c>
      <c r="C89" t="s">
        <v>4270</v>
      </c>
      <c r="D89" t="e" cm="1">
        <f t="array" ref="D89">TRANSPOSE(_xlfn._xlws.FILTER('Controllable Asset Registry'!#REF!,IFERROR('Controllable Asset Registry'!#REF!=A89,FALSE),"No Equipment in entity"))</f>
        <v>#REF!</v>
      </c>
    </row>
    <row r="90" spans="1:4" x14ac:dyDescent="0.3">
      <c r="A90" t="s">
        <v>3625</v>
      </c>
      <c r="B90" t="s">
        <v>4284</v>
      </c>
      <c r="C90" t="s">
        <v>4270</v>
      </c>
      <c r="D90" t="e" cm="1">
        <f t="array" ref="D90">TRANSPOSE(_xlfn._xlws.FILTER('Controllable Asset Registry'!#REF!,IFERROR('Controllable Asset Registry'!#REF!=A90,FALSE),"No Equipment in entity"))</f>
        <v>#REF!</v>
      </c>
    </row>
    <row r="91" spans="1:4" x14ac:dyDescent="0.3">
      <c r="A91" t="s">
        <v>3626</v>
      </c>
      <c r="B91" t="s">
        <v>4285</v>
      </c>
      <c r="C91" t="s">
        <v>4270</v>
      </c>
      <c r="D91" t="e" cm="1">
        <f t="array" ref="D91">TRANSPOSE(_xlfn._xlws.FILTER('Controllable Asset Registry'!#REF!,IFERROR('Controllable Asset Registry'!#REF!=A91,FALSE),"No Equipment in entity"))</f>
        <v>#REF!</v>
      </c>
    </row>
    <row r="92" spans="1:4" x14ac:dyDescent="0.3">
      <c r="A92" t="s">
        <v>3627</v>
      </c>
      <c r="B92" t="s">
        <v>4286</v>
      </c>
      <c r="C92" t="s">
        <v>4287</v>
      </c>
      <c r="D92" t="e" cm="1">
        <f t="array" ref="D92">TRANSPOSE(_xlfn._xlws.FILTER('Controllable Asset Registry'!#REF!,IFERROR('Controllable Asset Registry'!#REF!=A92,FALSE),"No Equipment in entity"))</f>
        <v>#REF!</v>
      </c>
    </row>
    <row r="93" spans="1:4" x14ac:dyDescent="0.3">
      <c r="A93" t="s">
        <v>3628</v>
      </c>
      <c r="B93" t="s">
        <v>4288</v>
      </c>
      <c r="C93" t="s">
        <v>4270</v>
      </c>
      <c r="D93" t="e" cm="1">
        <f t="array" ref="D93">TRANSPOSE(_xlfn._xlws.FILTER('Controllable Asset Registry'!#REF!,IFERROR('Controllable Asset Registry'!#REF!=A93,FALSE),"No Equipment in entity"))</f>
        <v>#REF!</v>
      </c>
    </row>
    <row r="94" spans="1:4" x14ac:dyDescent="0.3">
      <c r="A94" t="s">
        <v>4289</v>
      </c>
      <c r="B94" t="s">
        <v>4290</v>
      </c>
      <c r="C94" t="s">
        <v>4291</v>
      </c>
      <c r="D94" t="e" cm="1">
        <f t="array" ref="D94">TRANSPOSE(_xlfn._xlws.FILTER('Controllable Asset Registry'!#REF!,IFERROR('Controllable Asset Registry'!#REF!=A94,FALSE),"No Equipment in entity"))</f>
        <v>#REF!</v>
      </c>
    </row>
    <row r="95" spans="1:4" x14ac:dyDescent="0.3">
      <c r="A95" t="s">
        <v>3648</v>
      </c>
      <c r="B95" t="s">
        <v>4292</v>
      </c>
      <c r="C95" t="s">
        <v>4293</v>
      </c>
      <c r="D95" t="e" cm="1">
        <f t="array" ref="D95">TRANSPOSE(_xlfn._xlws.FILTER('Controllable Asset Registry'!#REF!,IFERROR('Controllable Asset Registry'!#REF!=A95,FALSE),"No Equipment in entity"))</f>
        <v>#REF!</v>
      </c>
    </row>
    <row r="96" spans="1:4" x14ac:dyDescent="0.3">
      <c r="A96" t="s">
        <v>3647</v>
      </c>
      <c r="B96" t="s">
        <v>4294</v>
      </c>
      <c r="C96" t="s">
        <v>4295</v>
      </c>
      <c r="D96" t="e" cm="1">
        <f t="array" ref="D96">TRANSPOSE(_xlfn._xlws.FILTER('Controllable Asset Registry'!#REF!,IFERROR('Controllable Asset Registry'!#REF!=A96,FALSE),"No Equipment in entity"))</f>
        <v>#REF!</v>
      </c>
    </row>
    <row r="97" spans="1:4" x14ac:dyDescent="0.3">
      <c r="A97" t="s">
        <v>4296</v>
      </c>
      <c r="B97" t="s">
        <v>4297</v>
      </c>
      <c r="C97" t="s">
        <v>4279</v>
      </c>
      <c r="D97" t="e" cm="1">
        <f t="array" ref="D97">TRANSPOSE(_xlfn._xlws.FILTER('Controllable Asset Registry'!#REF!,IFERROR('Controllable Asset Registry'!#REF!=A97,FALSE),"No Equipment in entity"))</f>
        <v>#REF!</v>
      </c>
    </row>
    <row r="98" spans="1:4" x14ac:dyDescent="0.3">
      <c r="A98" t="s">
        <v>3646</v>
      </c>
      <c r="B98" t="s">
        <v>4298</v>
      </c>
      <c r="C98" t="s">
        <v>4299</v>
      </c>
      <c r="D98" t="e" cm="1">
        <f t="array" ref="D98">TRANSPOSE(_xlfn._xlws.FILTER('Controllable Asset Registry'!#REF!,IFERROR('Controllable Asset Registry'!#REF!=A98,FALSE),"No Equipment in entity"))</f>
        <v>#REF!</v>
      </c>
    </row>
    <row r="99" spans="1:4" x14ac:dyDescent="0.3">
      <c r="A99" t="s">
        <v>3645</v>
      </c>
      <c r="B99" t="s">
        <v>4300</v>
      </c>
      <c r="C99" t="s">
        <v>4270</v>
      </c>
      <c r="D99" t="e" cm="1">
        <f t="array" ref="D99">TRANSPOSE(_xlfn._xlws.FILTER('Controllable Asset Registry'!#REF!,IFERROR('Controllable Asset Registry'!#REF!=A99,FALSE),"No Equipment in entity"))</f>
        <v>#REF!</v>
      </c>
    </row>
    <row r="100" spans="1:4" x14ac:dyDescent="0.3">
      <c r="A100" t="s">
        <v>4301</v>
      </c>
      <c r="B100" t="s">
        <v>4302</v>
      </c>
      <c r="C100" t="s">
        <v>4270</v>
      </c>
      <c r="D100" t="e" cm="1">
        <f t="array" ref="D100">TRANSPOSE(_xlfn._xlws.FILTER('Controllable Asset Registry'!#REF!,IFERROR('Controllable Asset Registry'!#REF!=A100,FALSE),"No Equipment in entity"))</f>
        <v>#REF!</v>
      </c>
    </row>
    <row r="101" spans="1:4" x14ac:dyDescent="0.3">
      <c r="A101" t="s">
        <v>3540</v>
      </c>
      <c r="B101" t="s">
        <v>4303</v>
      </c>
      <c r="C101" t="s">
        <v>4270</v>
      </c>
      <c r="D101" t="e" cm="1">
        <f t="array" ref="D101">TRANSPOSE(_xlfn._xlws.FILTER('Controllable Asset Registry'!#REF!,IFERROR('Controllable Asset Registry'!#REF!=A101,FALSE),"No Equipment in entity"))</f>
        <v>#REF!</v>
      </c>
    </row>
    <row r="102" spans="1:4" x14ac:dyDescent="0.3">
      <c r="A102" t="s">
        <v>3643</v>
      </c>
      <c r="B102" t="s">
        <v>4304</v>
      </c>
      <c r="C102" t="s">
        <v>4270</v>
      </c>
      <c r="D102" t="e" cm="1">
        <f t="array" ref="D102">TRANSPOSE(_xlfn._xlws.FILTER('Controllable Asset Registry'!#REF!,IFERROR('Controllable Asset Registry'!#REF!=A102,FALSE),"No Equipment in entity"))</f>
        <v>#REF!</v>
      </c>
    </row>
    <row r="103" spans="1:4" x14ac:dyDescent="0.3">
      <c r="A103" t="s">
        <v>3642</v>
      </c>
      <c r="B103" t="s">
        <v>4305</v>
      </c>
      <c r="C103" t="s">
        <v>4270</v>
      </c>
      <c r="D103" t="e" cm="1">
        <f t="array" ref="D103">TRANSPOSE(_xlfn._xlws.FILTER('Controllable Asset Registry'!#REF!,IFERROR('Controllable Asset Registry'!#REF!=A103,FALSE),"No Equipment in entity"))</f>
        <v>#REF!</v>
      </c>
    </row>
    <row r="104" spans="1:4" x14ac:dyDescent="0.3">
      <c r="A104" t="s">
        <v>3641</v>
      </c>
      <c r="B104" t="s">
        <v>4306</v>
      </c>
      <c r="C104" t="s">
        <v>4270</v>
      </c>
      <c r="D104" t="e" cm="1">
        <f t="array" ref="D104">TRANSPOSE(_xlfn._xlws.FILTER('Controllable Asset Registry'!#REF!,IFERROR('Controllable Asset Registry'!#REF!=A104,FALSE),"No Equipment in entity"))</f>
        <v>#REF!</v>
      </c>
    </row>
    <row r="105" spans="1:4" x14ac:dyDescent="0.3">
      <c r="A105" t="s">
        <v>3640</v>
      </c>
      <c r="B105" t="s">
        <v>4307</v>
      </c>
      <c r="C105" t="s">
        <v>4270</v>
      </c>
      <c r="D105" t="e" cm="1">
        <f t="array" ref="D105">TRANSPOSE(_xlfn._xlws.FILTER('Controllable Asset Registry'!#REF!,IFERROR('Controllable Asset Registry'!#REF!=A105,FALSE),"No Equipment in entity"))</f>
        <v>#REF!</v>
      </c>
    </row>
    <row r="106" spans="1:4" x14ac:dyDescent="0.3">
      <c r="A106" t="s">
        <v>3639</v>
      </c>
      <c r="B106" t="s">
        <v>4308</v>
      </c>
      <c r="C106" t="s">
        <v>4270</v>
      </c>
      <c r="D106" t="e" cm="1">
        <f t="array" ref="D106">TRANSPOSE(_xlfn._xlws.FILTER('Controllable Asset Registry'!#REF!,IFERROR('Controllable Asset Registry'!#REF!=A106,FALSE),"No Equipment in entity"))</f>
        <v>#REF!</v>
      </c>
    </row>
    <row r="107" spans="1:4" x14ac:dyDescent="0.3">
      <c r="A107" t="s">
        <v>3638</v>
      </c>
      <c r="B107" t="s">
        <v>4309</v>
      </c>
      <c r="C107" t="s">
        <v>4270</v>
      </c>
      <c r="D107" t="e" cm="1">
        <f t="array" ref="D107">TRANSPOSE(_xlfn._xlws.FILTER('Controllable Asset Registry'!#REF!,IFERROR('Controllable Asset Registry'!#REF!=A107,FALSE),"No Equipment in entity"))</f>
        <v>#REF!</v>
      </c>
    </row>
    <row r="108" spans="1:4" x14ac:dyDescent="0.3">
      <c r="A108" t="s">
        <v>3637</v>
      </c>
      <c r="B108" t="s">
        <v>4310</v>
      </c>
      <c r="C108" t="s">
        <v>4270</v>
      </c>
      <c r="D108" t="e" cm="1">
        <f t="array" ref="D108">TRANSPOSE(_xlfn._xlws.FILTER('Controllable Asset Registry'!#REF!,IFERROR('Controllable Asset Registry'!#REF!=A108,FALSE),"No Equipment in entity"))</f>
        <v>#REF!</v>
      </c>
    </row>
    <row r="109" spans="1:4" x14ac:dyDescent="0.3">
      <c r="A109" t="s">
        <v>4311</v>
      </c>
      <c r="B109" t="s">
        <v>4312</v>
      </c>
      <c r="C109" t="s">
        <v>4270</v>
      </c>
      <c r="D109" t="e" cm="1">
        <f t="array" ref="D109">TRANSPOSE(_xlfn._xlws.FILTER('Controllable Asset Registry'!#REF!,IFERROR('Controllable Asset Registry'!#REF!=A109,FALSE),"No Equipment in entity"))</f>
        <v>#REF!</v>
      </c>
    </row>
    <row r="110" spans="1:4" x14ac:dyDescent="0.3">
      <c r="A110" t="s">
        <v>3652</v>
      </c>
      <c r="B110" t="s">
        <v>4313</v>
      </c>
      <c r="C110" t="s">
        <v>4314</v>
      </c>
      <c r="D110" t="e" cm="1">
        <f t="array" ref="D110">TRANSPOSE(_xlfn._xlws.FILTER('Controllable Asset Registry'!#REF!,IFERROR('Controllable Asset Registry'!#REF!=A110,FALSE),"No Equipment in entity"))</f>
        <v>#REF!</v>
      </c>
    </row>
    <row r="111" spans="1:4" x14ac:dyDescent="0.3">
      <c r="A111" t="s">
        <v>4315</v>
      </c>
      <c r="B111" t="s">
        <v>4316</v>
      </c>
      <c r="C111" t="s">
        <v>4317</v>
      </c>
      <c r="D111" t="e" cm="1">
        <f t="array" ref="D111">TRANSPOSE(_xlfn._xlws.FILTER('Controllable Asset Registry'!#REF!,IFERROR('Controllable Asset Registry'!#REF!=A111,FALSE),"No Equipment in entity"))</f>
        <v>#REF!</v>
      </c>
    </row>
    <row r="112" spans="1:4" x14ac:dyDescent="0.3">
      <c r="A112" t="s">
        <v>3632</v>
      </c>
      <c r="B112" t="s">
        <v>4318</v>
      </c>
      <c r="C112" t="s">
        <v>3371</v>
      </c>
      <c r="D112" t="e" cm="1">
        <f t="array" ref="D112">TRANSPOSE(_xlfn._xlws.FILTER('Controllable Asset Registry'!#REF!,IFERROR('Controllable Asset Registry'!#REF!=A112,FALSE),"No Equipment in entity"))</f>
        <v>#REF!</v>
      </c>
    </row>
    <row r="113" spans="1:4" x14ac:dyDescent="0.3">
      <c r="A113" t="s">
        <v>3631</v>
      </c>
      <c r="B113" t="s">
        <v>4319</v>
      </c>
      <c r="C113" t="s">
        <v>3509</v>
      </c>
      <c r="D113" t="e" cm="1">
        <f t="array" ref="D113">TRANSPOSE(_xlfn._xlws.FILTER('Controllable Asset Registry'!#REF!,IFERROR('Controllable Asset Registry'!#REF!=A113,FALSE),"No Equipment in entity"))</f>
        <v>#REF!</v>
      </c>
    </row>
    <row r="114" spans="1:4" x14ac:dyDescent="0.3">
      <c r="A114" t="s">
        <v>3630</v>
      </c>
      <c r="B114" t="s">
        <v>4320</v>
      </c>
      <c r="C114" t="s">
        <v>4321</v>
      </c>
      <c r="D114" t="e" cm="1">
        <f t="array" ref="D114">TRANSPOSE(_xlfn._xlws.FILTER('Controllable Asset Registry'!#REF!,IFERROR('Controllable Asset Registry'!#REF!=A114,FALSE),"No Equipment in entity"))</f>
        <v>#REF!</v>
      </c>
    </row>
    <row r="115" spans="1:4" x14ac:dyDescent="0.3">
      <c r="A115" t="s">
        <v>4322</v>
      </c>
      <c r="B115" t="s">
        <v>4323</v>
      </c>
      <c r="C115" t="s">
        <v>4324</v>
      </c>
      <c r="D115" t="e" cm="1">
        <f t="array" ref="D115">TRANSPOSE(_xlfn._xlws.FILTER('Controllable Asset Registry'!#REF!,IFERROR('Controllable Asset Registry'!#REF!=A115,FALSE),"No Equipment in entity"))</f>
        <v>#REF!</v>
      </c>
    </row>
    <row r="116" spans="1:4" x14ac:dyDescent="0.3">
      <c r="A116" t="s">
        <v>3649</v>
      </c>
      <c r="B116" t="s">
        <v>4325</v>
      </c>
      <c r="C116" t="s">
        <v>4326</v>
      </c>
      <c r="D116" t="e" cm="1">
        <f t="array" ref="D116">TRANSPOSE(_xlfn._xlws.FILTER('Controllable Asset Registry'!#REF!,IFERROR('Controllable Asset Registry'!#REF!=A116,FALSE),"No Equipment in entity"))</f>
        <v>#REF!</v>
      </c>
    </row>
    <row r="117" spans="1:4" x14ac:dyDescent="0.3">
      <c r="A117" t="s">
        <v>3653</v>
      </c>
      <c r="B117" t="s">
        <v>4327</v>
      </c>
      <c r="C117" t="s">
        <v>4328</v>
      </c>
      <c r="D117" t="e" cm="1">
        <f t="array" ref="D117">TRANSPOSE(_xlfn._xlws.FILTER('Controllable Asset Registry'!#REF!,IFERROR('Controllable Asset Registry'!#REF!=A117,FALSE),"No Equipment in entity"))</f>
        <v>#REF!</v>
      </c>
    </row>
    <row r="118" spans="1:4" x14ac:dyDescent="0.3">
      <c r="A118" t="s">
        <v>4329</v>
      </c>
      <c r="B118" t="s">
        <v>4330</v>
      </c>
      <c r="C118" t="s">
        <v>4324</v>
      </c>
      <c r="D118" t="e" cm="1">
        <f t="array" ref="D118">TRANSPOSE(_xlfn._xlws.FILTER('Controllable Asset Registry'!#REF!,IFERROR('Controllable Asset Registry'!#REF!=A118,FALSE),"No Equipment in entity"))</f>
        <v>#REF!</v>
      </c>
    </row>
    <row r="119" spans="1:4" x14ac:dyDescent="0.3">
      <c r="A119" t="s">
        <v>4331</v>
      </c>
      <c r="B119" t="s">
        <v>4332</v>
      </c>
      <c r="C119" t="s">
        <v>4200</v>
      </c>
      <c r="D119" t="e" cm="1">
        <f t="array" ref="D119">TRANSPOSE(_xlfn._xlws.FILTER('Controllable Asset Registry'!#REF!,IFERROR('Controllable Asset Registry'!#REF!=A119,FALSE),"No Equipment in entity"))</f>
        <v>#REF!</v>
      </c>
    </row>
    <row r="120" spans="1:4" x14ac:dyDescent="0.3">
      <c r="A120" t="s">
        <v>4333</v>
      </c>
      <c r="B120" t="s">
        <v>4334</v>
      </c>
      <c r="C120" t="s">
        <v>4197</v>
      </c>
      <c r="D120" t="e" cm="1">
        <f t="array" ref="D120">TRANSPOSE(_xlfn._xlws.FILTER('Controllable Asset Registry'!#REF!,IFERROR('Controllable Asset Registry'!#REF!=A120,FALSE),"No Equipment in entity"))</f>
        <v>#REF!</v>
      </c>
    </row>
    <row r="121" spans="1:4" x14ac:dyDescent="0.3">
      <c r="A121" t="s">
        <v>4335</v>
      </c>
      <c r="B121" t="s">
        <v>4336</v>
      </c>
      <c r="C121" t="s">
        <v>4200</v>
      </c>
      <c r="D121" t="e" cm="1">
        <f t="array" ref="D121">TRANSPOSE(_xlfn._xlws.FILTER('Controllable Asset Registry'!#REF!,IFERROR('Controllable Asset Registry'!#REF!=A121,FALSE),"No Equipment in entity"))</f>
        <v>#REF!</v>
      </c>
    </row>
    <row r="122" spans="1:4" x14ac:dyDescent="0.3">
      <c r="A122" t="s">
        <v>4337</v>
      </c>
      <c r="B122" t="s">
        <v>4338</v>
      </c>
      <c r="C122" t="s">
        <v>4197</v>
      </c>
      <c r="D122" t="e" cm="1">
        <f t="array" ref="D122">TRANSPOSE(_xlfn._xlws.FILTER('Controllable Asset Registry'!#REF!,IFERROR('Controllable Asset Registry'!#REF!=A122,FALSE),"No Equipment in entity"))</f>
        <v>#REF!</v>
      </c>
    </row>
    <row r="123" spans="1:4" x14ac:dyDescent="0.3">
      <c r="A123" t="s">
        <v>4094</v>
      </c>
      <c r="B123" t="s">
        <v>4339</v>
      </c>
      <c r="C123" t="s">
        <v>3344</v>
      </c>
      <c r="D123" t="e" cm="1">
        <f t="array" ref="D123">TRANSPOSE(_xlfn._xlws.FILTER('Controllable Asset Registry'!#REF!,IFERROR('Controllable Asset Registry'!#REF!=A123,FALSE),"No Equipment in entity"))</f>
        <v>#REF!</v>
      </c>
    </row>
    <row r="124" spans="1:4" x14ac:dyDescent="0.3">
      <c r="A124" t="s">
        <v>3543</v>
      </c>
      <c r="B124" t="s">
        <v>4340</v>
      </c>
      <c r="C124" t="s">
        <v>3341</v>
      </c>
      <c r="D124" t="e" cm="1">
        <f t="array" ref="D124">TRANSPOSE(_xlfn._xlws.FILTER('Controllable Asset Registry'!#REF!,IFERROR('Controllable Asset Registry'!#REF!=A124,FALSE),"No Equipment in entity"))</f>
        <v>#REF!</v>
      </c>
    </row>
    <row r="125" spans="1:4" x14ac:dyDescent="0.3">
      <c r="A125" t="s">
        <v>3539</v>
      </c>
      <c r="B125" t="s">
        <v>4341</v>
      </c>
      <c r="C125" t="s">
        <v>4206</v>
      </c>
      <c r="D125" t="e" cm="1">
        <f t="array" ref="D125">TRANSPOSE(_xlfn._xlws.FILTER('Controllable Asset Registry'!#REF!,IFERROR('Controllable Asset Registry'!#REF!=A125,FALSE),"No Equipment in entity"))</f>
        <v>#REF!</v>
      </c>
    </row>
    <row r="126" spans="1:4" x14ac:dyDescent="0.3">
      <c r="A126" t="s">
        <v>4342</v>
      </c>
      <c r="B126" t="s">
        <v>4343</v>
      </c>
      <c r="C126" t="s">
        <v>4344</v>
      </c>
      <c r="D126" t="e" cm="1">
        <f t="array" ref="D126">TRANSPOSE(_xlfn._xlws.FILTER('Controllable Asset Registry'!#REF!,IFERROR('Controllable Asset Registry'!#REF!=A126,FALSE),"No Equipment in entity"))</f>
        <v>#REF!</v>
      </c>
    </row>
    <row r="127" spans="1:4" x14ac:dyDescent="0.3">
      <c r="A127" t="s">
        <v>3538</v>
      </c>
      <c r="B127" t="s">
        <v>4345</v>
      </c>
      <c r="C127" t="s">
        <v>4206</v>
      </c>
      <c r="D127" t="e" cm="1">
        <f t="array" ref="D127">TRANSPOSE(_xlfn._xlws.FILTER('Controllable Asset Registry'!#REF!,IFERROR('Controllable Asset Registry'!#REF!=A127,FALSE),"No Equipment in entity"))</f>
        <v>#REF!</v>
      </c>
    </row>
    <row r="128" spans="1:4" x14ac:dyDescent="0.3">
      <c r="A128" t="s">
        <v>4346</v>
      </c>
      <c r="B128" t="s">
        <v>4347</v>
      </c>
      <c r="C128" t="s">
        <v>4348</v>
      </c>
      <c r="D128" t="e" cm="1">
        <f t="array" ref="D128">TRANSPOSE(_xlfn._xlws.FILTER('Controllable Asset Registry'!#REF!,IFERROR('Controllable Asset Registry'!#REF!=A128,FALSE),"No Equipment in entity"))</f>
        <v>#REF!</v>
      </c>
    </row>
    <row r="129" spans="1:4" x14ac:dyDescent="0.3">
      <c r="A129" t="s">
        <v>4349</v>
      </c>
      <c r="B129" t="s">
        <v>4350</v>
      </c>
      <c r="C129" t="s">
        <v>4351</v>
      </c>
      <c r="D129" t="e" cm="1">
        <f t="array" ref="D129">TRANSPOSE(_xlfn._xlws.FILTER('Controllable Asset Registry'!#REF!,IFERROR('Controllable Asset Registry'!#REF!=A129,FALSE),"No Equipment in entity"))</f>
        <v>#REF!</v>
      </c>
    </row>
    <row r="130" spans="1:4" x14ac:dyDescent="0.3">
      <c r="A130" t="s">
        <v>4352</v>
      </c>
      <c r="B130" t="s">
        <v>4353</v>
      </c>
      <c r="C130" t="s">
        <v>4354</v>
      </c>
      <c r="D130" t="e" cm="1">
        <f t="array" ref="D130">TRANSPOSE(_xlfn._xlws.FILTER('Controllable Asset Registry'!#REF!,IFERROR('Controllable Asset Registry'!#REF!=A130,FALSE),"No Equipment in entity"))</f>
        <v>#REF!</v>
      </c>
    </row>
    <row r="131" spans="1:4" x14ac:dyDescent="0.3">
      <c r="A131" t="s">
        <v>4355</v>
      </c>
      <c r="B131" t="s">
        <v>4356</v>
      </c>
      <c r="C131" t="s">
        <v>4344</v>
      </c>
      <c r="D131" t="e" cm="1">
        <f t="array" ref="D131">TRANSPOSE(_xlfn._xlws.FILTER('Controllable Asset Registry'!#REF!,IFERROR('Controllable Asset Registry'!#REF!=A131,FALSE),"No Equipment in entity"))</f>
        <v>#REF!</v>
      </c>
    </row>
    <row r="132" spans="1:4" x14ac:dyDescent="0.3">
      <c r="A132" t="s">
        <v>4357</v>
      </c>
      <c r="B132" t="s">
        <v>4358</v>
      </c>
      <c r="C132" t="s">
        <v>3341</v>
      </c>
      <c r="D132" t="e" cm="1">
        <f t="array" ref="D132">TRANSPOSE(_xlfn._xlws.FILTER('Controllable Asset Registry'!#REF!,IFERROR('Controllable Asset Registry'!#REF!=A132,FALSE),"No Equipment in entity"))</f>
        <v>#REF!</v>
      </c>
    </row>
    <row r="133" spans="1:4" x14ac:dyDescent="0.3">
      <c r="A133" t="s">
        <v>3629</v>
      </c>
      <c r="B133" t="s">
        <v>4359</v>
      </c>
      <c r="C133" t="s">
        <v>3318</v>
      </c>
      <c r="D133" t="e" cm="1">
        <f t="array" ref="D133">TRANSPOSE(_xlfn._xlws.FILTER('Controllable Asset Registry'!#REF!,IFERROR('Controllable Asset Registry'!#REF!=A133,FALSE),"No Equipment in entity"))</f>
        <v>#REF!</v>
      </c>
    </row>
    <row r="134" spans="1:4" x14ac:dyDescent="0.3">
      <c r="A134" t="s">
        <v>4360</v>
      </c>
      <c r="B134" t="s">
        <v>4361</v>
      </c>
      <c r="C134" t="s">
        <v>4362</v>
      </c>
      <c r="D134" t="e" cm="1">
        <f t="array" ref="D134">TRANSPOSE(_xlfn._xlws.FILTER('Controllable Asset Registry'!#REF!,IFERROR('Controllable Asset Registry'!#REF!=A134,FALSE),"No Equipment in entity"))</f>
        <v>#REF!</v>
      </c>
    </row>
    <row r="135" spans="1:4" x14ac:dyDescent="0.3">
      <c r="A135" t="s">
        <v>4363</v>
      </c>
      <c r="B135" t="s">
        <v>4364</v>
      </c>
      <c r="C135" t="s">
        <v>4365</v>
      </c>
      <c r="D135" t="e" cm="1">
        <f t="array" ref="D135">TRANSPOSE(_xlfn._xlws.FILTER('Controllable Asset Registry'!#REF!,IFERROR('Controllable Asset Registry'!#REF!=A135,FALSE),"No Equipment in entity"))</f>
        <v>#REF!</v>
      </c>
    </row>
    <row r="136" spans="1:4" x14ac:dyDescent="0.3">
      <c r="A136" t="s">
        <v>4366</v>
      </c>
      <c r="B136" t="s">
        <v>4367</v>
      </c>
      <c r="C136" t="s">
        <v>4368</v>
      </c>
      <c r="D136" t="e" cm="1">
        <f t="array" ref="D136">TRANSPOSE(_xlfn._xlws.FILTER('Controllable Asset Registry'!#REF!,IFERROR('Controllable Asset Registry'!#REF!=A136,FALSE),"No Equipment in entity"))</f>
        <v>#REF!</v>
      </c>
    </row>
    <row r="137" spans="1:4" x14ac:dyDescent="0.3">
      <c r="A137" t="s">
        <v>4369</v>
      </c>
      <c r="B137" t="s">
        <v>4370</v>
      </c>
      <c r="C137" t="s">
        <v>4371</v>
      </c>
      <c r="D137" t="e" cm="1">
        <f t="array" ref="D137">TRANSPOSE(_xlfn._xlws.FILTER('Controllable Asset Registry'!#REF!,IFERROR('Controllable Asset Registry'!#REF!=A137,FALSE),"No Equipment in entity"))</f>
        <v>#REF!</v>
      </c>
    </row>
    <row r="138" spans="1:4" x14ac:dyDescent="0.3">
      <c r="A138" t="s">
        <v>4372</v>
      </c>
      <c r="B138" t="s">
        <v>4373</v>
      </c>
      <c r="C138" t="s">
        <v>4235</v>
      </c>
      <c r="D138" t="e" cm="1">
        <f t="array" ref="D138">TRANSPOSE(_xlfn._xlws.FILTER('Controllable Asset Registry'!#REF!,IFERROR('Controllable Asset Registry'!#REF!=A138,FALSE),"No Equipment in entity"))</f>
        <v>#REF!</v>
      </c>
    </row>
    <row r="139" spans="1:4" x14ac:dyDescent="0.3">
      <c r="A139" t="s">
        <v>4374</v>
      </c>
      <c r="B139" t="s">
        <v>4375</v>
      </c>
      <c r="C139" t="s">
        <v>4238</v>
      </c>
      <c r="D139" t="e" cm="1">
        <f t="array" ref="D139">TRANSPOSE(_xlfn._xlws.FILTER('Controllable Asset Registry'!#REF!,IFERROR('Controllable Asset Registry'!#REF!=A139,FALSE),"No Equipment in entity"))</f>
        <v>#REF!</v>
      </c>
    </row>
    <row r="140" spans="1:4" x14ac:dyDescent="0.3">
      <c r="A140" t="s">
        <v>4376</v>
      </c>
      <c r="B140" t="s">
        <v>4377</v>
      </c>
      <c r="C140" t="s">
        <v>4241</v>
      </c>
      <c r="D140" t="e" cm="1">
        <f t="array" ref="D140">TRANSPOSE(_xlfn._xlws.FILTER('Controllable Asset Registry'!#REF!,IFERROR('Controllable Asset Registry'!#REF!=A140,FALSE),"No Equipment in entity"))</f>
        <v>#REF!</v>
      </c>
    </row>
    <row r="141" spans="1:4" x14ac:dyDescent="0.3">
      <c r="A141" t="s">
        <v>4378</v>
      </c>
      <c r="B141" t="s">
        <v>4379</v>
      </c>
      <c r="C141" t="s">
        <v>4380</v>
      </c>
      <c r="D141" t="e" cm="1">
        <f t="array" ref="D141">TRANSPOSE(_xlfn._xlws.FILTER('Controllable Asset Registry'!#REF!,IFERROR('Controllable Asset Registry'!#REF!=A141,FALSE),"No Equipment in entity"))</f>
        <v>#REF!</v>
      </c>
    </row>
    <row r="142" spans="1:4" x14ac:dyDescent="0.3">
      <c r="A142" t="s">
        <v>4381</v>
      </c>
      <c r="B142" t="s">
        <v>4382</v>
      </c>
      <c r="C142" t="s">
        <v>4246</v>
      </c>
      <c r="D142" t="e" cm="1">
        <f t="array" ref="D142">TRANSPOSE(_xlfn._xlws.FILTER('Controllable Asset Registry'!#REF!,IFERROR('Controllable Asset Registry'!#REF!=A142,FALSE),"No Equipment in entity"))</f>
        <v>#REF!</v>
      </c>
    </row>
    <row r="143" spans="1:4" x14ac:dyDescent="0.3">
      <c r="A143" t="s">
        <v>4383</v>
      </c>
      <c r="B143" t="s">
        <v>4384</v>
      </c>
      <c r="C143" t="s">
        <v>4248</v>
      </c>
      <c r="D143" t="e" cm="1">
        <f t="array" ref="D143">TRANSPOSE(_xlfn._xlws.FILTER('Controllable Asset Registry'!#REF!,IFERROR('Controllable Asset Registry'!#REF!=A143,FALSE),"No Equipment in entity"))</f>
        <v>#REF!</v>
      </c>
    </row>
    <row r="144" spans="1:4" x14ac:dyDescent="0.3">
      <c r="A144" t="s">
        <v>4385</v>
      </c>
      <c r="B144" t="s">
        <v>4386</v>
      </c>
      <c r="C144" t="s">
        <v>4387</v>
      </c>
      <c r="D144" t="e" cm="1">
        <f t="array" ref="D144">TRANSPOSE(_xlfn._xlws.FILTER('Controllable Asset Registry'!#REF!,IFERROR('Controllable Asset Registry'!#REF!=A144,FALSE),"No Equipment in entity"))</f>
        <v>#REF!</v>
      </c>
    </row>
    <row r="145" spans="1:4" x14ac:dyDescent="0.3">
      <c r="A145" t="s">
        <v>4388</v>
      </c>
      <c r="B145" t="s">
        <v>4389</v>
      </c>
      <c r="C145" t="s">
        <v>4251</v>
      </c>
      <c r="D145" t="e" cm="1">
        <f t="array" ref="D145">TRANSPOSE(_xlfn._xlws.FILTER('Controllable Asset Registry'!#REF!,IFERROR('Controllable Asset Registry'!#REF!=A145,FALSE),"No Equipment in entity"))</f>
        <v>#REF!</v>
      </c>
    </row>
    <row r="146" spans="1:4" x14ac:dyDescent="0.3">
      <c r="A146" t="s">
        <v>3673</v>
      </c>
      <c r="B146" t="s">
        <v>4961</v>
      </c>
      <c r="C146" t="s">
        <v>4390</v>
      </c>
      <c r="D146" t="e" cm="1">
        <f t="array" ref="D146">TRANSPOSE(_xlfn._xlws.FILTER('Controllable Asset Registry'!#REF!,IFERROR('Controllable Asset Registry'!#REF!=A146,FALSE),"No Equipment in entity"))</f>
        <v>#REF!</v>
      </c>
    </row>
    <row r="147" spans="1:4" x14ac:dyDescent="0.3">
      <c r="A147" t="s">
        <v>3674</v>
      </c>
      <c r="B147" t="s">
        <v>4962</v>
      </c>
      <c r="C147" t="s">
        <v>4391</v>
      </c>
      <c r="D147" t="e" cm="1">
        <f t="array" ref="D147">TRANSPOSE(_xlfn._xlws.FILTER('Controllable Asset Registry'!#REF!,IFERROR('Controllable Asset Registry'!#REF!=A147,FALSE),"No Equipment in entity"))</f>
        <v>#REF!</v>
      </c>
    </row>
    <row r="148" spans="1:4" x14ac:dyDescent="0.3">
      <c r="A148" t="s">
        <v>3675</v>
      </c>
      <c r="B148" t="s">
        <v>4963</v>
      </c>
      <c r="C148" t="s">
        <v>4392</v>
      </c>
      <c r="D148" t="e" cm="1">
        <f t="array" ref="D148">TRANSPOSE(_xlfn._xlws.FILTER('Controllable Asset Registry'!#REF!,IFERROR('Controllable Asset Registry'!#REF!=A148,FALSE),"No Equipment in entity"))</f>
        <v>#REF!</v>
      </c>
    </row>
    <row r="149" spans="1:4" x14ac:dyDescent="0.3">
      <c r="A149" t="s">
        <v>3676</v>
      </c>
      <c r="B149" t="s">
        <v>4964</v>
      </c>
      <c r="C149" t="s">
        <v>4392</v>
      </c>
      <c r="D149" t="e" cm="1">
        <f t="array" ref="D149">TRANSPOSE(_xlfn._xlws.FILTER('Controllable Asset Registry'!#REF!,IFERROR('Controllable Asset Registry'!#REF!=A149,FALSE),"No Equipment in entity"))</f>
        <v>#REF!</v>
      </c>
    </row>
    <row r="150" spans="1:4" x14ac:dyDescent="0.3">
      <c r="A150" t="s">
        <v>3677</v>
      </c>
      <c r="B150" t="s">
        <v>4965</v>
      </c>
      <c r="C150" t="s">
        <v>4393</v>
      </c>
      <c r="D150" t="e" cm="1">
        <f t="array" ref="D150">TRANSPOSE(_xlfn._xlws.FILTER('Controllable Asset Registry'!#REF!,IFERROR('Controllable Asset Registry'!#REF!=A150,FALSE),"No Equipment in entity"))</f>
        <v>#REF!</v>
      </c>
    </row>
    <row r="151" spans="1:4" x14ac:dyDescent="0.3">
      <c r="A151" t="s">
        <v>3678</v>
      </c>
      <c r="B151" t="s">
        <v>4966</v>
      </c>
      <c r="C151" t="s">
        <v>4394</v>
      </c>
      <c r="D151" t="e" cm="1">
        <f t="array" ref="D151">TRANSPOSE(_xlfn._xlws.FILTER('Controllable Asset Registry'!#REF!,IFERROR('Controllable Asset Registry'!#REF!=A151,FALSE),"No Equipment in entity"))</f>
        <v>#REF!</v>
      </c>
    </row>
    <row r="152" spans="1:4" x14ac:dyDescent="0.3">
      <c r="A152" t="s">
        <v>3679</v>
      </c>
      <c r="B152" t="s">
        <v>4967</v>
      </c>
      <c r="C152" t="s">
        <v>4395</v>
      </c>
      <c r="D152" t="e" cm="1">
        <f t="array" ref="D152">TRANSPOSE(_xlfn._xlws.FILTER('Controllable Asset Registry'!#REF!,IFERROR('Controllable Asset Registry'!#REF!=A152,FALSE),"No Equipment in entity"))</f>
        <v>#REF!</v>
      </c>
    </row>
    <row r="153" spans="1:4" x14ac:dyDescent="0.3">
      <c r="A153" t="s">
        <v>4396</v>
      </c>
      <c r="B153" t="s">
        <v>4968</v>
      </c>
      <c r="C153" t="s">
        <v>4392</v>
      </c>
      <c r="D153" t="e" cm="1">
        <f t="array" ref="D153">TRANSPOSE(_xlfn._xlws.FILTER('Controllable Asset Registry'!#REF!,IFERROR('Controllable Asset Registry'!#REF!=A153,FALSE),"No Equipment in entity"))</f>
        <v>#REF!</v>
      </c>
    </row>
    <row r="154" spans="1:4" x14ac:dyDescent="0.3">
      <c r="A154" t="s">
        <v>3654</v>
      </c>
      <c r="B154" t="s">
        <v>4969</v>
      </c>
      <c r="C154" t="s">
        <v>4392</v>
      </c>
      <c r="D154" t="e" cm="1">
        <f t="array" ref="D154">TRANSPOSE(_xlfn._xlws.FILTER('Controllable Asset Registry'!#REF!,IFERROR('Controllable Asset Registry'!#REF!=A154,FALSE),"No Equipment in entity"))</f>
        <v>#REF!</v>
      </c>
    </row>
    <row r="155" spans="1:4" x14ac:dyDescent="0.3">
      <c r="A155" t="s">
        <v>3655</v>
      </c>
      <c r="B155" t="s">
        <v>4970</v>
      </c>
      <c r="C155" t="s">
        <v>4392</v>
      </c>
      <c r="D155" t="e" cm="1">
        <f t="array" ref="D155">TRANSPOSE(_xlfn._xlws.FILTER('Controllable Asset Registry'!#REF!,IFERROR('Controllable Asset Registry'!#REF!=A155,FALSE),"No Equipment in entity"))</f>
        <v>#REF!</v>
      </c>
    </row>
    <row r="156" spans="1:4" x14ac:dyDescent="0.3">
      <c r="A156" t="s">
        <v>3656</v>
      </c>
      <c r="B156" t="s">
        <v>4971</v>
      </c>
      <c r="C156" t="s">
        <v>4392</v>
      </c>
      <c r="D156" t="e" cm="1">
        <f t="array" ref="D156">TRANSPOSE(_xlfn._xlws.FILTER('Controllable Asset Registry'!#REF!,IFERROR('Controllable Asset Registry'!#REF!=A156,FALSE),"No Equipment in entity"))</f>
        <v>#REF!</v>
      </c>
    </row>
    <row r="157" spans="1:4" x14ac:dyDescent="0.3">
      <c r="A157" t="s">
        <v>3657</v>
      </c>
      <c r="B157" t="s">
        <v>4972</v>
      </c>
      <c r="C157" t="s">
        <v>4394</v>
      </c>
      <c r="D157" t="e" cm="1">
        <f t="array" ref="D157">TRANSPOSE(_xlfn._xlws.FILTER('Controllable Asset Registry'!#REF!,IFERROR('Controllable Asset Registry'!#REF!=A157,FALSE),"No Equipment in entity"))</f>
        <v>#REF!</v>
      </c>
    </row>
    <row r="158" spans="1:4" x14ac:dyDescent="0.3">
      <c r="A158" t="s">
        <v>3658</v>
      </c>
      <c r="B158" t="s">
        <v>4973</v>
      </c>
      <c r="C158" t="s">
        <v>4394</v>
      </c>
      <c r="D158" t="e" cm="1">
        <f t="array" ref="D158">TRANSPOSE(_xlfn._xlws.FILTER('Controllable Asset Registry'!#REF!,IFERROR('Controllable Asset Registry'!#REF!=A158,FALSE),"No Equipment in entity"))</f>
        <v>#REF!</v>
      </c>
    </row>
    <row r="159" spans="1:4" x14ac:dyDescent="0.3">
      <c r="A159" t="s">
        <v>3659</v>
      </c>
      <c r="B159" t="s">
        <v>4974</v>
      </c>
      <c r="C159" t="s">
        <v>4393</v>
      </c>
      <c r="D159" t="e" cm="1">
        <f t="array" ref="D159">TRANSPOSE(_xlfn._xlws.FILTER('Controllable Asset Registry'!#REF!,IFERROR('Controllable Asset Registry'!#REF!=A159,FALSE),"No Equipment in entity"))</f>
        <v>#REF!</v>
      </c>
    </row>
    <row r="160" spans="1:4" x14ac:dyDescent="0.3">
      <c r="A160" t="s">
        <v>3660</v>
      </c>
      <c r="B160" t="s">
        <v>4975</v>
      </c>
      <c r="C160" t="s">
        <v>4397</v>
      </c>
      <c r="D160" t="e" cm="1">
        <f t="array" ref="D160">TRANSPOSE(_xlfn._xlws.FILTER('Controllable Asset Registry'!#REF!,IFERROR('Controllable Asset Registry'!#REF!=A160,FALSE),"No Equipment in entity"))</f>
        <v>#REF!</v>
      </c>
    </row>
    <row r="161" spans="1:4" x14ac:dyDescent="0.3">
      <c r="A161" t="s">
        <v>3661</v>
      </c>
      <c r="B161" t="s">
        <v>4976</v>
      </c>
      <c r="C161" t="s">
        <v>4392</v>
      </c>
      <c r="D161" t="e" cm="1">
        <f t="array" ref="D161">TRANSPOSE(_xlfn._xlws.FILTER('Controllable Asset Registry'!#REF!,IFERROR('Controllable Asset Registry'!#REF!=A161,FALSE),"No Equipment in entity"))</f>
        <v>#REF!</v>
      </c>
    </row>
    <row r="162" spans="1:4" x14ac:dyDescent="0.3">
      <c r="A162" t="s">
        <v>3662</v>
      </c>
      <c r="B162" t="s">
        <v>4977</v>
      </c>
      <c r="C162" t="s">
        <v>4392</v>
      </c>
      <c r="D162" t="e" cm="1">
        <f t="array" ref="D162">TRANSPOSE(_xlfn._xlws.FILTER('Controllable Asset Registry'!#REF!,IFERROR('Controllable Asset Registry'!#REF!=A162,FALSE),"No Equipment in entity"))</f>
        <v>#REF!</v>
      </c>
    </row>
    <row r="163" spans="1:4" x14ac:dyDescent="0.3">
      <c r="A163" t="s">
        <v>3663</v>
      </c>
      <c r="B163" t="s">
        <v>4978</v>
      </c>
      <c r="C163" t="s">
        <v>4392</v>
      </c>
      <c r="D163" t="e" cm="1">
        <f t="array" ref="D163">TRANSPOSE(_xlfn._xlws.FILTER('Controllable Asset Registry'!#REF!,IFERROR('Controllable Asset Registry'!#REF!=A163,FALSE),"No Equipment in entity"))</f>
        <v>#REF!</v>
      </c>
    </row>
    <row r="164" spans="1:4" x14ac:dyDescent="0.3">
      <c r="A164" t="s">
        <v>3664</v>
      </c>
      <c r="B164" t="s">
        <v>4979</v>
      </c>
      <c r="C164" t="s">
        <v>4393</v>
      </c>
      <c r="D164" t="e" cm="1">
        <f t="array" ref="D164">TRANSPOSE(_xlfn._xlws.FILTER('Controllable Asset Registry'!#REF!,IFERROR('Controllable Asset Registry'!#REF!=A164,FALSE),"No Equipment in entity"))</f>
        <v>#REF!</v>
      </c>
    </row>
    <row r="165" spans="1:4" x14ac:dyDescent="0.3">
      <c r="A165" t="s">
        <v>3665</v>
      </c>
      <c r="B165" t="s">
        <v>4980</v>
      </c>
      <c r="C165" t="s">
        <v>4393</v>
      </c>
      <c r="D165" t="e" cm="1">
        <f t="array" ref="D165">TRANSPOSE(_xlfn._xlws.FILTER('Controllable Asset Registry'!#REF!,IFERROR('Controllable Asset Registry'!#REF!=A165,FALSE),"No Equipment in entity"))</f>
        <v>#REF!</v>
      </c>
    </row>
    <row r="166" spans="1:4" x14ac:dyDescent="0.3">
      <c r="A166" t="s">
        <v>3666</v>
      </c>
      <c r="B166" t="s">
        <v>4981</v>
      </c>
      <c r="C166" t="s">
        <v>4398</v>
      </c>
      <c r="D166" t="e" cm="1">
        <f t="array" ref="D166">TRANSPOSE(_xlfn._xlws.FILTER('Controllable Asset Registry'!#REF!,IFERROR('Controllable Asset Registry'!#REF!=A166,FALSE),"No Equipment in entity"))</f>
        <v>#REF!</v>
      </c>
    </row>
    <row r="167" spans="1:4" x14ac:dyDescent="0.3">
      <c r="A167" t="s">
        <v>3667</v>
      </c>
      <c r="B167" t="s">
        <v>4982</v>
      </c>
      <c r="C167" t="s">
        <v>4398</v>
      </c>
      <c r="D167" t="e" cm="1">
        <f t="array" ref="D167">TRANSPOSE(_xlfn._xlws.FILTER('Controllable Asset Registry'!#REF!,IFERROR('Controllable Asset Registry'!#REF!=A167,FALSE),"No Equipment in entity"))</f>
        <v>#REF!</v>
      </c>
    </row>
    <row r="168" spans="1:4" x14ac:dyDescent="0.3">
      <c r="A168" t="s">
        <v>3668</v>
      </c>
      <c r="B168" t="s">
        <v>4983</v>
      </c>
      <c r="C168" t="s">
        <v>4394</v>
      </c>
      <c r="D168" t="e" cm="1">
        <f t="array" ref="D168">TRANSPOSE(_xlfn._xlws.FILTER('Controllable Asset Registry'!#REF!,IFERROR('Controllable Asset Registry'!#REF!=A168,FALSE),"No Equipment in entity"))</f>
        <v>#REF!</v>
      </c>
    </row>
    <row r="169" spans="1:4" x14ac:dyDescent="0.3">
      <c r="A169" t="s">
        <v>3669</v>
      </c>
      <c r="B169" t="s">
        <v>4984</v>
      </c>
      <c r="C169" t="s">
        <v>4394</v>
      </c>
      <c r="D169" t="e" cm="1">
        <f t="array" ref="D169">TRANSPOSE(_xlfn._xlws.FILTER('Controllable Asset Registry'!#REF!,IFERROR('Controllable Asset Registry'!#REF!=A169,FALSE),"No Equipment in entity"))</f>
        <v>#REF!</v>
      </c>
    </row>
    <row r="170" spans="1:4" x14ac:dyDescent="0.3">
      <c r="A170" t="s">
        <v>3670</v>
      </c>
      <c r="B170" t="s">
        <v>4985</v>
      </c>
      <c r="C170" t="s">
        <v>4398</v>
      </c>
      <c r="D170" t="e" cm="1">
        <f t="array" ref="D170">TRANSPOSE(_xlfn._xlws.FILTER('Controllable Asset Registry'!#REF!,IFERROR('Controllable Asset Registry'!#REF!=A170,FALSE),"No Equipment in entity"))</f>
        <v>#REF!</v>
      </c>
    </row>
    <row r="171" spans="1:4" x14ac:dyDescent="0.3">
      <c r="A171" t="s">
        <v>3671</v>
      </c>
      <c r="B171" t="s">
        <v>4986</v>
      </c>
      <c r="C171" t="s">
        <v>4392</v>
      </c>
      <c r="D171" t="e" cm="1">
        <f t="array" ref="D171">TRANSPOSE(_xlfn._xlws.FILTER('Controllable Asset Registry'!#REF!,IFERROR('Controllable Asset Registry'!#REF!=A171,FALSE),"No Equipment in entity"))</f>
        <v>#REF!</v>
      </c>
    </row>
    <row r="172" spans="1:4" x14ac:dyDescent="0.3">
      <c r="A172" t="s">
        <v>3681</v>
      </c>
      <c r="B172" t="s">
        <v>4987</v>
      </c>
      <c r="C172" t="s">
        <v>4399</v>
      </c>
      <c r="D172" t="e" cm="1">
        <f t="array" ref="D172">TRANSPOSE(_xlfn._xlws.FILTER('Controllable Asset Registry'!#REF!,IFERROR('Controllable Asset Registry'!#REF!=A172,FALSE),"No Equipment in entity"))</f>
        <v>#REF!</v>
      </c>
    </row>
    <row r="173" spans="1:4" x14ac:dyDescent="0.3">
      <c r="A173" t="s">
        <v>4400</v>
      </c>
      <c r="B173" t="s">
        <v>4988</v>
      </c>
      <c r="C173" t="s">
        <v>4401</v>
      </c>
      <c r="D173" t="e" cm="1">
        <f t="array" ref="D173">TRANSPOSE(_xlfn._xlws.FILTER('Controllable Asset Registry'!#REF!,IFERROR('Controllable Asset Registry'!#REF!=A173,FALSE),"No Equipment in entity"))</f>
        <v>#REF!</v>
      </c>
    </row>
    <row r="174" spans="1:4" x14ac:dyDescent="0.3">
      <c r="A174" t="s">
        <v>4402</v>
      </c>
      <c r="B174" t="s">
        <v>4989</v>
      </c>
      <c r="C174" t="s">
        <v>4403</v>
      </c>
      <c r="D174" t="e" cm="1">
        <f t="array" ref="D174">TRANSPOSE(_xlfn._xlws.FILTER('Controllable Asset Registry'!#REF!,IFERROR('Controllable Asset Registry'!#REF!=A174,FALSE),"No Equipment in entity"))</f>
        <v>#REF!</v>
      </c>
    </row>
    <row r="175" spans="1:4" x14ac:dyDescent="0.3">
      <c r="A175" t="s">
        <v>4404</v>
      </c>
      <c r="B175" t="s">
        <v>4990</v>
      </c>
      <c r="C175" t="s">
        <v>4403</v>
      </c>
      <c r="D175" t="e" cm="1">
        <f t="array" ref="D175">TRANSPOSE(_xlfn._xlws.FILTER('Controllable Asset Registry'!#REF!,IFERROR('Controllable Asset Registry'!#REF!=A175,FALSE),"No Equipment in entity"))</f>
        <v>#REF!</v>
      </c>
    </row>
    <row r="176" spans="1:4" x14ac:dyDescent="0.3">
      <c r="A176" t="s">
        <v>3685</v>
      </c>
      <c r="B176" t="s">
        <v>4991</v>
      </c>
      <c r="C176" t="s">
        <v>4405</v>
      </c>
      <c r="D176" t="e" cm="1">
        <f t="array" ref="D176">TRANSPOSE(_xlfn._xlws.FILTER('Controllable Asset Registry'!#REF!,IFERROR('Controllable Asset Registry'!#REF!=A176,FALSE),"No Equipment in entity"))</f>
        <v>#REF!</v>
      </c>
    </row>
    <row r="177" spans="1:4" x14ac:dyDescent="0.3">
      <c r="A177" t="s">
        <v>3686</v>
      </c>
      <c r="B177" t="s">
        <v>4992</v>
      </c>
      <c r="C177" t="s">
        <v>4295</v>
      </c>
      <c r="D177" t="e" cm="1">
        <f t="array" ref="D177">TRANSPOSE(_xlfn._xlws.FILTER('Controllable Asset Registry'!#REF!,IFERROR('Controllable Asset Registry'!#REF!=A177,FALSE),"No Equipment in entity"))</f>
        <v>#REF!</v>
      </c>
    </row>
    <row r="178" spans="1:4" x14ac:dyDescent="0.3">
      <c r="A178" t="s">
        <v>3682</v>
      </c>
      <c r="B178" t="s">
        <v>4993</v>
      </c>
      <c r="C178" t="s">
        <v>4406</v>
      </c>
      <c r="D178" t="e" cm="1">
        <f t="array" ref="D178">TRANSPOSE(_xlfn._xlws.FILTER('Controllable Asset Registry'!#REF!,IFERROR('Controllable Asset Registry'!#REF!=A178,FALSE),"No Equipment in entity"))</f>
        <v>#REF!</v>
      </c>
    </row>
    <row r="179" spans="1:4" x14ac:dyDescent="0.3">
      <c r="A179" t="s">
        <v>3683</v>
      </c>
      <c r="B179" t="s">
        <v>4994</v>
      </c>
      <c r="C179" t="s">
        <v>4328</v>
      </c>
      <c r="D179" t="e" cm="1">
        <f t="array" ref="D179">TRANSPOSE(_xlfn._xlws.FILTER('Controllable Asset Registry'!#REF!,IFERROR('Controllable Asset Registry'!#REF!=A179,FALSE),"No Equipment in entity"))</f>
        <v>#REF!</v>
      </c>
    </row>
    <row r="180" spans="1:4" x14ac:dyDescent="0.3">
      <c r="A180" t="s">
        <v>3684</v>
      </c>
      <c r="B180" t="s">
        <v>4995</v>
      </c>
      <c r="C180" t="s">
        <v>4314</v>
      </c>
      <c r="D180" t="e" cm="1">
        <f t="array" ref="D180">TRANSPOSE(_xlfn._xlws.FILTER('Controllable Asset Registry'!#REF!,IFERROR('Controllable Asset Registry'!#REF!=A180,FALSE),"No Equipment in entity"))</f>
        <v>#REF!</v>
      </c>
    </row>
    <row r="181" spans="1:4" x14ac:dyDescent="0.3">
      <c r="A181" t="s">
        <v>3692</v>
      </c>
      <c r="B181" t="s">
        <v>4996</v>
      </c>
      <c r="C181" t="s">
        <v>4407</v>
      </c>
      <c r="D181" t="e" cm="1">
        <f t="array" ref="D181">TRANSPOSE(_xlfn._xlws.FILTER('Controllable Asset Registry'!#REF!,IFERROR('Controllable Asset Registry'!#REF!=A181,FALSE),"No Equipment in entity"))</f>
        <v>#REF!</v>
      </c>
    </row>
    <row r="182" spans="1:4" x14ac:dyDescent="0.3">
      <c r="A182" t="s">
        <v>3546</v>
      </c>
      <c r="B182" t="s">
        <v>4997</v>
      </c>
      <c r="C182" t="s">
        <v>4408</v>
      </c>
      <c r="D182" t="e" cm="1">
        <f t="array" ref="D182">TRANSPOSE(_xlfn._xlws.FILTER('Controllable Asset Registry'!#REF!,IFERROR('Controllable Asset Registry'!#REF!=A182,FALSE),"No Equipment in entity"))</f>
        <v>#REF!</v>
      </c>
    </row>
    <row r="183" spans="1:4" x14ac:dyDescent="0.3">
      <c r="A183" t="s">
        <v>4409</v>
      </c>
      <c r="B183" t="s">
        <v>4998</v>
      </c>
      <c r="C183" t="s">
        <v>4279</v>
      </c>
      <c r="D183" t="e" cm="1">
        <f t="array" ref="D183">TRANSPOSE(_xlfn._xlws.FILTER('Controllable Asset Registry'!#REF!,IFERROR('Controllable Asset Registry'!#REF!=A183,FALSE),"No Equipment in entity"))</f>
        <v>#REF!</v>
      </c>
    </row>
    <row r="184" spans="1:4" x14ac:dyDescent="0.3">
      <c r="A184" t="s">
        <v>3597</v>
      </c>
      <c r="B184" t="s">
        <v>4999</v>
      </c>
      <c r="C184" t="s">
        <v>4410</v>
      </c>
      <c r="D184" t="e" cm="1">
        <f t="array" ref="D184">TRANSPOSE(_xlfn._xlws.FILTER('Controllable Asset Registry'!#REF!,IFERROR('Controllable Asset Registry'!#REF!=A184,FALSE),"No Equipment in entity"))</f>
        <v>#REF!</v>
      </c>
    </row>
    <row r="185" spans="1:4" x14ac:dyDescent="0.3">
      <c r="A185" t="s">
        <v>3689</v>
      </c>
      <c r="B185" t="s">
        <v>5000</v>
      </c>
      <c r="C185" t="s">
        <v>4398</v>
      </c>
      <c r="D185" t="e" cm="1">
        <f t="array" ref="D185">TRANSPOSE(_xlfn._xlws.FILTER('Controllable Asset Registry'!#REF!,IFERROR('Controllable Asset Registry'!#REF!=A185,FALSE),"No Equipment in entity"))</f>
        <v>#REF!</v>
      </c>
    </row>
    <row r="186" spans="1:4" x14ac:dyDescent="0.3">
      <c r="A186" t="s">
        <v>3687</v>
      </c>
      <c r="B186" t="s">
        <v>5001</v>
      </c>
      <c r="C186" t="s">
        <v>4411</v>
      </c>
      <c r="D186" t="e" cm="1">
        <f t="array" ref="D186">TRANSPOSE(_xlfn._xlws.FILTER('Controllable Asset Registry'!#REF!,IFERROR('Controllable Asset Registry'!#REF!=A186,FALSE),"No Equipment in entity"))</f>
        <v>#REF!</v>
      </c>
    </row>
    <row r="187" spans="1:4" x14ac:dyDescent="0.3">
      <c r="A187" t="s">
        <v>3688</v>
      </c>
      <c r="B187" t="s">
        <v>5002</v>
      </c>
      <c r="C187" t="s">
        <v>4398</v>
      </c>
      <c r="D187" t="e" cm="1">
        <f t="array" ref="D187">TRANSPOSE(_xlfn._xlws.FILTER('Controllable Asset Registry'!#REF!,IFERROR('Controllable Asset Registry'!#REF!=A187,FALSE),"No Equipment in entity"))</f>
        <v>#REF!</v>
      </c>
    </row>
    <row r="188" spans="1:4" x14ac:dyDescent="0.3">
      <c r="A188" t="s">
        <v>4412</v>
      </c>
      <c r="B188" t="s">
        <v>5003</v>
      </c>
      <c r="C188" t="s">
        <v>4197</v>
      </c>
      <c r="D188" t="e" cm="1">
        <f t="array" ref="D188">TRANSPOSE(_xlfn._xlws.FILTER('Controllable Asset Registry'!#REF!,IFERROR('Controllable Asset Registry'!#REF!=A188,FALSE),"No Equipment in entity"))</f>
        <v>#REF!</v>
      </c>
    </row>
    <row r="189" spans="1:4" x14ac:dyDescent="0.3">
      <c r="A189" t="s">
        <v>4413</v>
      </c>
      <c r="B189" t="s">
        <v>5004</v>
      </c>
      <c r="C189" t="s">
        <v>4200</v>
      </c>
      <c r="D189" t="e" cm="1">
        <f t="array" ref="D189">TRANSPOSE(_xlfn._xlws.FILTER('Controllable Asset Registry'!#REF!,IFERROR('Controllable Asset Registry'!#REF!=A189,FALSE),"No Equipment in entity"))</f>
        <v>#REF!</v>
      </c>
    </row>
    <row r="190" spans="1:4" x14ac:dyDescent="0.3">
      <c r="A190" t="s">
        <v>4414</v>
      </c>
      <c r="B190" t="s">
        <v>5005</v>
      </c>
      <c r="C190" t="s">
        <v>3344</v>
      </c>
      <c r="D190" t="e" cm="1">
        <f t="array" ref="D190">TRANSPOSE(_xlfn._xlws.FILTER('Controllable Asset Registry'!#REF!,IFERROR('Controllable Asset Registry'!#REF!=A190,FALSE),"No Equipment in entity"))</f>
        <v>#REF!</v>
      </c>
    </row>
    <row r="191" spans="1:4" x14ac:dyDescent="0.3">
      <c r="A191" t="s">
        <v>3545</v>
      </c>
      <c r="B191" t="s">
        <v>5006</v>
      </c>
      <c r="C191" t="s">
        <v>4206</v>
      </c>
      <c r="D191" t="e" cm="1">
        <f t="array" ref="D191">TRANSPOSE(_xlfn._xlws.FILTER('Controllable Asset Registry'!#REF!,IFERROR('Controllable Asset Registry'!#REF!=A191,FALSE),"No Equipment in entity"))</f>
        <v>#REF!</v>
      </c>
    </row>
    <row r="192" spans="1:4" x14ac:dyDescent="0.3">
      <c r="A192" t="s">
        <v>4415</v>
      </c>
      <c r="B192" t="s">
        <v>5007</v>
      </c>
      <c r="C192" t="s">
        <v>3341</v>
      </c>
      <c r="D192" t="e" cm="1">
        <f t="array" ref="D192">TRANSPOSE(_xlfn._xlws.FILTER('Controllable Asset Registry'!#REF!,IFERROR('Controllable Asset Registry'!#REF!=A192,FALSE),"No Equipment in entity"))</f>
        <v>#REF!</v>
      </c>
    </row>
    <row r="193" spans="1:4" x14ac:dyDescent="0.3">
      <c r="A193" t="s">
        <v>3544</v>
      </c>
      <c r="B193" t="s">
        <v>5008</v>
      </c>
      <c r="C193" t="s">
        <v>4206</v>
      </c>
      <c r="D193" t="e" cm="1">
        <f t="array" ref="D193">TRANSPOSE(_xlfn._xlws.FILTER('Controllable Asset Registry'!#REF!,IFERROR('Controllable Asset Registry'!#REF!=A193,FALSE),"No Equipment in entity"))</f>
        <v>#REF!</v>
      </c>
    </row>
    <row r="194" spans="1:4" x14ac:dyDescent="0.3">
      <c r="A194" t="s">
        <v>4416</v>
      </c>
      <c r="B194" t="s">
        <v>5009</v>
      </c>
      <c r="C194" t="s">
        <v>4348</v>
      </c>
      <c r="D194" t="e" cm="1">
        <f t="array" ref="D194">TRANSPOSE(_xlfn._xlws.FILTER('Controllable Asset Registry'!#REF!,IFERROR('Controllable Asset Registry'!#REF!=A194,FALSE),"No Equipment in entity"))</f>
        <v>#REF!</v>
      </c>
    </row>
    <row r="195" spans="1:4" x14ac:dyDescent="0.3">
      <c r="A195" t="s">
        <v>4417</v>
      </c>
      <c r="B195" t="s">
        <v>5010</v>
      </c>
      <c r="C195" t="s">
        <v>4351</v>
      </c>
      <c r="D195" t="e" cm="1">
        <f t="array" ref="D195">TRANSPOSE(_xlfn._xlws.FILTER('Controllable Asset Registry'!#REF!,IFERROR('Controllable Asset Registry'!#REF!=A195,FALSE),"No Equipment in entity"))</f>
        <v>#REF!</v>
      </c>
    </row>
    <row r="196" spans="1:4" x14ac:dyDescent="0.3">
      <c r="A196" t="s">
        <v>4418</v>
      </c>
      <c r="B196" t="s">
        <v>5011</v>
      </c>
      <c r="C196" t="s">
        <v>3341</v>
      </c>
      <c r="D196" t="e" cm="1">
        <f t="array" ref="D196">TRANSPOSE(_xlfn._xlws.FILTER('Controllable Asset Registry'!#REF!,IFERROR('Controllable Asset Registry'!#REF!=A196,FALSE),"No Equipment in entity"))</f>
        <v>#REF!</v>
      </c>
    </row>
    <row r="197" spans="1:4" x14ac:dyDescent="0.3">
      <c r="A197" t="s">
        <v>3691</v>
      </c>
      <c r="B197" t="s">
        <v>5012</v>
      </c>
      <c r="C197" t="s">
        <v>3318</v>
      </c>
      <c r="D197" t="e" cm="1">
        <f t="array" ref="D197">TRANSPOSE(_xlfn._xlws.FILTER('Controllable Asset Registry'!#REF!,IFERROR('Controllable Asset Registry'!#REF!=A197,FALSE),"No Equipment in entity"))</f>
        <v>#REF!</v>
      </c>
    </row>
    <row r="198" spans="1:4" x14ac:dyDescent="0.3">
      <c r="A198" t="s">
        <v>3690</v>
      </c>
      <c r="B198" t="s">
        <v>5013</v>
      </c>
      <c r="C198" t="s">
        <v>3318</v>
      </c>
      <c r="D198" t="e" cm="1">
        <f t="array" ref="D198">TRANSPOSE(_xlfn._xlws.FILTER('Controllable Asset Registry'!#REF!,IFERROR('Controllable Asset Registry'!#REF!=A198,FALSE),"No Equipment in entity"))</f>
        <v>#REF!</v>
      </c>
    </row>
    <row r="199" spans="1:4" x14ac:dyDescent="0.3">
      <c r="A199" t="s">
        <v>4419</v>
      </c>
      <c r="B199" t="s">
        <v>5014</v>
      </c>
      <c r="C199" t="s">
        <v>3318</v>
      </c>
      <c r="D199" t="e" cm="1">
        <f t="array" ref="D199">TRANSPOSE(_xlfn._xlws.FILTER('Controllable Asset Registry'!#REF!,IFERROR('Controllable Asset Registry'!#REF!=A199,FALSE),"No Equipment in entity"))</f>
        <v>#REF!</v>
      </c>
    </row>
    <row r="200" spans="1:4" x14ac:dyDescent="0.3">
      <c r="A200" t="s">
        <v>3695</v>
      </c>
      <c r="B200" t="s">
        <v>5015</v>
      </c>
      <c r="C200" t="s">
        <v>4420</v>
      </c>
      <c r="D200" t="e" cm="1">
        <f t="array" ref="D200">TRANSPOSE(_xlfn._xlws.FILTER('Controllable Asset Registry'!#REF!,IFERROR('Controllable Asset Registry'!#REF!=A200,FALSE),"No Equipment in entity"))</f>
        <v>#REF!</v>
      </c>
    </row>
    <row r="201" spans="1:4" x14ac:dyDescent="0.3">
      <c r="A201" t="s">
        <v>3693</v>
      </c>
      <c r="B201" t="s">
        <v>5016</v>
      </c>
      <c r="C201" t="s">
        <v>4421</v>
      </c>
      <c r="D201" t="e" cm="1">
        <f t="array" ref="D201">TRANSPOSE(_xlfn._xlws.FILTER('Controllable Asset Registry'!#REF!,IFERROR('Controllable Asset Registry'!#REF!=A201,FALSE),"No Equipment in entity"))</f>
        <v>#REF!</v>
      </c>
    </row>
    <row r="202" spans="1:4" x14ac:dyDescent="0.3">
      <c r="A202" t="s">
        <v>4422</v>
      </c>
      <c r="B202" t="s">
        <v>5017</v>
      </c>
      <c r="C202" t="s">
        <v>4423</v>
      </c>
      <c r="D202" t="e" cm="1">
        <f t="array" ref="D202">TRANSPOSE(_xlfn._xlws.FILTER('Controllable Asset Registry'!#REF!,IFERROR('Controllable Asset Registry'!#REF!=A202,FALSE),"No Equipment in entity"))</f>
        <v>#REF!</v>
      </c>
    </row>
    <row r="203" spans="1:4" x14ac:dyDescent="0.3">
      <c r="A203" t="s">
        <v>4424</v>
      </c>
      <c r="B203" t="s">
        <v>5018</v>
      </c>
      <c r="C203" t="s">
        <v>4425</v>
      </c>
      <c r="D203" t="e" cm="1">
        <f t="array" ref="D203">TRANSPOSE(_xlfn._xlws.FILTER('Controllable Asset Registry'!#REF!,IFERROR('Controllable Asset Registry'!#REF!=A203,FALSE),"No Equipment in entity"))</f>
        <v>#REF!</v>
      </c>
    </row>
    <row r="204" spans="1:4" x14ac:dyDescent="0.3">
      <c r="A204" t="s">
        <v>4426</v>
      </c>
      <c r="B204" t="s">
        <v>5019</v>
      </c>
      <c r="C204" t="s">
        <v>4427</v>
      </c>
      <c r="D204" t="e" cm="1">
        <f t="array" ref="D204">TRANSPOSE(_xlfn._xlws.FILTER('Controllable Asset Registry'!#REF!,IFERROR('Controllable Asset Registry'!#REF!=A204,FALSE),"No Equipment in entity"))</f>
        <v>#REF!</v>
      </c>
    </row>
    <row r="205" spans="1:4" x14ac:dyDescent="0.3">
      <c r="A205" t="s">
        <v>3694</v>
      </c>
      <c r="B205" t="s">
        <v>5020</v>
      </c>
      <c r="C205" t="s">
        <v>4428</v>
      </c>
      <c r="D205" t="e" cm="1">
        <f t="array" ref="D205">TRANSPOSE(_xlfn._xlws.FILTER('Controllable Asset Registry'!#REF!,IFERROR('Controllable Asset Registry'!#REF!=A205,FALSE),"No Equipment in entity"))</f>
        <v>#REF!</v>
      </c>
    </row>
    <row r="206" spans="1:4" x14ac:dyDescent="0.3">
      <c r="A206" t="s">
        <v>5710</v>
      </c>
      <c r="B206" t="s">
        <v>5711</v>
      </c>
      <c r="C206" t="s">
        <v>4362</v>
      </c>
      <c r="D206" t="e" cm="1">
        <f t="array" ref="D206">TRANSPOSE(_xlfn._xlws.FILTER('Controllable Asset Registry'!#REF!,IFERROR('Controllable Asset Registry'!#REF!=A206,FALSE),"No Equipment in entity"))</f>
        <v>#REF!</v>
      </c>
    </row>
    <row r="207" spans="1:4" x14ac:dyDescent="0.3">
      <c r="A207" t="s">
        <v>5712</v>
      </c>
      <c r="B207" t="s">
        <v>5713</v>
      </c>
      <c r="C207" t="s">
        <v>4365</v>
      </c>
      <c r="D207" t="e" cm="1">
        <f t="array" ref="D207">TRANSPOSE(_xlfn._xlws.FILTER('Controllable Asset Registry'!#REF!,IFERROR('Controllable Asset Registry'!#REF!=A207,FALSE),"No Equipment in entity"))</f>
        <v>#REF!</v>
      </c>
    </row>
    <row r="208" spans="1:4" x14ac:dyDescent="0.3">
      <c r="A208" t="s">
        <v>5714</v>
      </c>
      <c r="B208" t="s">
        <v>5715</v>
      </c>
      <c r="C208" t="s">
        <v>4368</v>
      </c>
      <c r="D208" t="e" cm="1">
        <f t="array" ref="D208">TRANSPOSE(_xlfn._xlws.FILTER('Controllable Asset Registry'!#REF!,IFERROR('Controllable Asset Registry'!#REF!=A208,FALSE),"No Equipment in entity"))</f>
        <v>#REF!</v>
      </c>
    </row>
    <row r="209" spans="1:4" x14ac:dyDescent="0.3">
      <c r="A209" t="s">
        <v>5716</v>
      </c>
      <c r="B209" t="s">
        <v>5717</v>
      </c>
      <c r="C209" t="s">
        <v>4371</v>
      </c>
      <c r="D209" t="e" cm="1">
        <f t="array" ref="D209">TRANSPOSE(_xlfn._xlws.FILTER('Controllable Asset Registry'!#REF!,IFERROR('Controllable Asset Registry'!#REF!=A209,FALSE),"No Equipment in entity"))</f>
        <v>#REF!</v>
      </c>
    </row>
    <row r="210" spans="1:4" x14ac:dyDescent="0.3">
      <c r="A210" t="s">
        <v>5718</v>
      </c>
      <c r="B210" t="s">
        <v>5719</v>
      </c>
      <c r="C210" t="s">
        <v>4235</v>
      </c>
      <c r="D210" t="e" cm="1">
        <f t="array" ref="D210">TRANSPOSE(_xlfn._xlws.FILTER('Controllable Asset Registry'!#REF!,IFERROR('Controllable Asset Registry'!#REF!=A210,FALSE),"No Equipment in entity"))</f>
        <v>#REF!</v>
      </c>
    </row>
    <row r="211" spans="1:4" x14ac:dyDescent="0.3">
      <c r="A211" t="s">
        <v>5720</v>
      </c>
      <c r="B211" t="s">
        <v>5721</v>
      </c>
      <c r="C211" t="s">
        <v>4238</v>
      </c>
      <c r="D211" t="e" cm="1">
        <f t="array" ref="D211">TRANSPOSE(_xlfn._xlws.FILTER('Controllable Asset Registry'!#REF!,IFERROR('Controllable Asset Registry'!#REF!=A211,FALSE),"No Equipment in entity"))</f>
        <v>#REF!</v>
      </c>
    </row>
    <row r="212" spans="1:4" x14ac:dyDescent="0.3">
      <c r="A212" t="s">
        <v>5722</v>
      </c>
      <c r="B212" t="s">
        <v>5723</v>
      </c>
      <c r="C212" t="s">
        <v>4241</v>
      </c>
      <c r="D212" t="e" cm="1">
        <f t="array" ref="D212">TRANSPOSE(_xlfn._xlws.FILTER('Controllable Asset Registry'!#REF!,IFERROR('Controllable Asset Registry'!#REF!=A212,FALSE),"No Equipment in entity"))</f>
        <v>#REF!</v>
      </c>
    </row>
    <row r="213" spans="1:4" x14ac:dyDescent="0.3">
      <c r="A213" t="s">
        <v>5724</v>
      </c>
      <c r="B213" t="s">
        <v>5725</v>
      </c>
      <c r="C213" t="s">
        <v>4380</v>
      </c>
      <c r="D213" t="e" cm="1">
        <f t="array" ref="D213">TRANSPOSE(_xlfn._xlws.FILTER('Controllable Asset Registry'!#REF!,IFERROR('Controllable Asset Registry'!#REF!=A213,FALSE),"No Equipment in entity"))</f>
        <v>#REF!</v>
      </c>
    </row>
    <row r="214" spans="1:4" x14ac:dyDescent="0.3">
      <c r="A214" t="s">
        <v>5726</v>
      </c>
      <c r="B214" t="s">
        <v>5727</v>
      </c>
      <c r="C214" t="s">
        <v>4246</v>
      </c>
      <c r="D214" t="e" cm="1">
        <f t="array" ref="D214">TRANSPOSE(_xlfn._xlws.FILTER('Controllable Asset Registry'!#REF!,IFERROR('Controllable Asset Registry'!#REF!=A214,FALSE),"No Equipment in entity"))</f>
        <v>#REF!</v>
      </c>
    </row>
    <row r="215" spans="1:4" x14ac:dyDescent="0.3">
      <c r="A215" t="s">
        <v>5728</v>
      </c>
      <c r="B215" t="s">
        <v>5729</v>
      </c>
      <c r="C215" t="s">
        <v>4248</v>
      </c>
      <c r="D215" t="e" cm="1">
        <f t="array" ref="D215">TRANSPOSE(_xlfn._xlws.FILTER('Controllable Asset Registry'!#REF!,IFERROR('Controllable Asset Registry'!#REF!=A215,FALSE),"No Equipment in entity"))</f>
        <v>#REF!</v>
      </c>
    </row>
    <row r="216" spans="1:4" x14ac:dyDescent="0.3">
      <c r="A216" t="s">
        <v>5730</v>
      </c>
      <c r="B216" t="s">
        <v>5731</v>
      </c>
      <c r="C216" t="s">
        <v>4387</v>
      </c>
      <c r="D216" t="e" cm="1">
        <f t="array" ref="D216">TRANSPOSE(_xlfn._xlws.FILTER('Controllable Asset Registry'!#REF!,IFERROR('Controllable Asset Registry'!#REF!=A216,FALSE),"No Equipment in entity"))</f>
        <v>#REF!</v>
      </c>
    </row>
    <row r="217" spans="1:4" x14ac:dyDescent="0.3">
      <c r="A217" t="s">
        <v>5732</v>
      </c>
      <c r="B217" t="s">
        <v>5733</v>
      </c>
      <c r="C217" t="s">
        <v>4251</v>
      </c>
      <c r="D217" t="e" cm="1">
        <f t="array" ref="D217">TRANSPOSE(_xlfn._xlws.FILTER('Controllable Asset Registry'!#REF!,IFERROR('Controllable Asset Registry'!#REF!=A217,FALSE),"No Equipment in entity"))</f>
        <v>#REF!</v>
      </c>
    </row>
    <row r="218" spans="1:4" x14ac:dyDescent="0.3">
      <c r="A218" t="s">
        <v>3738</v>
      </c>
      <c r="B218" t="s">
        <v>5021</v>
      </c>
      <c r="C218" t="s">
        <v>4324</v>
      </c>
      <c r="D218" t="e" cm="1">
        <f t="array" ref="D218">TRANSPOSE(_xlfn._xlws.FILTER('Controllable Asset Registry'!#REF!,IFERROR('Controllable Asset Registry'!#REF!=A218,FALSE),"No Equipment in entity"))</f>
        <v>#REF!</v>
      </c>
    </row>
    <row r="219" spans="1:4" x14ac:dyDescent="0.3">
      <c r="A219" t="s">
        <v>3737</v>
      </c>
      <c r="B219" t="s">
        <v>5022</v>
      </c>
      <c r="C219" t="s">
        <v>4429</v>
      </c>
      <c r="D219" t="e" cm="1">
        <f t="array" ref="D219">TRANSPOSE(_xlfn._xlws.FILTER('Controllable Asset Registry'!#REF!,IFERROR('Controllable Asset Registry'!#REF!=A219,FALSE),"No Equipment in entity"))</f>
        <v>#REF!</v>
      </c>
    </row>
    <row r="220" spans="1:4" x14ac:dyDescent="0.3">
      <c r="A220" t="s">
        <v>3736</v>
      </c>
      <c r="B220" t="s">
        <v>5023</v>
      </c>
      <c r="C220" t="s">
        <v>4429</v>
      </c>
      <c r="D220" t="e" cm="1">
        <f t="array" ref="D220">TRANSPOSE(_xlfn._xlws.FILTER('Controllable Asset Registry'!#REF!,IFERROR('Controllable Asset Registry'!#REF!=A220,FALSE),"No Equipment in entity"))</f>
        <v>#REF!</v>
      </c>
    </row>
    <row r="221" spans="1:4" x14ac:dyDescent="0.3">
      <c r="A221" t="s">
        <v>3735</v>
      </c>
      <c r="B221" t="s">
        <v>5024</v>
      </c>
      <c r="C221" t="s">
        <v>4430</v>
      </c>
      <c r="D221" t="e" cm="1">
        <f t="array" ref="D221">TRANSPOSE(_xlfn._xlws.FILTER('Controllable Asset Registry'!#REF!,IFERROR('Controllable Asset Registry'!#REF!=A221,FALSE),"No Equipment in entity"))</f>
        <v>#REF!</v>
      </c>
    </row>
    <row r="222" spans="1:4" x14ac:dyDescent="0.3">
      <c r="A222" t="s">
        <v>3734</v>
      </c>
      <c r="B222" t="s">
        <v>5025</v>
      </c>
      <c r="C222" t="s">
        <v>4429</v>
      </c>
      <c r="D222" t="e" cm="1">
        <f t="array" ref="D222">TRANSPOSE(_xlfn._xlws.FILTER('Controllable Asset Registry'!#REF!,IFERROR('Controllable Asset Registry'!#REF!=A222,FALSE),"No Equipment in entity"))</f>
        <v>#REF!</v>
      </c>
    </row>
    <row r="223" spans="1:4" x14ac:dyDescent="0.3">
      <c r="A223" t="s">
        <v>3733</v>
      </c>
      <c r="B223" t="s">
        <v>5026</v>
      </c>
      <c r="C223" t="s">
        <v>4429</v>
      </c>
      <c r="D223" t="e" cm="1">
        <f t="array" ref="D223">TRANSPOSE(_xlfn._xlws.FILTER('Controllable Asset Registry'!#REF!,IFERROR('Controllable Asset Registry'!#REF!=A223,FALSE),"No Equipment in entity"))</f>
        <v>#REF!</v>
      </c>
    </row>
    <row r="224" spans="1:4" x14ac:dyDescent="0.3">
      <c r="A224" t="s">
        <v>3732</v>
      </c>
      <c r="B224" t="s">
        <v>5027</v>
      </c>
      <c r="C224" t="s">
        <v>4429</v>
      </c>
      <c r="D224" t="e" cm="1">
        <f t="array" ref="D224">TRANSPOSE(_xlfn._xlws.FILTER('Controllable Asset Registry'!#REF!,IFERROR('Controllable Asset Registry'!#REF!=A224,FALSE),"No Equipment in entity"))</f>
        <v>#REF!</v>
      </c>
    </row>
    <row r="225" spans="1:4" x14ac:dyDescent="0.3">
      <c r="A225" t="s">
        <v>3731</v>
      </c>
      <c r="B225" t="s">
        <v>5028</v>
      </c>
      <c r="C225" t="s">
        <v>4429</v>
      </c>
      <c r="D225" t="e" cm="1">
        <f t="array" ref="D225">TRANSPOSE(_xlfn._xlws.FILTER('Controllable Asset Registry'!#REF!,IFERROR('Controllable Asset Registry'!#REF!=A225,FALSE),"No Equipment in entity"))</f>
        <v>#REF!</v>
      </c>
    </row>
    <row r="226" spans="1:4" x14ac:dyDescent="0.3">
      <c r="A226" t="s">
        <v>3730</v>
      </c>
      <c r="B226" t="s">
        <v>5029</v>
      </c>
      <c r="C226" t="s">
        <v>4431</v>
      </c>
      <c r="D226" t="e" cm="1">
        <f t="array" ref="D226">TRANSPOSE(_xlfn._xlws.FILTER('Controllable Asset Registry'!#REF!,IFERROR('Controllable Asset Registry'!#REF!=A226,FALSE),"No Equipment in entity"))</f>
        <v>#REF!</v>
      </c>
    </row>
    <row r="227" spans="1:4" x14ac:dyDescent="0.3">
      <c r="A227" t="s">
        <v>3729</v>
      </c>
      <c r="B227" t="s">
        <v>5030</v>
      </c>
      <c r="C227" t="s">
        <v>4432</v>
      </c>
      <c r="D227" t="e" cm="1">
        <f t="array" ref="D227">TRANSPOSE(_xlfn._xlws.FILTER('Controllable Asset Registry'!#REF!,IFERROR('Controllable Asset Registry'!#REF!=A227,FALSE),"No Equipment in entity"))</f>
        <v>#REF!</v>
      </c>
    </row>
    <row r="228" spans="1:4" x14ac:dyDescent="0.3">
      <c r="A228" t="s">
        <v>3728</v>
      </c>
      <c r="B228" t="s">
        <v>5031</v>
      </c>
      <c r="C228" t="s">
        <v>4432</v>
      </c>
      <c r="D228" t="e" cm="1">
        <f t="array" ref="D228">TRANSPOSE(_xlfn._xlws.FILTER('Controllable Asset Registry'!#REF!,IFERROR('Controllable Asset Registry'!#REF!=A228,FALSE),"No Equipment in entity"))</f>
        <v>#REF!</v>
      </c>
    </row>
    <row r="229" spans="1:4" x14ac:dyDescent="0.3">
      <c r="A229" t="s">
        <v>3727</v>
      </c>
      <c r="B229" t="s">
        <v>5032</v>
      </c>
      <c r="C229" t="s">
        <v>4432</v>
      </c>
      <c r="D229" t="e" cm="1">
        <f t="array" ref="D229">TRANSPOSE(_xlfn._xlws.FILTER('Controllable Asset Registry'!#REF!,IFERROR('Controllable Asset Registry'!#REF!=A229,FALSE),"No Equipment in entity"))</f>
        <v>#REF!</v>
      </c>
    </row>
    <row r="230" spans="1:4" x14ac:dyDescent="0.3">
      <c r="A230" t="s">
        <v>3726</v>
      </c>
      <c r="B230" t="s">
        <v>5033</v>
      </c>
      <c r="C230" t="s">
        <v>4431</v>
      </c>
      <c r="D230" t="e" cm="1">
        <f t="array" ref="D230">TRANSPOSE(_xlfn._xlws.FILTER('Controllable Asset Registry'!#REF!,IFERROR('Controllable Asset Registry'!#REF!=A230,FALSE),"No Equipment in entity"))</f>
        <v>#REF!</v>
      </c>
    </row>
    <row r="231" spans="1:4" x14ac:dyDescent="0.3">
      <c r="A231" t="s">
        <v>3725</v>
      </c>
      <c r="B231" t="s">
        <v>5034</v>
      </c>
      <c r="C231" t="s">
        <v>4432</v>
      </c>
      <c r="D231" t="e" cm="1">
        <f t="array" ref="D231">TRANSPOSE(_xlfn._xlws.FILTER('Controllable Asset Registry'!#REF!,IFERROR('Controllable Asset Registry'!#REF!=A231,FALSE),"No Equipment in entity"))</f>
        <v>#REF!</v>
      </c>
    </row>
    <row r="232" spans="1:4" x14ac:dyDescent="0.3">
      <c r="A232" t="s">
        <v>3724</v>
      </c>
      <c r="B232" t="s">
        <v>5035</v>
      </c>
      <c r="C232" t="s">
        <v>4432</v>
      </c>
      <c r="D232" t="e" cm="1">
        <f t="array" ref="D232">TRANSPOSE(_xlfn._xlws.FILTER('Controllable Asset Registry'!#REF!,IFERROR('Controllable Asset Registry'!#REF!=A232,FALSE),"No Equipment in entity"))</f>
        <v>#REF!</v>
      </c>
    </row>
    <row r="233" spans="1:4" x14ac:dyDescent="0.3">
      <c r="A233" t="s">
        <v>3723</v>
      </c>
      <c r="B233" t="s">
        <v>5036</v>
      </c>
      <c r="C233" t="s">
        <v>4432</v>
      </c>
      <c r="D233" t="e" cm="1">
        <f t="array" ref="D233">TRANSPOSE(_xlfn._xlws.FILTER('Controllable Asset Registry'!#REF!,IFERROR('Controllable Asset Registry'!#REF!=A233,FALSE),"No Equipment in entity"))</f>
        <v>#REF!</v>
      </c>
    </row>
    <row r="234" spans="1:4" x14ac:dyDescent="0.3">
      <c r="A234" t="s">
        <v>3722</v>
      </c>
      <c r="B234" t="s">
        <v>5037</v>
      </c>
      <c r="C234" t="s">
        <v>4431</v>
      </c>
      <c r="D234" t="e" cm="1">
        <f t="array" ref="D234">TRANSPOSE(_xlfn._xlws.FILTER('Controllable Asset Registry'!#REF!,IFERROR('Controllable Asset Registry'!#REF!=A234,FALSE),"No Equipment in entity"))</f>
        <v>#REF!</v>
      </c>
    </row>
    <row r="235" spans="1:4" x14ac:dyDescent="0.3">
      <c r="A235" t="s">
        <v>3696</v>
      </c>
      <c r="B235" t="s">
        <v>5038</v>
      </c>
      <c r="C235" t="s">
        <v>4433</v>
      </c>
      <c r="D235" t="e" cm="1">
        <f t="array" ref="D235">TRANSPOSE(_xlfn._xlws.FILTER('Controllable Asset Registry'!#REF!,IFERROR('Controllable Asset Registry'!#REF!=A235,FALSE),"No Equipment in entity"))</f>
        <v>#REF!</v>
      </c>
    </row>
    <row r="236" spans="1:4" x14ac:dyDescent="0.3">
      <c r="A236" t="s">
        <v>3697</v>
      </c>
      <c r="B236" t="s">
        <v>5039</v>
      </c>
      <c r="C236" t="s">
        <v>4432</v>
      </c>
      <c r="D236" t="e" cm="1">
        <f t="array" ref="D236">TRANSPOSE(_xlfn._xlws.FILTER('Controllable Asset Registry'!#REF!,IFERROR('Controllable Asset Registry'!#REF!=A236,FALSE),"No Equipment in entity"))</f>
        <v>#REF!</v>
      </c>
    </row>
    <row r="237" spans="1:4" x14ac:dyDescent="0.3">
      <c r="A237" t="s">
        <v>3698</v>
      </c>
      <c r="B237" t="s">
        <v>5040</v>
      </c>
      <c r="C237" t="s">
        <v>4432</v>
      </c>
      <c r="D237" t="e" cm="1">
        <f t="array" ref="D237">TRANSPOSE(_xlfn._xlws.FILTER('Controllable Asset Registry'!#REF!,IFERROR('Controllable Asset Registry'!#REF!=A237,FALSE),"No Equipment in entity"))</f>
        <v>#REF!</v>
      </c>
    </row>
    <row r="238" spans="1:4" x14ac:dyDescent="0.3">
      <c r="A238" t="s">
        <v>3699</v>
      </c>
      <c r="B238" t="s">
        <v>5041</v>
      </c>
      <c r="C238" t="s">
        <v>4432</v>
      </c>
      <c r="D238" t="e" cm="1">
        <f t="array" ref="D238">TRANSPOSE(_xlfn._xlws.FILTER('Controllable Asset Registry'!#REF!,IFERROR('Controllable Asset Registry'!#REF!=A238,FALSE),"No Equipment in entity"))</f>
        <v>#REF!</v>
      </c>
    </row>
    <row r="239" spans="1:4" x14ac:dyDescent="0.3">
      <c r="A239" t="s">
        <v>3700</v>
      </c>
      <c r="B239" t="s">
        <v>5042</v>
      </c>
      <c r="C239" t="s">
        <v>4431</v>
      </c>
      <c r="D239" t="e" cm="1">
        <f t="array" ref="D239">TRANSPOSE(_xlfn._xlws.FILTER('Controllable Asset Registry'!#REF!,IFERROR('Controllable Asset Registry'!#REF!=A239,FALSE),"No Equipment in entity"))</f>
        <v>#REF!</v>
      </c>
    </row>
    <row r="240" spans="1:4" x14ac:dyDescent="0.3">
      <c r="A240" t="s">
        <v>3701</v>
      </c>
      <c r="B240" t="s">
        <v>5043</v>
      </c>
      <c r="C240" t="s">
        <v>4432</v>
      </c>
      <c r="D240" t="e" cm="1">
        <f t="array" ref="D240">TRANSPOSE(_xlfn._xlws.FILTER('Controllable Asset Registry'!#REF!,IFERROR('Controllable Asset Registry'!#REF!=A240,FALSE),"No Equipment in entity"))</f>
        <v>#REF!</v>
      </c>
    </row>
    <row r="241" spans="1:4" x14ac:dyDescent="0.3">
      <c r="A241" t="s">
        <v>3702</v>
      </c>
      <c r="B241" t="s">
        <v>5044</v>
      </c>
      <c r="C241" t="s">
        <v>4432</v>
      </c>
      <c r="D241" t="e" cm="1">
        <f t="array" ref="D241">TRANSPOSE(_xlfn._xlws.FILTER('Controllable Asset Registry'!#REF!,IFERROR('Controllable Asset Registry'!#REF!=A241,FALSE),"No Equipment in entity"))</f>
        <v>#REF!</v>
      </c>
    </row>
    <row r="242" spans="1:4" x14ac:dyDescent="0.3">
      <c r="A242" t="s">
        <v>3703</v>
      </c>
      <c r="B242" t="s">
        <v>5045</v>
      </c>
      <c r="C242" t="s">
        <v>4432</v>
      </c>
      <c r="D242" t="e" cm="1">
        <f t="array" ref="D242">TRANSPOSE(_xlfn._xlws.FILTER('Controllable Asset Registry'!#REF!,IFERROR('Controllable Asset Registry'!#REF!=A242,FALSE),"No Equipment in entity"))</f>
        <v>#REF!</v>
      </c>
    </row>
    <row r="243" spans="1:4" x14ac:dyDescent="0.3">
      <c r="A243" t="s">
        <v>3704</v>
      </c>
      <c r="B243" t="s">
        <v>5046</v>
      </c>
      <c r="C243" t="s">
        <v>4431</v>
      </c>
      <c r="D243" t="e" cm="1">
        <f t="array" ref="D243">TRANSPOSE(_xlfn._xlws.FILTER('Controllable Asset Registry'!#REF!,IFERROR('Controllable Asset Registry'!#REF!=A243,FALSE),"No Equipment in entity"))</f>
        <v>#REF!</v>
      </c>
    </row>
    <row r="244" spans="1:4" x14ac:dyDescent="0.3">
      <c r="A244" t="s">
        <v>3705</v>
      </c>
      <c r="B244" t="s">
        <v>5047</v>
      </c>
      <c r="C244" t="s">
        <v>4432</v>
      </c>
      <c r="D244" t="e" cm="1">
        <f t="array" ref="D244">TRANSPOSE(_xlfn._xlws.FILTER('Controllable Asset Registry'!#REF!,IFERROR('Controllable Asset Registry'!#REF!=A244,FALSE),"No Equipment in entity"))</f>
        <v>#REF!</v>
      </c>
    </row>
    <row r="245" spans="1:4" x14ac:dyDescent="0.3">
      <c r="A245" t="s">
        <v>3706</v>
      </c>
      <c r="B245" t="s">
        <v>5048</v>
      </c>
      <c r="C245" t="s">
        <v>4432</v>
      </c>
      <c r="D245" t="e" cm="1">
        <f t="array" ref="D245">TRANSPOSE(_xlfn._xlws.FILTER('Controllable Asset Registry'!#REF!,IFERROR('Controllable Asset Registry'!#REF!=A245,FALSE),"No Equipment in entity"))</f>
        <v>#REF!</v>
      </c>
    </row>
    <row r="246" spans="1:4" x14ac:dyDescent="0.3">
      <c r="A246" t="s">
        <v>3707</v>
      </c>
      <c r="B246" t="s">
        <v>5049</v>
      </c>
      <c r="C246" t="s">
        <v>4432</v>
      </c>
      <c r="D246" t="e" cm="1">
        <f t="array" ref="D246">TRANSPOSE(_xlfn._xlws.FILTER('Controllable Asset Registry'!#REF!,IFERROR('Controllable Asset Registry'!#REF!=A246,FALSE),"No Equipment in entity"))</f>
        <v>#REF!</v>
      </c>
    </row>
    <row r="247" spans="1:4" x14ac:dyDescent="0.3">
      <c r="A247" t="s">
        <v>3708</v>
      </c>
      <c r="B247" t="s">
        <v>5050</v>
      </c>
      <c r="C247" t="s">
        <v>4431</v>
      </c>
      <c r="D247" t="e" cm="1">
        <f t="array" ref="D247">TRANSPOSE(_xlfn._xlws.FILTER('Controllable Asset Registry'!#REF!,IFERROR('Controllable Asset Registry'!#REF!=A247,FALSE),"No Equipment in entity"))</f>
        <v>#REF!</v>
      </c>
    </row>
    <row r="248" spans="1:4" x14ac:dyDescent="0.3">
      <c r="A248" t="s">
        <v>3709</v>
      </c>
      <c r="B248" t="s">
        <v>5051</v>
      </c>
      <c r="C248" t="s">
        <v>4432</v>
      </c>
      <c r="D248" t="e" cm="1">
        <f t="array" ref="D248">TRANSPOSE(_xlfn._xlws.FILTER('Controllable Asset Registry'!#REF!,IFERROR('Controllable Asset Registry'!#REF!=A248,FALSE),"No Equipment in entity"))</f>
        <v>#REF!</v>
      </c>
    </row>
    <row r="249" spans="1:4" x14ac:dyDescent="0.3">
      <c r="A249" t="s">
        <v>3710</v>
      </c>
      <c r="B249" t="s">
        <v>5052</v>
      </c>
      <c r="C249" t="s">
        <v>4432</v>
      </c>
      <c r="D249" t="e" cm="1">
        <f t="array" ref="D249">TRANSPOSE(_xlfn._xlws.FILTER('Controllable Asset Registry'!#REF!,IFERROR('Controllable Asset Registry'!#REF!=A249,FALSE),"No Equipment in entity"))</f>
        <v>#REF!</v>
      </c>
    </row>
    <row r="250" spans="1:4" x14ac:dyDescent="0.3">
      <c r="A250" t="s">
        <v>3711</v>
      </c>
      <c r="B250" t="s">
        <v>5053</v>
      </c>
      <c r="C250" t="s">
        <v>4432</v>
      </c>
      <c r="D250" t="e" cm="1">
        <f t="array" ref="D250">TRANSPOSE(_xlfn._xlws.FILTER('Controllable Asset Registry'!#REF!,IFERROR('Controllable Asset Registry'!#REF!=A250,FALSE),"No Equipment in entity"))</f>
        <v>#REF!</v>
      </c>
    </row>
    <row r="251" spans="1:4" x14ac:dyDescent="0.3">
      <c r="A251" t="s">
        <v>3712</v>
      </c>
      <c r="B251" t="s">
        <v>5054</v>
      </c>
      <c r="C251" t="s">
        <v>4431</v>
      </c>
      <c r="D251" t="e" cm="1">
        <f t="array" ref="D251">TRANSPOSE(_xlfn._xlws.FILTER('Controllable Asset Registry'!#REF!,IFERROR('Controllable Asset Registry'!#REF!=A251,FALSE),"No Equipment in entity"))</f>
        <v>#REF!</v>
      </c>
    </row>
    <row r="252" spans="1:4" x14ac:dyDescent="0.3">
      <c r="A252" t="s">
        <v>3713</v>
      </c>
      <c r="B252" t="s">
        <v>5055</v>
      </c>
      <c r="C252" t="s">
        <v>4432</v>
      </c>
      <c r="D252" t="e" cm="1">
        <f t="array" ref="D252">TRANSPOSE(_xlfn._xlws.FILTER('Controllable Asset Registry'!#REF!,IFERROR('Controllable Asset Registry'!#REF!=A252,FALSE),"No Equipment in entity"))</f>
        <v>#REF!</v>
      </c>
    </row>
    <row r="253" spans="1:4" x14ac:dyDescent="0.3">
      <c r="A253" t="s">
        <v>3714</v>
      </c>
      <c r="B253" t="s">
        <v>5056</v>
      </c>
      <c r="C253" t="s">
        <v>4432</v>
      </c>
      <c r="D253" t="e" cm="1">
        <f t="array" ref="D253">TRANSPOSE(_xlfn._xlws.FILTER('Controllable Asset Registry'!#REF!,IFERROR('Controllable Asset Registry'!#REF!=A253,FALSE),"No Equipment in entity"))</f>
        <v>#REF!</v>
      </c>
    </row>
    <row r="254" spans="1:4" x14ac:dyDescent="0.3">
      <c r="A254" t="s">
        <v>3721</v>
      </c>
      <c r="B254" t="s">
        <v>5057</v>
      </c>
      <c r="C254" t="s">
        <v>4434</v>
      </c>
      <c r="D254" t="e" cm="1">
        <f t="array" ref="D254">TRANSPOSE(_xlfn._xlws.FILTER('Controllable Asset Registry'!#REF!,IFERROR('Controllable Asset Registry'!#REF!=A254,FALSE),"No Equipment in entity"))</f>
        <v>#REF!</v>
      </c>
    </row>
    <row r="255" spans="1:4" x14ac:dyDescent="0.3">
      <c r="A255" t="s">
        <v>3549</v>
      </c>
      <c r="B255" t="s">
        <v>5058</v>
      </c>
      <c r="C255" t="s">
        <v>4408</v>
      </c>
      <c r="D255" t="e" cm="1">
        <f t="array" ref="D255">TRANSPOSE(_xlfn._xlws.FILTER('Controllable Asset Registry'!#REF!,IFERROR('Controllable Asset Registry'!#REF!=A255,FALSE),"No Equipment in entity"))</f>
        <v>#REF!</v>
      </c>
    </row>
    <row r="256" spans="1:4" x14ac:dyDescent="0.3">
      <c r="A256" t="s">
        <v>3720</v>
      </c>
      <c r="B256" t="s">
        <v>5059</v>
      </c>
      <c r="C256" t="s">
        <v>4434</v>
      </c>
      <c r="D256" t="e" cm="1">
        <f t="array" ref="D256">TRANSPOSE(_xlfn._xlws.FILTER('Controllable Asset Registry'!#REF!,IFERROR('Controllable Asset Registry'!#REF!=A256,FALSE),"No Equipment in entity"))</f>
        <v>#REF!</v>
      </c>
    </row>
    <row r="257" spans="1:4" x14ac:dyDescent="0.3">
      <c r="A257" t="s">
        <v>3719</v>
      </c>
      <c r="B257" t="s">
        <v>5060</v>
      </c>
      <c r="C257" t="s">
        <v>3475</v>
      </c>
      <c r="D257" t="e" cm="1">
        <f t="array" ref="D257">TRANSPOSE(_xlfn._xlws.FILTER('Controllable Asset Registry'!#REF!,IFERROR('Controllable Asset Registry'!#REF!=A257,FALSE),"No Equipment in entity"))</f>
        <v>#REF!</v>
      </c>
    </row>
    <row r="258" spans="1:4" x14ac:dyDescent="0.3">
      <c r="A258" t="s">
        <v>4435</v>
      </c>
      <c r="B258" t="s">
        <v>5061</v>
      </c>
      <c r="C258" t="s">
        <v>4279</v>
      </c>
      <c r="D258" t="e" cm="1">
        <f t="array" ref="D258">TRANSPOSE(_xlfn._xlws.FILTER('Controllable Asset Registry'!#REF!,IFERROR('Controllable Asset Registry'!#REF!=A258,FALSE),"No Equipment in entity"))</f>
        <v>#REF!</v>
      </c>
    </row>
    <row r="259" spans="1:4" x14ac:dyDescent="0.3">
      <c r="A259" t="s">
        <v>4436</v>
      </c>
      <c r="B259" t="s">
        <v>5062</v>
      </c>
      <c r="C259" t="s">
        <v>4437</v>
      </c>
      <c r="D259" t="e" cm="1">
        <f t="array" ref="D259">TRANSPOSE(_xlfn._xlws.FILTER('Controllable Asset Registry'!#REF!,IFERROR('Controllable Asset Registry'!#REF!=A259,FALSE),"No Equipment in entity"))</f>
        <v>#REF!</v>
      </c>
    </row>
    <row r="260" spans="1:4" x14ac:dyDescent="0.3">
      <c r="A260" t="s">
        <v>3718</v>
      </c>
      <c r="B260" t="s">
        <v>5063</v>
      </c>
      <c r="C260" t="s">
        <v>4438</v>
      </c>
      <c r="D260" t="e" cm="1">
        <f t="array" ref="D260">TRANSPOSE(_xlfn._xlws.FILTER('Controllable Asset Registry'!#REF!,IFERROR('Controllable Asset Registry'!#REF!=A260,FALSE),"No Equipment in entity"))</f>
        <v>#REF!</v>
      </c>
    </row>
    <row r="261" spans="1:4" x14ac:dyDescent="0.3">
      <c r="A261" t="s">
        <v>3717</v>
      </c>
      <c r="B261" t="s">
        <v>5064</v>
      </c>
      <c r="C261" t="s">
        <v>4439</v>
      </c>
      <c r="D261" t="e" cm="1">
        <f t="array" ref="D261">TRANSPOSE(_xlfn._xlws.FILTER('Controllable Asset Registry'!#REF!,IFERROR('Controllable Asset Registry'!#REF!=A261,FALSE),"No Equipment in entity"))</f>
        <v>#REF!</v>
      </c>
    </row>
    <row r="262" spans="1:4" x14ac:dyDescent="0.3">
      <c r="A262" t="s">
        <v>4440</v>
      </c>
      <c r="B262" t="s">
        <v>5065</v>
      </c>
      <c r="C262" t="s">
        <v>4439</v>
      </c>
      <c r="D262" t="e" cm="1">
        <f t="array" ref="D262">TRANSPOSE(_xlfn._xlws.FILTER('Controllable Asset Registry'!#REF!,IFERROR('Controllable Asset Registry'!#REF!=A262,FALSE),"No Equipment in entity"))</f>
        <v>#REF!</v>
      </c>
    </row>
    <row r="263" spans="1:4" x14ac:dyDescent="0.3">
      <c r="A263" t="s">
        <v>4441</v>
      </c>
      <c r="B263" t="s">
        <v>5066</v>
      </c>
      <c r="C263" t="s">
        <v>4186</v>
      </c>
      <c r="D263" t="e" cm="1">
        <f t="array" ref="D263">TRANSPOSE(_xlfn._xlws.FILTER('Controllable Asset Registry'!#REF!,IFERROR('Controllable Asset Registry'!#REF!=A263,FALSE),"No Equipment in entity"))</f>
        <v>#REF!</v>
      </c>
    </row>
    <row r="264" spans="1:4" x14ac:dyDescent="0.3">
      <c r="A264" t="s">
        <v>3560</v>
      </c>
      <c r="B264" t="s">
        <v>5067</v>
      </c>
      <c r="C264" t="s">
        <v>4442</v>
      </c>
      <c r="D264" t="e" cm="1">
        <f t="array" ref="D264">TRANSPOSE(_xlfn._xlws.FILTER('Controllable Asset Registry'!#REF!,IFERROR('Controllable Asset Registry'!#REF!=A264,FALSE),"No Equipment in entity"))</f>
        <v>#REF!</v>
      </c>
    </row>
    <row r="265" spans="1:4" x14ac:dyDescent="0.3">
      <c r="A265" t="s">
        <v>3561</v>
      </c>
      <c r="B265" t="s">
        <v>5068</v>
      </c>
      <c r="C265" t="s">
        <v>4443</v>
      </c>
      <c r="D265" t="e" cm="1">
        <f t="array" ref="D265">TRANSPOSE(_xlfn._xlws.FILTER('Controllable Asset Registry'!#REF!,IFERROR('Controllable Asset Registry'!#REF!=A265,FALSE),"No Equipment in entity"))</f>
        <v>#REF!</v>
      </c>
    </row>
    <row r="266" spans="1:4" x14ac:dyDescent="0.3">
      <c r="A266" t="s">
        <v>3562</v>
      </c>
      <c r="B266" t="s">
        <v>5069</v>
      </c>
      <c r="C266" t="s">
        <v>4444</v>
      </c>
      <c r="D266" t="e" cm="1">
        <f t="array" ref="D266">TRANSPOSE(_xlfn._xlws.FILTER('Controllable Asset Registry'!#REF!,IFERROR('Controllable Asset Registry'!#REF!=A266,FALSE),"No Equipment in entity"))</f>
        <v>#REF!</v>
      </c>
    </row>
    <row r="267" spans="1:4" x14ac:dyDescent="0.3">
      <c r="A267" t="s">
        <v>3563</v>
      </c>
      <c r="B267" t="s">
        <v>5070</v>
      </c>
      <c r="C267" t="s">
        <v>4445</v>
      </c>
      <c r="D267" t="e" cm="1">
        <f t="array" ref="D267">TRANSPOSE(_xlfn._xlws.FILTER('Controllable Asset Registry'!#REF!,IFERROR('Controllable Asset Registry'!#REF!=A267,FALSE),"No Equipment in entity"))</f>
        <v>#REF!</v>
      </c>
    </row>
    <row r="268" spans="1:4" x14ac:dyDescent="0.3">
      <c r="A268" t="s">
        <v>3564</v>
      </c>
      <c r="B268" t="s">
        <v>5071</v>
      </c>
      <c r="C268" t="s">
        <v>4446</v>
      </c>
      <c r="D268" t="e" cm="1">
        <f t="array" ref="D268">TRANSPOSE(_xlfn._xlws.FILTER('Controllable Asset Registry'!#REF!,IFERROR('Controllable Asset Registry'!#REF!=A268,FALSE),"No Equipment in entity"))</f>
        <v>#REF!</v>
      </c>
    </row>
    <row r="269" spans="1:4" x14ac:dyDescent="0.3">
      <c r="A269" t="s">
        <v>3565</v>
      </c>
      <c r="B269" t="s">
        <v>5072</v>
      </c>
      <c r="C269" t="s">
        <v>4447</v>
      </c>
      <c r="D269" t="e" cm="1">
        <f t="array" ref="D269">TRANSPOSE(_xlfn._xlws.FILTER('Controllable Asset Registry'!#REF!,IFERROR('Controllable Asset Registry'!#REF!=A269,FALSE),"No Equipment in entity"))</f>
        <v>#REF!</v>
      </c>
    </row>
    <row r="270" spans="1:4" x14ac:dyDescent="0.3">
      <c r="A270" t="s">
        <v>3550</v>
      </c>
      <c r="B270" t="s">
        <v>5073</v>
      </c>
      <c r="C270" t="s">
        <v>4448</v>
      </c>
      <c r="D270" t="e" cm="1">
        <f t="array" ref="D270">TRANSPOSE(_xlfn._xlws.FILTER('Controllable Asset Registry'!#REF!,IFERROR('Controllable Asset Registry'!#REF!=A270,FALSE),"No Equipment in entity"))</f>
        <v>#REF!</v>
      </c>
    </row>
    <row r="271" spans="1:4" x14ac:dyDescent="0.3">
      <c r="A271" t="s">
        <v>3551</v>
      </c>
      <c r="B271" t="s">
        <v>5074</v>
      </c>
      <c r="C271" t="s">
        <v>4449</v>
      </c>
      <c r="D271" t="e" cm="1">
        <f t="array" ref="D271">TRANSPOSE(_xlfn._xlws.FILTER('Controllable Asset Registry'!#REF!,IFERROR('Controllable Asset Registry'!#REF!=A271,FALSE),"No Equipment in entity"))</f>
        <v>#REF!</v>
      </c>
    </row>
    <row r="272" spans="1:4" x14ac:dyDescent="0.3">
      <c r="A272" t="s">
        <v>3552</v>
      </c>
      <c r="B272" t="s">
        <v>5075</v>
      </c>
      <c r="C272" t="s">
        <v>4450</v>
      </c>
      <c r="D272" t="e" cm="1">
        <f t="array" ref="D272">TRANSPOSE(_xlfn._xlws.FILTER('Controllable Asset Registry'!#REF!,IFERROR('Controllable Asset Registry'!#REF!=A272,FALSE),"No Equipment in entity"))</f>
        <v>#REF!</v>
      </c>
    </row>
    <row r="273" spans="1:4" x14ac:dyDescent="0.3">
      <c r="A273" t="s">
        <v>3553</v>
      </c>
      <c r="B273" t="s">
        <v>5076</v>
      </c>
      <c r="C273" t="s">
        <v>4451</v>
      </c>
      <c r="D273" t="e" cm="1">
        <f t="array" ref="D273">TRANSPOSE(_xlfn._xlws.FILTER('Controllable Asset Registry'!#REF!,IFERROR('Controllable Asset Registry'!#REF!=A273,FALSE),"No Equipment in entity"))</f>
        <v>#REF!</v>
      </c>
    </row>
    <row r="274" spans="1:4" x14ac:dyDescent="0.3">
      <c r="A274" t="s">
        <v>3554</v>
      </c>
      <c r="B274" t="s">
        <v>5077</v>
      </c>
      <c r="C274" t="s">
        <v>4452</v>
      </c>
      <c r="D274" t="e" cm="1">
        <f t="array" ref="D274">TRANSPOSE(_xlfn._xlws.FILTER('Controllable Asset Registry'!#REF!,IFERROR('Controllable Asset Registry'!#REF!=A274,FALSE),"No Equipment in entity"))</f>
        <v>#REF!</v>
      </c>
    </row>
    <row r="275" spans="1:4" x14ac:dyDescent="0.3">
      <c r="A275" t="s">
        <v>3555</v>
      </c>
      <c r="B275" t="s">
        <v>5078</v>
      </c>
      <c r="C275" t="s">
        <v>4453</v>
      </c>
      <c r="D275" t="e" cm="1">
        <f t="array" ref="D275">TRANSPOSE(_xlfn._xlws.FILTER('Controllable Asset Registry'!#REF!,IFERROR('Controllable Asset Registry'!#REF!=A275,FALSE),"No Equipment in entity"))</f>
        <v>#REF!</v>
      </c>
    </row>
    <row r="276" spans="1:4" x14ac:dyDescent="0.3">
      <c r="A276" t="s">
        <v>3556</v>
      </c>
      <c r="B276" t="s">
        <v>5079</v>
      </c>
      <c r="C276" t="s">
        <v>4454</v>
      </c>
      <c r="D276" t="e" cm="1">
        <f t="array" ref="D276">TRANSPOSE(_xlfn._xlws.FILTER('Controllable Asset Registry'!#REF!,IFERROR('Controllable Asset Registry'!#REF!=A276,FALSE),"No Equipment in entity"))</f>
        <v>#REF!</v>
      </c>
    </row>
    <row r="277" spans="1:4" x14ac:dyDescent="0.3">
      <c r="A277" t="s">
        <v>3557</v>
      </c>
      <c r="B277" t="s">
        <v>5080</v>
      </c>
      <c r="C277" t="s">
        <v>4455</v>
      </c>
      <c r="D277" t="e" cm="1">
        <f t="array" ref="D277">TRANSPOSE(_xlfn._xlws.FILTER('Controllable Asset Registry'!#REF!,IFERROR('Controllable Asset Registry'!#REF!=A277,FALSE),"No Equipment in entity"))</f>
        <v>#REF!</v>
      </c>
    </row>
    <row r="278" spans="1:4" x14ac:dyDescent="0.3">
      <c r="A278" t="s">
        <v>3558</v>
      </c>
      <c r="B278" t="s">
        <v>5081</v>
      </c>
      <c r="C278" t="s">
        <v>4456</v>
      </c>
      <c r="D278" t="e" cm="1">
        <f t="array" ref="D278">TRANSPOSE(_xlfn._xlws.FILTER('Controllable Asset Registry'!#REF!,IFERROR('Controllable Asset Registry'!#REF!=A278,FALSE),"No Equipment in entity"))</f>
        <v>#REF!</v>
      </c>
    </row>
    <row r="279" spans="1:4" x14ac:dyDescent="0.3">
      <c r="A279" t="s">
        <v>3559</v>
      </c>
      <c r="B279" t="s">
        <v>5082</v>
      </c>
      <c r="C279" t="s">
        <v>4457</v>
      </c>
      <c r="D279" t="e" cm="1">
        <f t="array" ref="D279">TRANSPOSE(_xlfn._xlws.FILTER('Controllable Asset Registry'!#REF!,IFERROR('Controllable Asset Registry'!#REF!=A279,FALSE),"No Equipment in entity"))</f>
        <v>#REF!</v>
      </c>
    </row>
    <row r="280" spans="1:4" x14ac:dyDescent="0.3">
      <c r="A280" t="s">
        <v>4458</v>
      </c>
      <c r="B280" t="s">
        <v>5083</v>
      </c>
      <c r="C280" t="s">
        <v>4459</v>
      </c>
      <c r="D280" t="e" cm="1">
        <f t="array" ref="D280">TRANSPOSE(_xlfn._xlws.FILTER('Controllable Asset Registry'!#REF!,IFERROR('Controllable Asset Registry'!#REF!=A280,FALSE),"No Equipment in entity"))</f>
        <v>#REF!</v>
      </c>
    </row>
    <row r="281" spans="1:4" x14ac:dyDescent="0.3">
      <c r="A281" t="s">
        <v>4460</v>
      </c>
      <c r="B281" t="s">
        <v>5084</v>
      </c>
      <c r="C281" t="s">
        <v>4459</v>
      </c>
      <c r="D281" t="e" cm="1">
        <f t="array" ref="D281">TRANSPOSE(_xlfn._xlws.FILTER('Controllable Asset Registry'!#REF!,IFERROR('Controllable Asset Registry'!#REF!=A281,FALSE),"No Equipment in entity"))</f>
        <v>#REF!</v>
      </c>
    </row>
    <row r="282" spans="1:4" x14ac:dyDescent="0.3">
      <c r="A282" t="s">
        <v>4461</v>
      </c>
      <c r="B282" t="s">
        <v>5085</v>
      </c>
      <c r="C282" t="s">
        <v>4459</v>
      </c>
      <c r="D282" t="e" cm="1">
        <f t="array" ref="D282">TRANSPOSE(_xlfn._xlws.FILTER('Controllable Asset Registry'!#REF!,IFERROR('Controllable Asset Registry'!#REF!=A282,FALSE),"No Equipment in entity"))</f>
        <v>#REF!</v>
      </c>
    </row>
    <row r="283" spans="1:4" x14ac:dyDescent="0.3">
      <c r="A283" t="s">
        <v>4462</v>
      </c>
      <c r="B283" t="s">
        <v>5086</v>
      </c>
      <c r="C283" t="s">
        <v>4463</v>
      </c>
      <c r="D283" t="e" cm="1">
        <f t="array" ref="D283">TRANSPOSE(_xlfn._xlws.FILTER('Controllable Asset Registry'!#REF!,IFERROR('Controllable Asset Registry'!#REF!=A283,FALSE),"No Equipment in entity"))</f>
        <v>#REF!</v>
      </c>
    </row>
    <row r="284" spans="1:4" x14ac:dyDescent="0.3">
      <c r="A284" t="s">
        <v>4464</v>
      </c>
      <c r="B284" t="s">
        <v>5087</v>
      </c>
      <c r="C284" t="s">
        <v>4465</v>
      </c>
      <c r="D284" t="e" cm="1">
        <f t="array" ref="D284">TRANSPOSE(_xlfn._xlws.FILTER('Controllable Asset Registry'!#REF!,IFERROR('Controllable Asset Registry'!#REF!=A284,FALSE),"No Equipment in entity"))</f>
        <v>#REF!</v>
      </c>
    </row>
    <row r="285" spans="1:4" x14ac:dyDescent="0.3">
      <c r="A285" t="s">
        <v>3519</v>
      </c>
      <c r="B285" t="s">
        <v>5088</v>
      </c>
      <c r="C285" t="s">
        <v>4466</v>
      </c>
      <c r="D285" t="e" cm="1">
        <f t="array" ref="D285">TRANSPOSE(_xlfn._xlws.FILTER('Controllable Asset Registry'!#REF!,IFERROR('Controllable Asset Registry'!#REF!=A285,FALSE),"No Equipment in entity"))</f>
        <v>#REF!</v>
      </c>
    </row>
    <row r="286" spans="1:4" x14ac:dyDescent="0.3">
      <c r="A286" t="s">
        <v>4467</v>
      </c>
      <c r="B286" t="s">
        <v>5089</v>
      </c>
      <c r="C286" t="s">
        <v>4465</v>
      </c>
      <c r="D286" t="e" cm="1">
        <f t="array" ref="D286">TRANSPOSE(_xlfn._xlws.FILTER('Controllable Asset Registry'!#REF!,IFERROR('Controllable Asset Registry'!#REF!=A286,FALSE),"No Equipment in entity"))</f>
        <v>#REF!</v>
      </c>
    </row>
    <row r="287" spans="1:4" x14ac:dyDescent="0.3">
      <c r="A287" t="s">
        <v>4468</v>
      </c>
      <c r="B287" t="s">
        <v>5090</v>
      </c>
      <c r="C287" t="s">
        <v>4469</v>
      </c>
      <c r="D287" t="e" cm="1">
        <f t="array" ref="D287">TRANSPOSE(_xlfn._xlws.FILTER('Controllable Asset Registry'!#REF!,IFERROR('Controllable Asset Registry'!#REF!=A287,FALSE),"No Equipment in entity"))</f>
        <v>#REF!</v>
      </c>
    </row>
    <row r="288" spans="1:4" x14ac:dyDescent="0.3">
      <c r="A288" t="s">
        <v>4470</v>
      </c>
      <c r="B288" t="s">
        <v>5091</v>
      </c>
      <c r="C288" t="s">
        <v>4471</v>
      </c>
      <c r="D288" t="e" cm="1">
        <f t="array" ref="D288">TRANSPOSE(_xlfn._xlws.FILTER('Controllable Asset Registry'!#REF!,IFERROR('Controllable Asset Registry'!#REF!=A288,FALSE),"No Equipment in entity"))</f>
        <v>#REF!</v>
      </c>
    </row>
    <row r="289" spans="1:4" x14ac:dyDescent="0.3">
      <c r="A289" t="s">
        <v>4472</v>
      </c>
      <c r="B289" t="s">
        <v>5092</v>
      </c>
      <c r="C289" t="s">
        <v>4473</v>
      </c>
      <c r="D289" t="e" cm="1">
        <f t="array" ref="D289">TRANSPOSE(_xlfn._xlws.FILTER('Controllable Asset Registry'!#REF!,IFERROR('Controllable Asset Registry'!#REF!=A289,FALSE),"No Equipment in entity"))</f>
        <v>#REF!</v>
      </c>
    </row>
    <row r="290" spans="1:4" x14ac:dyDescent="0.3">
      <c r="A290" t="s">
        <v>4474</v>
      </c>
      <c r="B290" t="s">
        <v>5093</v>
      </c>
      <c r="C290" t="s">
        <v>4475</v>
      </c>
      <c r="D290" t="e" cm="1">
        <f t="array" ref="D290">TRANSPOSE(_xlfn._xlws.FILTER('Controllable Asset Registry'!#REF!,IFERROR('Controllable Asset Registry'!#REF!=A290,FALSE),"No Equipment in entity"))</f>
        <v>#REF!</v>
      </c>
    </row>
    <row r="291" spans="1:4" x14ac:dyDescent="0.3">
      <c r="A291" t="s">
        <v>4476</v>
      </c>
      <c r="B291" t="s">
        <v>5094</v>
      </c>
      <c r="C291" t="s">
        <v>4477</v>
      </c>
      <c r="D291" t="e" cm="1">
        <f t="array" ref="D291">TRANSPOSE(_xlfn._xlws.FILTER('Controllable Asset Registry'!#REF!,IFERROR('Controllable Asset Registry'!#REF!=A291,FALSE),"No Equipment in entity"))</f>
        <v>#REF!</v>
      </c>
    </row>
    <row r="292" spans="1:4" x14ac:dyDescent="0.3">
      <c r="A292" t="s">
        <v>4478</v>
      </c>
      <c r="B292" t="s">
        <v>5095</v>
      </c>
      <c r="C292" t="s">
        <v>4479</v>
      </c>
      <c r="D292" t="e" cm="1">
        <f t="array" ref="D292">TRANSPOSE(_xlfn._xlws.FILTER('Controllable Asset Registry'!#REF!,IFERROR('Controllable Asset Registry'!#REF!=A292,FALSE),"No Equipment in entity"))</f>
        <v>#REF!</v>
      </c>
    </row>
    <row r="293" spans="1:4" x14ac:dyDescent="0.3">
      <c r="A293" t="s">
        <v>4480</v>
      </c>
      <c r="B293" t="s">
        <v>5096</v>
      </c>
      <c r="C293" t="s">
        <v>4481</v>
      </c>
      <c r="D293" t="e" cm="1">
        <f t="array" ref="D293">TRANSPOSE(_xlfn._xlws.FILTER('Controllable Asset Registry'!#REF!,IFERROR('Controllable Asset Registry'!#REF!=A293,FALSE),"No Equipment in entity"))</f>
        <v>#REF!</v>
      </c>
    </row>
    <row r="294" spans="1:4" x14ac:dyDescent="0.3">
      <c r="A294" t="s">
        <v>4482</v>
      </c>
      <c r="B294" t="s">
        <v>5097</v>
      </c>
      <c r="C294" t="s">
        <v>4483</v>
      </c>
      <c r="D294" t="e" cm="1">
        <f t="array" ref="D294">TRANSPOSE(_xlfn._xlws.FILTER('Controllable Asset Registry'!#REF!,IFERROR('Controllable Asset Registry'!#REF!=A294,FALSE),"No Equipment in entity"))</f>
        <v>#REF!</v>
      </c>
    </row>
    <row r="295" spans="1:4" x14ac:dyDescent="0.3">
      <c r="A295" t="s">
        <v>4484</v>
      </c>
      <c r="B295" t="s">
        <v>5098</v>
      </c>
      <c r="C295" t="s">
        <v>4479</v>
      </c>
      <c r="D295" t="e" cm="1">
        <f t="array" ref="D295">TRANSPOSE(_xlfn._xlws.FILTER('Controllable Asset Registry'!#REF!,IFERROR('Controllable Asset Registry'!#REF!=A295,FALSE),"No Equipment in entity"))</f>
        <v>#REF!</v>
      </c>
    </row>
    <row r="296" spans="1:4" x14ac:dyDescent="0.3">
      <c r="A296" t="s">
        <v>4485</v>
      </c>
      <c r="B296" t="s">
        <v>5099</v>
      </c>
      <c r="C296" t="s">
        <v>4477</v>
      </c>
      <c r="D296" t="e" cm="1">
        <f t="array" ref="D296">TRANSPOSE(_xlfn._xlws.FILTER('Controllable Asset Registry'!#REF!,IFERROR('Controllable Asset Registry'!#REF!=A296,FALSE),"No Equipment in entity"))</f>
        <v>#REF!</v>
      </c>
    </row>
    <row r="297" spans="1:4" x14ac:dyDescent="0.3">
      <c r="A297" t="s">
        <v>4486</v>
      </c>
      <c r="B297" t="s">
        <v>5100</v>
      </c>
      <c r="C297" t="s">
        <v>4475</v>
      </c>
      <c r="D297" t="e" cm="1">
        <f t="array" ref="D297">TRANSPOSE(_xlfn._xlws.FILTER('Controllable Asset Registry'!#REF!,IFERROR('Controllable Asset Registry'!#REF!=A297,FALSE),"No Equipment in entity"))</f>
        <v>#REF!</v>
      </c>
    </row>
    <row r="298" spans="1:4" x14ac:dyDescent="0.3">
      <c r="A298" t="s">
        <v>4487</v>
      </c>
      <c r="B298" t="s">
        <v>5101</v>
      </c>
      <c r="C298" t="s">
        <v>4473</v>
      </c>
      <c r="D298" t="e" cm="1">
        <f t="array" ref="D298">TRANSPOSE(_xlfn._xlws.FILTER('Controllable Asset Registry'!#REF!,IFERROR('Controllable Asset Registry'!#REF!=A298,FALSE),"No Equipment in entity"))</f>
        <v>#REF!</v>
      </c>
    </row>
    <row r="299" spans="1:4" x14ac:dyDescent="0.3">
      <c r="A299" t="s">
        <v>4488</v>
      </c>
      <c r="B299" t="s">
        <v>5102</v>
      </c>
      <c r="C299" t="s">
        <v>4471</v>
      </c>
      <c r="D299" t="e" cm="1">
        <f t="array" ref="D299">TRANSPOSE(_xlfn._xlws.FILTER('Controllable Asset Registry'!#REF!,IFERROR('Controllable Asset Registry'!#REF!=A299,FALSE),"No Equipment in entity"))</f>
        <v>#REF!</v>
      </c>
    </row>
    <row r="300" spans="1:4" x14ac:dyDescent="0.3">
      <c r="A300" t="s">
        <v>4489</v>
      </c>
      <c r="B300" t="s">
        <v>5103</v>
      </c>
      <c r="C300" t="s">
        <v>4481</v>
      </c>
      <c r="D300" t="e" cm="1">
        <f t="array" ref="D300">TRANSPOSE(_xlfn._xlws.FILTER('Controllable Asset Registry'!#REF!,IFERROR('Controllable Asset Registry'!#REF!=A300,FALSE),"No Equipment in entity"))</f>
        <v>#REF!</v>
      </c>
    </row>
    <row r="301" spans="1:4" x14ac:dyDescent="0.3">
      <c r="A301" t="s">
        <v>4490</v>
      </c>
      <c r="B301" t="s">
        <v>5104</v>
      </c>
      <c r="C301" t="s">
        <v>4481</v>
      </c>
      <c r="D301" t="e" cm="1">
        <f t="array" ref="D301">TRANSPOSE(_xlfn._xlws.FILTER('Controllable Asset Registry'!#REF!,IFERROR('Controllable Asset Registry'!#REF!=A301,FALSE),"No Equipment in entity"))</f>
        <v>#REF!</v>
      </c>
    </row>
    <row r="302" spans="1:4" x14ac:dyDescent="0.3">
      <c r="A302" t="s">
        <v>4491</v>
      </c>
      <c r="B302" t="s">
        <v>5105</v>
      </c>
      <c r="C302" t="s">
        <v>4197</v>
      </c>
      <c r="D302" t="e" cm="1">
        <f t="array" ref="D302">TRANSPOSE(_xlfn._xlws.FILTER('Controllable Asset Registry'!#REF!,IFERROR('Controllable Asset Registry'!#REF!=A302,FALSE),"No Equipment in entity"))</f>
        <v>#REF!</v>
      </c>
    </row>
    <row r="303" spans="1:4" x14ac:dyDescent="0.3">
      <c r="A303" t="s">
        <v>4492</v>
      </c>
      <c r="B303" t="s">
        <v>5106</v>
      </c>
      <c r="C303" t="s">
        <v>4200</v>
      </c>
      <c r="D303" t="e" cm="1">
        <f t="array" ref="D303">TRANSPOSE(_xlfn._xlws.FILTER('Controllable Asset Registry'!#REF!,IFERROR('Controllable Asset Registry'!#REF!=A303,FALSE),"No Equipment in entity"))</f>
        <v>#REF!</v>
      </c>
    </row>
    <row r="304" spans="1:4" x14ac:dyDescent="0.3">
      <c r="A304" t="s">
        <v>4493</v>
      </c>
      <c r="B304" t="s">
        <v>5107</v>
      </c>
      <c r="C304" t="s">
        <v>4197</v>
      </c>
      <c r="D304" t="e" cm="1">
        <f t="array" ref="D304">TRANSPOSE(_xlfn._xlws.FILTER('Controllable Asset Registry'!#REF!,IFERROR('Controllable Asset Registry'!#REF!=A304,FALSE),"No Equipment in entity"))</f>
        <v>#REF!</v>
      </c>
    </row>
    <row r="305" spans="1:4" x14ac:dyDescent="0.3">
      <c r="A305" t="s">
        <v>4494</v>
      </c>
      <c r="B305" t="s">
        <v>5108</v>
      </c>
      <c r="C305" t="s">
        <v>4200</v>
      </c>
      <c r="D305" t="e" cm="1">
        <f t="array" ref="D305">TRANSPOSE(_xlfn._xlws.FILTER('Controllable Asset Registry'!#REF!,IFERROR('Controllable Asset Registry'!#REF!=A305,FALSE),"No Equipment in entity"))</f>
        <v>#REF!</v>
      </c>
    </row>
    <row r="306" spans="1:4" x14ac:dyDescent="0.3">
      <c r="A306" t="s">
        <v>4495</v>
      </c>
      <c r="B306" t="s">
        <v>5109</v>
      </c>
      <c r="C306" t="s">
        <v>3344</v>
      </c>
      <c r="D306" t="e" cm="1">
        <f t="array" ref="D306">TRANSPOSE(_xlfn._xlws.FILTER('Controllable Asset Registry'!#REF!,IFERROR('Controllable Asset Registry'!#REF!=A306,FALSE),"No Equipment in entity"))</f>
        <v>#REF!</v>
      </c>
    </row>
    <row r="307" spans="1:4" x14ac:dyDescent="0.3">
      <c r="A307" t="s">
        <v>4496</v>
      </c>
      <c r="B307" t="s">
        <v>5110</v>
      </c>
      <c r="C307" t="s">
        <v>4497</v>
      </c>
      <c r="D307" t="e" cm="1">
        <f t="array" ref="D307">TRANSPOSE(_xlfn._xlws.FILTER('Controllable Asset Registry'!#REF!,IFERROR('Controllable Asset Registry'!#REF!=A307,FALSE),"No Equipment in entity"))</f>
        <v>#REF!</v>
      </c>
    </row>
    <row r="308" spans="1:4" x14ac:dyDescent="0.3">
      <c r="A308" t="s">
        <v>4498</v>
      </c>
      <c r="B308" t="s">
        <v>5111</v>
      </c>
      <c r="C308" t="s">
        <v>4499</v>
      </c>
      <c r="D308" t="e" cm="1">
        <f t="array" ref="D308">TRANSPOSE(_xlfn._xlws.FILTER('Controllable Asset Registry'!#REF!,IFERROR('Controllable Asset Registry'!#REF!=A308,FALSE),"No Equipment in entity"))</f>
        <v>#REF!</v>
      </c>
    </row>
    <row r="309" spans="1:4" x14ac:dyDescent="0.3">
      <c r="A309" t="s">
        <v>3567</v>
      </c>
      <c r="B309" t="s">
        <v>5112</v>
      </c>
      <c r="C309" t="s">
        <v>4500</v>
      </c>
      <c r="D309" t="e" cm="1">
        <f t="array" ref="D309">TRANSPOSE(_xlfn._xlws.FILTER('Controllable Asset Registry'!#REF!,IFERROR('Controllable Asset Registry'!#REF!=A309,FALSE),"No Equipment in entity"))</f>
        <v>#REF!</v>
      </c>
    </row>
    <row r="310" spans="1:4" x14ac:dyDescent="0.3">
      <c r="A310" t="s">
        <v>4501</v>
      </c>
      <c r="B310" t="s">
        <v>5113</v>
      </c>
      <c r="C310" t="s">
        <v>3341</v>
      </c>
      <c r="D310" t="e" cm="1">
        <f t="array" ref="D310">TRANSPOSE(_xlfn._xlws.FILTER('Controllable Asset Registry'!#REF!,IFERROR('Controllable Asset Registry'!#REF!=A310,FALSE),"No Equipment in entity"))</f>
        <v>#REF!</v>
      </c>
    </row>
    <row r="311" spans="1:4" x14ac:dyDescent="0.3">
      <c r="A311" t="s">
        <v>3547</v>
      </c>
      <c r="B311" t="s">
        <v>5114</v>
      </c>
      <c r="C311" t="s">
        <v>4206</v>
      </c>
      <c r="D311" t="e" cm="1">
        <f t="array" ref="D311">TRANSPOSE(_xlfn._xlws.FILTER('Controllable Asset Registry'!#REF!,IFERROR('Controllable Asset Registry'!#REF!=A311,FALSE),"No Equipment in entity"))</f>
        <v>#REF!</v>
      </c>
    </row>
    <row r="312" spans="1:4" x14ac:dyDescent="0.3">
      <c r="A312" t="s">
        <v>4502</v>
      </c>
      <c r="B312" t="s">
        <v>5115</v>
      </c>
      <c r="C312" t="s">
        <v>4348</v>
      </c>
      <c r="D312" t="e" cm="1">
        <f t="array" ref="D312">TRANSPOSE(_xlfn._xlws.FILTER('Controllable Asset Registry'!#REF!,IFERROR('Controllable Asset Registry'!#REF!=A312,FALSE),"No Equipment in entity"))</f>
        <v>#REF!</v>
      </c>
    </row>
    <row r="313" spans="1:4" x14ac:dyDescent="0.3">
      <c r="A313" t="s">
        <v>4503</v>
      </c>
      <c r="B313" t="s">
        <v>5116</v>
      </c>
      <c r="C313" t="s">
        <v>4351</v>
      </c>
      <c r="D313" t="e" cm="1">
        <f t="array" ref="D313">TRANSPOSE(_xlfn._xlws.FILTER('Controllable Asset Registry'!#REF!,IFERROR('Controllable Asset Registry'!#REF!=A313,FALSE),"No Equipment in entity"))</f>
        <v>#REF!</v>
      </c>
    </row>
    <row r="314" spans="1:4" x14ac:dyDescent="0.3">
      <c r="A314" t="s">
        <v>4504</v>
      </c>
      <c r="B314" t="s">
        <v>5117</v>
      </c>
      <c r="C314" t="s">
        <v>3341</v>
      </c>
      <c r="D314" t="e" cm="1">
        <f t="array" ref="D314">TRANSPOSE(_xlfn._xlws.FILTER('Controllable Asset Registry'!#REF!,IFERROR('Controllable Asset Registry'!#REF!=A314,FALSE),"No Equipment in entity"))</f>
        <v>#REF!</v>
      </c>
    </row>
    <row r="315" spans="1:4" x14ac:dyDescent="0.3">
      <c r="A315" t="s">
        <v>3716</v>
      </c>
      <c r="B315" t="s">
        <v>5118</v>
      </c>
      <c r="C315" t="s">
        <v>4505</v>
      </c>
      <c r="D315" t="e" cm="1">
        <f t="array" ref="D315">TRANSPOSE(_xlfn._xlws.FILTER('Controllable Asset Registry'!#REF!,IFERROR('Controllable Asset Registry'!#REF!=A315,FALSE),"No Equipment in entity"))</f>
        <v>#REF!</v>
      </c>
    </row>
    <row r="316" spans="1:4" x14ac:dyDescent="0.3">
      <c r="A316" t="s">
        <v>4506</v>
      </c>
      <c r="B316" t="s">
        <v>5119</v>
      </c>
      <c r="C316" t="s">
        <v>4507</v>
      </c>
      <c r="D316" t="e" cm="1">
        <f t="array" ref="D316">TRANSPOSE(_xlfn._xlws.FILTER('Controllable Asset Registry'!#REF!,IFERROR('Controllable Asset Registry'!#REF!=A316,FALSE),"No Equipment in entity"))</f>
        <v>#REF!</v>
      </c>
    </row>
    <row r="317" spans="1:4" x14ac:dyDescent="0.3">
      <c r="A317" t="s">
        <v>3566</v>
      </c>
      <c r="B317" t="s">
        <v>5120</v>
      </c>
      <c r="C317" t="s">
        <v>4508</v>
      </c>
      <c r="D317" t="e" cm="1">
        <f t="array" ref="D317">TRANSPOSE(_xlfn._xlws.FILTER('Controllable Asset Registry'!#REF!,IFERROR('Controllable Asset Registry'!#REF!=A317,FALSE),"No Equipment in entity"))</f>
        <v>#REF!</v>
      </c>
    </row>
    <row r="318" spans="1:4" x14ac:dyDescent="0.3">
      <c r="A318" t="s">
        <v>4509</v>
      </c>
      <c r="B318" t="s">
        <v>5121</v>
      </c>
      <c r="C318" t="s">
        <v>4507</v>
      </c>
      <c r="D318" t="e" cm="1">
        <f t="array" ref="D318">TRANSPOSE(_xlfn._xlws.FILTER('Controllable Asset Registry'!#REF!,IFERROR('Controllable Asset Registry'!#REF!=A318,FALSE),"No Equipment in entity"))</f>
        <v>#REF!</v>
      </c>
    </row>
    <row r="319" spans="1:4" x14ac:dyDescent="0.3">
      <c r="A319" t="s">
        <v>5734</v>
      </c>
      <c r="B319" t="s">
        <v>5735</v>
      </c>
      <c r="C319" t="s">
        <v>4362</v>
      </c>
      <c r="D319" t="e" cm="1">
        <f t="array" ref="D319">TRANSPOSE(_xlfn._xlws.FILTER('Controllable Asset Registry'!#REF!,IFERROR('Controllable Asset Registry'!#REF!=A319,FALSE),"No Equipment in entity"))</f>
        <v>#REF!</v>
      </c>
    </row>
    <row r="320" spans="1:4" x14ac:dyDescent="0.3">
      <c r="A320" t="s">
        <v>5736</v>
      </c>
      <c r="B320" t="s">
        <v>5737</v>
      </c>
      <c r="C320" t="s">
        <v>4365</v>
      </c>
      <c r="D320" t="e" cm="1">
        <f t="array" ref="D320">TRANSPOSE(_xlfn._xlws.FILTER('Controllable Asset Registry'!#REF!,IFERROR('Controllable Asset Registry'!#REF!=A320,FALSE),"No Equipment in entity"))</f>
        <v>#REF!</v>
      </c>
    </row>
    <row r="321" spans="1:4" x14ac:dyDescent="0.3">
      <c r="A321" t="s">
        <v>5738</v>
      </c>
      <c r="B321" t="s">
        <v>5739</v>
      </c>
      <c r="C321" t="s">
        <v>4368</v>
      </c>
      <c r="D321" t="e" cm="1">
        <f t="array" ref="D321">TRANSPOSE(_xlfn._xlws.FILTER('Controllable Asset Registry'!#REF!,IFERROR('Controllable Asset Registry'!#REF!=A321,FALSE),"No Equipment in entity"))</f>
        <v>#REF!</v>
      </c>
    </row>
    <row r="322" spans="1:4" x14ac:dyDescent="0.3">
      <c r="A322" t="s">
        <v>5740</v>
      </c>
      <c r="B322" t="s">
        <v>5741</v>
      </c>
      <c r="C322" t="s">
        <v>4371</v>
      </c>
      <c r="D322" t="e" cm="1">
        <f t="array" ref="D322">TRANSPOSE(_xlfn._xlws.FILTER('Controllable Asset Registry'!#REF!,IFERROR('Controllable Asset Registry'!#REF!=A322,FALSE),"No Equipment in entity"))</f>
        <v>#REF!</v>
      </c>
    </row>
    <row r="323" spans="1:4" x14ac:dyDescent="0.3">
      <c r="A323" t="s">
        <v>5742</v>
      </c>
      <c r="B323" t="s">
        <v>5743</v>
      </c>
      <c r="C323" t="s">
        <v>4235</v>
      </c>
      <c r="D323" t="e" cm="1">
        <f t="array" ref="D323">TRANSPOSE(_xlfn._xlws.FILTER('Controllable Asset Registry'!#REF!,IFERROR('Controllable Asset Registry'!#REF!=A323,FALSE),"No Equipment in entity"))</f>
        <v>#REF!</v>
      </c>
    </row>
    <row r="324" spans="1:4" x14ac:dyDescent="0.3">
      <c r="A324" t="s">
        <v>5744</v>
      </c>
      <c r="B324" t="s">
        <v>5745</v>
      </c>
      <c r="C324" t="s">
        <v>4238</v>
      </c>
      <c r="D324" t="e" cm="1">
        <f t="array" ref="D324">TRANSPOSE(_xlfn._xlws.FILTER('Controllable Asset Registry'!#REF!,IFERROR('Controllable Asset Registry'!#REF!=A324,FALSE),"No Equipment in entity"))</f>
        <v>#REF!</v>
      </c>
    </row>
    <row r="325" spans="1:4" x14ac:dyDescent="0.3">
      <c r="A325" t="s">
        <v>5746</v>
      </c>
      <c r="B325" t="s">
        <v>5747</v>
      </c>
      <c r="C325" t="s">
        <v>4241</v>
      </c>
      <c r="D325" t="e" cm="1">
        <f t="array" ref="D325">TRANSPOSE(_xlfn._xlws.FILTER('Controllable Asset Registry'!#REF!,IFERROR('Controllable Asset Registry'!#REF!=A325,FALSE),"No Equipment in entity"))</f>
        <v>#REF!</v>
      </c>
    </row>
    <row r="326" spans="1:4" x14ac:dyDescent="0.3">
      <c r="A326" t="s">
        <v>5748</v>
      </c>
      <c r="B326" t="s">
        <v>5749</v>
      </c>
      <c r="C326" t="s">
        <v>4380</v>
      </c>
      <c r="D326" t="e" cm="1">
        <f t="array" ref="D326">TRANSPOSE(_xlfn._xlws.FILTER('Controllable Asset Registry'!#REF!,IFERROR('Controllable Asset Registry'!#REF!=A326,FALSE),"No Equipment in entity"))</f>
        <v>#REF!</v>
      </c>
    </row>
    <row r="327" spans="1:4" x14ac:dyDescent="0.3">
      <c r="A327" t="s">
        <v>5750</v>
      </c>
      <c r="B327" t="s">
        <v>5751</v>
      </c>
      <c r="C327" t="s">
        <v>4246</v>
      </c>
      <c r="D327" t="e" cm="1">
        <f t="array" ref="D327">TRANSPOSE(_xlfn._xlws.FILTER('Controllable Asset Registry'!#REF!,IFERROR('Controllable Asset Registry'!#REF!=A327,FALSE),"No Equipment in entity"))</f>
        <v>#REF!</v>
      </c>
    </row>
    <row r="328" spans="1:4" x14ac:dyDescent="0.3">
      <c r="A328" t="s">
        <v>5752</v>
      </c>
      <c r="B328" t="s">
        <v>5753</v>
      </c>
      <c r="C328" t="s">
        <v>4248</v>
      </c>
      <c r="D328" t="e" cm="1">
        <f t="array" ref="D328">TRANSPOSE(_xlfn._xlws.FILTER('Controllable Asset Registry'!#REF!,IFERROR('Controllable Asset Registry'!#REF!=A328,FALSE),"No Equipment in entity"))</f>
        <v>#REF!</v>
      </c>
    </row>
    <row r="329" spans="1:4" x14ac:dyDescent="0.3">
      <c r="A329" t="s">
        <v>5754</v>
      </c>
      <c r="B329" t="s">
        <v>5755</v>
      </c>
      <c r="C329" t="s">
        <v>4387</v>
      </c>
      <c r="D329" t="e" cm="1">
        <f t="array" ref="D329">TRANSPOSE(_xlfn._xlws.FILTER('Controllable Asset Registry'!#REF!,IFERROR('Controllable Asset Registry'!#REF!=A329,FALSE),"No Equipment in entity"))</f>
        <v>#REF!</v>
      </c>
    </row>
    <row r="330" spans="1:4" x14ac:dyDescent="0.3">
      <c r="A330" t="s">
        <v>5756</v>
      </c>
      <c r="B330" t="s">
        <v>5757</v>
      </c>
      <c r="C330" t="s">
        <v>4251</v>
      </c>
      <c r="D330" t="e" cm="1">
        <f t="array" ref="D330">TRANSPOSE(_xlfn._xlws.FILTER('Controllable Asset Registry'!#REF!,IFERROR('Controllable Asset Registry'!#REF!=A330,FALSE),"No Equipment in entity"))</f>
        <v>#REF!</v>
      </c>
    </row>
    <row r="331" spans="1:4" x14ac:dyDescent="0.3">
      <c r="A331" t="s">
        <v>3761</v>
      </c>
      <c r="B331" t="s">
        <v>5122</v>
      </c>
      <c r="C331" t="s">
        <v>3475</v>
      </c>
      <c r="D331" t="e" cm="1">
        <f t="array" ref="D331">TRANSPOSE(_xlfn._xlws.FILTER('Controllable Asset Registry'!#REF!,IFERROR('Controllable Asset Registry'!#REF!=A331,FALSE),"No Equipment in entity"))</f>
        <v>#REF!</v>
      </c>
    </row>
    <row r="332" spans="1:4" x14ac:dyDescent="0.3">
      <c r="A332" t="s">
        <v>3779</v>
      </c>
      <c r="B332" t="s">
        <v>5123</v>
      </c>
      <c r="C332" t="s">
        <v>4510</v>
      </c>
      <c r="D332" t="e" cm="1">
        <f t="array" ref="D332">TRANSPOSE(_xlfn._xlws.FILTER('Controllable Asset Registry'!#REF!,IFERROR('Controllable Asset Registry'!#REF!=A332,FALSE),"No Equipment in entity"))</f>
        <v>#REF!</v>
      </c>
    </row>
    <row r="333" spans="1:4" x14ac:dyDescent="0.3">
      <c r="A333" t="s">
        <v>3769</v>
      </c>
      <c r="B333" t="s">
        <v>5124</v>
      </c>
      <c r="C333" t="s">
        <v>4510</v>
      </c>
      <c r="D333" t="e" cm="1">
        <f t="array" ref="D333">TRANSPOSE(_xlfn._xlws.FILTER('Controllable Asset Registry'!#REF!,IFERROR('Controllable Asset Registry'!#REF!=A333,FALSE),"No Equipment in entity"))</f>
        <v>#REF!</v>
      </c>
    </row>
    <row r="334" spans="1:4" x14ac:dyDescent="0.3">
      <c r="A334" t="s">
        <v>3770</v>
      </c>
      <c r="B334" t="s">
        <v>5125</v>
      </c>
      <c r="C334" t="s">
        <v>4510</v>
      </c>
      <c r="D334" t="e" cm="1">
        <f t="array" ref="D334">TRANSPOSE(_xlfn._xlws.FILTER('Controllable Asset Registry'!#REF!,IFERROR('Controllable Asset Registry'!#REF!=A334,FALSE),"No Equipment in entity"))</f>
        <v>#REF!</v>
      </c>
    </row>
    <row r="335" spans="1:4" x14ac:dyDescent="0.3">
      <c r="A335" t="s">
        <v>3771</v>
      </c>
      <c r="B335" t="s">
        <v>5126</v>
      </c>
      <c r="C335" t="s">
        <v>4510</v>
      </c>
      <c r="D335" t="e" cm="1">
        <f t="array" ref="D335">TRANSPOSE(_xlfn._xlws.FILTER('Controllable Asset Registry'!#REF!,IFERROR('Controllable Asset Registry'!#REF!=A335,FALSE),"No Equipment in entity"))</f>
        <v>#REF!</v>
      </c>
    </row>
    <row r="336" spans="1:4" x14ac:dyDescent="0.3">
      <c r="A336" t="s">
        <v>3772</v>
      </c>
      <c r="B336" t="s">
        <v>5127</v>
      </c>
      <c r="C336" t="s">
        <v>4510</v>
      </c>
      <c r="D336" t="e" cm="1">
        <f t="array" ref="D336">TRANSPOSE(_xlfn._xlws.FILTER('Controllable Asset Registry'!#REF!,IFERROR('Controllable Asset Registry'!#REF!=A336,FALSE),"No Equipment in entity"))</f>
        <v>#REF!</v>
      </c>
    </row>
    <row r="337" spans="1:4" x14ac:dyDescent="0.3">
      <c r="A337" t="s">
        <v>3773</v>
      </c>
      <c r="B337" t="s">
        <v>5128</v>
      </c>
      <c r="C337" t="s">
        <v>4510</v>
      </c>
      <c r="D337" t="e" cm="1">
        <f t="array" ref="D337">TRANSPOSE(_xlfn._xlws.FILTER('Controllable Asset Registry'!#REF!,IFERROR('Controllable Asset Registry'!#REF!=A337,FALSE),"No Equipment in entity"))</f>
        <v>#REF!</v>
      </c>
    </row>
    <row r="338" spans="1:4" x14ac:dyDescent="0.3">
      <c r="A338" t="s">
        <v>3774</v>
      </c>
      <c r="B338" t="s">
        <v>5129</v>
      </c>
      <c r="C338" t="s">
        <v>4510</v>
      </c>
      <c r="D338" t="e" cm="1">
        <f t="array" ref="D338">TRANSPOSE(_xlfn._xlws.FILTER('Controllable Asset Registry'!#REF!,IFERROR('Controllable Asset Registry'!#REF!=A338,FALSE),"No Equipment in entity"))</f>
        <v>#REF!</v>
      </c>
    </row>
    <row r="339" spans="1:4" x14ac:dyDescent="0.3">
      <c r="A339" t="s">
        <v>3775</v>
      </c>
      <c r="B339" t="s">
        <v>5130</v>
      </c>
      <c r="C339" t="s">
        <v>4511</v>
      </c>
      <c r="D339" t="e" cm="1">
        <f t="array" ref="D339">TRANSPOSE(_xlfn._xlws.FILTER('Controllable Asset Registry'!#REF!,IFERROR('Controllable Asset Registry'!#REF!=A339,FALSE),"No Equipment in entity"))</f>
        <v>#REF!</v>
      </c>
    </row>
    <row r="340" spans="1:4" x14ac:dyDescent="0.3">
      <c r="A340" t="s">
        <v>3776</v>
      </c>
      <c r="B340" t="s">
        <v>5131</v>
      </c>
      <c r="C340" t="s">
        <v>4510</v>
      </c>
      <c r="D340" t="e" cm="1">
        <f t="array" ref="D340">TRANSPOSE(_xlfn._xlws.FILTER('Controllable Asset Registry'!#REF!,IFERROR('Controllable Asset Registry'!#REF!=A340,FALSE),"No Equipment in entity"))</f>
        <v>#REF!</v>
      </c>
    </row>
    <row r="341" spans="1:4" x14ac:dyDescent="0.3">
      <c r="A341" t="s">
        <v>3777</v>
      </c>
      <c r="B341" t="s">
        <v>5132</v>
      </c>
      <c r="C341" t="s">
        <v>4510</v>
      </c>
      <c r="D341" t="e" cm="1">
        <f t="array" ref="D341">TRANSPOSE(_xlfn._xlws.FILTER('Controllable Asset Registry'!#REF!,IFERROR('Controllable Asset Registry'!#REF!=A341,FALSE),"No Equipment in entity"))</f>
        <v>#REF!</v>
      </c>
    </row>
    <row r="342" spans="1:4" x14ac:dyDescent="0.3">
      <c r="A342" t="s">
        <v>3764</v>
      </c>
      <c r="B342" t="s">
        <v>5133</v>
      </c>
      <c r="C342" t="s">
        <v>4510</v>
      </c>
      <c r="D342" t="e" cm="1">
        <f t="array" ref="D342">TRANSPOSE(_xlfn._xlws.FILTER('Controllable Asset Registry'!#REF!,IFERROR('Controllable Asset Registry'!#REF!=A342,FALSE),"No Equipment in entity"))</f>
        <v>#REF!</v>
      </c>
    </row>
    <row r="343" spans="1:4" x14ac:dyDescent="0.3">
      <c r="A343" t="s">
        <v>3765</v>
      </c>
      <c r="B343" t="s">
        <v>5134</v>
      </c>
      <c r="C343" t="s">
        <v>4510</v>
      </c>
      <c r="D343" t="e" cm="1">
        <f t="array" ref="D343">TRANSPOSE(_xlfn._xlws.FILTER('Controllable Asset Registry'!#REF!,IFERROR('Controllable Asset Registry'!#REF!=A343,FALSE),"No Equipment in entity"))</f>
        <v>#REF!</v>
      </c>
    </row>
    <row r="344" spans="1:4" x14ac:dyDescent="0.3">
      <c r="A344" t="s">
        <v>3766</v>
      </c>
      <c r="B344" t="s">
        <v>5135</v>
      </c>
      <c r="C344" t="s">
        <v>4510</v>
      </c>
      <c r="D344" t="e" cm="1">
        <f t="array" ref="D344">TRANSPOSE(_xlfn._xlws.FILTER('Controllable Asset Registry'!#REF!,IFERROR('Controllable Asset Registry'!#REF!=A344,FALSE),"No Equipment in entity"))</f>
        <v>#REF!</v>
      </c>
    </row>
    <row r="345" spans="1:4" x14ac:dyDescent="0.3">
      <c r="A345" t="s">
        <v>3767</v>
      </c>
      <c r="B345" t="s">
        <v>5136</v>
      </c>
      <c r="C345" t="s">
        <v>4510</v>
      </c>
      <c r="D345" t="e" cm="1">
        <f t="array" ref="D345">TRANSPOSE(_xlfn._xlws.FILTER('Controllable Asset Registry'!#REF!,IFERROR('Controllable Asset Registry'!#REF!=A345,FALSE),"No Equipment in entity"))</f>
        <v>#REF!</v>
      </c>
    </row>
    <row r="346" spans="1:4" x14ac:dyDescent="0.3">
      <c r="A346" t="s">
        <v>3768</v>
      </c>
      <c r="B346" t="s">
        <v>5137</v>
      </c>
      <c r="C346" t="s">
        <v>4510</v>
      </c>
      <c r="D346" t="e" cm="1">
        <f t="array" ref="D346">TRANSPOSE(_xlfn._xlws.FILTER('Controllable Asset Registry'!#REF!,IFERROR('Controllable Asset Registry'!#REF!=A346,FALSE),"No Equipment in entity"))</f>
        <v>#REF!</v>
      </c>
    </row>
    <row r="347" spans="1:4" x14ac:dyDescent="0.3">
      <c r="A347" t="s">
        <v>3740</v>
      </c>
      <c r="B347" t="s">
        <v>5138</v>
      </c>
      <c r="C347" t="s">
        <v>4510</v>
      </c>
      <c r="D347" t="e" cm="1">
        <f t="array" ref="D347">TRANSPOSE(_xlfn._xlws.FILTER('Controllable Asset Registry'!#REF!,IFERROR('Controllable Asset Registry'!#REF!=A347,FALSE),"No Equipment in entity"))</f>
        <v>#REF!</v>
      </c>
    </row>
    <row r="348" spans="1:4" x14ac:dyDescent="0.3">
      <c r="A348" t="s">
        <v>3741</v>
      </c>
      <c r="B348" t="s">
        <v>5139</v>
      </c>
      <c r="C348" t="s">
        <v>4510</v>
      </c>
      <c r="D348" t="e" cm="1">
        <f t="array" ref="D348">TRANSPOSE(_xlfn._xlws.FILTER('Controllable Asset Registry'!#REF!,IFERROR('Controllable Asset Registry'!#REF!=A348,FALSE),"No Equipment in entity"))</f>
        <v>#REF!</v>
      </c>
    </row>
    <row r="349" spans="1:4" x14ac:dyDescent="0.3">
      <c r="A349" t="s">
        <v>3742</v>
      </c>
      <c r="B349" t="s">
        <v>5140</v>
      </c>
      <c r="C349" t="s">
        <v>4510</v>
      </c>
      <c r="D349" t="e" cm="1">
        <f t="array" ref="D349">TRANSPOSE(_xlfn._xlws.FILTER('Controllable Asset Registry'!#REF!,IFERROR('Controllable Asset Registry'!#REF!=A349,FALSE),"No Equipment in entity"))</f>
        <v>#REF!</v>
      </c>
    </row>
    <row r="350" spans="1:4" x14ac:dyDescent="0.3">
      <c r="A350" t="s">
        <v>3743</v>
      </c>
      <c r="B350" t="s">
        <v>5141</v>
      </c>
      <c r="C350" t="s">
        <v>4510</v>
      </c>
      <c r="D350" t="e" cm="1">
        <f t="array" ref="D350">TRANSPOSE(_xlfn._xlws.FILTER('Controllable Asset Registry'!#REF!,IFERROR('Controllable Asset Registry'!#REF!=A350,FALSE),"No Equipment in entity"))</f>
        <v>#REF!</v>
      </c>
    </row>
    <row r="351" spans="1:4" x14ac:dyDescent="0.3">
      <c r="A351" t="s">
        <v>3744</v>
      </c>
      <c r="B351" t="s">
        <v>5142</v>
      </c>
      <c r="C351" t="s">
        <v>4510</v>
      </c>
      <c r="D351" t="e" cm="1">
        <f t="array" ref="D351">TRANSPOSE(_xlfn._xlws.FILTER('Controllable Asset Registry'!#REF!,IFERROR('Controllable Asset Registry'!#REF!=A351,FALSE),"No Equipment in entity"))</f>
        <v>#REF!</v>
      </c>
    </row>
    <row r="352" spans="1:4" x14ac:dyDescent="0.3">
      <c r="A352" t="s">
        <v>3745</v>
      </c>
      <c r="B352" t="s">
        <v>5143</v>
      </c>
      <c r="C352" t="s">
        <v>4512</v>
      </c>
      <c r="D352" t="e" cm="1">
        <f t="array" ref="D352">TRANSPOSE(_xlfn._xlws.FILTER('Controllable Asset Registry'!#REF!,IFERROR('Controllable Asset Registry'!#REF!=A352,FALSE),"No Equipment in entity"))</f>
        <v>#REF!</v>
      </c>
    </row>
    <row r="353" spans="1:4" x14ac:dyDescent="0.3">
      <c r="A353" t="s">
        <v>3746</v>
      </c>
      <c r="B353" t="s">
        <v>5144</v>
      </c>
      <c r="C353" t="s">
        <v>4510</v>
      </c>
      <c r="D353" t="e" cm="1">
        <f t="array" ref="D353">TRANSPOSE(_xlfn._xlws.FILTER('Controllable Asset Registry'!#REF!,IFERROR('Controllable Asset Registry'!#REF!=A353,FALSE),"No Equipment in entity"))</f>
        <v>#REF!</v>
      </c>
    </row>
    <row r="354" spans="1:4" x14ac:dyDescent="0.3">
      <c r="A354" t="s">
        <v>3747</v>
      </c>
      <c r="B354" t="s">
        <v>5145</v>
      </c>
      <c r="C354" t="s">
        <v>4510</v>
      </c>
      <c r="D354" t="e" cm="1">
        <f t="array" ref="D354">TRANSPOSE(_xlfn._xlws.FILTER('Controllable Asset Registry'!#REF!,IFERROR('Controllable Asset Registry'!#REF!=A354,FALSE),"No Equipment in entity"))</f>
        <v>#REF!</v>
      </c>
    </row>
    <row r="355" spans="1:4" x14ac:dyDescent="0.3">
      <c r="A355" t="s">
        <v>3748</v>
      </c>
      <c r="B355" t="s">
        <v>5146</v>
      </c>
      <c r="C355" t="s">
        <v>4510</v>
      </c>
      <c r="D355" t="e" cm="1">
        <f t="array" ref="D355">TRANSPOSE(_xlfn._xlws.FILTER('Controllable Asset Registry'!#REF!,IFERROR('Controllable Asset Registry'!#REF!=A355,FALSE),"No Equipment in entity"))</f>
        <v>#REF!</v>
      </c>
    </row>
    <row r="356" spans="1:4" x14ac:dyDescent="0.3">
      <c r="A356" t="s">
        <v>3749</v>
      </c>
      <c r="B356" t="s">
        <v>5147</v>
      </c>
      <c r="C356" t="s">
        <v>4510</v>
      </c>
      <c r="D356" t="e" cm="1">
        <f t="array" ref="D356">TRANSPOSE(_xlfn._xlws.FILTER('Controllable Asset Registry'!#REF!,IFERROR('Controllable Asset Registry'!#REF!=A356,FALSE),"No Equipment in entity"))</f>
        <v>#REF!</v>
      </c>
    </row>
    <row r="357" spans="1:4" x14ac:dyDescent="0.3">
      <c r="A357" t="s">
        <v>3750</v>
      </c>
      <c r="B357" t="s">
        <v>5148</v>
      </c>
      <c r="C357" t="s">
        <v>4510</v>
      </c>
      <c r="D357" t="e" cm="1">
        <f t="array" ref="D357">TRANSPOSE(_xlfn._xlws.FILTER('Controllable Asset Registry'!#REF!,IFERROR('Controllable Asset Registry'!#REF!=A357,FALSE),"No Equipment in entity"))</f>
        <v>#REF!</v>
      </c>
    </row>
    <row r="358" spans="1:4" x14ac:dyDescent="0.3">
      <c r="A358" t="s">
        <v>3751</v>
      </c>
      <c r="B358" t="s">
        <v>5149</v>
      </c>
      <c r="C358" t="s">
        <v>4510</v>
      </c>
      <c r="D358" t="e" cm="1">
        <f t="array" ref="D358">TRANSPOSE(_xlfn._xlws.FILTER('Controllable Asset Registry'!#REF!,IFERROR('Controllable Asset Registry'!#REF!=A358,FALSE),"No Equipment in entity"))</f>
        <v>#REF!</v>
      </c>
    </row>
    <row r="359" spans="1:4" x14ac:dyDescent="0.3">
      <c r="A359" t="s">
        <v>3752</v>
      </c>
      <c r="B359" t="s">
        <v>5150</v>
      </c>
      <c r="C359" t="s">
        <v>4510</v>
      </c>
      <c r="D359" t="e" cm="1">
        <f t="array" ref="D359">TRANSPOSE(_xlfn._xlws.FILTER('Controllable Asset Registry'!#REF!,IFERROR('Controllable Asset Registry'!#REF!=A359,FALSE),"No Equipment in entity"))</f>
        <v>#REF!</v>
      </c>
    </row>
    <row r="360" spans="1:4" x14ac:dyDescent="0.3">
      <c r="A360" t="s">
        <v>3753</v>
      </c>
      <c r="B360" t="s">
        <v>5151</v>
      </c>
      <c r="C360" t="s">
        <v>4510</v>
      </c>
      <c r="D360" t="e" cm="1">
        <f t="array" ref="D360">TRANSPOSE(_xlfn._xlws.FILTER('Controllable Asset Registry'!#REF!,IFERROR('Controllable Asset Registry'!#REF!=A360,FALSE),"No Equipment in entity"))</f>
        <v>#REF!</v>
      </c>
    </row>
    <row r="361" spans="1:4" x14ac:dyDescent="0.3">
      <c r="A361" t="s">
        <v>3754</v>
      </c>
      <c r="B361" t="s">
        <v>5152</v>
      </c>
      <c r="C361" t="s">
        <v>4510</v>
      </c>
      <c r="D361" t="e" cm="1">
        <f t="array" ref="D361">TRANSPOSE(_xlfn._xlws.FILTER('Controllable Asset Registry'!#REF!,IFERROR('Controllable Asset Registry'!#REF!=A361,FALSE),"No Equipment in entity"))</f>
        <v>#REF!</v>
      </c>
    </row>
    <row r="362" spans="1:4" x14ac:dyDescent="0.3">
      <c r="A362" t="s">
        <v>3755</v>
      </c>
      <c r="B362" t="s">
        <v>5153</v>
      </c>
      <c r="C362" t="s">
        <v>4512</v>
      </c>
      <c r="D362" t="e" cm="1">
        <f t="array" ref="D362">TRANSPOSE(_xlfn._xlws.FILTER('Controllable Asset Registry'!#REF!,IFERROR('Controllable Asset Registry'!#REF!=A362,FALSE),"No Equipment in entity"))</f>
        <v>#REF!</v>
      </c>
    </row>
    <row r="363" spans="1:4" x14ac:dyDescent="0.3">
      <c r="A363" t="s">
        <v>3756</v>
      </c>
      <c r="B363" t="s">
        <v>5154</v>
      </c>
      <c r="C363" t="s">
        <v>4513</v>
      </c>
      <c r="D363" t="e" cm="1">
        <f t="array" ref="D363">TRANSPOSE(_xlfn._xlws.FILTER('Controllable Asset Registry'!#REF!,IFERROR('Controllable Asset Registry'!#REF!=A363,FALSE),"No Equipment in entity"))</f>
        <v>#REF!</v>
      </c>
    </row>
    <row r="364" spans="1:4" x14ac:dyDescent="0.3">
      <c r="A364" t="s">
        <v>3778</v>
      </c>
      <c r="B364" t="s">
        <v>5155</v>
      </c>
      <c r="C364" t="s">
        <v>4439</v>
      </c>
      <c r="D364" t="e" cm="1">
        <f t="array" ref="D364">TRANSPOSE(_xlfn._xlws.FILTER('Controllable Asset Registry'!#REF!,IFERROR('Controllable Asset Registry'!#REF!=A364,FALSE),"No Equipment in entity"))</f>
        <v>#REF!</v>
      </c>
    </row>
    <row r="365" spans="1:4" x14ac:dyDescent="0.3">
      <c r="A365" t="s">
        <v>3762</v>
      </c>
      <c r="B365" t="s">
        <v>5156</v>
      </c>
      <c r="C365" t="s">
        <v>4328</v>
      </c>
      <c r="D365" t="e" cm="1">
        <f t="array" ref="D365">TRANSPOSE(_xlfn._xlws.FILTER('Controllable Asset Registry'!#REF!,IFERROR('Controllable Asset Registry'!#REF!=A365,FALSE),"No Equipment in entity"))</f>
        <v>#REF!</v>
      </c>
    </row>
    <row r="366" spans="1:4" x14ac:dyDescent="0.3">
      <c r="A366" t="s">
        <v>3571</v>
      </c>
      <c r="B366" t="s">
        <v>5157</v>
      </c>
      <c r="C366" t="s">
        <v>4408</v>
      </c>
      <c r="D366" t="e" cm="1">
        <f t="array" ref="D366">TRANSPOSE(_xlfn._xlws.FILTER('Controllable Asset Registry'!#REF!,IFERROR('Controllable Asset Registry'!#REF!=A366,FALSE),"No Equipment in entity"))</f>
        <v>#REF!</v>
      </c>
    </row>
    <row r="367" spans="1:4" x14ac:dyDescent="0.3">
      <c r="A367" t="s">
        <v>3763</v>
      </c>
      <c r="B367" t="s">
        <v>5158</v>
      </c>
      <c r="C367" t="s">
        <v>4512</v>
      </c>
      <c r="D367" t="e" cm="1">
        <f t="array" ref="D367">TRANSPOSE(_xlfn._xlws.FILTER('Controllable Asset Registry'!#REF!,IFERROR('Controllable Asset Registry'!#REF!=A367,FALSE),"No Equipment in entity"))</f>
        <v>#REF!</v>
      </c>
    </row>
    <row r="368" spans="1:4" x14ac:dyDescent="0.3">
      <c r="A368" t="s">
        <v>4514</v>
      </c>
      <c r="B368" t="s">
        <v>5159</v>
      </c>
      <c r="C368" t="s">
        <v>4279</v>
      </c>
      <c r="D368" t="e" cm="1">
        <f t="array" ref="D368">TRANSPOSE(_xlfn._xlws.FILTER('Controllable Asset Registry'!#REF!,IFERROR('Controllable Asset Registry'!#REF!=A368,FALSE),"No Equipment in entity"))</f>
        <v>#REF!</v>
      </c>
    </row>
    <row r="369" spans="1:4" x14ac:dyDescent="0.3">
      <c r="A369" t="s">
        <v>4515</v>
      </c>
      <c r="B369" t="s">
        <v>5160</v>
      </c>
      <c r="C369" t="s">
        <v>4437</v>
      </c>
      <c r="D369" t="e" cm="1">
        <f t="array" ref="D369">TRANSPOSE(_xlfn._xlws.FILTER('Controllable Asset Registry'!#REF!,IFERROR('Controllable Asset Registry'!#REF!=A369,FALSE),"No Equipment in entity"))</f>
        <v>#REF!</v>
      </c>
    </row>
    <row r="370" spans="1:4" x14ac:dyDescent="0.3">
      <c r="A370" t="s">
        <v>4516</v>
      </c>
      <c r="B370" t="s">
        <v>5161</v>
      </c>
      <c r="C370" t="s">
        <v>4439</v>
      </c>
      <c r="D370" t="e" cm="1">
        <f t="array" ref="D370">TRANSPOSE(_xlfn._xlws.FILTER('Controllable Asset Registry'!#REF!,IFERROR('Controllable Asset Registry'!#REF!=A370,FALSE),"No Equipment in entity"))</f>
        <v>#REF!</v>
      </c>
    </row>
    <row r="371" spans="1:4" x14ac:dyDescent="0.3">
      <c r="A371" t="s">
        <v>4517</v>
      </c>
      <c r="B371" t="s">
        <v>5162</v>
      </c>
      <c r="C371" t="s">
        <v>4186</v>
      </c>
      <c r="D371" t="e" cm="1">
        <f t="array" ref="D371">TRANSPOSE(_xlfn._xlws.FILTER('Controllable Asset Registry'!#REF!,IFERROR('Controllable Asset Registry'!#REF!=A371,FALSE),"No Equipment in entity"))</f>
        <v>#REF!</v>
      </c>
    </row>
    <row r="372" spans="1:4" x14ac:dyDescent="0.3">
      <c r="A372" t="s">
        <v>3794</v>
      </c>
      <c r="B372" t="s">
        <v>5163</v>
      </c>
      <c r="C372" t="s">
        <v>4518</v>
      </c>
      <c r="D372" t="e" cm="1">
        <f t="array" ref="D372">TRANSPOSE(_xlfn._xlws.FILTER('Controllable Asset Registry'!#REF!,IFERROR('Controllable Asset Registry'!#REF!=A372,FALSE),"No Equipment in entity"))</f>
        <v>#REF!</v>
      </c>
    </row>
    <row r="373" spans="1:4" x14ac:dyDescent="0.3">
      <c r="A373" t="s">
        <v>3570</v>
      </c>
      <c r="B373" t="s">
        <v>5164</v>
      </c>
      <c r="C373" t="s">
        <v>4519</v>
      </c>
      <c r="D373" t="e" cm="1">
        <f t="array" ref="D373">TRANSPOSE(_xlfn._xlws.FILTER('Controllable Asset Registry'!#REF!,IFERROR('Controllable Asset Registry'!#REF!=A373,FALSE),"No Equipment in entity"))</f>
        <v>#REF!</v>
      </c>
    </row>
    <row r="374" spans="1:4" x14ac:dyDescent="0.3">
      <c r="A374" t="s">
        <v>4520</v>
      </c>
      <c r="B374" t="s">
        <v>5165</v>
      </c>
      <c r="C374" t="s">
        <v>4279</v>
      </c>
      <c r="D374" t="e" cm="1">
        <f t="array" ref="D374">TRANSPOSE(_xlfn._xlws.FILTER('Controllable Asset Registry'!#REF!,IFERROR('Controllable Asset Registry'!#REF!=A374,FALSE),"No Equipment in entity"))</f>
        <v>#REF!</v>
      </c>
    </row>
    <row r="375" spans="1:4" x14ac:dyDescent="0.3">
      <c r="A375" t="s">
        <v>3782</v>
      </c>
      <c r="B375" t="s">
        <v>5166</v>
      </c>
      <c r="C375" t="s">
        <v>4521</v>
      </c>
      <c r="D375" t="e" cm="1">
        <f t="array" ref="D375">TRANSPOSE(_xlfn._xlws.FILTER('Controllable Asset Registry'!#REF!,IFERROR('Controllable Asset Registry'!#REF!=A375,FALSE),"No Equipment in entity"))</f>
        <v>#REF!</v>
      </c>
    </row>
    <row r="376" spans="1:4" x14ac:dyDescent="0.3">
      <c r="A376" t="s">
        <v>3783</v>
      </c>
      <c r="B376" t="s">
        <v>5167</v>
      </c>
      <c r="C376" t="s">
        <v>4522</v>
      </c>
      <c r="D376" t="e" cm="1">
        <f t="array" ref="D376">TRANSPOSE(_xlfn._xlws.FILTER('Controllable Asset Registry'!#REF!,IFERROR('Controllable Asset Registry'!#REF!=A376,FALSE),"No Equipment in entity"))</f>
        <v>#REF!</v>
      </c>
    </row>
    <row r="377" spans="1:4" x14ac:dyDescent="0.3">
      <c r="A377" t="s">
        <v>3784</v>
      </c>
      <c r="B377" t="s">
        <v>5168</v>
      </c>
      <c r="C377" t="s">
        <v>4522</v>
      </c>
      <c r="D377" t="e" cm="1">
        <f t="array" ref="D377">TRANSPOSE(_xlfn._xlws.FILTER('Controllable Asset Registry'!#REF!,IFERROR('Controllable Asset Registry'!#REF!=A377,FALSE),"No Equipment in entity"))</f>
        <v>#REF!</v>
      </c>
    </row>
    <row r="378" spans="1:4" x14ac:dyDescent="0.3">
      <c r="A378" t="s">
        <v>3785</v>
      </c>
      <c r="B378" t="s">
        <v>5169</v>
      </c>
      <c r="C378" t="s">
        <v>4522</v>
      </c>
      <c r="D378" t="e" cm="1">
        <f t="array" ref="D378">TRANSPOSE(_xlfn._xlws.FILTER('Controllable Asset Registry'!#REF!,IFERROR('Controllable Asset Registry'!#REF!=A378,FALSE),"No Equipment in entity"))</f>
        <v>#REF!</v>
      </c>
    </row>
    <row r="379" spans="1:4" x14ac:dyDescent="0.3">
      <c r="A379" t="s">
        <v>3786</v>
      </c>
      <c r="B379" t="s">
        <v>5170</v>
      </c>
      <c r="C379" t="s">
        <v>4522</v>
      </c>
      <c r="D379" t="e" cm="1">
        <f t="array" ref="D379">TRANSPOSE(_xlfn._xlws.FILTER('Controllable Asset Registry'!#REF!,IFERROR('Controllable Asset Registry'!#REF!=A379,FALSE),"No Equipment in entity"))</f>
        <v>#REF!</v>
      </c>
    </row>
    <row r="380" spans="1:4" x14ac:dyDescent="0.3">
      <c r="A380" t="s">
        <v>3787</v>
      </c>
      <c r="B380" t="s">
        <v>5171</v>
      </c>
      <c r="C380" t="s">
        <v>4523</v>
      </c>
      <c r="D380" t="e" cm="1">
        <f t="array" ref="D380">TRANSPOSE(_xlfn._xlws.FILTER('Controllable Asset Registry'!#REF!,IFERROR('Controllable Asset Registry'!#REF!=A380,FALSE),"No Equipment in entity"))</f>
        <v>#REF!</v>
      </c>
    </row>
    <row r="381" spans="1:4" x14ac:dyDescent="0.3">
      <c r="A381" t="s">
        <v>3788</v>
      </c>
      <c r="B381" t="s">
        <v>5172</v>
      </c>
      <c r="C381" t="s">
        <v>4522</v>
      </c>
      <c r="D381" t="e" cm="1">
        <f t="array" ref="D381">TRANSPOSE(_xlfn._xlws.FILTER('Controllable Asset Registry'!#REF!,IFERROR('Controllable Asset Registry'!#REF!=A381,FALSE),"No Equipment in entity"))</f>
        <v>#REF!</v>
      </c>
    </row>
    <row r="382" spans="1:4" x14ac:dyDescent="0.3">
      <c r="A382" t="s">
        <v>3789</v>
      </c>
      <c r="B382" t="s">
        <v>5173</v>
      </c>
      <c r="C382" t="s">
        <v>4524</v>
      </c>
      <c r="D382" t="e" cm="1">
        <f t="array" ref="D382">TRANSPOSE(_xlfn._xlws.FILTER('Controllable Asset Registry'!#REF!,IFERROR('Controllable Asset Registry'!#REF!=A382,FALSE),"No Equipment in entity"))</f>
        <v>#REF!</v>
      </c>
    </row>
    <row r="383" spans="1:4" x14ac:dyDescent="0.3">
      <c r="A383" t="s">
        <v>3790</v>
      </c>
      <c r="B383" t="s">
        <v>5174</v>
      </c>
      <c r="C383" t="s">
        <v>4525</v>
      </c>
      <c r="D383" t="e" cm="1">
        <f t="array" ref="D383">TRANSPOSE(_xlfn._xlws.FILTER('Controllable Asset Registry'!#REF!,IFERROR('Controllable Asset Registry'!#REF!=A383,FALSE),"No Equipment in entity"))</f>
        <v>#REF!</v>
      </c>
    </row>
    <row r="384" spans="1:4" x14ac:dyDescent="0.3">
      <c r="A384" t="s">
        <v>3791</v>
      </c>
      <c r="B384" t="s">
        <v>5175</v>
      </c>
      <c r="C384" t="s">
        <v>4526</v>
      </c>
      <c r="D384" t="e" cm="1">
        <f t="array" ref="D384">TRANSPOSE(_xlfn._xlws.FILTER('Controllable Asset Registry'!#REF!,IFERROR('Controllable Asset Registry'!#REF!=A384,FALSE),"No Equipment in entity"))</f>
        <v>#REF!</v>
      </c>
    </row>
    <row r="385" spans="1:4" x14ac:dyDescent="0.3">
      <c r="A385" t="s">
        <v>3792</v>
      </c>
      <c r="B385" t="s">
        <v>5176</v>
      </c>
      <c r="C385" t="s">
        <v>4527</v>
      </c>
      <c r="D385" t="e" cm="1">
        <f t="array" ref="D385">TRANSPOSE(_xlfn._xlws.FILTER('Controllable Asset Registry'!#REF!,IFERROR('Controllable Asset Registry'!#REF!=A385,FALSE),"No Equipment in entity"))</f>
        <v>#REF!</v>
      </c>
    </row>
    <row r="386" spans="1:4" x14ac:dyDescent="0.3">
      <c r="A386" t="s">
        <v>3793</v>
      </c>
      <c r="B386" t="s">
        <v>5177</v>
      </c>
      <c r="C386" t="s">
        <v>4528</v>
      </c>
      <c r="D386" t="e" cm="1">
        <f t="array" ref="D386">TRANSPOSE(_xlfn._xlws.FILTER('Controllable Asset Registry'!#REF!,IFERROR('Controllable Asset Registry'!#REF!=A386,FALSE),"No Equipment in entity"))</f>
        <v>#REF!</v>
      </c>
    </row>
    <row r="387" spans="1:4" x14ac:dyDescent="0.3">
      <c r="A387" t="s">
        <v>3795</v>
      </c>
      <c r="B387" t="s">
        <v>5178</v>
      </c>
      <c r="C387" t="s">
        <v>4529</v>
      </c>
      <c r="D387" t="e" cm="1">
        <f t="array" ref="D387">TRANSPOSE(_xlfn._xlws.FILTER('Controllable Asset Registry'!#REF!,IFERROR('Controllable Asset Registry'!#REF!=A387,FALSE),"No Equipment in entity"))</f>
        <v>#REF!</v>
      </c>
    </row>
    <row r="388" spans="1:4" x14ac:dyDescent="0.3">
      <c r="A388" t="s">
        <v>3796</v>
      </c>
      <c r="B388" t="s">
        <v>5179</v>
      </c>
      <c r="C388" t="s">
        <v>4530</v>
      </c>
      <c r="D388" t="e" cm="1">
        <f t="array" ref="D388">TRANSPOSE(_xlfn._xlws.FILTER('Controllable Asset Registry'!#REF!,IFERROR('Controllable Asset Registry'!#REF!=A388,FALSE),"No Equipment in entity"))</f>
        <v>#REF!</v>
      </c>
    </row>
    <row r="389" spans="1:4" x14ac:dyDescent="0.3">
      <c r="A389" t="s">
        <v>4531</v>
      </c>
      <c r="B389" t="s">
        <v>5180</v>
      </c>
      <c r="C389" t="s">
        <v>4197</v>
      </c>
      <c r="D389" t="e" cm="1">
        <f t="array" ref="D389">TRANSPOSE(_xlfn._xlws.FILTER('Controllable Asset Registry'!#REF!,IFERROR('Controllable Asset Registry'!#REF!=A389,FALSE),"No Equipment in entity"))</f>
        <v>#REF!</v>
      </c>
    </row>
    <row r="390" spans="1:4" x14ac:dyDescent="0.3">
      <c r="A390" t="s">
        <v>4532</v>
      </c>
      <c r="B390" t="s">
        <v>5181</v>
      </c>
      <c r="C390" t="s">
        <v>4200</v>
      </c>
      <c r="D390" t="e" cm="1">
        <f t="array" ref="D390">TRANSPOSE(_xlfn._xlws.FILTER('Controllable Asset Registry'!#REF!,IFERROR('Controllable Asset Registry'!#REF!=A390,FALSE),"No Equipment in entity"))</f>
        <v>#REF!</v>
      </c>
    </row>
    <row r="391" spans="1:4" x14ac:dyDescent="0.3">
      <c r="A391" t="s">
        <v>4533</v>
      </c>
      <c r="B391" t="s">
        <v>5182</v>
      </c>
      <c r="C391" t="s">
        <v>4197</v>
      </c>
      <c r="D391" t="e" cm="1">
        <f t="array" ref="D391">TRANSPOSE(_xlfn._xlws.FILTER('Controllable Asset Registry'!#REF!,IFERROR('Controllable Asset Registry'!#REF!=A391,FALSE),"No Equipment in entity"))</f>
        <v>#REF!</v>
      </c>
    </row>
    <row r="392" spans="1:4" x14ac:dyDescent="0.3">
      <c r="A392" t="s">
        <v>4534</v>
      </c>
      <c r="B392" t="s">
        <v>5183</v>
      </c>
      <c r="C392" t="s">
        <v>4200</v>
      </c>
      <c r="D392" t="e" cm="1">
        <f t="array" ref="D392">TRANSPOSE(_xlfn._xlws.FILTER('Controllable Asset Registry'!#REF!,IFERROR('Controllable Asset Registry'!#REF!=A392,FALSE),"No Equipment in entity"))</f>
        <v>#REF!</v>
      </c>
    </row>
    <row r="393" spans="1:4" x14ac:dyDescent="0.3">
      <c r="A393" t="s">
        <v>4535</v>
      </c>
      <c r="B393" t="s">
        <v>5184</v>
      </c>
      <c r="C393" t="s">
        <v>4197</v>
      </c>
      <c r="D393" t="e" cm="1">
        <f t="array" ref="D393">TRANSPOSE(_xlfn._xlws.FILTER('Controllable Asset Registry'!#REF!,IFERROR('Controllable Asset Registry'!#REF!=A393,FALSE),"No Equipment in entity"))</f>
        <v>#REF!</v>
      </c>
    </row>
    <row r="394" spans="1:4" x14ac:dyDescent="0.3">
      <c r="A394" t="s">
        <v>4536</v>
      </c>
      <c r="B394" t="s">
        <v>5185</v>
      </c>
      <c r="C394" t="s">
        <v>4200</v>
      </c>
      <c r="D394" t="e" cm="1">
        <f t="array" ref="D394">TRANSPOSE(_xlfn._xlws.FILTER('Controllable Asset Registry'!#REF!,IFERROR('Controllable Asset Registry'!#REF!=A394,FALSE),"No Equipment in entity"))</f>
        <v>#REF!</v>
      </c>
    </row>
    <row r="395" spans="1:4" x14ac:dyDescent="0.3">
      <c r="A395" t="s">
        <v>4537</v>
      </c>
      <c r="B395" t="s">
        <v>5186</v>
      </c>
      <c r="C395" t="s">
        <v>3344</v>
      </c>
      <c r="D395" t="e" cm="1">
        <f t="array" ref="D395">TRANSPOSE(_xlfn._xlws.FILTER('Controllable Asset Registry'!#REF!,IFERROR('Controllable Asset Registry'!#REF!=A395,FALSE),"No Equipment in entity"))</f>
        <v>#REF!</v>
      </c>
    </row>
    <row r="396" spans="1:4" x14ac:dyDescent="0.3">
      <c r="A396" t="s">
        <v>4538</v>
      </c>
      <c r="B396" t="s">
        <v>5187</v>
      </c>
      <c r="C396" t="s">
        <v>3344</v>
      </c>
      <c r="D396" t="e" cm="1">
        <f t="array" ref="D396">TRANSPOSE(_xlfn._xlws.FILTER('Controllable Asset Registry'!#REF!,IFERROR('Controllable Asset Registry'!#REF!=A396,FALSE),"No Equipment in entity"))</f>
        <v>#REF!</v>
      </c>
    </row>
    <row r="397" spans="1:4" x14ac:dyDescent="0.3">
      <c r="A397" t="s">
        <v>4539</v>
      </c>
      <c r="B397" t="s">
        <v>5188</v>
      </c>
      <c r="C397" t="s">
        <v>3344</v>
      </c>
      <c r="D397" t="e" cm="1">
        <f t="array" ref="D397">TRANSPOSE(_xlfn._xlws.FILTER('Controllable Asset Registry'!#REF!,IFERROR('Controllable Asset Registry'!#REF!=A397,FALSE),"No Equipment in entity"))</f>
        <v>#REF!</v>
      </c>
    </row>
    <row r="398" spans="1:4" x14ac:dyDescent="0.3">
      <c r="A398" t="s">
        <v>4540</v>
      </c>
      <c r="B398" t="s">
        <v>5189</v>
      </c>
      <c r="C398" t="s">
        <v>3341</v>
      </c>
      <c r="D398" t="e" cm="1">
        <f t="array" ref="D398">TRANSPOSE(_xlfn._xlws.FILTER('Controllable Asset Registry'!#REF!,IFERROR('Controllable Asset Registry'!#REF!=A398,FALSE),"No Equipment in entity"))</f>
        <v>#REF!</v>
      </c>
    </row>
    <row r="399" spans="1:4" x14ac:dyDescent="0.3">
      <c r="A399" t="s">
        <v>3569</v>
      </c>
      <c r="B399" t="s">
        <v>5190</v>
      </c>
      <c r="C399" t="s">
        <v>4206</v>
      </c>
      <c r="D399" t="e" cm="1">
        <f t="array" ref="D399">TRANSPOSE(_xlfn._xlws.FILTER('Controllable Asset Registry'!#REF!,IFERROR('Controllable Asset Registry'!#REF!=A399,FALSE),"No Equipment in entity"))</f>
        <v>#REF!</v>
      </c>
    </row>
    <row r="400" spans="1:4" x14ac:dyDescent="0.3">
      <c r="A400" t="s">
        <v>4541</v>
      </c>
      <c r="B400" t="s">
        <v>5191</v>
      </c>
      <c r="C400" t="s">
        <v>3341</v>
      </c>
      <c r="D400" t="e" cm="1">
        <f t="array" ref="D400">TRANSPOSE(_xlfn._xlws.FILTER('Controllable Asset Registry'!#REF!,IFERROR('Controllable Asset Registry'!#REF!=A400,FALSE),"No Equipment in entity"))</f>
        <v>#REF!</v>
      </c>
    </row>
    <row r="401" spans="1:4" x14ac:dyDescent="0.3">
      <c r="A401" t="s">
        <v>3568</v>
      </c>
      <c r="B401" t="s">
        <v>5192</v>
      </c>
      <c r="C401" t="s">
        <v>4206</v>
      </c>
      <c r="D401" t="e" cm="1">
        <f t="array" ref="D401">TRANSPOSE(_xlfn._xlws.FILTER('Controllable Asset Registry'!#REF!,IFERROR('Controllable Asset Registry'!#REF!=A401,FALSE),"No Equipment in entity"))</f>
        <v>#REF!</v>
      </c>
    </row>
    <row r="402" spans="1:4" x14ac:dyDescent="0.3">
      <c r="A402" t="s">
        <v>4542</v>
      </c>
      <c r="B402" t="s">
        <v>5193</v>
      </c>
      <c r="C402" t="s">
        <v>4348</v>
      </c>
      <c r="D402" t="e" cm="1">
        <f t="array" ref="D402">TRANSPOSE(_xlfn._xlws.FILTER('Controllable Asset Registry'!#REF!,IFERROR('Controllable Asset Registry'!#REF!=A402,FALSE),"No Equipment in entity"))</f>
        <v>#REF!</v>
      </c>
    </row>
    <row r="403" spans="1:4" x14ac:dyDescent="0.3">
      <c r="A403" t="s">
        <v>4543</v>
      </c>
      <c r="B403" t="s">
        <v>5194</v>
      </c>
      <c r="C403" t="s">
        <v>4544</v>
      </c>
      <c r="D403" t="e" cm="1">
        <f t="array" ref="D403">TRANSPOSE(_xlfn._xlws.FILTER('Controllable Asset Registry'!#REF!,IFERROR('Controllable Asset Registry'!#REF!=A403,FALSE),"No Equipment in entity"))</f>
        <v>#REF!</v>
      </c>
    </row>
    <row r="404" spans="1:4" x14ac:dyDescent="0.3">
      <c r="A404" t="s">
        <v>4545</v>
      </c>
      <c r="B404" t="s">
        <v>5195</v>
      </c>
      <c r="C404" t="s">
        <v>3341</v>
      </c>
      <c r="D404" t="e" cm="1">
        <f t="array" ref="D404">TRANSPOSE(_xlfn._xlws.FILTER('Controllable Asset Registry'!#REF!,IFERROR('Controllable Asset Registry'!#REF!=A404,FALSE),"No Equipment in entity"))</f>
        <v>#REF!</v>
      </c>
    </row>
    <row r="405" spans="1:4" x14ac:dyDescent="0.3">
      <c r="A405" t="s">
        <v>3758</v>
      </c>
      <c r="B405" t="s">
        <v>5196</v>
      </c>
      <c r="C405" t="s">
        <v>4505</v>
      </c>
      <c r="D405" t="e" cm="1">
        <f t="array" ref="D405">TRANSPOSE(_xlfn._xlws.FILTER('Controllable Asset Registry'!#REF!,IFERROR('Controllable Asset Registry'!#REF!=A405,FALSE),"No Equipment in entity"))</f>
        <v>#REF!</v>
      </c>
    </row>
    <row r="406" spans="1:4" x14ac:dyDescent="0.3">
      <c r="A406" t="s">
        <v>3797</v>
      </c>
      <c r="B406" t="s">
        <v>5197</v>
      </c>
      <c r="C406" t="s">
        <v>4546</v>
      </c>
      <c r="D406" t="e" cm="1">
        <f t="array" ref="D406">TRANSPOSE(_xlfn._xlws.FILTER('Controllable Asset Registry'!#REF!,IFERROR('Controllable Asset Registry'!#REF!=A406,FALSE),"No Equipment in entity"))</f>
        <v>#REF!</v>
      </c>
    </row>
    <row r="407" spans="1:4" x14ac:dyDescent="0.3">
      <c r="A407" t="s">
        <v>3572</v>
      </c>
      <c r="B407" t="s">
        <v>5198</v>
      </c>
      <c r="C407" t="s">
        <v>4547</v>
      </c>
      <c r="D407" t="e" cm="1">
        <f t="array" ref="D407">TRANSPOSE(_xlfn._xlws.FILTER('Controllable Asset Registry'!#REF!,IFERROR('Controllable Asset Registry'!#REF!=A407,FALSE),"No Equipment in entity"))</f>
        <v>#REF!</v>
      </c>
    </row>
    <row r="408" spans="1:4" x14ac:dyDescent="0.3">
      <c r="A408" t="s">
        <v>5758</v>
      </c>
      <c r="B408" t="s">
        <v>5759</v>
      </c>
      <c r="C408" t="s">
        <v>4362</v>
      </c>
      <c r="D408" t="e" cm="1">
        <f t="array" ref="D408">TRANSPOSE(_xlfn._xlws.FILTER('Controllable Asset Registry'!#REF!,IFERROR('Controllable Asset Registry'!#REF!=A408,FALSE),"No Equipment in entity"))</f>
        <v>#REF!</v>
      </c>
    </row>
    <row r="409" spans="1:4" x14ac:dyDescent="0.3">
      <c r="A409" t="s">
        <v>5760</v>
      </c>
      <c r="B409" t="s">
        <v>5761</v>
      </c>
      <c r="C409" t="s">
        <v>4365</v>
      </c>
      <c r="D409" t="e" cm="1">
        <f t="array" ref="D409">TRANSPOSE(_xlfn._xlws.FILTER('Controllable Asset Registry'!#REF!,IFERROR('Controllable Asset Registry'!#REF!=A409,FALSE),"No Equipment in entity"))</f>
        <v>#REF!</v>
      </c>
    </row>
    <row r="410" spans="1:4" x14ac:dyDescent="0.3">
      <c r="A410" t="s">
        <v>5762</v>
      </c>
      <c r="B410" t="s">
        <v>5763</v>
      </c>
      <c r="C410" t="s">
        <v>4368</v>
      </c>
      <c r="D410" t="e" cm="1">
        <f t="array" ref="D410">TRANSPOSE(_xlfn._xlws.FILTER('Controllable Asset Registry'!#REF!,IFERROR('Controllable Asset Registry'!#REF!=A410,FALSE),"No Equipment in entity"))</f>
        <v>#REF!</v>
      </c>
    </row>
    <row r="411" spans="1:4" x14ac:dyDescent="0.3">
      <c r="A411" t="s">
        <v>5764</v>
      </c>
      <c r="B411" t="s">
        <v>5765</v>
      </c>
      <c r="C411" t="s">
        <v>4371</v>
      </c>
      <c r="D411" t="e" cm="1">
        <f t="array" ref="D411">TRANSPOSE(_xlfn._xlws.FILTER('Controllable Asset Registry'!#REF!,IFERROR('Controllable Asset Registry'!#REF!=A411,FALSE),"No Equipment in entity"))</f>
        <v>#REF!</v>
      </c>
    </row>
    <row r="412" spans="1:4" x14ac:dyDescent="0.3">
      <c r="A412" t="s">
        <v>5766</v>
      </c>
      <c r="B412" t="s">
        <v>5767</v>
      </c>
      <c r="C412" t="s">
        <v>4235</v>
      </c>
      <c r="D412" t="e" cm="1">
        <f t="array" ref="D412">TRANSPOSE(_xlfn._xlws.FILTER('Controllable Asset Registry'!#REF!,IFERROR('Controllable Asset Registry'!#REF!=A412,FALSE),"No Equipment in entity"))</f>
        <v>#REF!</v>
      </c>
    </row>
    <row r="413" spans="1:4" x14ac:dyDescent="0.3">
      <c r="A413" t="s">
        <v>5768</v>
      </c>
      <c r="B413" t="s">
        <v>5769</v>
      </c>
      <c r="C413" t="s">
        <v>4238</v>
      </c>
      <c r="D413" t="e" cm="1">
        <f t="array" ref="D413">TRANSPOSE(_xlfn._xlws.FILTER('Controllable Asset Registry'!#REF!,IFERROR('Controllable Asset Registry'!#REF!=A413,FALSE),"No Equipment in entity"))</f>
        <v>#REF!</v>
      </c>
    </row>
    <row r="414" spans="1:4" x14ac:dyDescent="0.3">
      <c r="A414" t="s">
        <v>5770</v>
      </c>
      <c r="B414" t="s">
        <v>5771</v>
      </c>
      <c r="C414" t="s">
        <v>4241</v>
      </c>
      <c r="D414" t="e" cm="1">
        <f t="array" ref="D414">TRANSPOSE(_xlfn._xlws.FILTER('Controllable Asset Registry'!#REF!,IFERROR('Controllable Asset Registry'!#REF!=A414,FALSE),"No Equipment in entity"))</f>
        <v>#REF!</v>
      </c>
    </row>
    <row r="415" spans="1:4" x14ac:dyDescent="0.3">
      <c r="A415" t="s">
        <v>5772</v>
      </c>
      <c r="B415" t="s">
        <v>5773</v>
      </c>
      <c r="C415" t="s">
        <v>4380</v>
      </c>
      <c r="D415" t="e" cm="1">
        <f t="array" ref="D415">TRANSPOSE(_xlfn._xlws.FILTER('Controllable Asset Registry'!#REF!,IFERROR('Controllable Asset Registry'!#REF!=A415,FALSE),"No Equipment in entity"))</f>
        <v>#REF!</v>
      </c>
    </row>
    <row r="416" spans="1:4" x14ac:dyDescent="0.3">
      <c r="A416" t="s">
        <v>5774</v>
      </c>
      <c r="B416" t="s">
        <v>5775</v>
      </c>
      <c r="C416" t="s">
        <v>4246</v>
      </c>
      <c r="D416" t="e" cm="1">
        <f t="array" ref="D416">TRANSPOSE(_xlfn._xlws.FILTER('Controllable Asset Registry'!#REF!,IFERROR('Controllable Asset Registry'!#REF!=A416,FALSE),"No Equipment in entity"))</f>
        <v>#REF!</v>
      </c>
    </row>
    <row r="417" spans="1:4" x14ac:dyDescent="0.3">
      <c r="A417" t="s">
        <v>5776</v>
      </c>
      <c r="B417" t="s">
        <v>5777</v>
      </c>
      <c r="C417" t="s">
        <v>4248</v>
      </c>
      <c r="D417" t="e" cm="1">
        <f t="array" ref="D417">TRANSPOSE(_xlfn._xlws.FILTER('Controllable Asset Registry'!#REF!,IFERROR('Controllable Asset Registry'!#REF!=A417,FALSE),"No Equipment in entity"))</f>
        <v>#REF!</v>
      </c>
    </row>
    <row r="418" spans="1:4" x14ac:dyDescent="0.3">
      <c r="A418" t="s">
        <v>5778</v>
      </c>
      <c r="B418" t="s">
        <v>5779</v>
      </c>
      <c r="C418" t="s">
        <v>4387</v>
      </c>
      <c r="D418" t="e" cm="1">
        <f t="array" ref="D418">TRANSPOSE(_xlfn._xlws.FILTER('Controllable Asset Registry'!#REF!,IFERROR('Controllable Asset Registry'!#REF!=A418,FALSE),"No Equipment in entity"))</f>
        <v>#REF!</v>
      </c>
    </row>
    <row r="419" spans="1:4" x14ac:dyDescent="0.3">
      <c r="A419" t="s">
        <v>5780</v>
      </c>
      <c r="B419" t="s">
        <v>5781</v>
      </c>
      <c r="C419" t="s">
        <v>4251</v>
      </c>
      <c r="D419" t="e" cm="1">
        <f t="array" ref="D419">TRANSPOSE(_xlfn._xlws.FILTER('Controllable Asset Registry'!#REF!,IFERROR('Controllable Asset Registry'!#REF!=A419,FALSE),"No Equipment in entity"))</f>
        <v>#REF!</v>
      </c>
    </row>
    <row r="420" spans="1:4" x14ac:dyDescent="0.3">
      <c r="A420" t="s">
        <v>3813</v>
      </c>
      <c r="B420" t="s">
        <v>5199</v>
      </c>
      <c r="C420" t="s">
        <v>4548</v>
      </c>
      <c r="D420" t="e" cm="1">
        <f t="array" ref="D420">TRANSPOSE(_xlfn._xlws.FILTER('Controllable Asset Registry'!#REF!,IFERROR('Controllable Asset Registry'!#REF!=A420,FALSE),"No Equipment in entity"))</f>
        <v>#REF!</v>
      </c>
    </row>
    <row r="421" spans="1:4" x14ac:dyDescent="0.3">
      <c r="A421" t="s">
        <v>4549</v>
      </c>
      <c r="B421" t="s">
        <v>4550</v>
      </c>
      <c r="C421" t="s">
        <v>4551</v>
      </c>
      <c r="D421" t="e" cm="1">
        <f t="array" ref="D421">TRANSPOSE(_xlfn._xlws.FILTER('Controllable Asset Registry'!#REF!,IFERROR('Controllable Asset Registry'!#REF!=A421,FALSE),"No Equipment in entity"))</f>
        <v>#REF!</v>
      </c>
    </row>
    <row r="422" spans="1:4" x14ac:dyDescent="0.3">
      <c r="A422" t="s">
        <v>4552</v>
      </c>
      <c r="B422" t="s">
        <v>4553</v>
      </c>
      <c r="C422" t="s">
        <v>4554</v>
      </c>
      <c r="D422" t="e" cm="1">
        <f t="array" ref="D422">TRANSPOSE(_xlfn._xlws.FILTER('Controllable Asset Registry'!#REF!,IFERROR('Controllable Asset Registry'!#REF!=A422,FALSE),"No Equipment in entity"))</f>
        <v>#REF!</v>
      </c>
    </row>
    <row r="423" spans="1:4" x14ac:dyDescent="0.3">
      <c r="A423" t="s">
        <v>3798</v>
      </c>
      <c r="B423" t="s">
        <v>5200</v>
      </c>
      <c r="C423" t="s">
        <v>4555</v>
      </c>
      <c r="D423" t="e" cm="1">
        <f t="array" ref="D423">TRANSPOSE(_xlfn._xlws.FILTER('Controllable Asset Registry'!#REF!,IFERROR('Controllable Asset Registry'!#REF!=A423,FALSE),"No Equipment in entity"))</f>
        <v>#REF!</v>
      </c>
    </row>
    <row r="424" spans="1:4" x14ac:dyDescent="0.3">
      <c r="A424" t="s">
        <v>3799</v>
      </c>
      <c r="B424" t="s">
        <v>5201</v>
      </c>
      <c r="C424" t="s">
        <v>4548</v>
      </c>
      <c r="D424" t="e" cm="1">
        <f t="array" ref="D424">TRANSPOSE(_xlfn._xlws.FILTER('Controllable Asset Registry'!#REF!,IFERROR('Controllable Asset Registry'!#REF!=A424,FALSE),"No Equipment in entity"))</f>
        <v>#REF!</v>
      </c>
    </row>
    <row r="425" spans="1:4" x14ac:dyDescent="0.3">
      <c r="A425" t="s">
        <v>3800</v>
      </c>
      <c r="B425" t="s">
        <v>5202</v>
      </c>
      <c r="C425" t="s">
        <v>4548</v>
      </c>
      <c r="D425" t="e" cm="1">
        <f t="array" ref="D425">TRANSPOSE(_xlfn._xlws.FILTER('Controllable Asset Registry'!#REF!,IFERROR('Controllable Asset Registry'!#REF!=A425,FALSE),"No Equipment in entity"))</f>
        <v>#REF!</v>
      </c>
    </row>
    <row r="426" spans="1:4" x14ac:dyDescent="0.3">
      <c r="A426" t="s">
        <v>3801</v>
      </c>
      <c r="B426" t="s">
        <v>5203</v>
      </c>
      <c r="C426" t="s">
        <v>4548</v>
      </c>
      <c r="D426" t="e" cm="1">
        <f t="array" ref="D426">TRANSPOSE(_xlfn._xlws.FILTER('Controllable Asset Registry'!#REF!,IFERROR('Controllable Asset Registry'!#REF!=A426,FALSE),"No Equipment in entity"))</f>
        <v>#REF!</v>
      </c>
    </row>
    <row r="427" spans="1:4" x14ac:dyDescent="0.3">
      <c r="A427" t="s">
        <v>3802</v>
      </c>
      <c r="B427" t="s">
        <v>5204</v>
      </c>
      <c r="C427" t="s">
        <v>4556</v>
      </c>
      <c r="D427" t="e" cm="1">
        <f t="array" ref="D427">TRANSPOSE(_xlfn._xlws.FILTER('Controllable Asset Registry'!#REF!,IFERROR('Controllable Asset Registry'!#REF!=A427,FALSE),"No Equipment in entity"))</f>
        <v>#REF!</v>
      </c>
    </row>
    <row r="428" spans="1:4" x14ac:dyDescent="0.3">
      <c r="A428" t="s">
        <v>3803</v>
      </c>
      <c r="B428" t="s">
        <v>5205</v>
      </c>
      <c r="C428" t="s">
        <v>4556</v>
      </c>
      <c r="D428" t="e" cm="1">
        <f t="array" ref="D428">TRANSPOSE(_xlfn._xlws.FILTER('Controllable Asset Registry'!#REF!,IFERROR('Controllable Asset Registry'!#REF!=A428,FALSE),"No Equipment in entity"))</f>
        <v>#REF!</v>
      </c>
    </row>
    <row r="429" spans="1:4" x14ac:dyDescent="0.3">
      <c r="A429" t="s">
        <v>3804</v>
      </c>
      <c r="B429" t="s">
        <v>5206</v>
      </c>
      <c r="C429" t="s">
        <v>4556</v>
      </c>
      <c r="D429" t="e" cm="1">
        <f t="array" ref="D429">TRANSPOSE(_xlfn._xlws.FILTER('Controllable Asset Registry'!#REF!,IFERROR('Controllable Asset Registry'!#REF!=A429,FALSE),"No Equipment in entity"))</f>
        <v>#REF!</v>
      </c>
    </row>
    <row r="430" spans="1:4" x14ac:dyDescent="0.3">
      <c r="A430" t="s">
        <v>3805</v>
      </c>
      <c r="B430" t="s">
        <v>5207</v>
      </c>
      <c r="C430" t="s">
        <v>4556</v>
      </c>
      <c r="D430" t="e" cm="1">
        <f t="array" ref="D430">TRANSPOSE(_xlfn._xlws.FILTER('Controllable Asset Registry'!#REF!,IFERROR('Controllable Asset Registry'!#REF!=A430,FALSE),"No Equipment in entity"))</f>
        <v>#REF!</v>
      </c>
    </row>
    <row r="431" spans="1:4" x14ac:dyDescent="0.3">
      <c r="A431" t="s">
        <v>3806</v>
      </c>
      <c r="B431" t="s">
        <v>5208</v>
      </c>
      <c r="C431" t="s">
        <v>4556</v>
      </c>
      <c r="D431" t="e" cm="1">
        <f t="array" ref="D431">TRANSPOSE(_xlfn._xlws.FILTER('Controllable Asset Registry'!#REF!,IFERROR('Controllable Asset Registry'!#REF!=A431,FALSE),"No Equipment in entity"))</f>
        <v>#REF!</v>
      </c>
    </row>
    <row r="432" spans="1:4" x14ac:dyDescent="0.3">
      <c r="A432" t="s">
        <v>3807</v>
      </c>
      <c r="B432" t="s">
        <v>5209</v>
      </c>
      <c r="C432" t="s">
        <v>4548</v>
      </c>
      <c r="D432" t="e" cm="1">
        <f t="array" ref="D432">TRANSPOSE(_xlfn._xlws.FILTER('Controllable Asset Registry'!#REF!,IFERROR('Controllable Asset Registry'!#REF!=A432,FALSE),"No Equipment in entity"))</f>
        <v>#REF!</v>
      </c>
    </row>
    <row r="433" spans="1:4" x14ac:dyDescent="0.3">
      <c r="A433" t="s">
        <v>3815</v>
      </c>
      <c r="B433" t="s">
        <v>5210</v>
      </c>
      <c r="C433" t="s">
        <v>4439</v>
      </c>
      <c r="D433" t="e" cm="1">
        <f t="array" ref="D433">TRANSPOSE(_xlfn._xlws.FILTER('Controllable Asset Registry'!#REF!,IFERROR('Controllable Asset Registry'!#REF!=A433,FALSE),"No Equipment in entity"))</f>
        <v>#REF!</v>
      </c>
    </row>
    <row r="434" spans="1:4" x14ac:dyDescent="0.3">
      <c r="A434" t="s">
        <v>3814</v>
      </c>
      <c r="B434" t="s">
        <v>5211</v>
      </c>
      <c r="C434" t="s">
        <v>4439</v>
      </c>
      <c r="D434" t="e" cm="1">
        <f t="array" ref="D434">TRANSPOSE(_xlfn._xlws.FILTER('Controllable Asset Registry'!#REF!,IFERROR('Controllable Asset Registry'!#REF!=A434,FALSE),"No Equipment in entity"))</f>
        <v>#REF!</v>
      </c>
    </row>
    <row r="435" spans="1:4" x14ac:dyDescent="0.3">
      <c r="A435" t="s">
        <v>4557</v>
      </c>
      <c r="B435" t="s">
        <v>4558</v>
      </c>
      <c r="C435" t="s">
        <v>4186</v>
      </c>
      <c r="D435" t="e" cm="1">
        <f t="array" ref="D435">TRANSPOSE(_xlfn._xlws.FILTER('Controllable Asset Registry'!#REF!,IFERROR('Controllable Asset Registry'!#REF!=A435,FALSE),"No Equipment in entity"))</f>
        <v>#REF!</v>
      </c>
    </row>
    <row r="436" spans="1:4" x14ac:dyDescent="0.3">
      <c r="A436" t="s">
        <v>4559</v>
      </c>
      <c r="B436" t="s">
        <v>4560</v>
      </c>
      <c r="C436" t="s">
        <v>4561</v>
      </c>
      <c r="D436" t="e" cm="1">
        <f t="array" ref="D436">TRANSPOSE(_xlfn._xlws.FILTER('Controllable Asset Registry'!#REF!,IFERROR('Controllable Asset Registry'!#REF!=A436,FALSE),"No Equipment in entity"))</f>
        <v>#REF!</v>
      </c>
    </row>
    <row r="437" spans="1:4" x14ac:dyDescent="0.3">
      <c r="A437" t="s">
        <v>3812</v>
      </c>
      <c r="B437" t="s">
        <v>5212</v>
      </c>
      <c r="C437" t="s">
        <v>4562</v>
      </c>
      <c r="D437" t="e" cm="1">
        <f t="array" ref="D437">TRANSPOSE(_xlfn._xlws.FILTER('Controllable Asset Registry'!#REF!,IFERROR('Controllable Asset Registry'!#REF!=A437,FALSE),"No Equipment in entity"))</f>
        <v>#REF!</v>
      </c>
    </row>
    <row r="438" spans="1:4" x14ac:dyDescent="0.3">
      <c r="A438" t="s">
        <v>4563</v>
      </c>
      <c r="B438" t="s">
        <v>4564</v>
      </c>
      <c r="C438" t="s">
        <v>4437</v>
      </c>
      <c r="D438" t="e" cm="1">
        <f t="array" ref="D438">TRANSPOSE(_xlfn._xlws.FILTER('Controllable Asset Registry'!#REF!,IFERROR('Controllable Asset Registry'!#REF!=A438,FALSE),"No Equipment in entity"))</f>
        <v>#REF!</v>
      </c>
    </row>
    <row r="439" spans="1:4" x14ac:dyDescent="0.3">
      <c r="A439" t="s">
        <v>4565</v>
      </c>
      <c r="B439" t="s">
        <v>4566</v>
      </c>
      <c r="C439" t="s">
        <v>4279</v>
      </c>
      <c r="D439" t="e" cm="1">
        <f t="array" ref="D439">TRANSPOSE(_xlfn._xlws.FILTER('Controllable Asset Registry'!#REF!,IFERROR('Controllable Asset Registry'!#REF!=A439,FALSE),"No Equipment in entity"))</f>
        <v>#REF!</v>
      </c>
    </row>
    <row r="440" spans="1:4" x14ac:dyDescent="0.3">
      <c r="A440" t="s">
        <v>3811</v>
      </c>
      <c r="B440" t="s">
        <v>5213</v>
      </c>
      <c r="C440" t="s">
        <v>4567</v>
      </c>
      <c r="D440" t="e" cm="1">
        <f t="array" ref="D440">TRANSPOSE(_xlfn._xlws.FILTER('Controllable Asset Registry'!#REF!,IFERROR('Controllable Asset Registry'!#REF!=A440,FALSE),"No Equipment in entity"))</f>
        <v>#REF!</v>
      </c>
    </row>
    <row r="441" spans="1:4" x14ac:dyDescent="0.3">
      <c r="A441" t="s">
        <v>3810</v>
      </c>
      <c r="B441" t="s">
        <v>5214</v>
      </c>
      <c r="C441" t="s">
        <v>4568</v>
      </c>
      <c r="D441" t="e" cm="1">
        <f t="array" ref="D441">TRANSPOSE(_xlfn._xlws.FILTER('Controllable Asset Registry'!#REF!,IFERROR('Controllable Asset Registry'!#REF!=A441,FALSE),"No Equipment in entity"))</f>
        <v>#REF!</v>
      </c>
    </row>
    <row r="442" spans="1:4" x14ac:dyDescent="0.3">
      <c r="A442" t="s">
        <v>3809</v>
      </c>
      <c r="B442" t="s">
        <v>5215</v>
      </c>
      <c r="C442" t="s">
        <v>4569</v>
      </c>
      <c r="D442" t="e" cm="1">
        <f t="array" ref="D442">TRANSPOSE(_xlfn._xlws.FILTER('Controllable Asset Registry'!#REF!,IFERROR('Controllable Asset Registry'!#REF!=A442,FALSE),"No Equipment in entity"))</f>
        <v>#REF!</v>
      </c>
    </row>
    <row r="443" spans="1:4" x14ac:dyDescent="0.3">
      <c r="A443" t="s">
        <v>3816</v>
      </c>
      <c r="B443" t="s">
        <v>5216</v>
      </c>
      <c r="C443" t="s">
        <v>4439</v>
      </c>
      <c r="D443" t="e" cm="1">
        <f t="array" ref="D443">TRANSPOSE(_xlfn._xlws.FILTER('Controllable Asset Registry'!#REF!,IFERROR('Controllable Asset Registry'!#REF!=A443,FALSE),"No Equipment in entity"))</f>
        <v>#REF!</v>
      </c>
    </row>
    <row r="444" spans="1:4" x14ac:dyDescent="0.3">
      <c r="A444" t="s">
        <v>4570</v>
      </c>
      <c r="B444" t="s">
        <v>5217</v>
      </c>
      <c r="C444" t="s">
        <v>4408</v>
      </c>
      <c r="D444" t="e" cm="1">
        <f t="array" ref="D444">TRANSPOSE(_xlfn._xlws.FILTER('Controllable Asset Registry'!#REF!,IFERROR('Controllable Asset Registry'!#REF!=A444,FALSE),"No Equipment in entity"))</f>
        <v>#REF!</v>
      </c>
    </row>
    <row r="445" spans="1:4" x14ac:dyDescent="0.3">
      <c r="A445" t="s">
        <v>4571</v>
      </c>
      <c r="B445" t="s">
        <v>5218</v>
      </c>
      <c r="C445" t="s">
        <v>4279</v>
      </c>
      <c r="D445" t="e" cm="1">
        <f t="array" ref="D445">TRANSPOSE(_xlfn._xlws.FILTER('Controllable Asset Registry'!#REF!,IFERROR('Controllable Asset Registry'!#REF!=A445,FALSE),"No Equipment in entity"))</f>
        <v>#REF!</v>
      </c>
    </row>
    <row r="446" spans="1:4" x14ac:dyDescent="0.3">
      <c r="A446" t="s">
        <v>3817</v>
      </c>
      <c r="B446" t="s">
        <v>5219</v>
      </c>
      <c r="C446" t="s">
        <v>4439</v>
      </c>
      <c r="D446" t="e" cm="1">
        <f t="array" ref="D446">TRANSPOSE(_xlfn._xlws.FILTER('Controllable Asset Registry'!#REF!,IFERROR('Controllable Asset Registry'!#REF!=A446,FALSE),"No Equipment in entity"))</f>
        <v>#REF!</v>
      </c>
    </row>
    <row r="447" spans="1:4" x14ac:dyDescent="0.3">
      <c r="A447" t="s">
        <v>3818</v>
      </c>
      <c r="B447" t="s">
        <v>5220</v>
      </c>
      <c r="C447" t="s">
        <v>4572</v>
      </c>
      <c r="D447" t="e" cm="1">
        <f t="array" ref="D447">TRANSPOSE(_xlfn._xlws.FILTER('Controllable Asset Registry'!#REF!,IFERROR('Controllable Asset Registry'!#REF!=A447,FALSE),"No Equipment in entity"))</f>
        <v>#REF!</v>
      </c>
    </row>
    <row r="448" spans="1:4" x14ac:dyDescent="0.3">
      <c r="A448" t="s">
        <v>3819</v>
      </c>
      <c r="B448" t="s">
        <v>5221</v>
      </c>
      <c r="C448" t="s">
        <v>4572</v>
      </c>
      <c r="D448" t="e" cm="1">
        <f t="array" ref="D448">TRANSPOSE(_xlfn._xlws.FILTER('Controllable Asset Registry'!#REF!,IFERROR('Controllable Asset Registry'!#REF!=A448,FALSE),"No Equipment in entity"))</f>
        <v>#REF!</v>
      </c>
    </row>
    <row r="449" spans="1:4" x14ac:dyDescent="0.3">
      <c r="A449" t="s">
        <v>4573</v>
      </c>
      <c r="B449" t="s">
        <v>5222</v>
      </c>
      <c r="C449" t="s">
        <v>4574</v>
      </c>
      <c r="D449" t="e" cm="1">
        <f t="array" ref="D449">TRANSPOSE(_xlfn._xlws.FILTER('Controllable Asset Registry'!#REF!,IFERROR('Controllable Asset Registry'!#REF!=A449,FALSE),"No Equipment in entity"))</f>
        <v>#REF!</v>
      </c>
    </row>
    <row r="450" spans="1:4" x14ac:dyDescent="0.3">
      <c r="A450" t="s">
        <v>3820</v>
      </c>
      <c r="B450" t="s">
        <v>5223</v>
      </c>
      <c r="C450" t="s">
        <v>4575</v>
      </c>
      <c r="D450" t="e" cm="1">
        <f t="array" ref="D450">TRANSPOSE(_xlfn._xlws.FILTER('Controllable Asset Registry'!#REF!,IFERROR('Controllable Asset Registry'!#REF!=A450,FALSE),"No Equipment in entity"))</f>
        <v>#REF!</v>
      </c>
    </row>
    <row r="451" spans="1:4" x14ac:dyDescent="0.3">
      <c r="A451" t="s">
        <v>3821</v>
      </c>
      <c r="B451" t="s">
        <v>5224</v>
      </c>
      <c r="C451" t="s">
        <v>4572</v>
      </c>
      <c r="D451" t="e" cm="1">
        <f t="array" ref="D451">TRANSPOSE(_xlfn._xlws.FILTER('Controllable Asset Registry'!#REF!,IFERROR('Controllable Asset Registry'!#REF!=A451,FALSE),"No Equipment in entity"))</f>
        <v>#REF!</v>
      </c>
    </row>
    <row r="452" spans="1:4" x14ac:dyDescent="0.3">
      <c r="A452" t="s">
        <v>3822</v>
      </c>
      <c r="B452" t="s">
        <v>5225</v>
      </c>
      <c r="C452" t="s">
        <v>4572</v>
      </c>
      <c r="D452" t="e" cm="1">
        <f t="array" ref="D452">TRANSPOSE(_xlfn._xlws.FILTER('Controllable Asset Registry'!#REF!,IFERROR('Controllable Asset Registry'!#REF!=A452,FALSE),"No Equipment in entity"))</f>
        <v>#REF!</v>
      </c>
    </row>
    <row r="453" spans="1:4" x14ac:dyDescent="0.3">
      <c r="A453" t="s">
        <v>3823</v>
      </c>
      <c r="B453" t="s">
        <v>5226</v>
      </c>
      <c r="C453" t="s">
        <v>4572</v>
      </c>
      <c r="D453" t="e" cm="1">
        <f t="array" ref="D453">TRANSPOSE(_xlfn._xlws.FILTER('Controllable Asset Registry'!#REF!,IFERROR('Controllable Asset Registry'!#REF!=A453,FALSE),"No Equipment in entity"))</f>
        <v>#REF!</v>
      </c>
    </row>
    <row r="454" spans="1:4" x14ac:dyDescent="0.3">
      <c r="A454" t="s">
        <v>3824</v>
      </c>
      <c r="B454" t="s">
        <v>5227</v>
      </c>
      <c r="C454" t="s">
        <v>4576</v>
      </c>
      <c r="D454" t="e" cm="1">
        <f t="array" ref="D454">TRANSPOSE(_xlfn._xlws.FILTER('Controllable Asset Registry'!#REF!,IFERROR('Controllable Asset Registry'!#REF!=A454,FALSE),"No Equipment in entity"))</f>
        <v>#REF!</v>
      </c>
    </row>
    <row r="455" spans="1:4" x14ac:dyDescent="0.3">
      <c r="A455" t="s">
        <v>3825</v>
      </c>
      <c r="B455" t="s">
        <v>5228</v>
      </c>
      <c r="C455" t="s">
        <v>4577</v>
      </c>
      <c r="D455" t="e" cm="1">
        <f t="array" ref="D455">TRANSPOSE(_xlfn._xlws.FILTER('Controllable Asset Registry'!#REF!,IFERROR('Controllable Asset Registry'!#REF!=A455,FALSE),"No Equipment in entity"))</f>
        <v>#REF!</v>
      </c>
    </row>
    <row r="456" spans="1:4" x14ac:dyDescent="0.3">
      <c r="A456" t="s">
        <v>4578</v>
      </c>
      <c r="B456" t="s">
        <v>5229</v>
      </c>
      <c r="C456" t="s">
        <v>4579</v>
      </c>
      <c r="D456" t="e" cm="1">
        <f t="array" ref="D456">TRANSPOSE(_xlfn._xlws.FILTER('Controllable Asset Registry'!#REF!,IFERROR('Controllable Asset Registry'!#REF!=A456,FALSE),"No Equipment in entity"))</f>
        <v>#REF!</v>
      </c>
    </row>
    <row r="457" spans="1:4" x14ac:dyDescent="0.3">
      <c r="A457" t="s">
        <v>3826</v>
      </c>
      <c r="B457" t="s">
        <v>5230</v>
      </c>
      <c r="C457" t="s">
        <v>4580</v>
      </c>
      <c r="D457" t="e" cm="1">
        <f t="array" ref="D457">TRANSPOSE(_xlfn._xlws.FILTER('Controllable Asset Registry'!#REF!,IFERROR('Controllable Asset Registry'!#REF!=A457,FALSE),"No Equipment in entity"))</f>
        <v>#REF!</v>
      </c>
    </row>
    <row r="458" spans="1:4" x14ac:dyDescent="0.3">
      <c r="A458" t="s">
        <v>4581</v>
      </c>
      <c r="B458" t="s">
        <v>5231</v>
      </c>
      <c r="C458" t="s">
        <v>4197</v>
      </c>
      <c r="D458" t="e" cm="1">
        <f t="array" ref="D458">TRANSPOSE(_xlfn._xlws.FILTER('Controllable Asset Registry'!#REF!,IFERROR('Controllable Asset Registry'!#REF!=A458,FALSE),"No Equipment in entity"))</f>
        <v>#REF!</v>
      </c>
    </row>
    <row r="459" spans="1:4" x14ac:dyDescent="0.3">
      <c r="A459" t="s">
        <v>4582</v>
      </c>
      <c r="B459" t="s">
        <v>5232</v>
      </c>
      <c r="C459" t="s">
        <v>4200</v>
      </c>
      <c r="D459" t="e" cm="1">
        <f t="array" ref="D459">TRANSPOSE(_xlfn._xlws.FILTER('Controllable Asset Registry'!#REF!,IFERROR('Controllable Asset Registry'!#REF!=A459,FALSE),"No Equipment in entity"))</f>
        <v>#REF!</v>
      </c>
    </row>
    <row r="460" spans="1:4" x14ac:dyDescent="0.3">
      <c r="A460" t="s">
        <v>4583</v>
      </c>
      <c r="B460" t="s">
        <v>5233</v>
      </c>
      <c r="C460" t="s">
        <v>4197</v>
      </c>
      <c r="D460" t="e" cm="1">
        <f t="array" ref="D460">TRANSPOSE(_xlfn._xlws.FILTER('Controllable Asset Registry'!#REF!,IFERROR('Controllable Asset Registry'!#REF!=A460,FALSE),"No Equipment in entity"))</f>
        <v>#REF!</v>
      </c>
    </row>
    <row r="461" spans="1:4" x14ac:dyDescent="0.3">
      <c r="A461" t="s">
        <v>4584</v>
      </c>
      <c r="B461" t="s">
        <v>5234</v>
      </c>
      <c r="C461" t="s">
        <v>4200</v>
      </c>
      <c r="D461" t="e" cm="1">
        <f t="array" ref="D461">TRANSPOSE(_xlfn._xlws.FILTER('Controllable Asset Registry'!#REF!,IFERROR('Controllable Asset Registry'!#REF!=A461,FALSE),"No Equipment in entity"))</f>
        <v>#REF!</v>
      </c>
    </row>
    <row r="462" spans="1:4" x14ac:dyDescent="0.3">
      <c r="A462" t="s">
        <v>4585</v>
      </c>
      <c r="B462" t="s">
        <v>5235</v>
      </c>
      <c r="C462" t="s">
        <v>3344</v>
      </c>
      <c r="D462" t="e" cm="1">
        <f t="array" ref="D462">TRANSPOSE(_xlfn._xlws.FILTER('Controllable Asset Registry'!#REF!,IFERROR('Controllable Asset Registry'!#REF!=A462,FALSE),"No Equipment in entity"))</f>
        <v>#REF!</v>
      </c>
    </row>
    <row r="463" spans="1:4" x14ac:dyDescent="0.3">
      <c r="A463" t="s">
        <v>4586</v>
      </c>
      <c r="B463" t="s">
        <v>5236</v>
      </c>
      <c r="C463" t="s">
        <v>3344</v>
      </c>
      <c r="D463" t="e" cm="1">
        <f t="array" ref="D463">TRANSPOSE(_xlfn._xlws.FILTER('Controllable Asset Registry'!#REF!,IFERROR('Controllable Asset Registry'!#REF!=A463,FALSE),"No Equipment in entity"))</f>
        <v>#REF!</v>
      </c>
    </row>
    <row r="464" spans="1:4" x14ac:dyDescent="0.3">
      <c r="A464" t="s">
        <v>4587</v>
      </c>
      <c r="B464" t="s">
        <v>5237</v>
      </c>
      <c r="C464" t="s">
        <v>3341</v>
      </c>
      <c r="D464" t="e" cm="1">
        <f t="array" ref="D464">TRANSPOSE(_xlfn._xlws.FILTER('Controllable Asset Registry'!#REF!,IFERROR('Controllable Asset Registry'!#REF!=A464,FALSE),"No Equipment in entity"))</f>
        <v>#REF!</v>
      </c>
    </row>
    <row r="465" spans="1:4" x14ac:dyDescent="0.3">
      <c r="A465" t="s">
        <v>3575</v>
      </c>
      <c r="B465" t="s">
        <v>5238</v>
      </c>
      <c r="C465" t="s">
        <v>4206</v>
      </c>
      <c r="D465" t="e" cm="1">
        <f t="array" ref="D465">TRANSPOSE(_xlfn._xlws.FILTER('Controllable Asset Registry'!#REF!,IFERROR('Controllable Asset Registry'!#REF!=A465,FALSE),"No Equipment in entity"))</f>
        <v>#REF!</v>
      </c>
    </row>
    <row r="466" spans="1:4" x14ac:dyDescent="0.3">
      <c r="A466" t="s">
        <v>4588</v>
      </c>
      <c r="B466" t="s">
        <v>5239</v>
      </c>
      <c r="C466" t="s">
        <v>3341</v>
      </c>
      <c r="D466" t="e" cm="1">
        <f t="array" ref="D466">TRANSPOSE(_xlfn._xlws.FILTER('Controllable Asset Registry'!#REF!,IFERROR('Controllable Asset Registry'!#REF!=A466,FALSE),"No Equipment in entity"))</f>
        <v>#REF!</v>
      </c>
    </row>
    <row r="467" spans="1:4" x14ac:dyDescent="0.3">
      <c r="A467" t="s">
        <v>4589</v>
      </c>
      <c r="B467" t="s">
        <v>5240</v>
      </c>
      <c r="C467" t="s">
        <v>3341</v>
      </c>
      <c r="D467" t="e" cm="1">
        <f t="array" ref="D467">TRANSPOSE(_xlfn._xlws.FILTER('Controllable Asset Registry'!#REF!,IFERROR('Controllable Asset Registry'!#REF!=A467,FALSE),"No Equipment in entity"))</f>
        <v>#REF!</v>
      </c>
    </row>
    <row r="468" spans="1:4" x14ac:dyDescent="0.3">
      <c r="A468" t="s">
        <v>3574</v>
      </c>
      <c r="B468" t="s">
        <v>5241</v>
      </c>
      <c r="C468" t="s">
        <v>4206</v>
      </c>
      <c r="D468" t="e" cm="1">
        <f t="array" ref="D468">TRANSPOSE(_xlfn._xlws.FILTER('Controllable Asset Registry'!#REF!,IFERROR('Controllable Asset Registry'!#REF!=A468,FALSE),"No Equipment in entity"))</f>
        <v>#REF!</v>
      </c>
    </row>
    <row r="469" spans="1:4" x14ac:dyDescent="0.3">
      <c r="A469" t="s">
        <v>4590</v>
      </c>
      <c r="B469" t="s">
        <v>5242</v>
      </c>
      <c r="C469" t="s">
        <v>4591</v>
      </c>
      <c r="D469" t="e" cm="1">
        <f t="array" ref="D469">TRANSPOSE(_xlfn._xlws.FILTER('Controllable Asset Registry'!#REF!,IFERROR('Controllable Asset Registry'!#REF!=A469,FALSE),"No Equipment in entity"))</f>
        <v>#REF!</v>
      </c>
    </row>
    <row r="470" spans="1:4" x14ac:dyDescent="0.3">
      <c r="A470" t="s">
        <v>4592</v>
      </c>
      <c r="B470" t="s">
        <v>5243</v>
      </c>
      <c r="C470" t="s">
        <v>4351</v>
      </c>
      <c r="D470" t="e" cm="1">
        <f t="array" ref="D470">TRANSPOSE(_xlfn._xlws.FILTER('Controllable Asset Registry'!#REF!,IFERROR('Controllable Asset Registry'!#REF!=A470,FALSE),"No Equipment in entity"))</f>
        <v>#REF!</v>
      </c>
    </row>
    <row r="471" spans="1:4" x14ac:dyDescent="0.3">
      <c r="A471" t="s">
        <v>3808</v>
      </c>
      <c r="B471" t="s">
        <v>5244</v>
      </c>
      <c r="C471" t="s">
        <v>4505</v>
      </c>
      <c r="D471" t="e" cm="1">
        <f t="array" ref="D471">TRANSPOSE(_xlfn._xlws.FILTER('Controllable Asset Registry'!#REF!,IFERROR('Controllable Asset Registry'!#REF!=A471,FALSE),"No Equipment in entity"))</f>
        <v>#REF!</v>
      </c>
    </row>
    <row r="472" spans="1:4" x14ac:dyDescent="0.3">
      <c r="A472" t="s">
        <v>4593</v>
      </c>
      <c r="B472" t="s">
        <v>5245</v>
      </c>
      <c r="C472" t="s">
        <v>4594</v>
      </c>
      <c r="D472" t="e" cm="1">
        <f t="array" ref="D472">TRANSPOSE(_xlfn._xlws.FILTER('Controllable Asset Registry'!#REF!,IFERROR('Controllable Asset Registry'!#REF!=A472,FALSE),"No Equipment in entity"))</f>
        <v>#REF!</v>
      </c>
    </row>
    <row r="473" spans="1:4" x14ac:dyDescent="0.3">
      <c r="A473" t="s">
        <v>3827</v>
      </c>
      <c r="B473" t="s">
        <v>5246</v>
      </c>
      <c r="C473" t="s">
        <v>4546</v>
      </c>
      <c r="D473" t="e" cm="1">
        <f t="array" ref="D473">TRANSPOSE(_xlfn._xlws.FILTER('Controllable Asset Registry'!#REF!,IFERROR('Controllable Asset Registry'!#REF!=A473,FALSE),"No Equipment in entity"))</f>
        <v>#REF!</v>
      </c>
    </row>
    <row r="474" spans="1:4" x14ac:dyDescent="0.3">
      <c r="A474" t="s">
        <v>4595</v>
      </c>
      <c r="B474" t="s">
        <v>5247</v>
      </c>
      <c r="C474" t="s">
        <v>4408</v>
      </c>
      <c r="D474" t="e" cm="1">
        <f t="array" ref="D474">TRANSPOSE(_xlfn._xlws.FILTER('Controllable Asset Registry'!#REF!,IFERROR('Controllable Asset Registry'!#REF!=A474,FALSE),"No Equipment in entity"))</f>
        <v>#REF!</v>
      </c>
    </row>
    <row r="475" spans="1:4" x14ac:dyDescent="0.3">
      <c r="A475" t="s">
        <v>3577</v>
      </c>
      <c r="B475" t="s">
        <v>5248</v>
      </c>
      <c r="C475" t="s">
        <v>4596</v>
      </c>
      <c r="D475" t="e" cm="1">
        <f t="array" ref="D475">TRANSPOSE(_xlfn._xlws.FILTER('Controllable Asset Registry'!#REF!,IFERROR('Controllable Asset Registry'!#REF!=A475,FALSE),"No Equipment in entity"))</f>
        <v>#REF!</v>
      </c>
    </row>
    <row r="476" spans="1:4" x14ac:dyDescent="0.3">
      <c r="A476" t="s">
        <v>3578</v>
      </c>
      <c r="B476" t="s">
        <v>5249</v>
      </c>
      <c r="C476" t="s">
        <v>4597</v>
      </c>
      <c r="D476" t="e" cm="1">
        <f t="array" ref="D476">TRANSPOSE(_xlfn._xlws.FILTER('Controllable Asset Registry'!#REF!,IFERROR('Controllable Asset Registry'!#REF!=A476,FALSE),"No Equipment in entity"))</f>
        <v>#REF!</v>
      </c>
    </row>
    <row r="477" spans="1:4" x14ac:dyDescent="0.3">
      <c r="A477" t="s">
        <v>3579</v>
      </c>
      <c r="B477" t="s">
        <v>5250</v>
      </c>
      <c r="C477" t="s">
        <v>4597</v>
      </c>
      <c r="D477" t="e" cm="1">
        <f t="array" ref="D477">TRANSPOSE(_xlfn._xlws.FILTER('Controllable Asset Registry'!#REF!,IFERROR('Controllable Asset Registry'!#REF!=A477,FALSE),"No Equipment in entity"))</f>
        <v>#REF!</v>
      </c>
    </row>
    <row r="478" spans="1:4" x14ac:dyDescent="0.3">
      <c r="A478" t="s">
        <v>5782</v>
      </c>
      <c r="B478" t="s">
        <v>5783</v>
      </c>
      <c r="C478" t="s">
        <v>4365</v>
      </c>
      <c r="D478" t="e" cm="1">
        <f t="array" ref="D478">TRANSPOSE(_xlfn._xlws.FILTER('Controllable Asset Registry'!#REF!,IFERROR('Controllable Asset Registry'!#REF!=A478,FALSE),"No Equipment in entity"))</f>
        <v>#REF!</v>
      </c>
    </row>
    <row r="479" spans="1:4" x14ac:dyDescent="0.3">
      <c r="A479" t="s">
        <v>5784</v>
      </c>
      <c r="B479" t="s">
        <v>5785</v>
      </c>
      <c r="C479" t="s">
        <v>4368</v>
      </c>
      <c r="D479" t="e" cm="1">
        <f t="array" ref="D479">TRANSPOSE(_xlfn._xlws.FILTER('Controllable Asset Registry'!#REF!,IFERROR('Controllable Asset Registry'!#REF!=A479,FALSE),"No Equipment in entity"))</f>
        <v>#REF!</v>
      </c>
    </row>
    <row r="480" spans="1:4" x14ac:dyDescent="0.3">
      <c r="A480" t="s">
        <v>5786</v>
      </c>
      <c r="B480" t="s">
        <v>5787</v>
      </c>
      <c r="C480" t="s">
        <v>4371</v>
      </c>
      <c r="D480" t="e" cm="1">
        <f t="array" ref="D480">TRANSPOSE(_xlfn._xlws.FILTER('Controllable Asset Registry'!#REF!,IFERROR('Controllable Asset Registry'!#REF!=A480,FALSE),"No Equipment in entity"))</f>
        <v>#REF!</v>
      </c>
    </row>
    <row r="481" spans="1:4" x14ac:dyDescent="0.3">
      <c r="A481" t="s">
        <v>5788</v>
      </c>
      <c r="B481" t="s">
        <v>5789</v>
      </c>
      <c r="C481" t="s">
        <v>4235</v>
      </c>
      <c r="D481" t="e" cm="1">
        <f t="array" ref="D481">TRANSPOSE(_xlfn._xlws.FILTER('Controllable Asset Registry'!#REF!,IFERROR('Controllable Asset Registry'!#REF!=A481,FALSE),"No Equipment in entity"))</f>
        <v>#REF!</v>
      </c>
    </row>
    <row r="482" spans="1:4" x14ac:dyDescent="0.3">
      <c r="A482" t="s">
        <v>5790</v>
      </c>
      <c r="B482" t="s">
        <v>5791</v>
      </c>
      <c r="C482" t="s">
        <v>4238</v>
      </c>
      <c r="D482" t="e" cm="1">
        <f t="array" ref="D482">TRANSPOSE(_xlfn._xlws.FILTER('Controllable Asset Registry'!#REF!,IFERROR('Controllable Asset Registry'!#REF!=A482,FALSE),"No Equipment in entity"))</f>
        <v>#REF!</v>
      </c>
    </row>
    <row r="483" spans="1:4" x14ac:dyDescent="0.3">
      <c r="A483" t="s">
        <v>5792</v>
      </c>
      <c r="B483" t="s">
        <v>5793</v>
      </c>
      <c r="C483" t="s">
        <v>4241</v>
      </c>
      <c r="D483" t="e" cm="1">
        <f t="array" ref="D483">TRANSPOSE(_xlfn._xlws.FILTER('Controllable Asset Registry'!#REF!,IFERROR('Controllable Asset Registry'!#REF!=A483,FALSE),"No Equipment in entity"))</f>
        <v>#REF!</v>
      </c>
    </row>
    <row r="484" spans="1:4" x14ac:dyDescent="0.3">
      <c r="A484" t="s">
        <v>5794</v>
      </c>
      <c r="B484" t="s">
        <v>5795</v>
      </c>
      <c r="C484" t="s">
        <v>4380</v>
      </c>
      <c r="D484" t="e" cm="1">
        <f t="array" ref="D484">TRANSPOSE(_xlfn._xlws.FILTER('Controllable Asset Registry'!#REF!,IFERROR('Controllable Asset Registry'!#REF!=A484,FALSE),"No Equipment in entity"))</f>
        <v>#REF!</v>
      </c>
    </row>
    <row r="485" spans="1:4" x14ac:dyDescent="0.3">
      <c r="A485" t="s">
        <v>5796</v>
      </c>
      <c r="B485" t="s">
        <v>5797</v>
      </c>
      <c r="C485" t="s">
        <v>4246</v>
      </c>
      <c r="D485" t="e" cm="1">
        <f t="array" ref="D485">TRANSPOSE(_xlfn._xlws.FILTER('Controllable Asset Registry'!#REF!,IFERROR('Controllable Asset Registry'!#REF!=A485,FALSE),"No Equipment in entity"))</f>
        <v>#REF!</v>
      </c>
    </row>
    <row r="486" spans="1:4" x14ac:dyDescent="0.3">
      <c r="A486" t="s">
        <v>5798</v>
      </c>
      <c r="B486" t="s">
        <v>5799</v>
      </c>
      <c r="C486" t="s">
        <v>4248</v>
      </c>
      <c r="D486" t="e" cm="1">
        <f t="array" ref="D486">TRANSPOSE(_xlfn._xlws.FILTER('Controllable Asset Registry'!#REF!,IFERROR('Controllable Asset Registry'!#REF!=A486,FALSE),"No Equipment in entity"))</f>
        <v>#REF!</v>
      </c>
    </row>
    <row r="487" spans="1:4" x14ac:dyDescent="0.3">
      <c r="A487" t="s">
        <v>5800</v>
      </c>
      <c r="B487" t="s">
        <v>5801</v>
      </c>
      <c r="C487" t="s">
        <v>4387</v>
      </c>
      <c r="D487" t="e" cm="1">
        <f t="array" ref="D487">TRANSPOSE(_xlfn._xlws.FILTER('Controllable Asset Registry'!#REF!,IFERROR('Controllable Asset Registry'!#REF!=A487,FALSE),"No Equipment in entity"))</f>
        <v>#REF!</v>
      </c>
    </row>
    <row r="488" spans="1:4" x14ac:dyDescent="0.3">
      <c r="A488" t="s">
        <v>5802</v>
      </c>
      <c r="B488" t="s">
        <v>5803</v>
      </c>
      <c r="C488" t="s">
        <v>4251</v>
      </c>
      <c r="D488" t="e" cm="1">
        <f t="array" ref="D488">TRANSPOSE(_xlfn._xlws.FILTER('Controllable Asset Registry'!#REF!,IFERROR('Controllable Asset Registry'!#REF!=A488,FALSE),"No Equipment in entity"))</f>
        <v>#REF!</v>
      </c>
    </row>
    <row r="489" spans="1:4" x14ac:dyDescent="0.3">
      <c r="A489" t="s">
        <v>3858</v>
      </c>
      <c r="B489" t="s">
        <v>5251</v>
      </c>
      <c r="C489" t="s">
        <v>4598</v>
      </c>
      <c r="D489" t="e" cm="1">
        <f t="array" ref="D489">TRANSPOSE(_xlfn._xlws.FILTER('Controllable Asset Registry'!#REF!,IFERROR('Controllable Asset Registry'!#REF!=A489,FALSE),"No Equipment in entity"))</f>
        <v>#REF!</v>
      </c>
    </row>
    <row r="490" spans="1:4" x14ac:dyDescent="0.3">
      <c r="A490" t="s">
        <v>3849</v>
      </c>
      <c r="B490" t="s">
        <v>5252</v>
      </c>
      <c r="C490" t="s">
        <v>4599</v>
      </c>
      <c r="D490" t="e" cm="1">
        <f t="array" ref="D490">TRANSPOSE(_xlfn._xlws.FILTER('Controllable Asset Registry'!#REF!,IFERROR('Controllable Asset Registry'!#REF!=A490,FALSE),"No Equipment in entity"))</f>
        <v>#REF!</v>
      </c>
    </row>
    <row r="491" spans="1:4" x14ac:dyDescent="0.3">
      <c r="A491" t="s">
        <v>3850</v>
      </c>
      <c r="B491" t="s">
        <v>5253</v>
      </c>
      <c r="C491" t="s">
        <v>4600</v>
      </c>
      <c r="D491" t="e" cm="1">
        <f t="array" ref="D491">TRANSPOSE(_xlfn._xlws.FILTER('Controllable Asset Registry'!#REF!,IFERROR('Controllable Asset Registry'!#REF!=A491,FALSE),"No Equipment in entity"))</f>
        <v>#REF!</v>
      </c>
    </row>
    <row r="492" spans="1:4" x14ac:dyDescent="0.3">
      <c r="A492" t="s">
        <v>3851</v>
      </c>
      <c r="B492" t="s">
        <v>5254</v>
      </c>
      <c r="C492" t="s">
        <v>4598</v>
      </c>
      <c r="D492" t="e" cm="1">
        <f t="array" ref="D492">TRANSPOSE(_xlfn._xlws.FILTER('Controllable Asset Registry'!#REF!,IFERROR('Controllable Asset Registry'!#REF!=A492,FALSE),"No Equipment in entity"))</f>
        <v>#REF!</v>
      </c>
    </row>
    <row r="493" spans="1:4" x14ac:dyDescent="0.3">
      <c r="A493" t="s">
        <v>3852</v>
      </c>
      <c r="B493" t="s">
        <v>5255</v>
      </c>
      <c r="C493" t="s">
        <v>4601</v>
      </c>
      <c r="D493" t="e" cm="1">
        <f t="array" ref="D493">TRANSPOSE(_xlfn._xlws.FILTER('Controllable Asset Registry'!#REF!,IFERROR('Controllable Asset Registry'!#REF!=A493,FALSE),"No Equipment in entity"))</f>
        <v>#REF!</v>
      </c>
    </row>
    <row r="494" spans="1:4" x14ac:dyDescent="0.3">
      <c r="A494" t="s">
        <v>3853</v>
      </c>
      <c r="B494" t="s">
        <v>5256</v>
      </c>
      <c r="C494" t="s">
        <v>4601</v>
      </c>
      <c r="D494" t="e" cm="1">
        <f t="array" ref="D494">TRANSPOSE(_xlfn._xlws.FILTER('Controllable Asset Registry'!#REF!,IFERROR('Controllable Asset Registry'!#REF!=A494,FALSE),"No Equipment in entity"))</f>
        <v>#REF!</v>
      </c>
    </row>
    <row r="495" spans="1:4" x14ac:dyDescent="0.3">
      <c r="A495" t="s">
        <v>3854</v>
      </c>
      <c r="B495" t="s">
        <v>5257</v>
      </c>
      <c r="C495" t="s">
        <v>4601</v>
      </c>
      <c r="D495" t="e" cm="1">
        <f t="array" ref="D495">TRANSPOSE(_xlfn._xlws.FILTER('Controllable Asset Registry'!#REF!,IFERROR('Controllable Asset Registry'!#REF!=A495,FALSE),"No Equipment in entity"))</f>
        <v>#REF!</v>
      </c>
    </row>
    <row r="496" spans="1:4" x14ac:dyDescent="0.3">
      <c r="A496" t="s">
        <v>3855</v>
      </c>
      <c r="B496" t="s">
        <v>5258</v>
      </c>
      <c r="C496" t="s">
        <v>4598</v>
      </c>
      <c r="D496" t="e" cm="1">
        <f t="array" ref="D496">TRANSPOSE(_xlfn._xlws.FILTER('Controllable Asset Registry'!#REF!,IFERROR('Controllable Asset Registry'!#REF!=A496,FALSE),"No Equipment in entity"))</f>
        <v>#REF!</v>
      </c>
    </row>
    <row r="497" spans="1:4" x14ac:dyDescent="0.3">
      <c r="A497" t="s">
        <v>5700</v>
      </c>
      <c r="B497" t="s">
        <v>5804</v>
      </c>
      <c r="C497" t="s">
        <v>4601</v>
      </c>
      <c r="D497" t="e" cm="1">
        <f t="array" ref="D497">TRANSPOSE(_xlfn._xlws.FILTER('Controllable Asset Registry'!#REF!,IFERROR('Controllable Asset Registry'!#REF!=A497,FALSE),"No Equipment in entity"))</f>
        <v>#REF!</v>
      </c>
    </row>
    <row r="498" spans="1:4" x14ac:dyDescent="0.3">
      <c r="A498" t="s">
        <v>5805</v>
      </c>
      <c r="B498" t="s">
        <v>5804</v>
      </c>
      <c r="C498" t="s">
        <v>4598</v>
      </c>
      <c r="D498" t="e" cm="1">
        <f t="array" ref="D498">TRANSPOSE(_xlfn._xlws.FILTER('Controllable Asset Registry'!#REF!,IFERROR('Controllable Asset Registry'!#REF!=A498,FALSE),"No Equipment in entity"))</f>
        <v>#REF!</v>
      </c>
    </row>
    <row r="499" spans="1:4" x14ac:dyDescent="0.3">
      <c r="A499" t="s">
        <v>5701</v>
      </c>
      <c r="B499" t="s">
        <v>5806</v>
      </c>
      <c r="C499" t="s">
        <v>4601</v>
      </c>
      <c r="D499" t="e" cm="1">
        <f t="array" ref="D499">TRANSPOSE(_xlfn._xlws.FILTER('Controllable Asset Registry'!#REF!,IFERROR('Controllable Asset Registry'!#REF!=A499,FALSE),"No Equipment in entity"))</f>
        <v>#REF!</v>
      </c>
    </row>
    <row r="500" spans="1:4" x14ac:dyDescent="0.3">
      <c r="A500" t="s">
        <v>3848</v>
      </c>
      <c r="B500" t="s">
        <v>5259</v>
      </c>
      <c r="C500" t="s">
        <v>4598</v>
      </c>
      <c r="D500" t="e" cm="1">
        <f t="array" ref="D500">TRANSPOSE(_xlfn._xlws.FILTER('Controllable Asset Registry'!#REF!,IFERROR('Controllable Asset Registry'!#REF!=A500,FALSE),"No Equipment in entity"))</f>
        <v>#REF!</v>
      </c>
    </row>
    <row r="501" spans="1:4" x14ac:dyDescent="0.3">
      <c r="A501" t="s">
        <v>3828</v>
      </c>
      <c r="B501" t="s">
        <v>5260</v>
      </c>
      <c r="C501" t="s">
        <v>4602</v>
      </c>
      <c r="D501" t="e" cm="1">
        <f t="array" ref="D501">TRANSPOSE(_xlfn._xlws.FILTER('Controllable Asset Registry'!#REF!,IFERROR('Controllable Asset Registry'!#REF!=A501,FALSE),"No Equipment in entity"))</f>
        <v>#REF!</v>
      </c>
    </row>
    <row r="502" spans="1:4" x14ac:dyDescent="0.3">
      <c r="A502" t="s">
        <v>3829</v>
      </c>
      <c r="B502" t="s">
        <v>5261</v>
      </c>
      <c r="C502" t="s">
        <v>4600</v>
      </c>
      <c r="D502" t="e" cm="1">
        <f t="array" ref="D502">TRANSPOSE(_xlfn._xlws.FILTER('Controllable Asset Registry'!#REF!,IFERROR('Controllable Asset Registry'!#REF!=A502,FALSE),"No Equipment in entity"))</f>
        <v>#REF!</v>
      </c>
    </row>
    <row r="503" spans="1:4" x14ac:dyDescent="0.3">
      <c r="A503" t="s">
        <v>3830</v>
      </c>
      <c r="B503" t="s">
        <v>5262</v>
      </c>
      <c r="C503" t="s">
        <v>4598</v>
      </c>
      <c r="D503" t="e" cm="1">
        <f t="array" ref="D503">TRANSPOSE(_xlfn._xlws.FILTER('Controllable Asset Registry'!#REF!,IFERROR('Controllable Asset Registry'!#REF!=A503,FALSE),"No Equipment in entity"))</f>
        <v>#REF!</v>
      </c>
    </row>
    <row r="504" spans="1:4" x14ac:dyDescent="0.3">
      <c r="A504" t="s">
        <v>3831</v>
      </c>
      <c r="B504" t="s">
        <v>5263</v>
      </c>
      <c r="C504" t="s">
        <v>4598</v>
      </c>
      <c r="D504" t="e" cm="1">
        <f t="array" ref="D504">TRANSPOSE(_xlfn._xlws.FILTER('Controllable Asset Registry'!#REF!,IFERROR('Controllable Asset Registry'!#REF!=A504,FALSE),"No Equipment in entity"))</f>
        <v>#REF!</v>
      </c>
    </row>
    <row r="505" spans="1:4" x14ac:dyDescent="0.3">
      <c r="A505" t="s">
        <v>3832</v>
      </c>
      <c r="B505" t="s">
        <v>5264</v>
      </c>
      <c r="C505" t="s">
        <v>4598</v>
      </c>
      <c r="D505" t="e" cm="1">
        <f t="array" ref="D505">TRANSPOSE(_xlfn._xlws.FILTER('Controllable Asset Registry'!#REF!,IFERROR('Controllable Asset Registry'!#REF!=A505,FALSE),"No Equipment in entity"))</f>
        <v>#REF!</v>
      </c>
    </row>
    <row r="506" spans="1:4" x14ac:dyDescent="0.3">
      <c r="A506" t="s">
        <v>3833</v>
      </c>
      <c r="B506" t="s">
        <v>5265</v>
      </c>
      <c r="C506" t="s">
        <v>4598</v>
      </c>
      <c r="D506" t="e" cm="1">
        <f t="array" ref="D506">TRANSPOSE(_xlfn._xlws.FILTER('Controllable Asset Registry'!#REF!,IFERROR('Controllable Asset Registry'!#REF!=A506,FALSE),"No Equipment in entity"))</f>
        <v>#REF!</v>
      </c>
    </row>
    <row r="507" spans="1:4" x14ac:dyDescent="0.3">
      <c r="A507" t="s">
        <v>3834</v>
      </c>
      <c r="B507" t="s">
        <v>5266</v>
      </c>
      <c r="C507" t="s">
        <v>4601</v>
      </c>
      <c r="D507" t="e" cm="1">
        <f t="array" ref="D507">TRANSPOSE(_xlfn._xlws.FILTER('Controllable Asset Registry'!#REF!,IFERROR('Controllable Asset Registry'!#REF!=A507,FALSE),"No Equipment in entity"))</f>
        <v>#REF!</v>
      </c>
    </row>
    <row r="508" spans="1:4" x14ac:dyDescent="0.3">
      <c r="A508" t="s">
        <v>3835</v>
      </c>
      <c r="B508" t="s">
        <v>5267</v>
      </c>
      <c r="C508" t="s">
        <v>4601</v>
      </c>
      <c r="D508" t="e" cm="1">
        <f t="array" ref="D508">TRANSPOSE(_xlfn._xlws.FILTER('Controllable Asset Registry'!#REF!,IFERROR('Controllable Asset Registry'!#REF!=A508,FALSE),"No Equipment in entity"))</f>
        <v>#REF!</v>
      </c>
    </row>
    <row r="509" spans="1:4" x14ac:dyDescent="0.3">
      <c r="A509" t="s">
        <v>5699</v>
      </c>
      <c r="B509" t="s">
        <v>5807</v>
      </c>
      <c r="C509" t="s">
        <v>4601</v>
      </c>
      <c r="D509" t="e" cm="1">
        <f t="array" ref="D509">TRANSPOSE(_xlfn._xlws.FILTER('Controllable Asset Registry'!#REF!,IFERROR('Controllable Asset Registry'!#REF!=A509,FALSE),"No Equipment in entity"))</f>
        <v>#REF!</v>
      </c>
    </row>
    <row r="510" spans="1:4" x14ac:dyDescent="0.3">
      <c r="A510" t="s">
        <v>3836</v>
      </c>
      <c r="B510" t="s">
        <v>5268</v>
      </c>
      <c r="C510" t="s">
        <v>4601</v>
      </c>
      <c r="D510" t="e" cm="1">
        <f t="array" ref="D510">TRANSPOSE(_xlfn._xlws.FILTER('Controllable Asset Registry'!#REF!,IFERROR('Controllable Asset Registry'!#REF!=A510,FALSE),"No Equipment in entity"))</f>
        <v>#REF!</v>
      </c>
    </row>
    <row r="511" spans="1:4" x14ac:dyDescent="0.3">
      <c r="A511" t="s">
        <v>3837</v>
      </c>
      <c r="B511" t="s">
        <v>5269</v>
      </c>
      <c r="C511" t="s">
        <v>4601</v>
      </c>
      <c r="D511" t="e" cm="1">
        <f t="array" ref="D511">TRANSPOSE(_xlfn._xlws.FILTER('Controllable Asset Registry'!#REF!,IFERROR('Controllable Asset Registry'!#REF!=A511,FALSE),"No Equipment in entity"))</f>
        <v>#REF!</v>
      </c>
    </row>
    <row r="512" spans="1:4" x14ac:dyDescent="0.3">
      <c r="A512" t="s">
        <v>3838</v>
      </c>
      <c r="B512" t="s">
        <v>5270</v>
      </c>
      <c r="C512" t="s">
        <v>4601</v>
      </c>
      <c r="D512" t="e" cm="1">
        <f t="array" ref="D512">TRANSPOSE(_xlfn._xlws.FILTER('Controllable Asset Registry'!#REF!,IFERROR('Controllable Asset Registry'!#REF!=A512,FALSE),"No Equipment in entity"))</f>
        <v>#REF!</v>
      </c>
    </row>
    <row r="513" spans="1:4" x14ac:dyDescent="0.3">
      <c r="A513" t="s">
        <v>3839</v>
      </c>
      <c r="B513" t="s">
        <v>5271</v>
      </c>
      <c r="C513" t="s">
        <v>4600</v>
      </c>
      <c r="D513" t="e" cm="1">
        <f t="array" ref="D513">TRANSPOSE(_xlfn._xlws.FILTER('Controllable Asset Registry'!#REF!,IFERROR('Controllable Asset Registry'!#REF!=A513,FALSE),"No Equipment in entity"))</f>
        <v>#REF!</v>
      </c>
    </row>
    <row r="514" spans="1:4" x14ac:dyDescent="0.3">
      <c r="A514" t="s">
        <v>3840</v>
      </c>
      <c r="B514" t="s">
        <v>5272</v>
      </c>
      <c r="C514" t="s">
        <v>4602</v>
      </c>
      <c r="D514" t="e" cm="1">
        <f t="array" ref="D514">TRANSPOSE(_xlfn._xlws.FILTER('Controllable Asset Registry'!#REF!,IFERROR('Controllable Asset Registry'!#REF!=A514,FALSE),"No Equipment in entity"))</f>
        <v>#REF!</v>
      </c>
    </row>
    <row r="515" spans="1:4" x14ac:dyDescent="0.3">
      <c r="A515" t="s">
        <v>3841</v>
      </c>
      <c r="B515" t="s">
        <v>5273</v>
      </c>
      <c r="C515" t="s">
        <v>4598</v>
      </c>
      <c r="D515" t="e" cm="1">
        <f t="array" ref="D515">TRANSPOSE(_xlfn._xlws.FILTER('Controllable Asset Registry'!#REF!,IFERROR('Controllable Asset Registry'!#REF!=A515,FALSE),"No Equipment in entity"))</f>
        <v>#REF!</v>
      </c>
    </row>
    <row r="516" spans="1:4" x14ac:dyDescent="0.3">
      <c r="A516" t="s">
        <v>3869</v>
      </c>
      <c r="B516" t="s">
        <v>5274</v>
      </c>
      <c r="C516" t="s">
        <v>4601</v>
      </c>
      <c r="D516" t="e" cm="1">
        <f t="array" ref="D516">TRANSPOSE(_xlfn._xlws.FILTER('Controllable Asset Registry'!#REF!,IFERROR('Controllable Asset Registry'!#REF!=A516,FALSE),"No Equipment in entity"))</f>
        <v>#REF!</v>
      </c>
    </row>
    <row r="517" spans="1:4" x14ac:dyDescent="0.3">
      <c r="A517" t="s">
        <v>3857</v>
      </c>
      <c r="B517" t="s">
        <v>5275</v>
      </c>
      <c r="C517" t="s">
        <v>4603</v>
      </c>
      <c r="D517" t="e" cm="1">
        <f t="array" ref="D517">TRANSPOSE(_xlfn._xlws.FILTER('Controllable Asset Registry'!#REF!,IFERROR('Controllable Asset Registry'!#REF!=A517,FALSE),"No Equipment in entity"))</f>
        <v>#REF!</v>
      </c>
    </row>
    <row r="518" spans="1:4" x14ac:dyDescent="0.3">
      <c r="A518" t="s">
        <v>3856</v>
      </c>
      <c r="B518" t="s">
        <v>5276</v>
      </c>
      <c r="C518" t="s">
        <v>4513</v>
      </c>
      <c r="D518" t="e" cm="1">
        <f t="array" ref="D518">TRANSPOSE(_xlfn._xlws.FILTER('Controllable Asset Registry'!#REF!,IFERROR('Controllable Asset Registry'!#REF!=A518,FALSE),"No Equipment in entity"))</f>
        <v>#REF!</v>
      </c>
    </row>
    <row r="519" spans="1:4" x14ac:dyDescent="0.3">
      <c r="A519" t="s">
        <v>3582</v>
      </c>
      <c r="B519" t="s">
        <v>5277</v>
      </c>
      <c r="C519" t="s">
        <v>4408</v>
      </c>
      <c r="D519" t="e" cm="1">
        <f t="array" ref="D519">TRANSPOSE(_xlfn._xlws.FILTER('Controllable Asset Registry'!#REF!,IFERROR('Controllable Asset Registry'!#REF!=A519,FALSE),"No Equipment in entity"))</f>
        <v>#REF!</v>
      </c>
    </row>
    <row r="520" spans="1:4" x14ac:dyDescent="0.3">
      <c r="A520" t="s">
        <v>3847</v>
      </c>
      <c r="B520" t="s">
        <v>5278</v>
      </c>
      <c r="C520" t="s">
        <v>4604</v>
      </c>
      <c r="D520" t="e" cm="1">
        <f t="array" ref="D520">TRANSPOSE(_xlfn._xlws.FILTER('Controllable Asset Registry'!#REF!,IFERROR('Controllable Asset Registry'!#REF!=A520,FALSE),"No Equipment in entity"))</f>
        <v>#REF!</v>
      </c>
    </row>
    <row r="521" spans="1:4" x14ac:dyDescent="0.3">
      <c r="A521" t="s">
        <v>4605</v>
      </c>
      <c r="B521" t="s">
        <v>5279</v>
      </c>
      <c r="C521" t="s">
        <v>4279</v>
      </c>
      <c r="D521" t="e" cm="1">
        <f t="array" ref="D521">TRANSPOSE(_xlfn._xlws.FILTER('Controllable Asset Registry'!#REF!,IFERROR('Controllable Asset Registry'!#REF!=A521,FALSE),"No Equipment in entity"))</f>
        <v>#REF!</v>
      </c>
    </row>
    <row r="522" spans="1:4" x14ac:dyDescent="0.3">
      <c r="A522" t="s">
        <v>4606</v>
      </c>
      <c r="B522" t="s">
        <v>5280</v>
      </c>
      <c r="C522" t="s">
        <v>4437</v>
      </c>
      <c r="D522" t="e" cm="1">
        <f t="array" ref="D522">TRANSPOSE(_xlfn._xlws.FILTER('Controllable Asset Registry'!#REF!,IFERROR('Controllable Asset Registry'!#REF!=A522,FALSE),"No Equipment in entity"))</f>
        <v>#REF!</v>
      </c>
    </row>
    <row r="523" spans="1:4" x14ac:dyDescent="0.3">
      <c r="A523" t="s">
        <v>3846</v>
      </c>
      <c r="B523" t="s">
        <v>5281</v>
      </c>
      <c r="C523" t="s">
        <v>4607</v>
      </c>
      <c r="D523" t="e" cm="1">
        <f t="array" ref="D523">TRANSPOSE(_xlfn._xlws.FILTER('Controllable Asset Registry'!#REF!,IFERROR('Controllable Asset Registry'!#REF!=A523,FALSE),"No Equipment in entity"))</f>
        <v>#REF!</v>
      </c>
    </row>
    <row r="524" spans="1:4" x14ac:dyDescent="0.3">
      <c r="A524" t="s">
        <v>3845</v>
      </c>
      <c r="B524" t="s">
        <v>5282</v>
      </c>
      <c r="C524" t="s">
        <v>4598</v>
      </c>
      <c r="D524" t="e" cm="1">
        <f t="array" ref="D524">TRANSPOSE(_xlfn._xlws.FILTER('Controllable Asset Registry'!#REF!,IFERROR('Controllable Asset Registry'!#REF!=A524,FALSE),"No Equipment in entity"))</f>
        <v>#REF!</v>
      </c>
    </row>
    <row r="525" spans="1:4" x14ac:dyDescent="0.3">
      <c r="A525" t="s">
        <v>3844</v>
      </c>
      <c r="B525" t="s">
        <v>5283</v>
      </c>
      <c r="C525" t="s">
        <v>4186</v>
      </c>
      <c r="D525" t="e" cm="1">
        <f t="array" ref="D525">TRANSPOSE(_xlfn._xlws.FILTER('Controllable Asset Registry'!#REF!,IFERROR('Controllable Asset Registry'!#REF!=A525,FALSE),"No Equipment in entity"))</f>
        <v>#REF!</v>
      </c>
    </row>
    <row r="526" spans="1:4" x14ac:dyDescent="0.3">
      <c r="A526" t="s">
        <v>3859</v>
      </c>
      <c r="B526" t="s">
        <v>5284</v>
      </c>
      <c r="C526" t="s">
        <v>4608</v>
      </c>
      <c r="D526" t="e" cm="1">
        <f t="array" ref="D526">TRANSPOSE(_xlfn._xlws.FILTER('Controllable Asset Registry'!#REF!,IFERROR('Controllable Asset Registry'!#REF!=A526,FALSE),"No Equipment in entity"))</f>
        <v>#REF!</v>
      </c>
    </row>
    <row r="527" spans="1:4" x14ac:dyDescent="0.3">
      <c r="A527" t="s">
        <v>3576</v>
      </c>
      <c r="B527" t="s">
        <v>5285</v>
      </c>
      <c r="C527" t="s">
        <v>4608</v>
      </c>
      <c r="D527" t="e" cm="1">
        <f t="array" ref="D527">TRANSPOSE(_xlfn._xlws.FILTER('Controllable Asset Registry'!#REF!,IFERROR('Controllable Asset Registry'!#REF!=A527,FALSE),"No Equipment in entity"))</f>
        <v>#REF!</v>
      </c>
    </row>
    <row r="528" spans="1:4" x14ac:dyDescent="0.3">
      <c r="A528" t="s">
        <v>3860</v>
      </c>
      <c r="B528" t="s">
        <v>5286</v>
      </c>
      <c r="C528" t="s">
        <v>4608</v>
      </c>
      <c r="D528" t="e" cm="1">
        <f t="array" ref="D528">TRANSPOSE(_xlfn._xlws.FILTER('Controllable Asset Registry'!#REF!,IFERROR('Controllable Asset Registry'!#REF!=A528,FALSE),"No Equipment in entity"))</f>
        <v>#REF!</v>
      </c>
    </row>
    <row r="529" spans="1:4" x14ac:dyDescent="0.3">
      <c r="A529" t="s">
        <v>4609</v>
      </c>
      <c r="B529" t="s">
        <v>5287</v>
      </c>
      <c r="C529" t="s">
        <v>4279</v>
      </c>
      <c r="D529" t="e" cm="1">
        <f t="array" ref="D529">TRANSPOSE(_xlfn._xlws.FILTER('Controllable Asset Registry'!#REF!,IFERROR('Controllable Asset Registry'!#REF!=A529,FALSE),"No Equipment in entity"))</f>
        <v>#REF!</v>
      </c>
    </row>
    <row r="530" spans="1:4" x14ac:dyDescent="0.3">
      <c r="A530" t="s">
        <v>3861</v>
      </c>
      <c r="B530" t="s">
        <v>5288</v>
      </c>
      <c r="C530" t="s">
        <v>4610</v>
      </c>
      <c r="D530" t="e" cm="1">
        <f t="array" ref="D530">TRANSPOSE(_xlfn._xlws.FILTER('Controllable Asset Registry'!#REF!,IFERROR('Controllable Asset Registry'!#REF!=A530,FALSE),"No Equipment in entity"))</f>
        <v>#REF!</v>
      </c>
    </row>
    <row r="531" spans="1:4" x14ac:dyDescent="0.3">
      <c r="A531" t="s">
        <v>3862</v>
      </c>
      <c r="B531" t="s">
        <v>5289</v>
      </c>
      <c r="C531" t="s">
        <v>4608</v>
      </c>
      <c r="D531" t="e" cm="1">
        <f t="array" ref="D531">TRANSPOSE(_xlfn._xlws.FILTER('Controllable Asset Registry'!#REF!,IFERROR('Controllable Asset Registry'!#REF!=A531,FALSE),"No Equipment in entity"))</f>
        <v>#REF!</v>
      </c>
    </row>
    <row r="532" spans="1:4" x14ac:dyDescent="0.3">
      <c r="A532" t="s">
        <v>3863</v>
      </c>
      <c r="B532" t="s">
        <v>5290</v>
      </c>
      <c r="C532" t="s">
        <v>4608</v>
      </c>
      <c r="D532" t="e" cm="1">
        <f t="array" ref="D532">TRANSPOSE(_xlfn._xlws.FILTER('Controllable Asset Registry'!#REF!,IFERROR('Controllable Asset Registry'!#REF!=A532,FALSE),"No Equipment in entity"))</f>
        <v>#REF!</v>
      </c>
    </row>
    <row r="533" spans="1:4" x14ac:dyDescent="0.3">
      <c r="A533" t="s">
        <v>3864</v>
      </c>
      <c r="B533" t="s">
        <v>5291</v>
      </c>
      <c r="C533" t="s">
        <v>4608</v>
      </c>
      <c r="D533" t="e" cm="1">
        <f t="array" ref="D533">TRANSPOSE(_xlfn._xlws.FILTER('Controllable Asset Registry'!#REF!,IFERROR('Controllable Asset Registry'!#REF!=A533,FALSE),"No Equipment in entity"))</f>
        <v>#REF!</v>
      </c>
    </row>
    <row r="534" spans="1:4" x14ac:dyDescent="0.3">
      <c r="A534" t="s">
        <v>3865</v>
      </c>
      <c r="B534" t="s">
        <v>5292</v>
      </c>
      <c r="C534" t="s">
        <v>4608</v>
      </c>
      <c r="D534" t="e" cm="1">
        <f t="array" ref="D534">TRANSPOSE(_xlfn._xlws.FILTER('Controllable Asset Registry'!#REF!,IFERROR('Controllable Asset Registry'!#REF!=A534,FALSE),"No Equipment in entity"))</f>
        <v>#REF!</v>
      </c>
    </row>
    <row r="535" spans="1:4" x14ac:dyDescent="0.3">
      <c r="A535" t="s">
        <v>5702</v>
      </c>
      <c r="B535" t="s">
        <v>5808</v>
      </c>
      <c r="C535" t="s">
        <v>4611</v>
      </c>
      <c r="D535" t="e" cm="1">
        <f t="array" ref="D535">TRANSPOSE(_xlfn._xlws.FILTER('Controllable Asset Registry'!#REF!,IFERROR('Controllable Asset Registry'!#REF!=A535,FALSE),"No Equipment in entity"))</f>
        <v>#REF!</v>
      </c>
    </row>
    <row r="536" spans="1:4" x14ac:dyDescent="0.3">
      <c r="A536" t="s">
        <v>3866</v>
      </c>
      <c r="B536" t="s">
        <v>5293</v>
      </c>
      <c r="C536" t="s">
        <v>4612</v>
      </c>
      <c r="D536" t="e" cm="1">
        <f t="array" ref="D536">TRANSPOSE(_xlfn._xlws.FILTER('Controllable Asset Registry'!#REF!,IFERROR('Controllable Asset Registry'!#REF!=A536,FALSE),"No Equipment in entity"))</f>
        <v>#REF!</v>
      </c>
    </row>
    <row r="537" spans="1:4" x14ac:dyDescent="0.3">
      <c r="A537" t="s">
        <v>3867</v>
      </c>
      <c r="B537" t="s">
        <v>5294</v>
      </c>
      <c r="C537" t="s">
        <v>4608</v>
      </c>
      <c r="D537" t="e" cm="1">
        <f t="array" ref="D537">TRANSPOSE(_xlfn._xlws.FILTER('Controllable Asset Registry'!#REF!,IFERROR('Controllable Asset Registry'!#REF!=A537,FALSE),"No Equipment in entity"))</f>
        <v>#REF!</v>
      </c>
    </row>
    <row r="538" spans="1:4" x14ac:dyDescent="0.3">
      <c r="A538" t="s">
        <v>3868</v>
      </c>
      <c r="B538" t="s">
        <v>5295</v>
      </c>
      <c r="C538" t="s">
        <v>4602</v>
      </c>
      <c r="D538" t="e" cm="1">
        <f t="array" ref="D538">TRANSPOSE(_xlfn._xlws.FILTER('Controllable Asset Registry'!#REF!,IFERROR('Controllable Asset Registry'!#REF!=A538,FALSE),"No Equipment in entity"))</f>
        <v>#REF!</v>
      </c>
    </row>
    <row r="539" spans="1:4" x14ac:dyDescent="0.3">
      <c r="A539" t="s">
        <v>3520</v>
      </c>
      <c r="B539" t="s">
        <v>5296</v>
      </c>
      <c r="C539" t="s">
        <v>4613</v>
      </c>
      <c r="D539" t="e" cm="1">
        <f t="array" ref="D539">TRANSPOSE(_xlfn._xlws.FILTER('Controllable Asset Registry'!#REF!,IFERROR('Controllable Asset Registry'!#REF!=A539,FALSE),"No Equipment in entity"))</f>
        <v>#REF!</v>
      </c>
    </row>
    <row r="540" spans="1:4" x14ac:dyDescent="0.3">
      <c r="A540" t="s">
        <v>4614</v>
      </c>
      <c r="B540" t="s">
        <v>5297</v>
      </c>
      <c r="C540" t="s">
        <v>4197</v>
      </c>
      <c r="D540" t="e" cm="1">
        <f t="array" ref="D540">TRANSPOSE(_xlfn._xlws.FILTER('Controllable Asset Registry'!#REF!,IFERROR('Controllable Asset Registry'!#REF!=A540,FALSE),"No Equipment in entity"))</f>
        <v>#REF!</v>
      </c>
    </row>
    <row r="541" spans="1:4" x14ac:dyDescent="0.3">
      <c r="A541" t="s">
        <v>4615</v>
      </c>
      <c r="B541" t="s">
        <v>5298</v>
      </c>
      <c r="C541" t="s">
        <v>4200</v>
      </c>
      <c r="D541" t="e" cm="1">
        <f t="array" ref="D541">TRANSPOSE(_xlfn._xlws.FILTER('Controllable Asset Registry'!#REF!,IFERROR('Controllable Asset Registry'!#REF!=A541,FALSE),"No Equipment in entity"))</f>
        <v>#REF!</v>
      </c>
    </row>
    <row r="542" spans="1:4" x14ac:dyDescent="0.3">
      <c r="A542" t="s">
        <v>4616</v>
      </c>
      <c r="B542" t="s">
        <v>5299</v>
      </c>
      <c r="C542" t="s">
        <v>4197</v>
      </c>
      <c r="D542" t="e" cm="1">
        <f t="array" ref="D542">TRANSPOSE(_xlfn._xlws.FILTER('Controllable Asset Registry'!#REF!,IFERROR('Controllable Asset Registry'!#REF!=A542,FALSE),"No Equipment in entity"))</f>
        <v>#REF!</v>
      </c>
    </row>
    <row r="543" spans="1:4" x14ac:dyDescent="0.3">
      <c r="A543" t="s">
        <v>4617</v>
      </c>
      <c r="B543" t="s">
        <v>5300</v>
      </c>
      <c r="C543" t="s">
        <v>4200</v>
      </c>
      <c r="D543" t="e" cm="1">
        <f t="array" ref="D543">TRANSPOSE(_xlfn._xlws.FILTER('Controllable Asset Registry'!#REF!,IFERROR('Controllable Asset Registry'!#REF!=A543,FALSE),"No Equipment in entity"))</f>
        <v>#REF!</v>
      </c>
    </row>
    <row r="544" spans="1:4" x14ac:dyDescent="0.3">
      <c r="A544" t="s">
        <v>4618</v>
      </c>
      <c r="B544" t="s">
        <v>5301</v>
      </c>
      <c r="C544" t="s">
        <v>3344</v>
      </c>
      <c r="D544" t="e" cm="1">
        <f t="array" ref="D544">TRANSPOSE(_xlfn._xlws.FILTER('Controllable Asset Registry'!#REF!,IFERROR('Controllable Asset Registry'!#REF!=A544,FALSE),"No Equipment in entity"))</f>
        <v>#REF!</v>
      </c>
    </row>
    <row r="545" spans="1:4" x14ac:dyDescent="0.3">
      <c r="A545" t="s">
        <v>4619</v>
      </c>
      <c r="B545" t="s">
        <v>5302</v>
      </c>
      <c r="C545" t="s">
        <v>3344</v>
      </c>
      <c r="D545" t="e" cm="1">
        <f t="array" ref="D545">TRANSPOSE(_xlfn._xlws.FILTER('Controllable Asset Registry'!#REF!,IFERROR('Controllable Asset Registry'!#REF!=A545,FALSE),"No Equipment in entity"))</f>
        <v>#REF!</v>
      </c>
    </row>
    <row r="546" spans="1:4" x14ac:dyDescent="0.3">
      <c r="A546" t="s">
        <v>4620</v>
      </c>
      <c r="B546" t="s">
        <v>5303</v>
      </c>
      <c r="C546" t="s">
        <v>3344</v>
      </c>
      <c r="D546" t="e" cm="1">
        <f t="array" ref="D546">TRANSPOSE(_xlfn._xlws.FILTER('Controllable Asset Registry'!#REF!,IFERROR('Controllable Asset Registry'!#REF!=A546,FALSE),"No Equipment in entity"))</f>
        <v>#REF!</v>
      </c>
    </row>
    <row r="547" spans="1:4" x14ac:dyDescent="0.3">
      <c r="A547" t="s">
        <v>4621</v>
      </c>
      <c r="B547" t="s">
        <v>5304</v>
      </c>
      <c r="C547" t="s">
        <v>3344</v>
      </c>
      <c r="D547" t="e" cm="1">
        <f t="array" ref="D547">TRANSPOSE(_xlfn._xlws.FILTER('Controllable Asset Registry'!#REF!,IFERROR('Controllable Asset Registry'!#REF!=A547,FALSE),"No Equipment in entity"))</f>
        <v>#REF!</v>
      </c>
    </row>
    <row r="548" spans="1:4" x14ac:dyDescent="0.3">
      <c r="A548" t="s">
        <v>4622</v>
      </c>
      <c r="B548" t="s">
        <v>5305</v>
      </c>
      <c r="C548" t="s">
        <v>3344</v>
      </c>
      <c r="D548" t="e" cm="1">
        <f t="array" ref="D548">TRANSPOSE(_xlfn._xlws.FILTER('Controllable Asset Registry'!#REF!,IFERROR('Controllable Asset Registry'!#REF!=A548,FALSE),"No Equipment in entity"))</f>
        <v>#REF!</v>
      </c>
    </row>
    <row r="549" spans="1:4" x14ac:dyDescent="0.3">
      <c r="A549" t="s">
        <v>4623</v>
      </c>
      <c r="B549" t="s">
        <v>5306</v>
      </c>
      <c r="C549" t="s">
        <v>3341</v>
      </c>
      <c r="D549" t="e" cm="1">
        <f t="array" ref="D549">TRANSPOSE(_xlfn._xlws.FILTER('Controllable Asset Registry'!#REF!,IFERROR('Controllable Asset Registry'!#REF!=A549,FALSE),"No Equipment in entity"))</f>
        <v>#REF!</v>
      </c>
    </row>
    <row r="550" spans="1:4" x14ac:dyDescent="0.3">
      <c r="A550" t="s">
        <v>3581</v>
      </c>
      <c r="B550" t="s">
        <v>5307</v>
      </c>
      <c r="C550" t="s">
        <v>4206</v>
      </c>
      <c r="D550" t="e" cm="1">
        <f t="array" ref="D550">TRANSPOSE(_xlfn._xlws.FILTER('Controllable Asset Registry'!#REF!,IFERROR('Controllable Asset Registry'!#REF!=A550,FALSE),"No Equipment in entity"))</f>
        <v>#REF!</v>
      </c>
    </row>
    <row r="551" spans="1:4" x14ac:dyDescent="0.3">
      <c r="A551" t="s">
        <v>4624</v>
      </c>
      <c r="B551" t="s">
        <v>5308</v>
      </c>
      <c r="C551" t="s">
        <v>3341</v>
      </c>
      <c r="D551" t="e" cm="1">
        <f t="array" ref="D551">TRANSPOSE(_xlfn._xlws.FILTER('Controllable Asset Registry'!#REF!,IFERROR('Controllable Asset Registry'!#REF!=A551,FALSE),"No Equipment in entity"))</f>
        <v>#REF!</v>
      </c>
    </row>
    <row r="552" spans="1:4" x14ac:dyDescent="0.3">
      <c r="A552" t="s">
        <v>3580</v>
      </c>
      <c r="B552" t="s">
        <v>5309</v>
      </c>
      <c r="C552" t="s">
        <v>4206</v>
      </c>
      <c r="D552" t="e" cm="1">
        <f t="array" ref="D552">TRANSPOSE(_xlfn._xlws.FILTER('Controllable Asset Registry'!#REF!,IFERROR('Controllable Asset Registry'!#REF!=A552,FALSE),"No Equipment in entity"))</f>
        <v>#REF!</v>
      </c>
    </row>
    <row r="553" spans="1:4" x14ac:dyDescent="0.3">
      <c r="A553" t="s">
        <v>4625</v>
      </c>
      <c r="B553" t="s">
        <v>5310</v>
      </c>
      <c r="C553" t="s">
        <v>4348</v>
      </c>
      <c r="D553" t="e" cm="1">
        <f t="array" ref="D553">TRANSPOSE(_xlfn._xlws.FILTER('Controllable Asset Registry'!#REF!,IFERROR('Controllable Asset Registry'!#REF!=A553,FALSE),"No Equipment in entity"))</f>
        <v>#REF!</v>
      </c>
    </row>
    <row r="554" spans="1:4" x14ac:dyDescent="0.3">
      <c r="A554" t="s">
        <v>4626</v>
      </c>
      <c r="B554" t="s">
        <v>5311</v>
      </c>
      <c r="C554" t="s">
        <v>4351</v>
      </c>
      <c r="D554" t="e" cm="1">
        <f t="array" ref="D554">TRANSPOSE(_xlfn._xlws.FILTER('Controllable Asset Registry'!#REF!,IFERROR('Controllable Asset Registry'!#REF!=A554,FALSE),"No Equipment in entity"))</f>
        <v>#REF!</v>
      </c>
    </row>
    <row r="555" spans="1:4" x14ac:dyDescent="0.3">
      <c r="A555" t="s">
        <v>4627</v>
      </c>
      <c r="B555" t="s">
        <v>5312</v>
      </c>
      <c r="C555" t="s">
        <v>3341</v>
      </c>
      <c r="D555" t="e" cm="1">
        <f t="array" ref="D555">TRANSPOSE(_xlfn._xlws.FILTER('Controllable Asset Registry'!#REF!,IFERROR('Controllable Asset Registry'!#REF!=A555,FALSE),"No Equipment in entity"))</f>
        <v>#REF!</v>
      </c>
    </row>
    <row r="556" spans="1:4" x14ac:dyDescent="0.3">
      <c r="A556" t="s">
        <v>3842</v>
      </c>
      <c r="B556" t="s">
        <v>5313</v>
      </c>
      <c r="C556" t="s">
        <v>4505</v>
      </c>
      <c r="D556" t="e" cm="1">
        <f t="array" ref="D556">TRANSPOSE(_xlfn._xlws.FILTER('Controllable Asset Registry'!#REF!,IFERROR('Controllable Asset Registry'!#REF!=A556,FALSE),"No Equipment in entity"))</f>
        <v>#REF!</v>
      </c>
    </row>
    <row r="557" spans="1:4" x14ac:dyDescent="0.3">
      <c r="A557" t="s">
        <v>3573</v>
      </c>
      <c r="B557" t="s">
        <v>5314</v>
      </c>
      <c r="C557" t="s">
        <v>4594</v>
      </c>
      <c r="D557" t="e" cm="1">
        <f t="array" ref="D557">TRANSPOSE(_xlfn._xlws.FILTER('Controllable Asset Registry'!#REF!,IFERROR('Controllable Asset Registry'!#REF!=A557,FALSE),"No Equipment in entity"))</f>
        <v>#REF!</v>
      </c>
    </row>
    <row r="558" spans="1:4" x14ac:dyDescent="0.3">
      <c r="A558" t="s">
        <v>4628</v>
      </c>
      <c r="B558" t="s">
        <v>5315</v>
      </c>
      <c r="C558" t="s">
        <v>4594</v>
      </c>
      <c r="D558" t="e" cm="1">
        <f t="array" ref="D558">TRANSPOSE(_xlfn._xlws.FILTER('Controllable Asset Registry'!#REF!,IFERROR('Controllable Asset Registry'!#REF!=A558,FALSE),"No Equipment in entity"))</f>
        <v>#REF!</v>
      </c>
    </row>
    <row r="559" spans="1:4" x14ac:dyDescent="0.3">
      <c r="A559" t="s">
        <v>4629</v>
      </c>
      <c r="B559" t="s">
        <v>5316</v>
      </c>
      <c r="C559" t="s">
        <v>4597</v>
      </c>
      <c r="D559" t="e" cm="1">
        <f t="array" ref="D559">TRANSPOSE(_xlfn._xlws.FILTER('Controllable Asset Registry'!#REF!,IFERROR('Controllable Asset Registry'!#REF!=A559,FALSE),"No Equipment in entity"))</f>
        <v>#REF!</v>
      </c>
    </row>
    <row r="560" spans="1:4" x14ac:dyDescent="0.3">
      <c r="A560" t="s">
        <v>5809</v>
      </c>
      <c r="B560" t="s">
        <v>5810</v>
      </c>
      <c r="C560" t="s">
        <v>4365</v>
      </c>
      <c r="D560" t="e" cm="1">
        <f t="array" ref="D560">TRANSPOSE(_xlfn._xlws.FILTER('Controllable Asset Registry'!#REF!,IFERROR('Controllable Asset Registry'!#REF!=A560,FALSE),"No Equipment in entity"))</f>
        <v>#REF!</v>
      </c>
    </row>
    <row r="561" spans="1:4" x14ac:dyDescent="0.3">
      <c r="A561" t="s">
        <v>5811</v>
      </c>
      <c r="B561" t="s">
        <v>5812</v>
      </c>
      <c r="C561" t="s">
        <v>4368</v>
      </c>
      <c r="D561" t="e" cm="1">
        <f t="array" ref="D561">TRANSPOSE(_xlfn._xlws.FILTER('Controllable Asset Registry'!#REF!,IFERROR('Controllable Asset Registry'!#REF!=A561,FALSE),"No Equipment in entity"))</f>
        <v>#REF!</v>
      </c>
    </row>
    <row r="562" spans="1:4" x14ac:dyDescent="0.3">
      <c r="A562" t="s">
        <v>5813</v>
      </c>
      <c r="B562" t="s">
        <v>5814</v>
      </c>
      <c r="C562" t="s">
        <v>4371</v>
      </c>
      <c r="D562" t="e" cm="1">
        <f t="array" ref="D562">TRANSPOSE(_xlfn._xlws.FILTER('Controllable Asset Registry'!#REF!,IFERROR('Controllable Asset Registry'!#REF!=A562,FALSE),"No Equipment in entity"))</f>
        <v>#REF!</v>
      </c>
    </row>
    <row r="563" spans="1:4" x14ac:dyDescent="0.3">
      <c r="A563" t="s">
        <v>5815</v>
      </c>
      <c r="B563" t="s">
        <v>5816</v>
      </c>
      <c r="C563" t="s">
        <v>4235</v>
      </c>
      <c r="D563" t="e" cm="1">
        <f t="array" ref="D563">TRANSPOSE(_xlfn._xlws.FILTER('Controllable Asset Registry'!#REF!,IFERROR('Controllable Asset Registry'!#REF!=A563,FALSE),"No Equipment in entity"))</f>
        <v>#REF!</v>
      </c>
    </row>
    <row r="564" spans="1:4" x14ac:dyDescent="0.3">
      <c r="A564" t="s">
        <v>5817</v>
      </c>
      <c r="B564" t="s">
        <v>5818</v>
      </c>
      <c r="C564" t="s">
        <v>4238</v>
      </c>
      <c r="D564" t="e" cm="1">
        <f t="array" ref="D564">TRANSPOSE(_xlfn._xlws.FILTER('Controllable Asset Registry'!#REF!,IFERROR('Controllable Asset Registry'!#REF!=A564,FALSE),"No Equipment in entity"))</f>
        <v>#REF!</v>
      </c>
    </row>
    <row r="565" spans="1:4" x14ac:dyDescent="0.3">
      <c r="A565" t="s">
        <v>5819</v>
      </c>
      <c r="B565" t="s">
        <v>5820</v>
      </c>
      <c r="C565" t="s">
        <v>4241</v>
      </c>
      <c r="D565" t="e" cm="1">
        <f t="array" ref="D565">TRANSPOSE(_xlfn._xlws.FILTER('Controllable Asset Registry'!#REF!,IFERROR('Controllable Asset Registry'!#REF!=A565,FALSE),"No Equipment in entity"))</f>
        <v>#REF!</v>
      </c>
    </row>
    <row r="566" spans="1:4" x14ac:dyDescent="0.3">
      <c r="A566" t="s">
        <v>5821</v>
      </c>
      <c r="B566" t="s">
        <v>5822</v>
      </c>
      <c r="C566" t="s">
        <v>4380</v>
      </c>
      <c r="D566" t="e" cm="1">
        <f t="array" ref="D566">TRANSPOSE(_xlfn._xlws.FILTER('Controllable Asset Registry'!#REF!,IFERROR('Controllable Asset Registry'!#REF!=A566,FALSE),"No Equipment in entity"))</f>
        <v>#REF!</v>
      </c>
    </row>
    <row r="567" spans="1:4" x14ac:dyDescent="0.3">
      <c r="A567" t="s">
        <v>5823</v>
      </c>
      <c r="B567" t="s">
        <v>5824</v>
      </c>
      <c r="C567" t="s">
        <v>4246</v>
      </c>
      <c r="D567" t="e" cm="1">
        <f t="array" ref="D567">TRANSPOSE(_xlfn._xlws.FILTER('Controllable Asset Registry'!#REF!,IFERROR('Controllable Asset Registry'!#REF!=A567,FALSE),"No Equipment in entity"))</f>
        <v>#REF!</v>
      </c>
    </row>
    <row r="568" spans="1:4" x14ac:dyDescent="0.3">
      <c r="A568" t="s">
        <v>5825</v>
      </c>
      <c r="B568" t="s">
        <v>5826</v>
      </c>
      <c r="C568" t="s">
        <v>4248</v>
      </c>
      <c r="D568" t="e" cm="1">
        <f t="array" ref="D568">TRANSPOSE(_xlfn._xlws.FILTER('Controllable Asset Registry'!#REF!,IFERROR('Controllable Asset Registry'!#REF!=A568,FALSE),"No Equipment in entity"))</f>
        <v>#REF!</v>
      </c>
    </row>
    <row r="569" spans="1:4" x14ac:dyDescent="0.3">
      <c r="A569" t="s">
        <v>5827</v>
      </c>
      <c r="B569" t="s">
        <v>5828</v>
      </c>
      <c r="C569" t="s">
        <v>4387</v>
      </c>
      <c r="D569" t="e" cm="1">
        <f t="array" ref="D569">TRANSPOSE(_xlfn._xlws.FILTER('Controllable Asset Registry'!#REF!,IFERROR('Controllable Asset Registry'!#REF!=A569,FALSE),"No Equipment in entity"))</f>
        <v>#REF!</v>
      </c>
    </row>
    <row r="570" spans="1:4" x14ac:dyDescent="0.3">
      <c r="A570" t="s">
        <v>5829</v>
      </c>
      <c r="B570" t="s">
        <v>5830</v>
      </c>
      <c r="C570" t="s">
        <v>4251</v>
      </c>
      <c r="D570" t="e" cm="1">
        <f t="array" ref="D570">TRANSPOSE(_xlfn._xlws.FILTER('Controllable Asset Registry'!#REF!,IFERROR('Controllable Asset Registry'!#REF!=A570,FALSE),"No Equipment in entity"))</f>
        <v>#REF!</v>
      </c>
    </row>
    <row r="571" spans="1:4" x14ac:dyDescent="0.3">
      <c r="A571" t="s">
        <v>3904</v>
      </c>
      <c r="B571" t="s">
        <v>5317</v>
      </c>
      <c r="C571" t="s">
        <v>4630</v>
      </c>
      <c r="D571" t="e" cm="1">
        <f t="array" ref="D571">TRANSPOSE(_xlfn._xlws.FILTER('Controllable Asset Registry'!#REF!,IFERROR('Controllable Asset Registry'!#REF!=A571,FALSE),"No Equipment in entity"))</f>
        <v>#REF!</v>
      </c>
    </row>
    <row r="572" spans="1:4" x14ac:dyDescent="0.3">
      <c r="A572" t="s">
        <v>3894</v>
      </c>
      <c r="B572" t="s">
        <v>5318</v>
      </c>
      <c r="C572" t="s">
        <v>4631</v>
      </c>
      <c r="D572" t="e" cm="1">
        <f t="array" ref="D572">TRANSPOSE(_xlfn._xlws.FILTER('Controllable Asset Registry'!#REF!,IFERROR('Controllable Asset Registry'!#REF!=A572,FALSE),"No Equipment in entity"))</f>
        <v>#REF!</v>
      </c>
    </row>
    <row r="573" spans="1:4" x14ac:dyDescent="0.3">
      <c r="A573" t="s">
        <v>3895</v>
      </c>
      <c r="B573" t="s">
        <v>5319</v>
      </c>
      <c r="C573" t="s">
        <v>4632</v>
      </c>
      <c r="D573" t="e" cm="1">
        <f t="array" ref="D573">TRANSPOSE(_xlfn._xlws.FILTER('Controllable Asset Registry'!#REF!,IFERROR('Controllable Asset Registry'!#REF!=A573,FALSE),"No Equipment in entity"))</f>
        <v>#REF!</v>
      </c>
    </row>
    <row r="574" spans="1:4" x14ac:dyDescent="0.3">
      <c r="A574" t="s">
        <v>3896</v>
      </c>
      <c r="B574" t="s">
        <v>5320</v>
      </c>
      <c r="C574" t="s">
        <v>4632</v>
      </c>
      <c r="D574" t="e" cm="1">
        <f t="array" ref="D574">TRANSPOSE(_xlfn._xlws.FILTER('Controllable Asset Registry'!#REF!,IFERROR('Controllable Asset Registry'!#REF!=A574,FALSE),"No Equipment in entity"))</f>
        <v>#REF!</v>
      </c>
    </row>
    <row r="575" spans="1:4" x14ac:dyDescent="0.3">
      <c r="A575" t="s">
        <v>3897</v>
      </c>
      <c r="B575" t="s">
        <v>5321</v>
      </c>
      <c r="C575" t="s">
        <v>4632</v>
      </c>
      <c r="D575" t="e" cm="1">
        <f t="array" ref="D575">TRANSPOSE(_xlfn._xlws.FILTER('Controllable Asset Registry'!#REF!,IFERROR('Controllable Asset Registry'!#REF!=A575,FALSE),"No Equipment in entity"))</f>
        <v>#REF!</v>
      </c>
    </row>
    <row r="576" spans="1:4" x14ac:dyDescent="0.3">
      <c r="A576" t="s">
        <v>3898</v>
      </c>
      <c r="B576" t="s">
        <v>5322</v>
      </c>
      <c r="C576" t="s">
        <v>4632</v>
      </c>
      <c r="D576" t="e" cm="1">
        <f t="array" ref="D576">TRANSPOSE(_xlfn._xlws.FILTER('Controllable Asset Registry'!#REF!,IFERROR('Controllable Asset Registry'!#REF!=A576,FALSE),"No Equipment in entity"))</f>
        <v>#REF!</v>
      </c>
    </row>
    <row r="577" spans="1:4" x14ac:dyDescent="0.3">
      <c r="A577" t="s">
        <v>3899</v>
      </c>
      <c r="B577" t="s">
        <v>5323</v>
      </c>
      <c r="C577" t="s">
        <v>4632</v>
      </c>
      <c r="D577" t="e" cm="1">
        <f t="array" ref="D577">TRANSPOSE(_xlfn._xlws.FILTER('Controllable Asset Registry'!#REF!,IFERROR('Controllable Asset Registry'!#REF!=A577,FALSE),"No Equipment in entity"))</f>
        <v>#REF!</v>
      </c>
    </row>
    <row r="578" spans="1:4" x14ac:dyDescent="0.3">
      <c r="A578" t="s">
        <v>3900</v>
      </c>
      <c r="B578" t="s">
        <v>5324</v>
      </c>
      <c r="C578" t="s">
        <v>4632</v>
      </c>
      <c r="D578" t="e" cm="1">
        <f t="array" ref="D578">TRANSPOSE(_xlfn._xlws.FILTER('Controllable Asset Registry'!#REF!,IFERROR('Controllable Asset Registry'!#REF!=A578,FALSE),"No Equipment in entity"))</f>
        <v>#REF!</v>
      </c>
    </row>
    <row r="579" spans="1:4" x14ac:dyDescent="0.3">
      <c r="A579" t="s">
        <v>3891</v>
      </c>
      <c r="B579" t="s">
        <v>5325</v>
      </c>
      <c r="C579" t="s">
        <v>4632</v>
      </c>
      <c r="D579" t="e" cm="1">
        <f t="array" ref="D579">TRANSPOSE(_xlfn._xlws.FILTER('Controllable Asset Registry'!#REF!,IFERROR('Controllable Asset Registry'!#REF!=A579,FALSE),"No Equipment in entity"))</f>
        <v>#REF!</v>
      </c>
    </row>
    <row r="580" spans="1:4" x14ac:dyDescent="0.3">
      <c r="A580" t="s">
        <v>3892</v>
      </c>
      <c r="B580" t="s">
        <v>5326</v>
      </c>
      <c r="C580" t="s">
        <v>4633</v>
      </c>
      <c r="D580" t="e" cm="1">
        <f t="array" ref="D580">TRANSPOSE(_xlfn._xlws.FILTER('Controllable Asset Registry'!#REF!,IFERROR('Controllable Asset Registry'!#REF!=A580,FALSE),"No Equipment in entity"))</f>
        <v>#REF!</v>
      </c>
    </row>
    <row r="581" spans="1:4" x14ac:dyDescent="0.3">
      <c r="A581" t="s">
        <v>3893</v>
      </c>
      <c r="B581" t="s">
        <v>5327</v>
      </c>
      <c r="C581" t="s">
        <v>4634</v>
      </c>
      <c r="D581" t="e" cm="1">
        <f t="array" ref="D581">TRANSPOSE(_xlfn._xlws.FILTER('Controllable Asset Registry'!#REF!,IFERROR('Controllable Asset Registry'!#REF!=A581,FALSE),"No Equipment in entity"))</f>
        <v>#REF!</v>
      </c>
    </row>
    <row r="582" spans="1:4" x14ac:dyDescent="0.3">
      <c r="A582" t="s">
        <v>3870</v>
      </c>
      <c r="B582" t="s">
        <v>5328</v>
      </c>
      <c r="C582" t="s">
        <v>4634</v>
      </c>
      <c r="D582" t="e" cm="1">
        <f t="array" ref="D582">TRANSPOSE(_xlfn._xlws.FILTER('Controllable Asset Registry'!#REF!,IFERROR('Controllable Asset Registry'!#REF!=A582,FALSE),"No Equipment in entity"))</f>
        <v>#REF!</v>
      </c>
    </row>
    <row r="583" spans="1:4" x14ac:dyDescent="0.3">
      <c r="A583" t="s">
        <v>3871</v>
      </c>
      <c r="B583" t="s">
        <v>5329</v>
      </c>
      <c r="C583" t="s">
        <v>4633</v>
      </c>
      <c r="D583" t="e" cm="1">
        <f t="array" ref="D583">TRANSPOSE(_xlfn._xlws.FILTER('Controllable Asset Registry'!#REF!,IFERROR('Controllable Asset Registry'!#REF!=A583,FALSE),"No Equipment in entity"))</f>
        <v>#REF!</v>
      </c>
    </row>
    <row r="584" spans="1:4" x14ac:dyDescent="0.3">
      <c r="A584" t="s">
        <v>3872</v>
      </c>
      <c r="B584" t="s">
        <v>5330</v>
      </c>
      <c r="C584" t="s">
        <v>4635</v>
      </c>
      <c r="D584" t="e" cm="1">
        <f t="array" ref="D584">TRANSPOSE(_xlfn._xlws.FILTER('Controllable Asset Registry'!#REF!,IFERROR('Controllable Asset Registry'!#REF!=A584,FALSE),"No Equipment in entity"))</f>
        <v>#REF!</v>
      </c>
    </row>
    <row r="585" spans="1:4" x14ac:dyDescent="0.3">
      <c r="A585" t="s">
        <v>3873</v>
      </c>
      <c r="B585" t="s">
        <v>5331</v>
      </c>
      <c r="C585" t="s">
        <v>4635</v>
      </c>
      <c r="D585" t="e" cm="1">
        <f t="array" ref="D585">TRANSPOSE(_xlfn._xlws.FILTER('Controllable Asset Registry'!#REF!,IFERROR('Controllable Asset Registry'!#REF!=A585,FALSE),"No Equipment in entity"))</f>
        <v>#REF!</v>
      </c>
    </row>
    <row r="586" spans="1:4" x14ac:dyDescent="0.3">
      <c r="A586" t="s">
        <v>3874</v>
      </c>
      <c r="B586" t="s">
        <v>5332</v>
      </c>
      <c r="C586" t="s">
        <v>4635</v>
      </c>
      <c r="D586" t="e" cm="1">
        <f t="array" ref="D586">TRANSPOSE(_xlfn._xlws.FILTER('Controllable Asset Registry'!#REF!,IFERROR('Controllable Asset Registry'!#REF!=A586,FALSE),"No Equipment in entity"))</f>
        <v>#REF!</v>
      </c>
    </row>
    <row r="587" spans="1:4" x14ac:dyDescent="0.3">
      <c r="A587" t="s">
        <v>3875</v>
      </c>
      <c r="B587" t="s">
        <v>5333</v>
      </c>
      <c r="C587" t="s">
        <v>4635</v>
      </c>
      <c r="D587" t="e" cm="1">
        <f t="array" ref="D587">TRANSPOSE(_xlfn._xlws.FILTER('Controllable Asset Registry'!#REF!,IFERROR('Controllable Asset Registry'!#REF!=A587,FALSE),"No Equipment in entity"))</f>
        <v>#REF!</v>
      </c>
    </row>
    <row r="588" spans="1:4" x14ac:dyDescent="0.3">
      <c r="A588" t="s">
        <v>3876</v>
      </c>
      <c r="B588" t="s">
        <v>5334</v>
      </c>
      <c r="C588" t="s">
        <v>4635</v>
      </c>
      <c r="D588" t="e" cm="1">
        <f t="array" ref="D588">TRANSPOSE(_xlfn._xlws.FILTER('Controllable Asset Registry'!#REF!,IFERROR('Controllable Asset Registry'!#REF!=A588,FALSE),"No Equipment in entity"))</f>
        <v>#REF!</v>
      </c>
    </row>
    <row r="589" spans="1:4" x14ac:dyDescent="0.3">
      <c r="A589" t="s">
        <v>3877</v>
      </c>
      <c r="B589" t="s">
        <v>5335</v>
      </c>
      <c r="C589" t="s">
        <v>4635</v>
      </c>
      <c r="D589" t="e" cm="1">
        <f t="array" ref="D589">TRANSPOSE(_xlfn._xlws.FILTER('Controllable Asset Registry'!#REF!,IFERROR('Controllable Asset Registry'!#REF!=A589,FALSE),"No Equipment in entity"))</f>
        <v>#REF!</v>
      </c>
    </row>
    <row r="590" spans="1:4" x14ac:dyDescent="0.3">
      <c r="A590" t="s">
        <v>3878</v>
      </c>
      <c r="B590" t="s">
        <v>5336</v>
      </c>
      <c r="C590" t="s">
        <v>4635</v>
      </c>
      <c r="D590" t="e" cm="1">
        <f t="array" ref="D590">TRANSPOSE(_xlfn._xlws.FILTER('Controllable Asset Registry'!#REF!,IFERROR('Controllable Asset Registry'!#REF!=A590,FALSE),"No Equipment in entity"))</f>
        <v>#REF!</v>
      </c>
    </row>
    <row r="591" spans="1:4" x14ac:dyDescent="0.3">
      <c r="A591" t="s">
        <v>3879</v>
      </c>
      <c r="B591" t="s">
        <v>5337</v>
      </c>
      <c r="C591" t="s">
        <v>4636</v>
      </c>
      <c r="D591" t="e" cm="1">
        <f t="array" ref="D591">TRANSPOSE(_xlfn._xlws.FILTER('Controllable Asset Registry'!#REF!,IFERROR('Controllable Asset Registry'!#REF!=A591,FALSE),"No Equipment in entity"))</f>
        <v>#REF!</v>
      </c>
    </row>
    <row r="592" spans="1:4" x14ac:dyDescent="0.3">
      <c r="A592" t="s">
        <v>3880</v>
      </c>
      <c r="B592" t="s">
        <v>5338</v>
      </c>
      <c r="C592" t="s">
        <v>4636</v>
      </c>
      <c r="D592" t="e" cm="1">
        <f t="array" ref="D592">TRANSPOSE(_xlfn._xlws.FILTER('Controllable Asset Registry'!#REF!,IFERROR('Controllable Asset Registry'!#REF!=A592,FALSE),"No Equipment in entity"))</f>
        <v>#REF!</v>
      </c>
    </row>
    <row r="593" spans="1:4" x14ac:dyDescent="0.3">
      <c r="A593" t="s">
        <v>3881</v>
      </c>
      <c r="B593" t="s">
        <v>5339</v>
      </c>
      <c r="C593" t="s">
        <v>4637</v>
      </c>
      <c r="D593" t="e" cm="1">
        <f t="array" ref="D593">TRANSPOSE(_xlfn._xlws.FILTER('Controllable Asset Registry'!#REF!,IFERROR('Controllable Asset Registry'!#REF!=A593,FALSE),"No Equipment in entity"))</f>
        <v>#REF!</v>
      </c>
    </row>
    <row r="594" spans="1:4" x14ac:dyDescent="0.3">
      <c r="A594" t="s">
        <v>3882</v>
      </c>
      <c r="B594" t="s">
        <v>5340</v>
      </c>
      <c r="C594" t="s">
        <v>4637</v>
      </c>
      <c r="D594" t="e" cm="1">
        <f t="array" ref="D594">TRANSPOSE(_xlfn._xlws.FILTER('Controllable Asset Registry'!#REF!,IFERROR('Controllable Asset Registry'!#REF!=A594,FALSE),"No Equipment in entity"))</f>
        <v>#REF!</v>
      </c>
    </row>
    <row r="595" spans="1:4" x14ac:dyDescent="0.3">
      <c r="A595" t="s">
        <v>3883</v>
      </c>
      <c r="B595" t="s">
        <v>5341</v>
      </c>
      <c r="C595" t="s">
        <v>4638</v>
      </c>
      <c r="D595" t="e" cm="1">
        <f t="array" ref="D595">TRANSPOSE(_xlfn._xlws.FILTER('Controllable Asset Registry'!#REF!,IFERROR('Controllable Asset Registry'!#REF!=A595,FALSE),"No Equipment in entity"))</f>
        <v>#REF!</v>
      </c>
    </row>
    <row r="596" spans="1:4" x14ac:dyDescent="0.3">
      <c r="A596" t="s">
        <v>3884</v>
      </c>
      <c r="B596" t="s">
        <v>5342</v>
      </c>
      <c r="C596" t="s">
        <v>4639</v>
      </c>
      <c r="D596" t="e" cm="1">
        <f t="array" ref="D596">TRANSPOSE(_xlfn._xlws.FILTER('Controllable Asset Registry'!#REF!,IFERROR('Controllable Asset Registry'!#REF!=A596,FALSE),"No Equipment in entity"))</f>
        <v>#REF!</v>
      </c>
    </row>
    <row r="597" spans="1:4" x14ac:dyDescent="0.3">
      <c r="A597" t="s">
        <v>3885</v>
      </c>
      <c r="B597" t="s">
        <v>5343</v>
      </c>
      <c r="C597" t="s">
        <v>4640</v>
      </c>
      <c r="D597" t="e" cm="1">
        <f t="array" ref="D597">TRANSPOSE(_xlfn._xlws.FILTER('Controllable Asset Registry'!#REF!,IFERROR('Controllable Asset Registry'!#REF!=A597,FALSE),"No Equipment in entity"))</f>
        <v>#REF!</v>
      </c>
    </row>
    <row r="598" spans="1:4" x14ac:dyDescent="0.3">
      <c r="A598" t="s">
        <v>3886</v>
      </c>
      <c r="B598" t="s">
        <v>5344</v>
      </c>
      <c r="C598" t="s">
        <v>4640</v>
      </c>
      <c r="D598" t="e" cm="1">
        <f t="array" ref="D598">TRANSPOSE(_xlfn._xlws.FILTER('Controllable Asset Registry'!#REF!,IFERROR('Controllable Asset Registry'!#REF!=A598,FALSE),"No Equipment in entity"))</f>
        <v>#REF!</v>
      </c>
    </row>
    <row r="599" spans="1:4" x14ac:dyDescent="0.3">
      <c r="A599" t="s">
        <v>3903</v>
      </c>
      <c r="B599" t="s">
        <v>5345</v>
      </c>
      <c r="C599" t="s">
        <v>4439</v>
      </c>
      <c r="D599" t="e" cm="1">
        <f t="array" ref="D599">TRANSPOSE(_xlfn._xlws.FILTER('Controllable Asset Registry'!#REF!,IFERROR('Controllable Asset Registry'!#REF!=A599,FALSE),"No Equipment in entity"))</f>
        <v>#REF!</v>
      </c>
    </row>
    <row r="600" spans="1:4" x14ac:dyDescent="0.3">
      <c r="A600" t="s">
        <v>3902</v>
      </c>
      <c r="B600" t="s">
        <v>5346</v>
      </c>
      <c r="C600" t="s">
        <v>4439</v>
      </c>
      <c r="D600" t="e" cm="1">
        <f t="array" ref="D600">TRANSPOSE(_xlfn._xlws.FILTER('Controllable Asset Registry'!#REF!,IFERROR('Controllable Asset Registry'!#REF!=A600,FALSE),"No Equipment in entity"))</f>
        <v>#REF!</v>
      </c>
    </row>
    <row r="601" spans="1:4" x14ac:dyDescent="0.3">
      <c r="A601" t="s">
        <v>3901</v>
      </c>
      <c r="B601" t="s">
        <v>5347</v>
      </c>
      <c r="C601" t="s">
        <v>4439</v>
      </c>
      <c r="D601" t="e" cm="1">
        <f t="array" ref="D601">TRANSPOSE(_xlfn._xlws.FILTER('Controllable Asset Registry'!#REF!,IFERROR('Controllable Asset Registry'!#REF!=A601,FALSE),"No Equipment in entity"))</f>
        <v>#REF!</v>
      </c>
    </row>
    <row r="602" spans="1:4" x14ac:dyDescent="0.3">
      <c r="A602" t="s">
        <v>3587</v>
      </c>
      <c r="B602" t="s">
        <v>5348</v>
      </c>
      <c r="C602" t="s">
        <v>4408</v>
      </c>
      <c r="D602" t="e" cm="1">
        <f t="array" ref="D602">TRANSPOSE(_xlfn._xlws.FILTER('Controllable Asset Registry'!#REF!,IFERROR('Controllable Asset Registry'!#REF!=A602,FALSE),"No Equipment in entity"))</f>
        <v>#REF!</v>
      </c>
    </row>
    <row r="603" spans="1:4" x14ac:dyDescent="0.3">
      <c r="A603" t="s">
        <v>3890</v>
      </c>
      <c r="B603" t="s">
        <v>5349</v>
      </c>
      <c r="C603" t="s">
        <v>3475</v>
      </c>
      <c r="D603" t="e" cm="1">
        <f t="array" ref="D603">TRANSPOSE(_xlfn._xlws.FILTER('Controllable Asset Registry'!#REF!,IFERROR('Controllable Asset Registry'!#REF!=A603,FALSE),"No Equipment in entity"))</f>
        <v>#REF!</v>
      </c>
    </row>
    <row r="604" spans="1:4" x14ac:dyDescent="0.3">
      <c r="A604" t="s">
        <v>4641</v>
      </c>
      <c r="B604" t="s">
        <v>5350</v>
      </c>
      <c r="C604" t="s">
        <v>4279</v>
      </c>
      <c r="D604" t="e" cm="1">
        <f t="array" ref="D604">TRANSPOSE(_xlfn._xlws.FILTER('Controllable Asset Registry'!#REF!,IFERROR('Controllable Asset Registry'!#REF!=A604,FALSE),"No Equipment in entity"))</f>
        <v>#REF!</v>
      </c>
    </row>
    <row r="605" spans="1:4" x14ac:dyDescent="0.3">
      <c r="A605" t="s">
        <v>4642</v>
      </c>
      <c r="B605" t="s">
        <v>5351</v>
      </c>
      <c r="C605" t="s">
        <v>4437</v>
      </c>
      <c r="D605" t="e" cm="1">
        <f t="array" ref="D605">TRANSPOSE(_xlfn._xlws.FILTER('Controllable Asset Registry'!#REF!,IFERROR('Controllable Asset Registry'!#REF!=A605,FALSE),"No Equipment in entity"))</f>
        <v>#REF!</v>
      </c>
    </row>
    <row r="606" spans="1:4" x14ac:dyDescent="0.3">
      <c r="A606" t="s">
        <v>3889</v>
      </c>
      <c r="B606" t="s">
        <v>5352</v>
      </c>
      <c r="C606" t="s">
        <v>4643</v>
      </c>
      <c r="D606" t="e" cm="1">
        <f t="array" ref="D606">TRANSPOSE(_xlfn._xlws.FILTER('Controllable Asset Registry'!#REF!,IFERROR('Controllable Asset Registry'!#REF!=A606,FALSE),"No Equipment in entity"))</f>
        <v>#REF!</v>
      </c>
    </row>
    <row r="607" spans="1:4" x14ac:dyDescent="0.3">
      <c r="A607" t="s">
        <v>3888</v>
      </c>
      <c r="B607" t="s">
        <v>5353</v>
      </c>
      <c r="C607" t="s">
        <v>4644</v>
      </c>
      <c r="D607" t="e" cm="1">
        <f t="array" ref="D607">TRANSPOSE(_xlfn._xlws.FILTER('Controllable Asset Registry'!#REF!,IFERROR('Controllable Asset Registry'!#REF!=A607,FALSE),"No Equipment in entity"))</f>
        <v>#REF!</v>
      </c>
    </row>
    <row r="608" spans="1:4" x14ac:dyDescent="0.3">
      <c r="A608" t="s">
        <v>4645</v>
      </c>
      <c r="B608" t="s">
        <v>5354</v>
      </c>
      <c r="C608" t="s">
        <v>4186</v>
      </c>
      <c r="D608" t="e" cm="1">
        <f t="array" ref="D608">TRANSPOSE(_xlfn._xlws.FILTER('Controllable Asset Registry'!#REF!,IFERROR('Controllable Asset Registry'!#REF!=A608,FALSE),"No Equipment in entity"))</f>
        <v>#REF!</v>
      </c>
    </row>
    <row r="609" spans="1:4" x14ac:dyDescent="0.3">
      <c r="A609" t="s">
        <v>3905</v>
      </c>
      <c r="B609" t="s">
        <v>5355</v>
      </c>
      <c r="C609" t="s">
        <v>4646</v>
      </c>
      <c r="D609" t="e" cm="1">
        <f t="array" ref="D609">TRANSPOSE(_xlfn._xlws.FILTER('Controllable Asset Registry'!#REF!,IFERROR('Controllable Asset Registry'!#REF!=A609,FALSE),"No Equipment in entity"))</f>
        <v>#REF!</v>
      </c>
    </row>
    <row r="610" spans="1:4" x14ac:dyDescent="0.3">
      <c r="A610" t="s">
        <v>3906</v>
      </c>
      <c r="B610" t="s">
        <v>5356</v>
      </c>
      <c r="C610" t="s">
        <v>4646</v>
      </c>
      <c r="D610" t="e" cm="1">
        <f t="array" ref="D610">TRANSPOSE(_xlfn._xlws.FILTER('Controllable Asset Registry'!#REF!,IFERROR('Controllable Asset Registry'!#REF!=A610,FALSE),"No Equipment in entity"))</f>
        <v>#REF!</v>
      </c>
    </row>
    <row r="611" spans="1:4" x14ac:dyDescent="0.3">
      <c r="A611" t="s">
        <v>4647</v>
      </c>
      <c r="B611" t="s">
        <v>5357</v>
      </c>
      <c r="C611" t="s">
        <v>4279</v>
      </c>
      <c r="D611" t="e" cm="1">
        <f t="array" ref="D611">TRANSPOSE(_xlfn._xlws.FILTER('Controllable Asset Registry'!#REF!,IFERROR('Controllable Asset Registry'!#REF!=A611,FALSE),"No Equipment in entity"))</f>
        <v>#REF!</v>
      </c>
    </row>
    <row r="612" spans="1:4" x14ac:dyDescent="0.3">
      <c r="A612" t="s">
        <v>3907</v>
      </c>
      <c r="B612" t="s">
        <v>5358</v>
      </c>
      <c r="C612" t="s">
        <v>4646</v>
      </c>
      <c r="D612" t="e" cm="1">
        <f t="array" ref="D612">TRANSPOSE(_xlfn._xlws.FILTER('Controllable Asset Registry'!#REF!,IFERROR('Controllable Asset Registry'!#REF!=A612,FALSE),"No Equipment in entity"))</f>
        <v>#REF!</v>
      </c>
    </row>
    <row r="613" spans="1:4" x14ac:dyDescent="0.3">
      <c r="A613" t="s">
        <v>3908</v>
      </c>
      <c r="B613" t="s">
        <v>5359</v>
      </c>
      <c r="C613" t="s">
        <v>4640</v>
      </c>
      <c r="D613" t="e" cm="1">
        <f t="array" ref="D613">TRANSPOSE(_xlfn._xlws.FILTER('Controllable Asset Registry'!#REF!,IFERROR('Controllable Asset Registry'!#REF!=A613,FALSE),"No Equipment in entity"))</f>
        <v>#REF!</v>
      </c>
    </row>
    <row r="614" spans="1:4" x14ac:dyDescent="0.3">
      <c r="A614" t="s">
        <v>3909</v>
      </c>
      <c r="B614" t="s">
        <v>5360</v>
      </c>
      <c r="C614" t="s">
        <v>4648</v>
      </c>
      <c r="D614" t="e" cm="1">
        <f t="array" ref="D614">TRANSPOSE(_xlfn._xlws.FILTER('Controllable Asset Registry'!#REF!,IFERROR('Controllable Asset Registry'!#REF!=A614,FALSE),"No Equipment in entity"))</f>
        <v>#REF!</v>
      </c>
    </row>
    <row r="615" spans="1:4" x14ac:dyDescent="0.3">
      <c r="A615" t="s">
        <v>3910</v>
      </c>
      <c r="B615" t="s">
        <v>5361</v>
      </c>
      <c r="C615" t="s">
        <v>4649</v>
      </c>
      <c r="D615" t="e" cm="1">
        <f t="array" ref="D615">TRANSPOSE(_xlfn._xlws.FILTER('Controllable Asset Registry'!#REF!,IFERROR('Controllable Asset Registry'!#REF!=A615,FALSE),"No Equipment in entity"))</f>
        <v>#REF!</v>
      </c>
    </row>
    <row r="616" spans="1:4" x14ac:dyDescent="0.3">
      <c r="A616" t="s">
        <v>3588</v>
      </c>
      <c r="B616" t="s">
        <v>5362</v>
      </c>
      <c r="C616" t="s">
        <v>4408</v>
      </c>
      <c r="D616" t="e" cm="1">
        <f t="array" ref="D616">TRANSPOSE(_xlfn._xlws.FILTER('Controllable Asset Registry'!#REF!,IFERROR('Controllable Asset Registry'!#REF!=A616,FALSE),"No Equipment in entity"))</f>
        <v>#REF!</v>
      </c>
    </row>
    <row r="617" spans="1:4" x14ac:dyDescent="0.3">
      <c r="A617" t="s">
        <v>3911</v>
      </c>
      <c r="B617" t="s">
        <v>5363</v>
      </c>
      <c r="C617" t="s">
        <v>4650</v>
      </c>
      <c r="D617" t="e" cm="1">
        <f t="array" ref="D617">TRANSPOSE(_xlfn._xlws.FILTER('Controllable Asset Registry'!#REF!,IFERROR('Controllable Asset Registry'!#REF!=A617,FALSE),"No Equipment in entity"))</f>
        <v>#REF!</v>
      </c>
    </row>
    <row r="618" spans="1:4" x14ac:dyDescent="0.3">
      <c r="A618" t="s">
        <v>3912</v>
      </c>
      <c r="B618" t="s">
        <v>5364</v>
      </c>
      <c r="C618" t="s">
        <v>4649</v>
      </c>
      <c r="D618" t="e" cm="1">
        <f t="array" ref="D618">TRANSPOSE(_xlfn._xlws.FILTER('Controllable Asset Registry'!#REF!,IFERROR('Controllable Asset Registry'!#REF!=A618,FALSE),"No Equipment in entity"))</f>
        <v>#REF!</v>
      </c>
    </row>
    <row r="619" spans="1:4" x14ac:dyDescent="0.3">
      <c r="A619" t="s">
        <v>3913</v>
      </c>
      <c r="B619" t="s">
        <v>5365</v>
      </c>
      <c r="C619" t="s">
        <v>4649</v>
      </c>
      <c r="D619" t="e" cm="1">
        <f t="array" ref="D619">TRANSPOSE(_xlfn._xlws.FILTER('Controllable Asset Registry'!#REF!,IFERROR('Controllable Asset Registry'!#REF!=A619,FALSE),"No Equipment in entity"))</f>
        <v>#REF!</v>
      </c>
    </row>
    <row r="620" spans="1:4" x14ac:dyDescent="0.3">
      <c r="A620" t="s">
        <v>3914</v>
      </c>
      <c r="B620" t="s">
        <v>5366</v>
      </c>
      <c r="C620" t="s">
        <v>4651</v>
      </c>
      <c r="D620" t="e" cm="1">
        <f t="array" ref="D620">TRANSPOSE(_xlfn._xlws.FILTER('Controllable Asset Registry'!#REF!,IFERROR('Controllable Asset Registry'!#REF!=A620,FALSE),"No Equipment in entity"))</f>
        <v>#REF!</v>
      </c>
    </row>
    <row r="621" spans="1:4" x14ac:dyDescent="0.3">
      <c r="A621" t="s">
        <v>4652</v>
      </c>
      <c r="B621" t="s">
        <v>5367</v>
      </c>
      <c r="C621" t="s">
        <v>4653</v>
      </c>
      <c r="D621" t="e" cm="1">
        <f t="array" ref="D621">TRANSPOSE(_xlfn._xlws.FILTER('Controllable Asset Registry'!#REF!,IFERROR('Controllable Asset Registry'!#REF!=A621,FALSE),"No Equipment in entity"))</f>
        <v>#REF!</v>
      </c>
    </row>
    <row r="622" spans="1:4" x14ac:dyDescent="0.3">
      <c r="A622" t="s">
        <v>4654</v>
      </c>
      <c r="B622" t="s">
        <v>5368</v>
      </c>
      <c r="C622" t="s">
        <v>4197</v>
      </c>
      <c r="D622" t="e" cm="1">
        <f t="array" ref="D622">TRANSPOSE(_xlfn._xlws.FILTER('Controllable Asset Registry'!#REF!,IFERROR('Controllable Asset Registry'!#REF!=A622,FALSE),"No Equipment in entity"))</f>
        <v>#REF!</v>
      </c>
    </row>
    <row r="623" spans="1:4" x14ac:dyDescent="0.3">
      <c r="A623" t="s">
        <v>4655</v>
      </c>
      <c r="B623" t="s">
        <v>5369</v>
      </c>
      <c r="C623" t="s">
        <v>4200</v>
      </c>
      <c r="D623" t="e" cm="1">
        <f t="array" ref="D623">TRANSPOSE(_xlfn._xlws.FILTER('Controllable Asset Registry'!#REF!,IFERROR('Controllable Asset Registry'!#REF!=A623,FALSE),"No Equipment in entity"))</f>
        <v>#REF!</v>
      </c>
    </row>
    <row r="624" spans="1:4" x14ac:dyDescent="0.3">
      <c r="A624" t="s">
        <v>4656</v>
      </c>
      <c r="B624" t="s">
        <v>5370</v>
      </c>
      <c r="C624" t="s">
        <v>4197</v>
      </c>
      <c r="D624" t="e" cm="1">
        <f t="array" ref="D624">TRANSPOSE(_xlfn._xlws.FILTER('Controllable Asset Registry'!#REF!,IFERROR('Controllable Asset Registry'!#REF!=A624,FALSE),"No Equipment in entity"))</f>
        <v>#REF!</v>
      </c>
    </row>
    <row r="625" spans="1:4" x14ac:dyDescent="0.3">
      <c r="A625" t="s">
        <v>4657</v>
      </c>
      <c r="B625" t="s">
        <v>5371</v>
      </c>
      <c r="C625" t="s">
        <v>4200</v>
      </c>
      <c r="D625" t="e" cm="1">
        <f t="array" ref="D625">TRANSPOSE(_xlfn._xlws.FILTER('Controllable Asset Registry'!#REF!,IFERROR('Controllable Asset Registry'!#REF!=A625,FALSE),"No Equipment in entity"))</f>
        <v>#REF!</v>
      </c>
    </row>
    <row r="626" spans="1:4" x14ac:dyDescent="0.3">
      <c r="A626" t="s">
        <v>4658</v>
      </c>
      <c r="B626" t="s">
        <v>5372</v>
      </c>
      <c r="C626" t="s">
        <v>3344</v>
      </c>
      <c r="D626" t="e" cm="1">
        <f t="array" ref="D626">TRANSPOSE(_xlfn._xlws.FILTER('Controllable Asset Registry'!#REF!,IFERROR('Controllable Asset Registry'!#REF!=A626,FALSE),"No Equipment in entity"))</f>
        <v>#REF!</v>
      </c>
    </row>
    <row r="627" spans="1:4" x14ac:dyDescent="0.3">
      <c r="A627" t="s">
        <v>4659</v>
      </c>
      <c r="B627" t="s">
        <v>5373</v>
      </c>
      <c r="C627" t="s">
        <v>3344</v>
      </c>
      <c r="D627" t="e" cm="1">
        <f t="array" ref="D627">TRANSPOSE(_xlfn._xlws.FILTER('Controllable Asset Registry'!#REF!,IFERROR('Controllable Asset Registry'!#REF!=A627,FALSE),"No Equipment in entity"))</f>
        <v>#REF!</v>
      </c>
    </row>
    <row r="628" spans="1:4" x14ac:dyDescent="0.3">
      <c r="A628" t="s">
        <v>4660</v>
      </c>
      <c r="B628" t="s">
        <v>5374</v>
      </c>
      <c r="C628" t="s">
        <v>3344</v>
      </c>
      <c r="D628" t="e" cm="1">
        <f t="array" ref="D628">TRANSPOSE(_xlfn._xlws.FILTER('Controllable Asset Registry'!#REF!,IFERROR('Controllable Asset Registry'!#REF!=A628,FALSE),"No Equipment in entity"))</f>
        <v>#REF!</v>
      </c>
    </row>
    <row r="629" spans="1:4" x14ac:dyDescent="0.3">
      <c r="A629" t="s">
        <v>4661</v>
      </c>
      <c r="B629" t="s">
        <v>5375</v>
      </c>
      <c r="C629" t="s">
        <v>3341</v>
      </c>
      <c r="D629" t="e" cm="1">
        <f t="array" ref="D629">TRANSPOSE(_xlfn._xlws.FILTER('Controllable Asset Registry'!#REF!,IFERROR('Controllable Asset Registry'!#REF!=A629,FALSE),"No Equipment in entity"))</f>
        <v>#REF!</v>
      </c>
    </row>
    <row r="630" spans="1:4" x14ac:dyDescent="0.3">
      <c r="A630" t="s">
        <v>3585</v>
      </c>
      <c r="B630" t="s">
        <v>5376</v>
      </c>
      <c r="C630" t="s">
        <v>4206</v>
      </c>
      <c r="D630" t="e" cm="1">
        <f t="array" ref="D630">TRANSPOSE(_xlfn._xlws.FILTER('Controllable Asset Registry'!#REF!,IFERROR('Controllable Asset Registry'!#REF!=A630,FALSE),"No Equipment in entity"))</f>
        <v>#REF!</v>
      </c>
    </row>
    <row r="631" spans="1:4" x14ac:dyDescent="0.3">
      <c r="A631" t="s">
        <v>4662</v>
      </c>
      <c r="B631" t="s">
        <v>5377</v>
      </c>
      <c r="C631" t="s">
        <v>3341</v>
      </c>
      <c r="D631" t="e" cm="1">
        <f t="array" ref="D631">TRANSPOSE(_xlfn._xlws.FILTER('Controllable Asset Registry'!#REF!,IFERROR('Controllable Asset Registry'!#REF!=A631,FALSE),"No Equipment in entity"))</f>
        <v>#REF!</v>
      </c>
    </row>
    <row r="632" spans="1:4" x14ac:dyDescent="0.3">
      <c r="A632" t="s">
        <v>3584</v>
      </c>
      <c r="B632" t="s">
        <v>5378</v>
      </c>
      <c r="C632" t="s">
        <v>4206</v>
      </c>
      <c r="D632" t="e" cm="1">
        <f t="array" ref="D632">TRANSPOSE(_xlfn._xlws.FILTER('Controllable Asset Registry'!#REF!,IFERROR('Controllable Asset Registry'!#REF!=A632,FALSE),"No Equipment in entity"))</f>
        <v>#REF!</v>
      </c>
    </row>
    <row r="633" spans="1:4" x14ac:dyDescent="0.3">
      <c r="A633" t="s">
        <v>4663</v>
      </c>
      <c r="B633" t="s">
        <v>5379</v>
      </c>
      <c r="C633" t="s">
        <v>4591</v>
      </c>
      <c r="D633" t="e" cm="1">
        <f t="array" ref="D633">TRANSPOSE(_xlfn._xlws.FILTER('Controllable Asset Registry'!#REF!,IFERROR('Controllable Asset Registry'!#REF!=A633,FALSE),"No Equipment in entity"))</f>
        <v>#REF!</v>
      </c>
    </row>
    <row r="634" spans="1:4" x14ac:dyDescent="0.3">
      <c r="A634" t="s">
        <v>4664</v>
      </c>
      <c r="B634" t="s">
        <v>5380</v>
      </c>
      <c r="C634" t="s">
        <v>4351</v>
      </c>
      <c r="D634" t="e" cm="1">
        <f t="array" ref="D634">TRANSPOSE(_xlfn._xlws.FILTER('Controllable Asset Registry'!#REF!,IFERROR('Controllable Asset Registry'!#REF!=A634,FALSE),"No Equipment in entity"))</f>
        <v>#REF!</v>
      </c>
    </row>
    <row r="635" spans="1:4" x14ac:dyDescent="0.3">
      <c r="A635" t="s">
        <v>4665</v>
      </c>
      <c r="B635" t="s">
        <v>5381</v>
      </c>
      <c r="C635" t="s">
        <v>3341</v>
      </c>
      <c r="D635" t="e" cm="1">
        <f t="array" ref="D635">TRANSPOSE(_xlfn._xlws.FILTER('Controllable Asset Registry'!#REF!,IFERROR('Controllable Asset Registry'!#REF!=A635,FALSE),"No Equipment in entity"))</f>
        <v>#REF!</v>
      </c>
    </row>
    <row r="636" spans="1:4" x14ac:dyDescent="0.3">
      <c r="A636" t="s">
        <v>3887</v>
      </c>
      <c r="B636" t="s">
        <v>5382</v>
      </c>
      <c r="C636" t="s">
        <v>4505</v>
      </c>
      <c r="D636" t="e" cm="1">
        <f t="array" ref="D636">TRANSPOSE(_xlfn._xlws.FILTER('Controllable Asset Registry'!#REF!,IFERROR('Controllable Asset Registry'!#REF!=A636,FALSE),"No Equipment in entity"))</f>
        <v>#REF!</v>
      </c>
    </row>
    <row r="637" spans="1:4" x14ac:dyDescent="0.3">
      <c r="A637" t="s">
        <v>4666</v>
      </c>
      <c r="B637" t="s">
        <v>5383</v>
      </c>
      <c r="C637" t="s">
        <v>4667</v>
      </c>
      <c r="D637" t="e" cm="1">
        <f t="array" ref="D637">TRANSPOSE(_xlfn._xlws.FILTER('Controllable Asset Registry'!#REF!,IFERROR('Controllable Asset Registry'!#REF!=A637,FALSE),"No Equipment in entity"))</f>
        <v>#REF!</v>
      </c>
    </row>
    <row r="638" spans="1:4" x14ac:dyDescent="0.3">
      <c r="A638" t="s">
        <v>3915</v>
      </c>
      <c r="B638" t="s">
        <v>5384</v>
      </c>
      <c r="C638" t="s">
        <v>4546</v>
      </c>
      <c r="D638" t="e" cm="1">
        <f t="array" ref="D638">TRANSPOSE(_xlfn._xlws.FILTER('Controllable Asset Registry'!#REF!,IFERROR('Controllable Asset Registry'!#REF!=A638,FALSE),"No Equipment in entity"))</f>
        <v>#REF!</v>
      </c>
    </row>
    <row r="639" spans="1:4" x14ac:dyDescent="0.3">
      <c r="A639" t="s">
        <v>3583</v>
      </c>
      <c r="B639" t="s">
        <v>5385</v>
      </c>
      <c r="C639" t="s">
        <v>4667</v>
      </c>
      <c r="D639" t="e" cm="1">
        <f t="array" ref="D639">TRANSPOSE(_xlfn._xlws.FILTER('Controllable Asset Registry'!#REF!,IFERROR('Controllable Asset Registry'!#REF!=A639,FALSE),"No Equipment in entity"))</f>
        <v>#REF!</v>
      </c>
    </row>
    <row r="640" spans="1:4" x14ac:dyDescent="0.3">
      <c r="A640" t="s">
        <v>5831</v>
      </c>
      <c r="B640" t="s">
        <v>5832</v>
      </c>
      <c r="C640" t="s">
        <v>4365</v>
      </c>
      <c r="D640" t="e" cm="1">
        <f t="array" ref="D640">TRANSPOSE(_xlfn._xlws.FILTER('Controllable Asset Registry'!#REF!,IFERROR('Controllable Asset Registry'!#REF!=A640,FALSE),"No Equipment in entity"))</f>
        <v>#REF!</v>
      </c>
    </row>
    <row r="641" spans="1:4" x14ac:dyDescent="0.3">
      <c r="A641" t="s">
        <v>5833</v>
      </c>
      <c r="B641" t="s">
        <v>5834</v>
      </c>
      <c r="C641" t="s">
        <v>4368</v>
      </c>
      <c r="D641" t="e" cm="1">
        <f t="array" ref="D641">TRANSPOSE(_xlfn._xlws.FILTER('Controllable Asset Registry'!#REF!,IFERROR('Controllable Asset Registry'!#REF!=A641,FALSE),"No Equipment in entity"))</f>
        <v>#REF!</v>
      </c>
    </row>
    <row r="642" spans="1:4" x14ac:dyDescent="0.3">
      <c r="A642" t="s">
        <v>5835</v>
      </c>
      <c r="B642" t="s">
        <v>5836</v>
      </c>
      <c r="C642" t="s">
        <v>4371</v>
      </c>
      <c r="D642" t="e" cm="1">
        <f t="array" ref="D642">TRANSPOSE(_xlfn._xlws.FILTER('Controllable Asset Registry'!#REF!,IFERROR('Controllable Asset Registry'!#REF!=A642,FALSE),"No Equipment in entity"))</f>
        <v>#REF!</v>
      </c>
    </row>
    <row r="643" spans="1:4" x14ac:dyDescent="0.3">
      <c r="A643" t="s">
        <v>5837</v>
      </c>
      <c r="B643" t="s">
        <v>5838</v>
      </c>
      <c r="C643" t="s">
        <v>4235</v>
      </c>
      <c r="D643" t="e" cm="1">
        <f t="array" ref="D643">TRANSPOSE(_xlfn._xlws.FILTER('Controllable Asset Registry'!#REF!,IFERROR('Controllable Asset Registry'!#REF!=A643,FALSE),"No Equipment in entity"))</f>
        <v>#REF!</v>
      </c>
    </row>
    <row r="644" spans="1:4" x14ac:dyDescent="0.3">
      <c r="A644" t="s">
        <v>5839</v>
      </c>
      <c r="B644" t="s">
        <v>5840</v>
      </c>
      <c r="C644" t="s">
        <v>4238</v>
      </c>
      <c r="D644" t="e" cm="1">
        <f t="array" ref="D644">TRANSPOSE(_xlfn._xlws.FILTER('Controllable Asset Registry'!#REF!,IFERROR('Controllable Asset Registry'!#REF!=A644,FALSE),"No Equipment in entity"))</f>
        <v>#REF!</v>
      </c>
    </row>
    <row r="645" spans="1:4" x14ac:dyDescent="0.3">
      <c r="A645" t="s">
        <v>5841</v>
      </c>
      <c r="B645" t="s">
        <v>5842</v>
      </c>
      <c r="C645" t="s">
        <v>4241</v>
      </c>
      <c r="D645" t="e" cm="1">
        <f t="array" ref="D645">TRANSPOSE(_xlfn._xlws.FILTER('Controllable Asset Registry'!#REF!,IFERROR('Controllable Asset Registry'!#REF!=A645,FALSE),"No Equipment in entity"))</f>
        <v>#REF!</v>
      </c>
    </row>
    <row r="646" spans="1:4" x14ac:dyDescent="0.3">
      <c r="A646" t="s">
        <v>5843</v>
      </c>
      <c r="B646" t="s">
        <v>5844</v>
      </c>
      <c r="C646" t="s">
        <v>4380</v>
      </c>
      <c r="D646" t="e" cm="1">
        <f t="array" ref="D646">TRANSPOSE(_xlfn._xlws.FILTER('Controllable Asset Registry'!#REF!,IFERROR('Controllable Asset Registry'!#REF!=A646,FALSE),"No Equipment in entity"))</f>
        <v>#REF!</v>
      </c>
    </row>
    <row r="647" spans="1:4" x14ac:dyDescent="0.3">
      <c r="A647" t="s">
        <v>5845</v>
      </c>
      <c r="B647" t="s">
        <v>5846</v>
      </c>
      <c r="C647" t="s">
        <v>4246</v>
      </c>
      <c r="D647" t="e" cm="1">
        <f t="array" ref="D647">TRANSPOSE(_xlfn._xlws.FILTER('Controllable Asset Registry'!#REF!,IFERROR('Controllable Asset Registry'!#REF!=A647,FALSE),"No Equipment in entity"))</f>
        <v>#REF!</v>
      </c>
    </row>
    <row r="648" spans="1:4" x14ac:dyDescent="0.3">
      <c r="A648" t="s">
        <v>5847</v>
      </c>
      <c r="B648" t="s">
        <v>5848</v>
      </c>
      <c r="C648" t="s">
        <v>4248</v>
      </c>
      <c r="D648" t="e" cm="1">
        <f t="array" ref="D648">TRANSPOSE(_xlfn._xlws.FILTER('Controllable Asset Registry'!#REF!,IFERROR('Controllable Asset Registry'!#REF!=A648,FALSE),"No Equipment in entity"))</f>
        <v>#REF!</v>
      </c>
    </row>
    <row r="649" spans="1:4" x14ac:dyDescent="0.3">
      <c r="A649" t="s">
        <v>5849</v>
      </c>
      <c r="B649" t="s">
        <v>5850</v>
      </c>
      <c r="C649" t="s">
        <v>4387</v>
      </c>
      <c r="D649" t="e" cm="1">
        <f t="array" ref="D649">TRANSPOSE(_xlfn._xlws.FILTER('Controllable Asset Registry'!#REF!,IFERROR('Controllable Asset Registry'!#REF!=A649,FALSE),"No Equipment in entity"))</f>
        <v>#REF!</v>
      </c>
    </row>
    <row r="650" spans="1:4" x14ac:dyDescent="0.3">
      <c r="A650" t="s">
        <v>5851</v>
      </c>
      <c r="B650" t="s">
        <v>5852</v>
      </c>
      <c r="C650" t="s">
        <v>4251</v>
      </c>
      <c r="D650" t="e" cm="1">
        <f t="array" ref="D650">TRANSPOSE(_xlfn._xlws.FILTER('Controllable Asset Registry'!#REF!,IFERROR('Controllable Asset Registry'!#REF!=A650,FALSE),"No Equipment in entity"))</f>
        <v>#REF!</v>
      </c>
    </row>
    <row r="651" spans="1:4" x14ac:dyDescent="0.3">
      <c r="A651" t="s">
        <v>3937</v>
      </c>
      <c r="B651" t="s">
        <v>5386</v>
      </c>
      <c r="C651" t="s">
        <v>4668</v>
      </c>
      <c r="D651" t="e" cm="1">
        <f t="array" ref="D651">TRANSPOSE(_xlfn._xlws.FILTER('Controllable Asset Registry'!#REF!,IFERROR('Controllable Asset Registry'!#REF!=A651,FALSE),"No Equipment in entity"))</f>
        <v>#REF!</v>
      </c>
    </row>
    <row r="652" spans="1:4" x14ac:dyDescent="0.3">
      <c r="A652" t="s">
        <v>3938</v>
      </c>
      <c r="B652" t="s">
        <v>5387</v>
      </c>
      <c r="C652" t="s">
        <v>4669</v>
      </c>
      <c r="D652" t="e" cm="1">
        <f t="array" ref="D652">TRANSPOSE(_xlfn._xlws.FILTER('Controllable Asset Registry'!#REF!,IFERROR('Controllable Asset Registry'!#REF!=A652,FALSE),"No Equipment in entity"))</f>
        <v>#REF!</v>
      </c>
    </row>
    <row r="653" spans="1:4" x14ac:dyDescent="0.3">
      <c r="A653" t="s">
        <v>3939</v>
      </c>
      <c r="B653" t="s">
        <v>5388</v>
      </c>
      <c r="C653" t="s">
        <v>4668</v>
      </c>
      <c r="D653" t="e" cm="1">
        <f t="array" ref="D653">TRANSPOSE(_xlfn._xlws.FILTER('Controllable Asset Registry'!#REF!,IFERROR('Controllable Asset Registry'!#REF!=A653,FALSE),"No Equipment in entity"))</f>
        <v>#REF!</v>
      </c>
    </row>
    <row r="654" spans="1:4" x14ac:dyDescent="0.3">
      <c r="A654" t="s">
        <v>3940</v>
      </c>
      <c r="B654" t="s">
        <v>5389</v>
      </c>
      <c r="C654" t="s">
        <v>4668</v>
      </c>
      <c r="D654" t="e" cm="1">
        <f t="array" ref="D654">TRANSPOSE(_xlfn._xlws.FILTER('Controllable Asset Registry'!#REF!,IFERROR('Controllable Asset Registry'!#REF!=A654,FALSE),"No Equipment in entity"))</f>
        <v>#REF!</v>
      </c>
    </row>
    <row r="655" spans="1:4" x14ac:dyDescent="0.3">
      <c r="A655" t="s">
        <v>3941</v>
      </c>
      <c r="B655" t="s">
        <v>5390</v>
      </c>
      <c r="C655" t="s">
        <v>4668</v>
      </c>
      <c r="D655" t="e" cm="1">
        <f t="array" ref="D655">TRANSPOSE(_xlfn._xlws.FILTER('Controllable Asset Registry'!#REF!,IFERROR('Controllable Asset Registry'!#REF!=A655,FALSE),"No Equipment in entity"))</f>
        <v>#REF!</v>
      </c>
    </row>
    <row r="656" spans="1:4" x14ac:dyDescent="0.3">
      <c r="A656" t="s">
        <v>3942</v>
      </c>
      <c r="B656" t="s">
        <v>5391</v>
      </c>
      <c r="C656" t="s">
        <v>4668</v>
      </c>
      <c r="D656" t="e" cm="1">
        <f t="array" ref="D656">TRANSPOSE(_xlfn._xlws.FILTER('Controllable Asset Registry'!#REF!,IFERROR('Controllable Asset Registry'!#REF!=A656,FALSE),"No Equipment in entity"))</f>
        <v>#REF!</v>
      </c>
    </row>
    <row r="657" spans="1:4" x14ac:dyDescent="0.3">
      <c r="A657" t="s">
        <v>3943</v>
      </c>
      <c r="B657" t="s">
        <v>5392</v>
      </c>
      <c r="C657" t="s">
        <v>4670</v>
      </c>
      <c r="D657" t="e" cm="1">
        <f t="array" ref="D657">TRANSPOSE(_xlfn._xlws.FILTER('Controllable Asset Registry'!#REF!,IFERROR('Controllable Asset Registry'!#REF!=A657,FALSE),"No Equipment in entity"))</f>
        <v>#REF!</v>
      </c>
    </row>
    <row r="658" spans="1:4" x14ac:dyDescent="0.3">
      <c r="A658" t="s">
        <v>3944</v>
      </c>
      <c r="B658" t="s">
        <v>5393</v>
      </c>
      <c r="C658" t="s">
        <v>4670</v>
      </c>
      <c r="D658" t="e" cm="1">
        <f t="array" ref="D658">TRANSPOSE(_xlfn._xlws.FILTER('Controllable Asset Registry'!#REF!,IFERROR('Controllable Asset Registry'!#REF!=A658,FALSE),"No Equipment in entity"))</f>
        <v>#REF!</v>
      </c>
    </row>
    <row r="659" spans="1:4" x14ac:dyDescent="0.3">
      <c r="A659" t="s">
        <v>3945</v>
      </c>
      <c r="B659" t="s">
        <v>5394</v>
      </c>
      <c r="C659" t="s">
        <v>4670</v>
      </c>
      <c r="D659" t="e" cm="1">
        <f t="array" ref="D659">TRANSPOSE(_xlfn._xlws.FILTER('Controllable Asset Registry'!#REF!,IFERROR('Controllable Asset Registry'!#REF!=A659,FALSE),"No Equipment in entity"))</f>
        <v>#REF!</v>
      </c>
    </row>
    <row r="660" spans="1:4" x14ac:dyDescent="0.3">
      <c r="A660" t="s">
        <v>3946</v>
      </c>
      <c r="B660" t="s">
        <v>5395</v>
      </c>
      <c r="C660" t="s">
        <v>4670</v>
      </c>
      <c r="D660" t="e" cm="1">
        <f t="array" ref="D660">TRANSPOSE(_xlfn._xlws.FILTER('Controllable Asset Registry'!#REF!,IFERROR('Controllable Asset Registry'!#REF!=A660,FALSE),"No Equipment in entity"))</f>
        <v>#REF!</v>
      </c>
    </row>
    <row r="661" spans="1:4" x14ac:dyDescent="0.3">
      <c r="A661" t="s">
        <v>3947</v>
      </c>
      <c r="B661" t="s">
        <v>5396</v>
      </c>
      <c r="C661" t="s">
        <v>4670</v>
      </c>
      <c r="D661" t="e" cm="1">
        <f t="array" ref="D661">TRANSPOSE(_xlfn._xlws.FILTER('Controllable Asset Registry'!#REF!,IFERROR('Controllable Asset Registry'!#REF!=A661,FALSE),"No Equipment in entity"))</f>
        <v>#REF!</v>
      </c>
    </row>
    <row r="662" spans="1:4" x14ac:dyDescent="0.3">
      <c r="A662" t="s">
        <v>3948</v>
      </c>
      <c r="B662" t="s">
        <v>5397</v>
      </c>
      <c r="C662" t="s">
        <v>4670</v>
      </c>
      <c r="D662" t="e" cm="1">
        <f t="array" ref="D662">TRANSPOSE(_xlfn._xlws.FILTER('Controllable Asset Registry'!#REF!,IFERROR('Controllable Asset Registry'!#REF!=A662,FALSE),"No Equipment in entity"))</f>
        <v>#REF!</v>
      </c>
    </row>
    <row r="663" spans="1:4" x14ac:dyDescent="0.3">
      <c r="A663" t="s">
        <v>3949</v>
      </c>
      <c r="B663" t="s">
        <v>5398</v>
      </c>
      <c r="C663" t="s">
        <v>4670</v>
      </c>
      <c r="D663" t="e" cm="1">
        <f t="array" ref="D663">TRANSPOSE(_xlfn._xlws.FILTER('Controllable Asset Registry'!#REF!,IFERROR('Controllable Asset Registry'!#REF!=A663,FALSE),"No Equipment in entity"))</f>
        <v>#REF!</v>
      </c>
    </row>
    <row r="664" spans="1:4" x14ac:dyDescent="0.3">
      <c r="A664" t="s">
        <v>3950</v>
      </c>
      <c r="B664" t="s">
        <v>5399</v>
      </c>
      <c r="C664" t="s">
        <v>4670</v>
      </c>
      <c r="D664" t="e" cm="1">
        <f t="array" ref="D664">TRANSPOSE(_xlfn._xlws.FILTER('Controllable Asset Registry'!#REF!,IFERROR('Controllable Asset Registry'!#REF!=A664,FALSE),"No Equipment in entity"))</f>
        <v>#REF!</v>
      </c>
    </row>
    <row r="665" spans="1:4" x14ac:dyDescent="0.3">
      <c r="A665" t="s">
        <v>3951</v>
      </c>
      <c r="B665" t="s">
        <v>5400</v>
      </c>
      <c r="C665" t="s">
        <v>4670</v>
      </c>
      <c r="D665" t="e" cm="1">
        <f t="array" ref="D665">TRANSPOSE(_xlfn._xlws.FILTER('Controllable Asset Registry'!#REF!,IFERROR('Controllable Asset Registry'!#REF!=A665,FALSE),"No Equipment in entity"))</f>
        <v>#REF!</v>
      </c>
    </row>
    <row r="666" spans="1:4" x14ac:dyDescent="0.3">
      <c r="A666" t="s">
        <v>3952</v>
      </c>
      <c r="B666" t="s">
        <v>5401</v>
      </c>
      <c r="C666" t="s">
        <v>4670</v>
      </c>
      <c r="D666" t="e" cm="1">
        <f t="array" ref="D666">TRANSPOSE(_xlfn._xlws.FILTER('Controllable Asset Registry'!#REF!,IFERROR('Controllable Asset Registry'!#REF!=A666,FALSE),"No Equipment in entity"))</f>
        <v>#REF!</v>
      </c>
    </row>
    <row r="667" spans="1:4" x14ac:dyDescent="0.3">
      <c r="A667" t="s">
        <v>3916</v>
      </c>
      <c r="B667" t="s">
        <v>5402</v>
      </c>
      <c r="C667" t="s">
        <v>4671</v>
      </c>
      <c r="D667" t="e" cm="1">
        <f t="array" ref="D667">TRANSPOSE(_xlfn._xlws.FILTER('Controllable Asset Registry'!#REF!,IFERROR('Controllable Asset Registry'!#REF!=A667,FALSE),"No Equipment in entity"))</f>
        <v>#REF!</v>
      </c>
    </row>
    <row r="668" spans="1:4" x14ac:dyDescent="0.3">
      <c r="A668" t="s">
        <v>3917</v>
      </c>
      <c r="B668" t="s">
        <v>5403</v>
      </c>
      <c r="C668" t="s">
        <v>4672</v>
      </c>
      <c r="D668" t="e" cm="1">
        <f t="array" ref="D668">TRANSPOSE(_xlfn._xlws.FILTER('Controllable Asset Registry'!#REF!,IFERROR('Controllable Asset Registry'!#REF!=A668,FALSE),"No Equipment in entity"))</f>
        <v>#REF!</v>
      </c>
    </row>
    <row r="669" spans="1:4" x14ac:dyDescent="0.3">
      <c r="A669" t="s">
        <v>3918</v>
      </c>
      <c r="B669" t="s">
        <v>5404</v>
      </c>
      <c r="C669" t="s">
        <v>4673</v>
      </c>
      <c r="D669" t="e" cm="1">
        <f t="array" ref="D669">TRANSPOSE(_xlfn._xlws.FILTER('Controllable Asset Registry'!#REF!,IFERROR('Controllable Asset Registry'!#REF!=A669,FALSE),"No Equipment in entity"))</f>
        <v>#REF!</v>
      </c>
    </row>
    <row r="670" spans="1:4" x14ac:dyDescent="0.3">
      <c r="A670" t="s">
        <v>3919</v>
      </c>
      <c r="B670" t="s">
        <v>5405</v>
      </c>
      <c r="C670" t="s">
        <v>4674</v>
      </c>
      <c r="D670" t="e" cm="1">
        <f t="array" ref="D670">TRANSPOSE(_xlfn._xlws.FILTER('Controllable Asset Registry'!#REF!,IFERROR('Controllable Asset Registry'!#REF!=A670,FALSE),"No Equipment in entity"))</f>
        <v>#REF!</v>
      </c>
    </row>
    <row r="671" spans="1:4" x14ac:dyDescent="0.3">
      <c r="A671" t="s">
        <v>3920</v>
      </c>
      <c r="B671" t="s">
        <v>5406</v>
      </c>
      <c r="C671" t="s">
        <v>4674</v>
      </c>
      <c r="D671" t="e" cm="1">
        <f t="array" ref="D671">TRANSPOSE(_xlfn._xlws.FILTER('Controllable Asset Registry'!#REF!,IFERROR('Controllable Asset Registry'!#REF!=A671,FALSE),"No Equipment in entity"))</f>
        <v>#REF!</v>
      </c>
    </row>
    <row r="672" spans="1:4" x14ac:dyDescent="0.3">
      <c r="A672" t="s">
        <v>3921</v>
      </c>
      <c r="B672" t="s">
        <v>5407</v>
      </c>
      <c r="C672" t="s">
        <v>4674</v>
      </c>
      <c r="D672" t="e" cm="1">
        <f t="array" ref="D672">TRANSPOSE(_xlfn._xlws.FILTER('Controllable Asset Registry'!#REF!,IFERROR('Controllable Asset Registry'!#REF!=A672,FALSE),"No Equipment in entity"))</f>
        <v>#REF!</v>
      </c>
    </row>
    <row r="673" spans="1:4" x14ac:dyDescent="0.3">
      <c r="A673" t="s">
        <v>3922</v>
      </c>
      <c r="B673" t="s">
        <v>5408</v>
      </c>
      <c r="C673" t="s">
        <v>4674</v>
      </c>
      <c r="D673" t="e" cm="1">
        <f t="array" ref="D673">TRANSPOSE(_xlfn._xlws.FILTER('Controllable Asset Registry'!#REF!,IFERROR('Controllable Asset Registry'!#REF!=A673,FALSE),"No Equipment in entity"))</f>
        <v>#REF!</v>
      </c>
    </row>
    <row r="674" spans="1:4" x14ac:dyDescent="0.3">
      <c r="A674" t="s">
        <v>3923</v>
      </c>
      <c r="B674" t="s">
        <v>5409</v>
      </c>
      <c r="C674" t="s">
        <v>4674</v>
      </c>
      <c r="D674" t="e" cm="1">
        <f t="array" ref="D674">TRANSPOSE(_xlfn._xlws.FILTER('Controllable Asset Registry'!#REF!,IFERROR('Controllable Asset Registry'!#REF!=A674,FALSE),"No Equipment in entity"))</f>
        <v>#REF!</v>
      </c>
    </row>
    <row r="675" spans="1:4" x14ac:dyDescent="0.3">
      <c r="A675" t="s">
        <v>3924</v>
      </c>
      <c r="B675" t="s">
        <v>5410</v>
      </c>
      <c r="C675" t="s">
        <v>4674</v>
      </c>
      <c r="D675" t="e" cm="1">
        <f t="array" ref="D675">TRANSPOSE(_xlfn._xlws.FILTER('Controllable Asset Registry'!#REF!,IFERROR('Controllable Asset Registry'!#REF!=A675,FALSE),"No Equipment in entity"))</f>
        <v>#REF!</v>
      </c>
    </row>
    <row r="676" spans="1:4" x14ac:dyDescent="0.3">
      <c r="A676" t="s">
        <v>3925</v>
      </c>
      <c r="B676" t="s">
        <v>5411</v>
      </c>
      <c r="C676" t="s">
        <v>4674</v>
      </c>
      <c r="D676" t="e" cm="1">
        <f t="array" ref="D676">TRANSPOSE(_xlfn._xlws.FILTER('Controllable Asset Registry'!#REF!,IFERROR('Controllable Asset Registry'!#REF!=A676,FALSE),"No Equipment in entity"))</f>
        <v>#REF!</v>
      </c>
    </row>
    <row r="677" spans="1:4" x14ac:dyDescent="0.3">
      <c r="A677" t="s">
        <v>3926</v>
      </c>
      <c r="B677" t="s">
        <v>5412</v>
      </c>
      <c r="C677" t="s">
        <v>4674</v>
      </c>
      <c r="D677" t="e" cm="1">
        <f t="array" ref="D677">TRANSPOSE(_xlfn._xlws.FILTER('Controllable Asset Registry'!#REF!,IFERROR('Controllable Asset Registry'!#REF!=A677,FALSE),"No Equipment in entity"))</f>
        <v>#REF!</v>
      </c>
    </row>
    <row r="678" spans="1:4" x14ac:dyDescent="0.3">
      <c r="A678" t="s">
        <v>3927</v>
      </c>
      <c r="B678" t="s">
        <v>5413</v>
      </c>
      <c r="C678" t="s">
        <v>4674</v>
      </c>
      <c r="D678" t="e" cm="1">
        <f t="array" ref="D678">TRANSPOSE(_xlfn._xlws.FILTER('Controllable Asset Registry'!#REF!,IFERROR('Controllable Asset Registry'!#REF!=A678,FALSE),"No Equipment in entity"))</f>
        <v>#REF!</v>
      </c>
    </row>
    <row r="679" spans="1:4" x14ac:dyDescent="0.3">
      <c r="A679" t="s">
        <v>3928</v>
      </c>
      <c r="B679" t="s">
        <v>5414</v>
      </c>
      <c r="C679" t="s">
        <v>4513</v>
      </c>
      <c r="D679" t="e" cm="1">
        <f t="array" ref="D679">TRANSPOSE(_xlfn._xlws.FILTER('Controllable Asset Registry'!#REF!,IFERROR('Controllable Asset Registry'!#REF!=A679,FALSE),"No Equipment in entity"))</f>
        <v>#REF!</v>
      </c>
    </row>
    <row r="680" spans="1:4" x14ac:dyDescent="0.3">
      <c r="A680" t="s">
        <v>3929</v>
      </c>
      <c r="B680" t="s">
        <v>5415</v>
      </c>
      <c r="C680" t="s">
        <v>4439</v>
      </c>
      <c r="D680" t="e" cm="1">
        <f t="array" ref="D680">TRANSPOSE(_xlfn._xlws.FILTER('Controllable Asset Registry'!#REF!,IFERROR('Controllable Asset Registry'!#REF!=A680,FALSE),"No Equipment in entity"))</f>
        <v>#REF!</v>
      </c>
    </row>
    <row r="681" spans="1:4" x14ac:dyDescent="0.3">
      <c r="A681" t="s">
        <v>3932</v>
      </c>
      <c r="B681" t="s">
        <v>5416</v>
      </c>
      <c r="C681" t="s">
        <v>4439</v>
      </c>
      <c r="D681" t="e" cm="1">
        <f t="array" ref="D681">TRANSPOSE(_xlfn._xlws.FILTER('Controllable Asset Registry'!#REF!,IFERROR('Controllable Asset Registry'!#REF!=A681,FALSE),"No Equipment in entity"))</f>
        <v>#REF!</v>
      </c>
    </row>
    <row r="682" spans="1:4" x14ac:dyDescent="0.3">
      <c r="A682" t="s">
        <v>3591</v>
      </c>
      <c r="B682" t="s">
        <v>5417</v>
      </c>
      <c r="C682" t="s">
        <v>4408</v>
      </c>
      <c r="D682" t="e" cm="1">
        <f t="array" ref="D682">TRANSPOSE(_xlfn._xlws.FILTER('Controllable Asset Registry'!#REF!,IFERROR('Controllable Asset Registry'!#REF!=A682,FALSE),"No Equipment in entity"))</f>
        <v>#REF!</v>
      </c>
    </row>
    <row r="683" spans="1:4" x14ac:dyDescent="0.3">
      <c r="A683" t="s">
        <v>3936</v>
      </c>
      <c r="B683" t="s">
        <v>5418</v>
      </c>
      <c r="C683" t="s">
        <v>4672</v>
      </c>
      <c r="D683" t="e" cm="1">
        <f t="array" ref="D683">TRANSPOSE(_xlfn._xlws.FILTER('Controllable Asset Registry'!#REF!,IFERROR('Controllable Asset Registry'!#REF!=A683,FALSE),"No Equipment in entity"))</f>
        <v>#REF!</v>
      </c>
    </row>
    <row r="684" spans="1:4" x14ac:dyDescent="0.3">
      <c r="A684" t="s">
        <v>3935</v>
      </c>
      <c r="B684" t="s">
        <v>5419</v>
      </c>
      <c r="C684" t="s">
        <v>4672</v>
      </c>
      <c r="D684" t="e" cm="1">
        <f t="array" ref="D684">TRANSPOSE(_xlfn._xlws.FILTER('Controllable Asset Registry'!#REF!,IFERROR('Controllable Asset Registry'!#REF!=A684,FALSE),"No Equipment in entity"))</f>
        <v>#REF!</v>
      </c>
    </row>
    <row r="685" spans="1:4" x14ac:dyDescent="0.3">
      <c r="A685" t="s">
        <v>3592</v>
      </c>
      <c r="B685" t="s">
        <v>5420</v>
      </c>
      <c r="C685" t="s">
        <v>4408</v>
      </c>
      <c r="D685" t="e" cm="1">
        <f t="array" ref="D685">TRANSPOSE(_xlfn._xlws.FILTER('Controllable Asset Registry'!#REF!,IFERROR('Controllable Asset Registry'!#REF!=A685,FALSE),"No Equipment in entity"))</f>
        <v>#REF!</v>
      </c>
    </row>
    <row r="686" spans="1:4" x14ac:dyDescent="0.3">
      <c r="A686" t="s">
        <v>3934</v>
      </c>
      <c r="B686" t="s">
        <v>5421</v>
      </c>
      <c r="C686" t="s">
        <v>4672</v>
      </c>
      <c r="D686" t="e" cm="1">
        <f t="array" ref="D686">TRANSPOSE(_xlfn._xlws.FILTER('Controllable Asset Registry'!#REF!,IFERROR('Controllable Asset Registry'!#REF!=A686,FALSE),"No Equipment in entity"))</f>
        <v>#REF!</v>
      </c>
    </row>
    <row r="687" spans="1:4" x14ac:dyDescent="0.3">
      <c r="A687" t="s">
        <v>3933</v>
      </c>
      <c r="B687" t="s">
        <v>5422</v>
      </c>
      <c r="C687" t="s">
        <v>3475</v>
      </c>
      <c r="D687" t="e" cm="1">
        <f t="array" ref="D687">TRANSPOSE(_xlfn._xlws.FILTER('Controllable Asset Registry'!#REF!,IFERROR('Controllable Asset Registry'!#REF!=A687,FALSE),"No Equipment in entity"))</f>
        <v>#REF!</v>
      </c>
    </row>
    <row r="688" spans="1:4" x14ac:dyDescent="0.3">
      <c r="A688" t="s">
        <v>4675</v>
      </c>
      <c r="B688" t="s">
        <v>5423</v>
      </c>
      <c r="C688" t="s">
        <v>4279</v>
      </c>
      <c r="D688" t="e" cm="1">
        <f t="array" ref="D688">TRANSPOSE(_xlfn._xlws.FILTER('Controllable Asset Registry'!#REF!,IFERROR('Controllable Asset Registry'!#REF!=A688,FALSE),"No Equipment in entity"))</f>
        <v>#REF!</v>
      </c>
    </row>
    <row r="689" spans="1:4" x14ac:dyDescent="0.3">
      <c r="A689" t="s">
        <v>4676</v>
      </c>
      <c r="B689" t="s">
        <v>5424</v>
      </c>
      <c r="C689" t="s">
        <v>4437</v>
      </c>
      <c r="D689" t="e" cm="1">
        <f t="array" ref="D689">TRANSPOSE(_xlfn._xlws.FILTER('Controllable Asset Registry'!#REF!,IFERROR('Controllable Asset Registry'!#REF!=A689,FALSE),"No Equipment in entity"))</f>
        <v>#REF!</v>
      </c>
    </row>
    <row r="690" spans="1:4" x14ac:dyDescent="0.3">
      <c r="A690" t="s">
        <v>4677</v>
      </c>
      <c r="B690" t="s">
        <v>5425</v>
      </c>
      <c r="C690" t="s">
        <v>4186</v>
      </c>
      <c r="D690" t="e" cm="1">
        <f t="array" ref="D690">TRANSPOSE(_xlfn._xlws.FILTER('Controllable Asset Registry'!#REF!,IFERROR('Controllable Asset Registry'!#REF!=A690,FALSE),"No Equipment in entity"))</f>
        <v>#REF!</v>
      </c>
    </row>
    <row r="691" spans="1:4" x14ac:dyDescent="0.3">
      <c r="A691" t="s">
        <v>4678</v>
      </c>
      <c r="B691" t="s">
        <v>5426</v>
      </c>
      <c r="C691" t="s">
        <v>3341</v>
      </c>
      <c r="D691" t="e" cm="1">
        <f t="array" ref="D691">TRANSPOSE(_xlfn._xlws.FILTER('Controllable Asset Registry'!#REF!,IFERROR('Controllable Asset Registry'!#REF!=A691,FALSE),"No Equipment in entity"))</f>
        <v>#REF!</v>
      </c>
    </row>
    <row r="692" spans="1:4" x14ac:dyDescent="0.3">
      <c r="A692" t="s">
        <v>3953</v>
      </c>
      <c r="B692" t="s">
        <v>5427</v>
      </c>
      <c r="C692" t="s">
        <v>4679</v>
      </c>
      <c r="D692" t="e" cm="1">
        <f t="array" ref="D692">TRANSPOSE(_xlfn._xlws.FILTER('Controllable Asset Registry'!#REF!,IFERROR('Controllable Asset Registry'!#REF!=A692,FALSE),"No Equipment in entity"))</f>
        <v>#REF!</v>
      </c>
    </row>
    <row r="693" spans="1:4" x14ac:dyDescent="0.3">
      <c r="A693" t="s">
        <v>3954</v>
      </c>
      <c r="B693" t="s">
        <v>5428</v>
      </c>
      <c r="C693" t="s">
        <v>4680</v>
      </c>
      <c r="D693" t="e" cm="1">
        <f t="array" ref="D693">TRANSPOSE(_xlfn._xlws.FILTER('Controllable Asset Registry'!#REF!,IFERROR('Controllable Asset Registry'!#REF!=A693,FALSE),"No Equipment in entity"))</f>
        <v>#REF!</v>
      </c>
    </row>
    <row r="694" spans="1:4" x14ac:dyDescent="0.3">
      <c r="A694" t="s">
        <v>4681</v>
      </c>
      <c r="B694" t="s">
        <v>5429</v>
      </c>
      <c r="C694" t="s">
        <v>4279</v>
      </c>
      <c r="D694" t="e" cm="1">
        <f t="array" ref="D694">TRANSPOSE(_xlfn._xlws.FILTER('Controllable Asset Registry'!#REF!,IFERROR('Controllable Asset Registry'!#REF!=A694,FALSE),"No Equipment in entity"))</f>
        <v>#REF!</v>
      </c>
    </row>
    <row r="695" spans="1:4" x14ac:dyDescent="0.3">
      <c r="A695" t="s">
        <v>3955</v>
      </c>
      <c r="B695" t="s">
        <v>5430</v>
      </c>
      <c r="C695" t="s">
        <v>4680</v>
      </c>
      <c r="D695" t="e" cm="1">
        <f t="array" ref="D695">TRANSPOSE(_xlfn._xlws.FILTER('Controllable Asset Registry'!#REF!,IFERROR('Controllable Asset Registry'!#REF!=A695,FALSE),"No Equipment in entity"))</f>
        <v>#REF!</v>
      </c>
    </row>
    <row r="696" spans="1:4" x14ac:dyDescent="0.3">
      <c r="A696" t="s">
        <v>3956</v>
      </c>
      <c r="B696" t="s">
        <v>5431</v>
      </c>
      <c r="C696" t="s">
        <v>4680</v>
      </c>
      <c r="D696" t="e" cm="1">
        <f t="array" ref="D696">TRANSPOSE(_xlfn._xlws.FILTER('Controllable Asset Registry'!#REF!,IFERROR('Controllable Asset Registry'!#REF!=A696,FALSE),"No Equipment in entity"))</f>
        <v>#REF!</v>
      </c>
    </row>
    <row r="697" spans="1:4" x14ac:dyDescent="0.3">
      <c r="A697" t="s">
        <v>4682</v>
      </c>
      <c r="B697" t="s">
        <v>5432</v>
      </c>
      <c r="C697" t="s">
        <v>4680</v>
      </c>
      <c r="D697" t="e" cm="1">
        <f t="array" ref="D697">TRANSPOSE(_xlfn._xlws.FILTER('Controllable Asset Registry'!#REF!,IFERROR('Controllable Asset Registry'!#REF!=A697,FALSE),"No Equipment in entity"))</f>
        <v>#REF!</v>
      </c>
    </row>
    <row r="698" spans="1:4" x14ac:dyDescent="0.3">
      <c r="A698" t="s">
        <v>4683</v>
      </c>
      <c r="B698" t="s">
        <v>5433</v>
      </c>
      <c r="C698" t="s">
        <v>4680</v>
      </c>
      <c r="D698" t="e" cm="1">
        <f t="array" ref="D698">TRANSPOSE(_xlfn._xlws.FILTER('Controllable Asset Registry'!#REF!,IFERROR('Controllable Asset Registry'!#REF!=A698,FALSE),"No Equipment in entity"))</f>
        <v>#REF!</v>
      </c>
    </row>
    <row r="699" spans="1:4" x14ac:dyDescent="0.3">
      <c r="A699" t="s">
        <v>3957</v>
      </c>
      <c r="B699" t="s">
        <v>5434</v>
      </c>
      <c r="C699" t="s">
        <v>4684</v>
      </c>
      <c r="D699" t="e" cm="1">
        <f t="array" ref="D699">TRANSPOSE(_xlfn._xlws.FILTER('Controllable Asset Registry'!#REF!,IFERROR('Controllable Asset Registry'!#REF!=A699,FALSE),"No Equipment in entity"))</f>
        <v>#REF!</v>
      </c>
    </row>
    <row r="700" spans="1:4" x14ac:dyDescent="0.3">
      <c r="A700" t="s">
        <v>3959</v>
      </c>
      <c r="B700" t="s">
        <v>5435</v>
      </c>
      <c r="C700" t="s">
        <v>4685</v>
      </c>
      <c r="D700" t="e" cm="1">
        <f t="array" ref="D700">TRANSPOSE(_xlfn._xlws.FILTER('Controllable Asset Registry'!#REF!,IFERROR('Controllable Asset Registry'!#REF!=A700,FALSE),"No Equipment in entity"))</f>
        <v>#REF!</v>
      </c>
    </row>
    <row r="701" spans="1:4" x14ac:dyDescent="0.3">
      <c r="A701" t="s">
        <v>3960</v>
      </c>
      <c r="B701" t="s">
        <v>5436</v>
      </c>
      <c r="C701" t="s">
        <v>4685</v>
      </c>
      <c r="D701" t="e" cm="1">
        <f t="array" ref="D701">TRANSPOSE(_xlfn._xlws.FILTER('Controllable Asset Registry'!#REF!,IFERROR('Controllable Asset Registry'!#REF!=A701,FALSE),"No Equipment in entity"))</f>
        <v>#REF!</v>
      </c>
    </row>
    <row r="702" spans="1:4" x14ac:dyDescent="0.3">
      <c r="A702" t="s">
        <v>3961</v>
      </c>
      <c r="B702" t="s">
        <v>5437</v>
      </c>
      <c r="C702" t="s">
        <v>4686</v>
      </c>
      <c r="D702" t="e" cm="1">
        <f t="array" ref="D702">TRANSPOSE(_xlfn._xlws.FILTER('Controllable Asset Registry'!#REF!,IFERROR('Controllable Asset Registry'!#REF!=A702,FALSE),"No Equipment in entity"))</f>
        <v>#REF!</v>
      </c>
    </row>
    <row r="703" spans="1:4" x14ac:dyDescent="0.3">
      <c r="A703" t="s">
        <v>3962</v>
      </c>
      <c r="B703" t="s">
        <v>5438</v>
      </c>
      <c r="C703" t="s">
        <v>4687</v>
      </c>
      <c r="D703" t="e" cm="1">
        <f t="array" ref="D703">TRANSPOSE(_xlfn._xlws.FILTER('Controllable Asset Registry'!#REF!,IFERROR('Controllable Asset Registry'!#REF!=A703,FALSE),"No Equipment in entity"))</f>
        <v>#REF!</v>
      </c>
    </row>
    <row r="704" spans="1:4" x14ac:dyDescent="0.3">
      <c r="A704" t="s">
        <v>3963</v>
      </c>
      <c r="B704" t="s">
        <v>5439</v>
      </c>
      <c r="C704" t="s">
        <v>4688</v>
      </c>
      <c r="D704" t="e" cm="1">
        <f t="array" ref="D704">TRANSPOSE(_xlfn._xlws.FILTER('Controllable Asset Registry'!#REF!,IFERROR('Controllable Asset Registry'!#REF!=A704,FALSE),"No Equipment in entity"))</f>
        <v>#REF!</v>
      </c>
    </row>
    <row r="705" spans="1:4" x14ac:dyDescent="0.3">
      <c r="A705" t="s">
        <v>3964</v>
      </c>
      <c r="B705" t="s">
        <v>5440</v>
      </c>
      <c r="C705" t="s">
        <v>4689</v>
      </c>
      <c r="D705" t="e" cm="1">
        <f t="array" ref="D705">TRANSPOSE(_xlfn._xlws.FILTER('Controllable Asset Registry'!#REF!,IFERROR('Controllable Asset Registry'!#REF!=A705,FALSE),"No Equipment in entity"))</f>
        <v>#REF!</v>
      </c>
    </row>
    <row r="706" spans="1:4" x14ac:dyDescent="0.3">
      <c r="A706" t="s">
        <v>3965</v>
      </c>
      <c r="B706" t="s">
        <v>5441</v>
      </c>
      <c r="C706" t="s">
        <v>4690</v>
      </c>
      <c r="D706" t="e" cm="1">
        <f t="array" ref="D706">TRANSPOSE(_xlfn._xlws.FILTER('Controllable Asset Registry'!#REF!,IFERROR('Controllable Asset Registry'!#REF!=A706,FALSE),"No Equipment in entity"))</f>
        <v>#REF!</v>
      </c>
    </row>
    <row r="707" spans="1:4" x14ac:dyDescent="0.3">
      <c r="A707" t="s">
        <v>4691</v>
      </c>
      <c r="B707" t="s">
        <v>5442</v>
      </c>
      <c r="C707" t="s">
        <v>4200</v>
      </c>
      <c r="D707" t="e" cm="1">
        <f t="array" ref="D707">TRANSPOSE(_xlfn._xlws.FILTER('Controllable Asset Registry'!#REF!,IFERROR('Controllable Asset Registry'!#REF!=A707,FALSE),"No Equipment in entity"))</f>
        <v>#REF!</v>
      </c>
    </row>
    <row r="708" spans="1:4" x14ac:dyDescent="0.3">
      <c r="A708" t="s">
        <v>4692</v>
      </c>
      <c r="B708" t="s">
        <v>5443</v>
      </c>
      <c r="C708" t="s">
        <v>4197</v>
      </c>
      <c r="D708" t="e" cm="1">
        <f t="array" ref="D708">TRANSPOSE(_xlfn._xlws.FILTER('Controllable Asset Registry'!#REF!,IFERROR('Controllable Asset Registry'!#REF!=A708,FALSE),"No Equipment in entity"))</f>
        <v>#REF!</v>
      </c>
    </row>
    <row r="709" spans="1:4" x14ac:dyDescent="0.3">
      <c r="A709" t="s">
        <v>4693</v>
      </c>
      <c r="B709" t="s">
        <v>5444</v>
      </c>
      <c r="C709" t="s">
        <v>4197</v>
      </c>
      <c r="D709" t="e" cm="1">
        <f t="array" ref="D709">TRANSPOSE(_xlfn._xlws.FILTER('Controllable Asset Registry'!#REF!,IFERROR('Controllable Asset Registry'!#REF!=A709,FALSE),"No Equipment in entity"))</f>
        <v>#REF!</v>
      </c>
    </row>
    <row r="710" spans="1:4" x14ac:dyDescent="0.3">
      <c r="A710" t="s">
        <v>4694</v>
      </c>
      <c r="B710" t="s">
        <v>5445</v>
      </c>
      <c r="C710" t="s">
        <v>4200</v>
      </c>
      <c r="D710" t="e" cm="1">
        <f t="array" ref="D710">TRANSPOSE(_xlfn._xlws.FILTER('Controllable Asset Registry'!#REF!,IFERROR('Controllable Asset Registry'!#REF!=A710,FALSE),"No Equipment in entity"))</f>
        <v>#REF!</v>
      </c>
    </row>
    <row r="711" spans="1:4" x14ac:dyDescent="0.3">
      <c r="A711" t="s">
        <v>4695</v>
      </c>
      <c r="B711" t="s">
        <v>5446</v>
      </c>
      <c r="C711" t="s">
        <v>4197</v>
      </c>
      <c r="D711" t="e" cm="1">
        <f t="array" ref="D711">TRANSPOSE(_xlfn._xlws.FILTER('Controllable Asset Registry'!#REF!,IFERROR('Controllable Asset Registry'!#REF!=A711,FALSE),"No Equipment in entity"))</f>
        <v>#REF!</v>
      </c>
    </row>
    <row r="712" spans="1:4" x14ac:dyDescent="0.3">
      <c r="A712" t="s">
        <v>4696</v>
      </c>
      <c r="B712" t="s">
        <v>5447</v>
      </c>
      <c r="C712" t="s">
        <v>4200</v>
      </c>
      <c r="D712" t="e" cm="1">
        <f t="array" ref="D712">TRANSPOSE(_xlfn._xlws.FILTER('Controllable Asset Registry'!#REF!,IFERROR('Controllable Asset Registry'!#REF!=A712,FALSE),"No Equipment in entity"))</f>
        <v>#REF!</v>
      </c>
    </row>
    <row r="713" spans="1:4" x14ac:dyDescent="0.3">
      <c r="A713" t="s">
        <v>4697</v>
      </c>
      <c r="B713" t="s">
        <v>5448</v>
      </c>
      <c r="C713" t="s">
        <v>3344</v>
      </c>
      <c r="D713" t="e" cm="1">
        <f t="array" ref="D713">TRANSPOSE(_xlfn._xlws.FILTER('Controllable Asset Registry'!#REF!,IFERROR('Controllable Asset Registry'!#REF!=A713,FALSE),"No Equipment in entity"))</f>
        <v>#REF!</v>
      </c>
    </row>
    <row r="714" spans="1:4" x14ac:dyDescent="0.3">
      <c r="A714" t="s">
        <v>4698</v>
      </c>
      <c r="B714" t="s">
        <v>5449</v>
      </c>
      <c r="C714" t="s">
        <v>3344</v>
      </c>
      <c r="D714" t="e" cm="1">
        <f t="array" ref="D714">TRANSPOSE(_xlfn._xlws.FILTER('Controllable Asset Registry'!#REF!,IFERROR('Controllable Asset Registry'!#REF!=A714,FALSE),"No Equipment in entity"))</f>
        <v>#REF!</v>
      </c>
    </row>
    <row r="715" spans="1:4" x14ac:dyDescent="0.3">
      <c r="A715" t="s">
        <v>4699</v>
      </c>
      <c r="B715" t="s">
        <v>5450</v>
      </c>
      <c r="C715" t="s">
        <v>3344</v>
      </c>
      <c r="D715" t="e" cm="1">
        <f t="array" ref="D715">TRANSPOSE(_xlfn._xlws.FILTER('Controllable Asset Registry'!#REF!,IFERROR('Controllable Asset Registry'!#REF!=A715,FALSE),"No Equipment in entity"))</f>
        <v>#REF!</v>
      </c>
    </row>
    <row r="716" spans="1:4" x14ac:dyDescent="0.3">
      <c r="A716" t="s">
        <v>4700</v>
      </c>
      <c r="B716" t="s">
        <v>5451</v>
      </c>
      <c r="C716" t="s">
        <v>3341</v>
      </c>
      <c r="D716" t="e" cm="1">
        <f t="array" ref="D716">TRANSPOSE(_xlfn._xlws.FILTER('Controllable Asset Registry'!#REF!,IFERROR('Controllable Asset Registry'!#REF!=A716,FALSE),"No Equipment in entity"))</f>
        <v>#REF!</v>
      </c>
    </row>
    <row r="717" spans="1:4" x14ac:dyDescent="0.3">
      <c r="A717" t="s">
        <v>3590</v>
      </c>
      <c r="B717" t="s">
        <v>5452</v>
      </c>
      <c r="C717" t="s">
        <v>4206</v>
      </c>
      <c r="D717" t="e" cm="1">
        <f t="array" ref="D717">TRANSPOSE(_xlfn._xlws.FILTER('Controllable Asset Registry'!#REF!,IFERROR('Controllable Asset Registry'!#REF!=A717,FALSE),"No Equipment in entity"))</f>
        <v>#REF!</v>
      </c>
    </row>
    <row r="718" spans="1:4" x14ac:dyDescent="0.3">
      <c r="A718" t="s">
        <v>3589</v>
      </c>
      <c r="B718" t="s">
        <v>5453</v>
      </c>
      <c r="C718" t="s">
        <v>4206</v>
      </c>
      <c r="D718" t="e" cm="1">
        <f t="array" ref="D718">TRANSPOSE(_xlfn._xlws.FILTER('Controllable Asset Registry'!#REF!,IFERROR('Controllable Asset Registry'!#REF!=A718,FALSE),"No Equipment in entity"))</f>
        <v>#REF!</v>
      </c>
    </row>
    <row r="719" spans="1:4" x14ac:dyDescent="0.3">
      <c r="A719" t="s">
        <v>4701</v>
      </c>
      <c r="B719" t="s">
        <v>5454</v>
      </c>
      <c r="C719" t="s">
        <v>4591</v>
      </c>
      <c r="D719" t="e" cm="1">
        <f t="array" ref="D719">TRANSPOSE(_xlfn._xlws.FILTER('Controllable Asset Registry'!#REF!,IFERROR('Controllable Asset Registry'!#REF!=A719,FALSE),"No Equipment in entity"))</f>
        <v>#REF!</v>
      </c>
    </row>
    <row r="720" spans="1:4" x14ac:dyDescent="0.3">
      <c r="A720" t="s">
        <v>4702</v>
      </c>
      <c r="B720" t="s">
        <v>5455</v>
      </c>
      <c r="C720" t="s">
        <v>4351</v>
      </c>
      <c r="D720" t="e" cm="1">
        <f t="array" ref="D720">TRANSPOSE(_xlfn._xlws.FILTER('Controllable Asset Registry'!#REF!,IFERROR('Controllable Asset Registry'!#REF!=A720,FALSE),"No Equipment in entity"))</f>
        <v>#REF!</v>
      </c>
    </row>
    <row r="721" spans="1:4" x14ac:dyDescent="0.3">
      <c r="A721" t="s">
        <v>4703</v>
      </c>
      <c r="B721" t="s">
        <v>5456</v>
      </c>
      <c r="C721" t="s">
        <v>3341</v>
      </c>
      <c r="D721" t="e" cm="1">
        <f t="array" ref="D721">TRANSPOSE(_xlfn._xlws.FILTER('Controllable Asset Registry'!#REF!,IFERROR('Controllable Asset Registry'!#REF!=A721,FALSE),"No Equipment in entity"))</f>
        <v>#REF!</v>
      </c>
    </row>
    <row r="722" spans="1:4" x14ac:dyDescent="0.3">
      <c r="A722" t="s">
        <v>3931</v>
      </c>
      <c r="B722" t="s">
        <v>5457</v>
      </c>
      <c r="C722" t="s">
        <v>4505</v>
      </c>
      <c r="D722" t="e" cm="1">
        <f t="array" ref="D722">TRANSPOSE(_xlfn._xlws.FILTER('Controllable Asset Registry'!#REF!,IFERROR('Controllable Asset Registry'!#REF!=A722,FALSE),"No Equipment in entity"))</f>
        <v>#REF!</v>
      </c>
    </row>
    <row r="723" spans="1:4" x14ac:dyDescent="0.3">
      <c r="A723" t="s">
        <v>3586</v>
      </c>
      <c r="B723" t="s">
        <v>5458</v>
      </c>
      <c r="C723" t="s">
        <v>4594</v>
      </c>
      <c r="D723" t="e" cm="1">
        <f t="array" ref="D723">TRANSPOSE(_xlfn._xlws.FILTER('Controllable Asset Registry'!#REF!,IFERROR('Controllable Asset Registry'!#REF!=A723,FALSE),"No Equipment in entity"))</f>
        <v>#REF!</v>
      </c>
    </row>
    <row r="724" spans="1:4" x14ac:dyDescent="0.3">
      <c r="A724" t="s">
        <v>3958</v>
      </c>
      <c r="B724" t="s">
        <v>5459</v>
      </c>
      <c r="C724" t="s">
        <v>4546</v>
      </c>
      <c r="D724" t="e" cm="1">
        <f t="array" ref="D724">TRANSPOSE(_xlfn._xlws.FILTER('Controllable Asset Registry'!#REF!,IFERROR('Controllable Asset Registry'!#REF!=A724,FALSE),"No Equipment in entity"))</f>
        <v>#REF!</v>
      </c>
    </row>
    <row r="725" spans="1:4" x14ac:dyDescent="0.3">
      <c r="A725" t="s">
        <v>5853</v>
      </c>
      <c r="B725" t="s">
        <v>5854</v>
      </c>
      <c r="C725" t="s">
        <v>4365</v>
      </c>
      <c r="D725" t="e" cm="1">
        <f t="array" ref="D725">TRANSPOSE(_xlfn._xlws.FILTER('Controllable Asset Registry'!#REF!,IFERROR('Controllable Asset Registry'!#REF!=A725,FALSE),"No Equipment in entity"))</f>
        <v>#REF!</v>
      </c>
    </row>
    <row r="726" spans="1:4" x14ac:dyDescent="0.3">
      <c r="A726" t="s">
        <v>5855</v>
      </c>
      <c r="B726" t="s">
        <v>5856</v>
      </c>
      <c r="C726" t="s">
        <v>4368</v>
      </c>
      <c r="D726" t="e" cm="1">
        <f t="array" ref="D726">TRANSPOSE(_xlfn._xlws.FILTER('Controllable Asset Registry'!#REF!,IFERROR('Controllable Asset Registry'!#REF!=A726,FALSE),"No Equipment in entity"))</f>
        <v>#REF!</v>
      </c>
    </row>
    <row r="727" spans="1:4" x14ac:dyDescent="0.3">
      <c r="A727" t="s">
        <v>5857</v>
      </c>
      <c r="B727" t="s">
        <v>5858</v>
      </c>
      <c r="C727" t="s">
        <v>4371</v>
      </c>
      <c r="D727" t="e" cm="1">
        <f t="array" ref="D727">TRANSPOSE(_xlfn._xlws.FILTER('Controllable Asset Registry'!#REF!,IFERROR('Controllable Asset Registry'!#REF!=A727,FALSE),"No Equipment in entity"))</f>
        <v>#REF!</v>
      </c>
    </row>
    <row r="728" spans="1:4" x14ac:dyDescent="0.3">
      <c r="A728" t="s">
        <v>5859</v>
      </c>
      <c r="B728" t="s">
        <v>5860</v>
      </c>
      <c r="C728" t="s">
        <v>4235</v>
      </c>
      <c r="D728" t="e" cm="1">
        <f t="array" ref="D728">TRANSPOSE(_xlfn._xlws.FILTER('Controllable Asset Registry'!#REF!,IFERROR('Controllable Asset Registry'!#REF!=A728,FALSE),"No Equipment in entity"))</f>
        <v>#REF!</v>
      </c>
    </row>
    <row r="729" spans="1:4" x14ac:dyDescent="0.3">
      <c r="A729" t="s">
        <v>5861</v>
      </c>
      <c r="B729" t="s">
        <v>5862</v>
      </c>
      <c r="C729" t="s">
        <v>4238</v>
      </c>
      <c r="D729" t="e" cm="1">
        <f t="array" ref="D729">TRANSPOSE(_xlfn._xlws.FILTER('Controllable Asset Registry'!#REF!,IFERROR('Controllable Asset Registry'!#REF!=A729,FALSE),"No Equipment in entity"))</f>
        <v>#REF!</v>
      </c>
    </row>
    <row r="730" spans="1:4" x14ac:dyDescent="0.3">
      <c r="A730" t="s">
        <v>5863</v>
      </c>
      <c r="B730" t="s">
        <v>5864</v>
      </c>
      <c r="C730" t="s">
        <v>4241</v>
      </c>
      <c r="D730" t="e" cm="1">
        <f t="array" ref="D730">TRANSPOSE(_xlfn._xlws.FILTER('Controllable Asset Registry'!#REF!,IFERROR('Controllable Asset Registry'!#REF!=A730,FALSE),"No Equipment in entity"))</f>
        <v>#REF!</v>
      </c>
    </row>
    <row r="731" spans="1:4" x14ac:dyDescent="0.3">
      <c r="A731" t="s">
        <v>5865</v>
      </c>
      <c r="B731" t="s">
        <v>5866</v>
      </c>
      <c r="C731" t="s">
        <v>4380</v>
      </c>
      <c r="D731" t="e" cm="1">
        <f t="array" ref="D731">TRANSPOSE(_xlfn._xlws.FILTER('Controllable Asset Registry'!#REF!,IFERROR('Controllable Asset Registry'!#REF!=A731,FALSE),"No Equipment in entity"))</f>
        <v>#REF!</v>
      </c>
    </row>
    <row r="732" spans="1:4" x14ac:dyDescent="0.3">
      <c r="A732" t="s">
        <v>5867</v>
      </c>
      <c r="B732" t="s">
        <v>5868</v>
      </c>
      <c r="C732" t="s">
        <v>4246</v>
      </c>
      <c r="D732" t="e" cm="1">
        <f t="array" ref="D732">TRANSPOSE(_xlfn._xlws.FILTER('Controllable Asset Registry'!#REF!,IFERROR('Controllable Asset Registry'!#REF!=A732,FALSE),"No Equipment in entity"))</f>
        <v>#REF!</v>
      </c>
    </row>
    <row r="733" spans="1:4" x14ac:dyDescent="0.3">
      <c r="A733" t="s">
        <v>5869</v>
      </c>
      <c r="B733" t="s">
        <v>5870</v>
      </c>
      <c r="C733" t="s">
        <v>4248</v>
      </c>
      <c r="D733" t="e" cm="1">
        <f t="array" ref="D733">TRANSPOSE(_xlfn._xlws.FILTER('Controllable Asset Registry'!#REF!,IFERROR('Controllable Asset Registry'!#REF!=A733,FALSE),"No Equipment in entity"))</f>
        <v>#REF!</v>
      </c>
    </row>
    <row r="734" spans="1:4" x14ac:dyDescent="0.3">
      <c r="A734" t="s">
        <v>5871</v>
      </c>
      <c r="B734" t="s">
        <v>5872</v>
      </c>
      <c r="C734" t="s">
        <v>4387</v>
      </c>
      <c r="D734" t="e" cm="1">
        <f t="array" ref="D734">TRANSPOSE(_xlfn._xlws.FILTER('Controllable Asset Registry'!#REF!,IFERROR('Controllable Asset Registry'!#REF!=A734,FALSE),"No Equipment in entity"))</f>
        <v>#REF!</v>
      </c>
    </row>
    <row r="735" spans="1:4" x14ac:dyDescent="0.3">
      <c r="A735" t="s">
        <v>5873</v>
      </c>
      <c r="B735" t="s">
        <v>5874</v>
      </c>
      <c r="C735" t="s">
        <v>4251</v>
      </c>
      <c r="D735" t="e" cm="1">
        <f t="array" ref="D735">TRANSPOSE(_xlfn._xlws.FILTER('Controllable Asset Registry'!#REF!,IFERROR('Controllable Asset Registry'!#REF!=A735,FALSE),"No Equipment in entity"))</f>
        <v>#REF!</v>
      </c>
    </row>
    <row r="736" spans="1:4" x14ac:dyDescent="0.3">
      <c r="A736" t="s">
        <v>3967</v>
      </c>
      <c r="B736" t="s">
        <v>5460</v>
      </c>
      <c r="C736" t="s">
        <v>4704</v>
      </c>
      <c r="D736" t="e" cm="1">
        <f t="array" ref="D736">TRANSPOSE(_xlfn._xlws.FILTER('Controllable Asset Registry'!#REF!,IFERROR('Controllable Asset Registry'!#REF!=A736,FALSE),"No Equipment in entity"))</f>
        <v>#REF!</v>
      </c>
    </row>
    <row r="737" spans="1:4" x14ac:dyDescent="0.3">
      <c r="A737" t="s">
        <v>3968</v>
      </c>
      <c r="B737" t="s">
        <v>5461</v>
      </c>
      <c r="C737" t="s">
        <v>4705</v>
      </c>
      <c r="D737" t="e" cm="1">
        <f t="array" ref="D737">TRANSPOSE(_xlfn._xlws.FILTER('Controllable Asset Registry'!#REF!,IFERROR('Controllable Asset Registry'!#REF!=A737,FALSE),"No Equipment in entity"))</f>
        <v>#REF!</v>
      </c>
    </row>
    <row r="738" spans="1:4" x14ac:dyDescent="0.3">
      <c r="A738" t="s">
        <v>4706</v>
      </c>
      <c r="B738" t="s">
        <v>5462</v>
      </c>
      <c r="C738" t="s">
        <v>4279</v>
      </c>
      <c r="D738" t="e" cm="1">
        <f t="array" ref="D738">TRANSPOSE(_xlfn._xlws.FILTER('Controllable Asset Registry'!#REF!,IFERROR('Controllable Asset Registry'!#REF!=A738,FALSE),"No Equipment in entity"))</f>
        <v>#REF!</v>
      </c>
    </row>
    <row r="739" spans="1:4" x14ac:dyDescent="0.3">
      <c r="A739" t="s">
        <v>4707</v>
      </c>
      <c r="B739" t="s">
        <v>5463</v>
      </c>
      <c r="C739" t="s">
        <v>4708</v>
      </c>
      <c r="D739" t="e" cm="1">
        <f t="array" ref="D739">TRANSPOSE(_xlfn._xlws.FILTER('Controllable Asset Registry'!#REF!,IFERROR('Controllable Asset Registry'!#REF!=A739,FALSE),"No Equipment in entity"))</f>
        <v>#REF!</v>
      </c>
    </row>
    <row r="740" spans="1:4" x14ac:dyDescent="0.3">
      <c r="A740" t="s">
        <v>4709</v>
      </c>
      <c r="B740" t="s">
        <v>5464</v>
      </c>
      <c r="C740" t="s">
        <v>4186</v>
      </c>
      <c r="D740" t="e" cm="1">
        <f t="array" ref="D740">TRANSPOSE(_xlfn._xlws.FILTER('Controllable Asset Registry'!#REF!,IFERROR('Controllable Asset Registry'!#REF!=A740,FALSE),"No Equipment in entity"))</f>
        <v>#REF!</v>
      </c>
    </row>
    <row r="741" spans="1:4" x14ac:dyDescent="0.3">
      <c r="A741" t="s">
        <v>4710</v>
      </c>
      <c r="B741" t="s">
        <v>5465</v>
      </c>
      <c r="C741" t="s">
        <v>3341</v>
      </c>
      <c r="D741" t="e" cm="1">
        <f t="array" ref="D741">TRANSPOSE(_xlfn._xlws.FILTER('Controllable Asset Registry'!#REF!,IFERROR('Controllable Asset Registry'!#REF!=A741,FALSE),"No Equipment in entity"))</f>
        <v>#REF!</v>
      </c>
    </row>
    <row r="742" spans="1:4" x14ac:dyDescent="0.3">
      <c r="A742" t="s">
        <v>3593</v>
      </c>
      <c r="B742" t="s">
        <v>5466</v>
      </c>
      <c r="C742" t="s">
        <v>4206</v>
      </c>
      <c r="D742" t="e" cm="1">
        <f t="array" ref="D742">TRANSPOSE(_xlfn._xlws.FILTER('Controllable Asset Registry'!#REF!,IFERROR('Controllable Asset Registry'!#REF!=A742,FALSE),"No Equipment in entity"))</f>
        <v>#REF!</v>
      </c>
    </row>
    <row r="743" spans="1:4" x14ac:dyDescent="0.3">
      <c r="A743" t="s">
        <v>4711</v>
      </c>
      <c r="B743" t="s">
        <v>5467</v>
      </c>
      <c r="C743" t="s">
        <v>3341</v>
      </c>
      <c r="D743" t="e" cm="1">
        <f t="array" ref="D743">TRANSPOSE(_xlfn._xlws.FILTER('Controllable Asset Registry'!#REF!,IFERROR('Controllable Asset Registry'!#REF!=A743,FALSE),"No Equipment in entity"))</f>
        <v>#REF!</v>
      </c>
    </row>
    <row r="744" spans="1:4" x14ac:dyDescent="0.3">
      <c r="A744" t="s">
        <v>4712</v>
      </c>
      <c r="B744" t="s">
        <v>5468</v>
      </c>
      <c r="C744" t="s">
        <v>4348</v>
      </c>
      <c r="D744" t="e" cm="1">
        <f t="array" ref="D744">TRANSPOSE(_xlfn._xlws.FILTER('Controllable Asset Registry'!#REF!,IFERROR('Controllable Asset Registry'!#REF!=A744,FALSE),"No Equipment in entity"))</f>
        <v>#REF!</v>
      </c>
    </row>
    <row r="745" spans="1:4" x14ac:dyDescent="0.3">
      <c r="A745" t="s">
        <v>4713</v>
      </c>
      <c r="B745" t="s">
        <v>5469</v>
      </c>
      <c r="C745" t="s">
        <v>4351</v>
      </c>
      <c r="D745" t="e" cm="1">
        <f t="array" ref="D745">TRANSPOSE(_xlfn._xlws.FILTER('Controllable Asset Registry'!#REF!,IFERROR('Controllable Asset Registry'!#REF!=A745,FALSE),"No Equipment in entity"))</f>
        <v>#REF!</v>
      </c>
    </row>
    <row r="746" spans="1:4" x14ac:dyDescent="0.3">
      <c r="A746" t="s">
        <v>4714</v>
      </c>
      <c r="B746" t="s">
        <v>5470</v>
      </c>
      <c r="C746" t="s">
        <v>3341</v>
      </c>
      <c r="D746" t="e" cm="1">
        <f t="array" ref="D746">TRANSPOSE(_xlfn._xlws.FILTER('Controllable Asset Registry'!#REF!,IFERROR('Controllable Asset Registry'!#REF!=A746,FALSE),"No Equipment in entity"))</f>
        <v>#REF!</v>
      </c>
    </row>
    <row r="747" spans="1:4" x14ac:dyDescent="0.3">
      <c r="A747" t="s">
        <v>4715</v>
      </c>
      <c r="B747" t="s">
        <v>5471</v>
      </c>
      <c r="C747" t="s">
        <v>4594</v>
      </c>
      <c r="D747" t="e" cm="1">
        <f t="array" ref="D747">TRANSPOSE(_xlfn._xlws.FILTER('Controllable Asset Registry'!#REF!,IFERROR('Controllable Asset Registry'!#REF!=A747,FALSE),"No Equipment in entity"))</f>
        <v>#REF!</v>
      </c>
    </row>
    <row r="748" spans="1:4" x14ac:dyDescent="0.3">
      <c r="A748" t="s">
        <v>3969</v>
      </c>
      <c r="B748" t="s">
        <v>5472</v>
      </c>
      <c r="C748" t="s">
        <v>4716</v>
      </c>
      <c r="D748" t="e" cm="1">
        <f t="array" ref="D748">TRANSPOSE(_xlfn._xlws.FILTER('Controllable Asset Registry'!#REF!,IFERROR('Controllable Asset Registry'!#REF!=A748,FALSE),"No Equipment in entity"))</f>
        <v>#REF!</v>
      </c>
    </row>
    <row r="749" spans="1:4" x14ac:dyDescent="0.3">
      <c r="A749" t="s">
        <v>5875</v>
      </c>
      <c r="B749" t="s">
        <v>5876</v>
      </c>
      <c r="C749" t="s">
        <v>4365</v>
      </c>
      <c r="D749" t="e" cm="1">
        <f t="array" ref="D749">TRANSPOSE(_xlfn._xlws.FILTER('Controllable Asset Registry'!#REF!,IFERROR('Controllable Asset Registry'!#REF!=A749,FALSE),"No Equipment in entity"))</f>
        <v>#REF!</v>
      </c>
    </row>
    <row r="750" spans="1:4" x14ac:dyDescent="0.3">
      <c r="A750" t="s">
        <v>5877</v>
      </c>
      <c r="B750" t="s">
        <v>5878</v>
      </c>
      <c r="C750" t="s">
        <v>4368</v>
      </c>
      <c r="D750" t="e" cm="1">
        <f t="array" ref="D750">TRANSPOSE(_xlfn._xlws.FILTER('Controllable Asset Registry'!#REF!,IFERROR('Controllable Asset Registry'!#REF!=A750,FALSE),"No Equipment in entity"))</f>
        <v>#REF!</v>
      </c>
    </row>
    <row r="751" spans="1:4" x14ac:dyDescent="0.3">
      <c r="A751" t="s">
        <v>5879</v>
      </c>
      <c r="B751" t="s">
        <v>5880</v>
      </c>
      <c r="C751" t="s">
        <v>4371</v>
      </c>
      <c r="D751" t="e" cm="1">
        <f t="array" ref="D751">TRANSPOSE(_xlfn._xlws.FILTER('Controllable Asset Registry'!#REF!,IFERROR('Controllable Asset Registry'!#REF!=A751,FALSE),"No Equipment in entity"))</f>
        <v>#REF!</v>
      </c>
    </row>
    <row r="752" spans="1:4" x14ac:dyDescent="0.3">
      <c r="A752" t="s">
        <v>5881</v>
      </c>
      <c r="B752" t="s">
        <v>5882</v>
      </c>
      <c r="C752" t="s">
        <v>4235</v>
      </c>
      <c r="D752" t="e" cm="1">
        <f t="array" ref="D752">TRANSPOSE(_xlfn._xlws.FILTER('Controllable Asset Registry'!#REF!,IFERROR('Controllable Asset Registry'!#REF!=A752,FALSE),"No Equipment in entity"))</f>
        <v>#REF!</v>
      </c>
    </row>
    <row r="753" spans="1:4" x14ac:dyDescent="0.3">
      <c r="A753" t="s">
        <v>5883</v>
      </c>
      <c r="B753" t="s">
        <v>5884</v>
      </c>
      <c r="C753" t="s">
        <v>4238</v>
      </c>
      <c r="D753" t="e" cm="1">
        <f t="array" ref="D753">TRANSPOSE(_xlfn._xlws.FILTER('Controllable Asset Registry'!#REF!,IFERROR('Controllable Asset Registry'!#REF!=A753,FALSE),"No Equipment in entity"))</f>
        <v>#REF!</v>
      </c>
    </row>
    <row r="754" spans="1:4" x14ac:dyDescent="0.3">
      <c r="A754" t="s">
        <v>5885</v>
      </c>
      <c r="B754" t="s">
        <v>5886</v>
      </c>
      <c r="C754" t="s">
        <v>4241</v>
      </c>
      <c r="D754" t="e" cm="1">
        <f t="array" ref="D754">TRANSPOSE(_xlfn._xlws.FILTER('Controllable Asset Registry'!#REF!,IFERROR('Controllable Asset Registry'!#REF!=A754,FALSE),"No Equipment in entity"))</f>
        <v>#REF!</v>
      </c>
    </row>
    <row r="755" spans="1:4" x14ac:dyDescent="0.3">
      <c r="A755" t="s">
        <v>5887</v>
      </c>
      <c r="B755" t="s">
        <v>5888</v>
      </c>
      <c r="C755" t="s">
        <v>4380</v>
      </c>
      <c r="D755" t="e" cm="1">
        <f t="array" ref="D755">TRANSPOSE(_xlfn._xlws.FILTER('Controllable Asset Registry'!#REF!,IFERROR('Controllable Asset Registry'!#REF!=A755,FALSE),"No Equipment in entity"))</f>
        <v>#REF!</v>
      </c>
    </row>
    <row r="756" spans="1:4" x14ac:dyDescent="0.3">
      <c r="A756" t="s">
        <v>5889</v>
      </c>
      <c r="B756" t="s">
        <v>5890</v>
      </c>
      <c r="C756" t="s">
        <v>4246</v>
      </c>
      <c r="D756" t="e" cm="1">
        <f t="array" ref="D756">TRANSPOSE(_xlfn._xlws.FILTER('Controllable Asset Registry'!#REF!,IFERROR('Controllable Asset Registry'!#REF!=A756,FALSE),"No Equipment in entity"))</f>
        <v>#REF!</v>
      </c>
    </row>
    <row r="757" spans="1:4" x14ac:dyDescent="0.3">
      <c r="A757" t="s">
        <v>5891</v>
      </c>
      <c r="B757" t="s">
        <v>5892</v>
      </c>
      <c r="C757" t="s">
        <v>4248</v>
      </c>
      <c r="D757" t="e" cm="1">
        <f t="array" ref="D757">TRANSPOSE(_xlfn._xlws.FILTER('Controllable Asset Registry'!#REF!,IFERROR('Controllable Asset Registry'!#REF!=A757,FALSE),"No Equipment in entity"))</f>
        <v>#REF!</v>
      </c>
    </row>
    <row r="758" spans="1:4" x14ac:dyDescent="0.3">
      <c r="A758" t="s">
        <v>5893</v>
      </c>
      <c r="B758" t="s">
        <v>5894</v>
      </c>
      <c r="C758" t="s">
        <v>4387</v>
      </c>
      <c r="D758" t="e" cm="1">
        <f t="array" ref="D758">TRANSPOSE(_xlfn._xlws.FILTER('Controllable Asset Registry'!#REF!,IFERROR('Controllable Asset Registry'!#REF!=A758,FALSE),"No Equipment in entity"))</f>
        <v>#REF!</v>
      </c>
    </row>
    <row r="759" spans="1:4" x14ac:dyDescent="0.3">
      <c r="A759" t="s">
        <v>5895</v>
      </c>
      <c r="B759" t="s">
        <v>5896</v>
      </c>
      <c r="C759" t="s">
        <v>4251</v>
      </c>
      <c r="D759" t="e" cm="1">
        <f t="array" ref="D759">TRANSPOSE(_xlfn._xlws.FILTER('Controllable Asset Registry'!#REF!,IFERROR('Controllable Asset Registry'!#REF!=A759,FALSE),"No Equipment in entity"))</f>
        <v>#REF!</v>
      </c>
    </row>
    <row r="760" spans="1:4" x14ac:dyDescent="0.3">
      <c r="A760" t="s">
        <v>4002</v>
      </c>
      <c r="B760" t="s">
        <v>5473</v>
      </c>
      <c r="C760" t="s">
        <v>4717</v>
      </c>
      <c r="D760" t="e" cm="1">
        <f t="array" ref="D760">TRANSPOSE(_xlfn._xlws.FILTER('Controllable Asset Registry'!#REF!,IFERROR('Controllable Asset Registry'!#REF!=A760,FALSE),"No Equipment in entity"))</f>
        <v>#REF!</v>
      </c>
    </row>
    <row r="761" spans="1:4" x14ac:dyDescent="0.3">
      <c r="A761" t="s">
        <v>4003</v>
      </c>
      <c r="B761" t="s">
        <v>5474</v>
      </c>
      <c r="C761" t="s">
        <v>4718</v>
      </c>
      <c r="D761" t="e" cm="1">
        <f t="array" ref="D761">TRANSPOSE(_xlfn._xlws.FILTER('Controllable Asset Registry'!#REF!,IFERROR('Controllable Asset Registry'!#REF!=A761,FALSE),"No Equipment in entity"))</f>
        <v>#REF!</v>
      </c>
    </row>
    <row r="762" spans="1:4" x14ac:dyDescent="0.3">
      <c r="A762" t="s">
        <v>4004</v>
      </c>
      <c r="B762" t="s">
        <v>5475</v>
      </c>
      <c r="C762" t="s">
        <v>4719</v>
      </c>
      <c r="D762" t="e" cm="1">
        <f t="array" ref="D762">TRANSPOSE(_xlfn._xlws.FILTER('Controllable Asset Registry'!#REF!,IFERROR('Controllable Asset Registry'!#REF!=A762,FALSE),"No Equipment in entity"))</f>
        <v>#REF!</v>
      </c>
    </row>
    <row r="763" spans="1:4" x14ac:dyDescent="0.3">
      <c r="A763" t="s">
        <v>4005</v>
      </c>
      <c r="B763" t="s">
        <v>5476</v>
      </c>
      <c r="C763" t="s">
        <v>4719</v>
      </c>
      <c r="D763" t="e" cm="1">
        <f t="array" ref="D763">TRANSPOSE(_xlfn._xlws.FILTER('Controllable Asset Registry'!#REF!,IFERROR('Controllable Asset Registry'!#REF!=A763,FALSE),"No Equipment in entity"))</f>
        <v>#REF!</v>
      </c>
    </row>
    <row r="764" spans="1:4" x14ac:dyDescent="0.3">
      <c r="A764" t="s">
        <v>4006</v>
      </c>
      <c r="B764" t="s">
        <v>5477</v>
      </c>
      <c r="C764" t="s">
        <v>4719</v>
      </c>
      <c r="D764" t="e" cm="1">
        <f t="array" ref="D764">TRANSPOSE(_xlfn._xlws.FILTER('Controllable Asset Registry'!#REF!,IFERROR('Controllable Asset Registry'!#REF!=A764,FALSE),"No Equipment in entity"))</f>
        <v>#REF!</v>
      </c>
    </row>
    <row r="765" spans="1:4" x14ac:dyDescent="0.3">
      <c r="A765" t="s">
        <v>4007</v>
      </c>
      <c r="B765" t="s">
        <v>5478</v>
      </c>
      <c r="C765" t="s">
        <v>4719</v>
      </c>
      <c r="D765" t="e" cm="1">
        <f t="array" ref="D765">TRANSPOSE(_xlfn._xlws.FILTER('Controllable Asset Registry'!#REF!,IFERROR('Controllable Asset Registry'!#REF!=A765,FALSE),"No Equipment in entity"))</f>
        <v>#REF!</v>
      </c>
    </row>
    <row r="766" spans="1:4" x14ac:dyDescent="0.3">
      <c r="A766" t="s">
        <v>4008</v>
      </c>
      <c r="B766" t="s">
        <v>5479</v>
      </c>
      <c r="C766" t="s">
        <v>4719</v>
      </c>
      <c r="D766" t="e" cm="1">
        <f t="array" ref="D766">TRANSPOSE(_xlfn._xlws.FILTER('Controllable Asset Registry'!#REF!,IFERROR('Controllable Asset Registry'!#REF!=A766,FALSE),"No Equipment in entity"))</f>
        <v>#REF!</v>
      </c>
    </row>
    <row r="767" spans="1:4" x14ac:dyDescent="0.3">
      <c r="A767" t="s">
        <v>4009</v>
      </c>
      <c r="B767" t="s">
        <v>5480</v>
      </c>
      <c r="C767" t="s">
        <v>4720</v>
      </c>
      <c r="D767" t="e" cm="1">
        <f t="array" ref="D767">TRANSPOSE(_xlfn._xlws.FILTER('Controllable Asset Registry'!#REF!,IFERROR('Controllable Asset Registry'!#REF!=A767,FALSE),"No Equipment in entity"))</f>
        <v>#REF!</v>
      </c>
    </row>
    <row r="768" spans="1:4" x14ac:dyDescent="0.3">
      <c r="A768" t="s">
        <v>4010</v>
      </c>
      <c r="B768" t="s">
        <v>5481</v>
      </c>
      <c r="C768" t="s">
        <v>4720</v>
      </c>
      <c r="D768" t="e" cm="1">
        <f t="array" ref="D768">TRANSPOSE(_xlfn._xlws.FILTER('Controllable Asset Registry'!#REF!,IFERROR('Controllable Asset Registry'!#REF!=A768,FALSE),"No Equipment in entity"))</f>
        <v>#REF!</v>
      </c>
    </row>
    <row r="769" spans="1:4" x14ac:dyDescent="0.3">
      <c r="A769" t="s">
        <v>4011</v>
      </c>
      <c r="B769" t="s">
        <v>5482</v>
      </c>
      <c r="C769" t="s">
        <v>4721</v>
      </c>
      <c r="D769" t="e" cm="1">
        <f t="array" ref="D769">TRANSPOSE(_xlfn._xlws.FILTER('Controllable Asset Registry'!#REF!,IFERROR('Controllable Asset Registry'!#REF!=A769,FALSE),"No Equipment in entity"))</f>
        <v>#REF!</v>
      </c>
    </row>
    <row r="770" spans="1:4" x14ac:dyDescent="0.3">
      <c r="A770" t="s">
        <v>3970</v>
      </c>
      <c r="B770" t="s">
        <v>5483</v>
      </c>
      <c r="C770" t="s">
        <v>4722</v>
      </c>
      <c r="D770" t="e" cm="1">
        <f t="array" ref="D770">TRANSPOSE(_xlfn._xlws.FILTER('Controllable Asset Registry'!#REF!,IFERROR('Controllable Asset Registry'!#REF!=A770,FALSE),"No Equipment in entity"))</f>
        <v>#REF!</v>
      </c>
    </row>
    <row r="771" spans="1:4" x14ac:dyDescent="0.3">
      <c r="A771" t="s">
        <v>3971</v>
      </c>
      <c r="B771" t="s">
        <v>5484</v>
      </c>
      <c r="C771" t="s">
        <v>4722</v>
      </c>
      <c r="D771" t="e" cm="1">
        <f t="array" ref="D771">TRANSPOSE(_xlfn._xlws.FILTER('Controllable Asset Registry'!#REF!,IFERROR('Controllable Asset Registry'!#REF!=A771,FALSE),"No Equipment in entity"))</f>
        <v>#REF!</v>
      </c>
    </row>
    <row r="772" spans="1:4" x14ac:dyDescent="0.3">
      <c r="A772" t="s">
        <v>3972</v>
      </c>
      <c r="B772" t="s">
        <v>5485</v>
      </c>
      <c r="C772" t="s">
        <v>4722</v>
      </c>
      <c r="D772" t="e" cm="1">
        <f t="array" ref="D772">TRANSPOSE(_xlfn._xlws.FILTER('Controllable Asset Registry'!#REF!,IFERROR('Controllable Asset Registry'!#REF!=A772,FALSE),"No Equipment in entity"))</f>
        <v>#REF!</v>
      </c>
    </row>
    <row r="773" spans="1:4" x14ac:dyDescent="0.3">
      <c r="A773" t="s">
        <v>3973</v>
      </c>
      <c r="B773" t="s">
        <v>5486</v>
      </c>
      <c r="C773" t="s">
        <v>4722</v>
      </c>
      <c r="D773" t="e" cm="1">
        <f t="array" ref="D773">TRANSPOSE(_xlfn._xlws.FILTER('Controllable Asset Registry'!#REF!,IFERROR('Controllable Asset Registry'!#REF!=A773,FALSE),"No Equipment in entity"))</f>
        <v>#REF!</v>
      </c>
    </row>
    <row r="774" spans="1:4" x14ac:dyDescent="0.3">
      <c r="A774" t="s">
        <v>3974</v>
      </c>
      <c r="B774" t="s">
        <v>5487</v>
      </c>
      <c r="C774" t="s">
        <v>4722</v>
      </c>
      <c r="D774" t="e" cm="1">
        <f t="array" ref="D774">TRANSPOSE(_xlfn._xlws.FILTER('Controllable Asset Registry'!#REF!,IFERROR('Controllable Asset Registry'!#REF!=A774,FALSE),"No Equipment in entity"))</f>
        <v>#REF!</v>
      </c>
    </row>
    <row r="775" spans="1:4" x14ac:dyDescent="0.3">
      <c r="A775" t="s">
        <v>3975</v>
      </c>
      <c r="B775" t="s">
        <v>5488</v>
      </c>
      <c r="C775" t="s">
        <v>4722</v>
      </c>
      <c r="D775" t="e" cm="1">
        <f t="array" ref="D775">TRANSPOSE(_xlfn._xlws.FILTER('Controllable Asset Registry'!#REF!,IFERROR('Controllable Asset Registry'!#REF!=A775,FALSE),"No Equipment in entity"))</f>
        <v>#REF!</v>
      </c>
    </row>
    <row r="776" spans="1:4" x14ac:dyDescent="0.3">
      <c r="A776" t="s">
        <v>3976</v>
      </c>
      <c r="B776" t="s">
        <v>5489</v>
      </c>
      <c r="C776" t="s">
        <v>4722</v>
      </c>
      <c r="D776" t="e" cm="1">
        <f t="array" ref="D776">TRANSPOSE(_xlfn._xlws.FILTER('Controllable Asset Registry'!#REF!,IFERROR('Controllable Asset Registry'!#REF!=A776,FALSE),"No Equipment in entity"))</f>
        <v>#REF!</v>
      </c>
    </row>
    <row r="777" spans="1:4" x14ac:dyDescent="0.3">
      <c r="A777" t="s">
        <v>3977</v>
      </c>
      <c r="B777" t="s">
        <v>5490</v>
      </c>
      <c r="C777" t="s">
        <v>4723</v>
      </c>
      <c r="D777" t="e" cm="1">
        <f t="array" ref="D777">TRANSPOSE(_xlfn._xlws.FILTER('Controllable Asset Registry'!#REF!,IFERROR('Controllable Asset Registry'!#REF!=A777,FALSE),"No Equipment in entity"))</f>
        <v>#REF!</v>
      </c>
    </row>
    <row r="778" spans="1:4" x14ac:dyDescent="0.3">
      <c r="A778" t="s">
        <v>3978</v>
      </c>
      <c r="B778" t="s">
        <v>5491</v>
      </c>
      <c r="C778" t="s">
        <v>4723</v>
      </c>
      <c r="D778" t="e" cm="1">
        <f t="array" ref="D778">TRANSPOSE(_xlfn._xlws.FILTER('Controllable Asset Registry'!#REF!,IFERROR('Controllable Asset Registry'!#REF!=A778,FALSE),"No Equipment in entity"))</f>
        <v>#REF!</v>
      </c>
    </row>
    <row r="779" spans="1:4" x14ac:dyDescent="0.3">
      <c r="A779" t="s">
        <v>3979</v>
      </c>
      <c r="B779" t="s">
        <v>5492</v>
      </c>
      <c r="C779" t="s">
        <v>4723</v>
      </c>
      <c r="D779" t="e" cm="1">
        <f t="array" ref="D779">TRANSPOSE(_xlfn._xlws.FILTER('Controllable Asset Registry'!#REF!,IFERROR('Controllable Asset Registry'!#REF!=A779,FALSE),"No Equipment in entity"))</f>
        <v>#REF!</v>
      </c>
    </row>
    <row r="780" spans="1:4" x14ac:dyDescent="0.3">
      <c r="A780" t="s">
        <v>3980</v>
      </c>
      <c r="B780" t="s">
        <v>5493</v>
      </c>
      <c r="C780" t="s">
        <v>4724</v>
      </c>
      <c r="D780" t="e" cm="1">
        <f t="array" ref="D780">TRANSPOSE(_xlfn._xlws.FILTER('Controllable Asset Registry'!#REF!,IFERROR('Controllable Asset Registry'!#REF!=A780,FALSE),"No Equipment in entity"))</f>
        <v>#REF!</v>
      </c>
    </row>
    <row r="781" spans="1:4" x14ac:dyDescent="0.3">
      <c r="A781" t="s">
        <v>3981</v>
      </c>
      <c r="B781" t="s">
        <v>5494</v>
      </c>
      <c r="C781" t="s">
        <v>4722</v>
      </c>
      <c r="D781" t="e" cm="1">
        <f t="array" ref="D781">TRANSPOSE(_xlfn._xlws.FILTER('Controllable Asset Registry'!#REF!,IFERROR('Controllable Asset Registry'!#REF!=A781,FALSE),"No Equipment in entity"))</f>
        <v>#REF!</v>
      </c>
    </row>
    <row r="782" spans="1:4" x14ac:dyDescent="0.3">
      <c r="A782" t="s">
        <v>3982</v>
      </c>
      <c r="B782" t="s">
        <v>5495</v>
      </c>
      <c r="C782" t="s">
        <v>4723</v>
      </c>
      <c r="D782" t="e" cm="1">
        <f t="array" ref="D782">TRANSPOSE(_xlfn._xlws.FILTER('Controllable Asset Registry'!#REF!,IFERROR('Controllable Asset Registry'!#REF!=A782,FALSE),"No Equipment in entity"))</f>
        <v>#REF!</v>
      </c>
    </row>
    <row r="783" spans="1:4" x14ac:dyDescent="0.3">
      <c r="A783" t="s">
        <v>3983</v>
      </c>
      <c r="B783" t="s">
        <v>5496</v>
      </c>
      <c r="C783" t="s">
        <v>4723</v>
      </c>
      <c r="D783" t="e" cm="1">
        <f t="array" ref="D783">TRANSPOSE(_xlfn._xlws.FILTER('Controllable Asset Registry'!#REF!,IFERROR('Controllable Asset Registry'!#REF!=A783,FALSE),"No Equipment in entity"))</f>
        <v>#REF!</v>
      </c>
    </row>
    <row r="784" spans="1:4" x14ac:dyDescent="0.3">
      <c r="A784" t="s">
        <v>3984</v>
      </c>
      <c r="B784" t="s">
        <v>5497</v>
      </c>
      <c r="C784" t="s">
        <v>4723</v>
      </c>
      <c r="D784" t="e" cm="1">
        <f t="array" ref="D784">TRANSPOSE(_xlfn._xlws.FILTER('Controllable Asset Registry'!#REF!,IFERROR('Controllable Asset Registry'!#REF!=A784,FALSE),"No Equipment in entity"))</f>
        <v>#REF!</v>
      </c>
    </row>
    <row r="785" spans="1:4" x14ac:dyDescent="0.3">
      <c r="A785" t="s">
        <v>3985</v>
      </c>
      <c r="B785" t="s">
        <v>5498</v>
      </c>
      <c r="C785" t="s">
        <v>4725</v>
      </c>
      <c r="D785" t="e" cm="1">
        <f t="array" ref="D785">TRANSPOSE(_xlfn._xlws.FILTER('Controllable Asset Registry'!#REF!,IFERROR('Controllable Asset Registry'!#REF!=A785,FALSE),"No Equipment in entity"))</f>
        <v>#REF!</v>
      </c>
    </row>
    <row r="786" spans="1:4" x14ac:dyDescent="0.3">
      <c r="A786" t="s">
        <v>3986</v>
      </c>
      <c r="B786" t="s">
        <v>5499</v>
      </c>
      <c r="C786" t="s">
        <v>4725</v>
      </c>
      <c r="D786" t="e" cm="1">
        <f t="array" ref="D786">TRANSPOSE(_xlfn._xlws.FILTER('Controllable Asset Registry'!#REF!,IFERROR('Controllable Asset Registry'!#REF!=A786,FALSE),"No Equipment in entity"))</f>
        <v>#REF!</v>
      </c>
    </row>
    <row r="787" spans="1:4" x14ac:dyDescent="0.3">
      <c r="A787" t="s">
        <v>3987</v>
      </c>
      <c r="B787" t="s">
        <v>5500</v>
      </c>
      <c r="C787" t="s">
        <v>4725</v>
      </c>
      <c r="D787" t="e" cm="1">
        <f t="array" ref="D787">TRANSPOSE(_xlfn._xlws.FILTER('Controllable Asset Registry'!#REF!,IFERROR('Controllable Asset Registry'!#REF!=A787,FALSE),"No Equipment in entity"))</f>
        <v>#REF!</v>
      </c>
    </row>
    <row r="788" spans="1:4" x14ac:dyDescent="0.3">
      <c r="A788" t="s">
        <v>3988</v>
      </c>
      <c r="B788" t="s">
        <v>5501</v>
      </c>
      <c r="C788" t="s">
        <v>4725</v>
      </c>
      <c r="D788" t="e" cm="1">
        <f t="array" ref="D788">TRANSPOSE(_xlfn._xlws.FILTER('Controllable Asset Registry'!#REF!,IFERROR('Controllable Asset Registry'!#REF!=A788,FALSE),"No Equipment in entity"))</f>
        <v>#REF!</v>
      </c>
    </row>
    <row r="789" spans="1:4" x14ac:dyDescent="0.3">
      <c r="A789" t="s">
        <v>3989</v>
      </c>
      <c r="B789" t="s">
        <v>5502</v>
      </c>
      <c r="C789" t="s">
        <v>4725</v>
      </c>
      <c r="D789" t="e" cm="1">
        <f t="array" ref="D789">TRANSPOSE(_xlfn._xlws.FILTER('Controllable Asset Registry'!#REF!,IFERROR('Controllable Asset Registry'!#REF!=A789,FALSE),"No Equipment in entity"))</f>
        <v>#REF!</v>
      </c>
    </row>
    <row r="790" spans="1:4" x14ac:dyDescent="0.3">
      <c r="A790" t="s">
        <v>3990</v>
      </c>
      <c r="B790" t="s">
        <v>5503</v>
      </c>
      <c r="C790" t="s">
        <v>4726</v>
      </c>
      <c r="D790" t="e" cm="1">
        <f t="array" ref="D790">TRANSPOSE(_xlfn._xlws.FILTER('Controllable Asset Registry'!#REF!,IFERROR('Controllable Asset Registry'!#REF!=A790,FALSE),"No Equipment in entity"))</f>
        <v>#REF!</v>
      </c>
    </row>
    <row r="791" spans="1:4" x14ac:dyDescent="0.3">
      <c r="A791" t="s">
        <v>3991</v>
      </c>
      <c r="B791" t="s">
        <v>5504</v>
      </c>
      <c r="C791" t="s">
        <v>4727</v>
      </c>
      <c r="D791" t="e" cm="1">
        <f t="array" ref="D791">TRANSPOSE(_xlfn._xlws.FILTER('Controllable Asset Registry'!#REF!,IFERROR('Controllable Asset Registry'!#REF!=A791,FALSE),"No Equipment in entity"))</f>
        <v>#REF!</v>
      </c>
    </row>
    <row r="792" spans="1:4" x14ac:dyDescent="0.3">
      <c r="A792" t="s">
        <v>3992</v>
      </c>
      <c r="B792" t="s">
        <v>5505</v>
      </c>
      <c r="C792" t="s">
        <v>4728</v>
      </c>
      <c r="D792" t="e" cm="1">
        <f t="array" ref="D792">TRANSPOSE(_xlfn._xlws.FILTER('Controllable Asset Registry'!#REF!,IFERROR('Controllable Asset Registry'!#REF!=A792,FALSE),"No Equipment in entity"))</f>
        <v>#REF!</v>
      </c>
    </row>
    <row r="793" spans="1:4" x14ac:dyDescent="0.3">
      <c r="A793" t="s">
        <v>3993</v>
      </c>
      <c r="B793" t="s">
        <v>5506</v>
      </c>
      <c r="C793" t="s">
        <v>4728</v>
      </c>
      <c r="D793" t="e" cm="1">
        <f t="array" ref="D793">TRANSPOSE(_xlfn._xlws.FILTER('Controllable Asset Registry'!#REF!,IFERROR('Controllable Asset Registry'!#REF!=A793,FALSE),"No Equipment in entity"))</f>
        <v>#REF!</v>
      </c>
    </row>
    <row r="794" spans="1:4" x14ac:dyDescent="0.3">
      <c r="A794" t="s">
        <v>3994</v>
      </c>
      <c r="B794" t="s">
        <v>5507</v>
      </c>
      <c r="C794" t="s">
        <v>4728</v>
      </c>
      <c r="D794" t="e" cm="1">
        <f t="array" ref="D794">TRANSPOSE(_xlfn._xlws.FILTER('Controllable Asset Registry'!#REF!,IFERROR('Controllable Asset Registry'!#REF!=A794,FALSE),"No Equipment in entity"))</f>
        <v>#REF!</v>
      </c>
    </row>
    <row r="795" spans="1:4" x14ac:dyDescent="0.3">
      <c r="A795" t="s">
        <v>3995</v>
      </c>
      <c r="B795" t="s">
        <v>5508</v>
      </c>
      <c r="C795" t="s">
        <v>4729</v>
      </c>
      <c r="D795" t="e" cm="1">
        <f t="array" ref="D795">TRANSPOSE(_xlfn._xlws.FILTER('Controllable Asset Registry'!#REF!,IFERROR('Controllable Asset Registry'!#REF!=A795,FALSE),"No Equipment in entity"))</f>
        <v>#REF!</v>
      </c>
    </row>
    <row r="796" spans="1:4" x14ac:dyDescent="0.3">
      <c r="A796" t="s">
        <v>3996</v>
      </c>
      <c r="B796" t="s">
        <v>5509</v>
      </c>
      <c r="C796" t="s">
        <v>4730</v>
      </c>
      <c r="D796" t="e" cm="1">
        <f t="array" ref="D796">TRANSPOSE(_xlfn._xlws.FILTER('Controllable Asset Registry'!#REF!,IFERROR('Controllable Asset Registry'!#REF!=A796,FALSE),"No Equipment in entity"))</f>
        <v>#REF!</v>
      </c>
    </row>
    <row r="797" spans="1:4" x14ac:dyDescent="0.3">
      <c r="A797" t="s">
        <v>3997</v>
      </c>
      <c r="B797" t="s">
        <v>5510</v>
      </c>
      <c r="C797" t="s">
        <v>4729</v>
      </c>
      <c r="D797" t="e" cm="1">
        <f t="array" ref="D797">TRANSPOSE(_xlfn._xlws.FILTER('Controllable Asset Registry'!#REF!,IFERROR('Controllable Asset Registry'!#REF!=A797,FALSE),"No Equipment in entity"))</f>
        <v>#REF!</v>
      </c>
    </row>
    <row r="798" spans="1:4" x14ac:dyDescent="0.3">
      <c r="A798" t="s">
        <v>3999</v>
      </c>
      <c r="B798" t="s">
        <v>5511</v>
      </c>
      <c r="C798" t="s">
        <v>4513</v>
      </c>
      <c r="D798" t="e" cm="1">
        <f t="array" ref="D798">TRANSPOSE(_xlfn._xlws.FILTER('Controllable Asset Registry'!#REF!,IFERROR('Controllable Asset Registry'!#REF!=A798,FALSE),"No Equipment in entity"))</f>
        <v>#REF!</v>
      </c>
    </row>
    <row r="799" spans="1:4" x14ac:dyDescent="0.3">
      <c r="A799" t="s">
        <v>4000</v>
      </c>
      <c r="B799" t="s">
        <v>5512</v>
      </c>
      <c r="C799" t="s">
        <v>4731</v>
      </c>
      <c r="D799" t="e" cm="1">
        <f t="array" ref="D799">TRANSPOSE(_xlfn._xlws.FILTER('Controllable Asset Registry'!#REF!,IFERROR('Controllable Asset Registry'!#REF!=A799,FALSE),"No Equipment in entity"))</f>
        <v>#REF!</v>
      </c>
    </row>
    <row r="800" spans="1:4" x14ac:dyDescent="0.3">
      <c r="A800" t="s">
        <v>4001</v>
      </c>
      <c r="B800" t="s">
        <v>5513</v>
      </c>
      <c r="C800" t="s">
        <v>4732</v>
      </c>
      <c r="D800" t="e" cm="1">
        <f t="array" ref="D800">TRANSPOSE(_xlfn._xlws.FILTER('Controllable Asset Registry'!#REF!,IFERROR('Controllable Asset Registry'!#REF!=A800,FALSE),"No Equipment in entity"))</f>
        <v>#REF!</v>
      </c>
    </row>
    <row r="801" spans="1:4" x14ac:dyDescent="0.3">
      <c r="A801" t="s">
        <v>3611</v>
      </c>
      <c r="B801" t="s">
        <v>5514</v>
      </c>
      <c r="C801" t="s">
        <v>4733</v>
      </c>
      <c r="D801" t="e" cm="1">
        <f t="array" ref="D801">TRANSPOSE(_xlfn._xlws.FILTER('Controllable Asset Registry'!#REF!,IFERROR('Controllable Asset Registry'!#REF!=A801,FALSE),"No Equipment in entity"))</f>
        <v>#REF!</v>
      </c>
    </row>
    <row r="802" spans="1:4" x14ac:dyDescent="0.3">
      <c r="A802" t="s">
        <v>4734</v>
      </c>
      <c r="B802" t="s">
        <v>5515</v>
      </c>
      <c r="C802" t="s">
        <v>4735</v>
      </c>
      <c r="D802" t="e" cm="1">
        <f t="array" ref="D802">TRANSPOSE(_xlfn._xlws.FILTER('Controllable Asset Registry'!#REF!,IFERROR('Controllable Asset Registry'!#REF!=A802,FALSE),"No Equipment in entity"))</f>
        <v>#REF!</v>
      </c>
    </row>
    <row r="803" spans="1:4" x14ac:dyDescent="0.3">
      <c r="A803" t="s">
        <v>4736</v>
      </c>
      <c r="B803" t="s">
        <v>5516</v>
      </c>
      <c r="C803" t="s">
        <v>4737</v>
      </c>
      <c r="D803" t="e" cm="1">
        <f t="array" ref="D803">TRANSPOSE(_xlfn._xlws.FILTER('Controllable Asset Registry'!#REF!,IFERROR('Controllable Asset Registry'!#REF!=A803,FALSE),"No Equipment in entity"))</f>
        <v>#REF!</v>
      </c>
    </row>
    <row r="804" spans="1:4" x14ac:dyDescent="0.3">
      <c r="A804" t="s">
        <v>4013</v>
      </c>
      <c r="B804" t="s">
        <v>5517</v>
      </c>
      <c r="C804" t="s">
        <v>4738</v>
      </c>
      <c r="D804" t="e" cm="1">
        <f t="array" ref="D804">TRANSPOSE(_xlfn._xlws.FILTER('Controllable Asset Registry'!#REF!,IFERROR('Controllable Asset Registry'!#REF!=A804,FALSE),"No Equipment in entity"))</f>
        <v>#REF!</v>
      </c>
    </row>
    <row r="805" spans="1:4" x14ac:dyDescent="0.3">
      <c r="A805" t="s">
        <v>4012</v>
      </c>
      <c r="B805" t="s">
        <v>5518</v>
      </c>
      <c r="C805" t="s">
        <v>3475</v>
      </c>
      <c r="D805" t="e" cm="1">
        <f t="array" ref="D805">TRANSPOSE(_xlfn._xlws.FILTER('Controllable Asset Registry'!#REF!,IFERROR('Controllable Asset Registry'!#REF!=A805,FALSE),"No Equipment in entity"))</f>
        <v>#REF!</v>
      </c>
    </row>
    <row r="806" spans="1:4" x14ac:dyDescent="0.3">
      <c r="A806" t="s">
        <v>4739</v>
      </c>
      <c r="B806" t="s">
        <v>5519</v>
      </c>
      <c r="C806" t="s">
        <v>3335</v>
      </c>
      <c r="D806" t="e" cm="1">
        <f t="array" ref="D806">TRANSPOSE(_xlfn._xlws.FILTER('Controllable Asset Registry'!#REF!,IFERROR('Controllable Asset Registry'!#REF!=A806,FALSE),"No Equipment in entity"))</f>
        <v>#REF!</v>
      </c>
    </row>
    <row r="807" spans="1:4" x14ac:dyDescent="0.3">
      <c r="A807" t="s">
        <v>4740</v>
      </c>
      <c r="B807" t="s">
        <v>5520</v>
      </c>
      <c r="C807" t="s">
        <v>4437</v>
      </c>
      <c r="D807" t="e" cm="1">
        <f t="array" ref="D807">TRANSPOSE(_xlfn._xlws.FILTER('Controllable Asset Registry'!#REF!,IFERROR('Controllable Asset Registry'!#REF!=A807,FALSE),"No Equipment in entity"))</f>
        <v>#REF!</v>
      </c>
    </row>
    <row r="808" spans="1:4" x14ac:dyDescent="0.3">
      <c r="A808" t="s">
        <v>4016</v>
      </c>
      <c r="B808" t="s">
        <v>5521</v>
      </c>
      <c r="C808" t="s">
        <v>4741</v>
      </c>
      <c r="D808" t="e" cm="1">
        <f t="array" ref="D808">TRANSPOSE(_xlfn._xlws.FILTER('Controllable Asset Registry'!#REF!,IFERROR('Controllable Asset Registry'!#REF!=A808,FALSE),"No Equipment in entity"))</f>
        <v>#REF!</v>
      </c>
    </row>
    <row r="809" spans="1:4" x14ac:dyDescent="0.3">
      <c r="A809" t="s">
        <v>3522</v>
      </c>
      <c r="B809" t="s">
        <v>5522</v>
      </c>
      <c r="C809" t="s">
        <v>4742</v>
      </c>
      <c r="D809" t="e" cm="1">
        <f t="array" ref="D809">TRANSPOSE(_xlfn._xlws.FILTER('Controllable Asset Registry'!#REF!,IFERROR('Controllable Asset Registry'!#REF!=A809,FALSE),"No Equipment in entity"))</f>
        <v>#REF!</v>
      </c>
    </row>
    <row r="810" spans="1:4" x14ac:dyDescent="0.3">
      <c r="A810" t="s">
        <v>4015</v>
      </c>
      <c r="B810" t="s">
        <v>5523</v>
      </c>
      <c r="C810" t="s">
        <v>4743</v>
      </c>
      <c r="D810" t="e" cm="1">
        <f t="array" ref="D810">TRANSPOSE(_xlfn._xlws.FILTER('Controllable Asset Registry'!#REF!,IFERROR('Controllable Asset Registry'!#REF!=A810,FALSE),"No Equipment in entity"))</f>
        <v>#REF!</v>
      </c>
    </row>
    <row r="811" spans="1:4" x14ac:dyDescent="0.3">
      <c r="A811" t="s">
        <v>3521</v>
      </c>
      <c r="B811" t="s">
        <v>5524</v>
      </c>
      <c r="C811" t="s">
        <v>4613</v>
      </c>
      <c r="D811" t="e" cm="1">
        <f t="array" ref="D811">TRANSPOSE(_xlfn._xlws.FILTER('Controllable Asset Registry'!#REF!,IFERROR('Controllable Asset Registry'!#REF!=A811,FALSE),"No Equipment in entity"))</f>
        <v>#REF!</v>
      </c>
    </row>
    <row r="812" spans="1:4" x14ac:dyDescent="0.3">
      <c r="A812" t="s">
        <v>4744</v>
      </c>
      <c r="B812" t="s">
        <v>5525</v>
      </c>
      <c r="C812" t="s">
        <v>3335</v>
      </c>
      <c r="D812" t="e" cm="1">
        <f t="array" ref="D812">TRANSPOSE(_xlfn._xlws.FILTER('Controllable Asset Registry'!#REF!,IFERROR('Controllable Asset Registry'!#REF!=A812,FALSE),"No Equipment in entity"))</f>
        <v>#REF!</v>
      </c>
    </row>
    <row r="813" spans="1:4" x14ac:dyDescent="0.3">
      <c r="A813" t="s">
        <v>4745</v>
      </c>
      <c r="B813" t="s">
        <v>5526</v>
      </c>
      <c r="C813" t="s">
        <v>4746</v>
      </c>
      <c r="D813" t="e" cm="1">
        <f t="array" ref="D813">TRANSPOSE(_xlfn._xlws.FILTER('Controllable Asset Registry'!#REF!,IFERROR('Controllable Asset Registry'!#REF!=A813,FALSE),"No Equipment in entity"))</f>
        <v>#REF!</v>
      </c>
    </row>
    <row r="814" spans="1:4" x14ac:dyDescent="0.3">
      <c r="A814" t="s">
        <v>4747</v>
      </c>
      <c r="B814" t="s">
        <v>5527</v>
      </c>
      <c r="C814" t="s">
        <v>4186</v>
      </c>
      <c r="D814" t="e" cm="1">
        <f t="array" ref="D814">TRANSPOSE(_xlfn._xlws.FILTER('Controllable Asset Registry'!#REF!,IFERROR('Controllable Asset Registry'!#REF!=A814,FALSE),"No Equipment in entity"))</f>
        <v>#REF!</v>
      </c>
    </row>
    <row r="815" spans="1:4" x14ac:dyDescent="0.3">
      <c r="A815" t="s">
        <v>4748</v>
      </c>
      <c r="B815" t="s">
        <v>5528</v>
      </c>
      <c r="C815" t="s">
        <v>4197</v>
      </c>
      <c r="D815" t="e" cm="1">
        <f t="array" ref="D815">TRANSPOSE(_xlfn._xlws.FILTER('Controllable Asset Registry'!#REF!,IFERROR('Controllable Asset Registry'!#REF!=A815,FALSE),"No Equipment in entity"))</f>
        <v>#REF!</v>
      </c>
    </row>
    <row r="816" spans="1:4" x14ac:dyDescent="0.3">
      <c r="A816" t="s">
        <v>4749</v>
      </c>
      <c r="B816" t="s">
        <v>5529</v>
      </c>
      <c r="C816" t="s">
        <v>4200</v>
      </c>
      <c r="D816" t="e" cm="1">
        <f t="array" ref="D816">TRANSPOSE(_xlfn._xlws.FILTER('Controllable Asset Registry'!#REF!,IFERROR('Controllable Asset Registry'!#REF!=A816,FALSE),"No Equipment in entity"))</f>
        <v>#REF!</v>
      </c>
    </row>
    <row r="817" spans="1:4" x14ac:dyDescent="0.3">
      <c r="A817" t="s">
        <v>4014</v>
      </c>
      <c r="B817" t="s">
        <v>5530</v>
      </c>
      <c r="C817" t="s">
        <v>4197</v>
      </c>
      <c r="D817" t="e" cm="1">
        <f t="array" ref="D817">TRANSPOSE(_xlfn._xlws.FILTER('Controllable Asset Registry'!#REF!,IFERROR('Controllable Asset Registry'!#REF!=A817,FALSE),"No Equipment in entity"))</f>
        <v>#REF!</v>
      </c>
    </row>
    <row r="818" spans="1:4" x14ac:dyDescent="0.3">
      <c r="A818" t="s">
        <v>4750</v>
      </c>
      <c r="B818" t="s">
        <v>5531</v>
      </c>
      <c r="C818" t="s">
        <v>4200</v>
      </c>
      <c r="D818" t="e" cm="1">
        <f t="array" ref="D818">TRANSPOSE(_xlfn._xlws.FILTER('Controllable Asset Registry'!#REF!,IFERROR('Controllable Asset Registry'!#REF!=A818,FALSE),"No Equipment in entity"))</f>
        <v>#REF!</v>
      </c>
    </row>
    <row r="819" spans="1:4" x14ac:dyDescent="0.3">
      <c r="A819" t="s">
        <v>4751</v>
      </c>
      <c r="B819" t="s">
        <v>5532</v>
      </c>
      <c r="C819" t="s">
        <v>3344</v>
      </c>
      <c r="D819" t="e" cm="1">
        <f t="array" ref="D819">TRANSPOSE(_xlfn._xlws.FILTER('Controllable Asset Registry'!#REF!,IFERROR('Controllable Asset Registry'!#REF!=A819,FALSE),"No Equipment in entity"))</f>
        <v>#REF!</v>
      </c>
    </row>
    <row r="820" spans="1:4" x14ac:dyDescent="0.3">
      <c r="A820" t="s">
        <v>4752</v>
      </c>
      <c r="B820" t="s">
        <v>5533</v>
      </c>
      <c r="C820" t="s">
        <v>3344</v>
      </c>
      <c r="D820" t="e" cm="1">
        <f t="array" ref="D820">TRANSPOSE(_xlfn._xlws.FILTER('Controllable Asset Registry'!#REF!,IFERROR('Controllable Asset Registry'!#REF!=A820,FALSE),"No Equipment in entity"))</f>
        <v>#REF!</v>
      </c>
    </row>
    <row r="821" spans="1:4" x14ac:dyDescent="0.3">
      <c r="A821" t="s">
        <v>4753</v>
      </c>
      <c r="B821" t="s">
        <v>5534</v>
      </c>
      <c r="C821" t="s">
        <v>3344</v>
      </c>
      <c r="D821" t="e" cm="1">
        <f t="array" ref="D821">TRANSPOSE(_xlfn._xlws.FILTER('Controllable Asset Registry'!#REF!,IFERROR('Controllable Asset Registry'!#REF!=A821,FALSE),"No Equipment in entity"))</f>
        <v>#REF!</v>
      </c>
    </row>
    <row r="822" spans="1:4" x14ac:dyDescent="0.3">
      <c r="A822" t="s">
        <v>4754</v>
      </c>
      <c r="B822" t="s">
        <v>5535</v>
      </c>
      <c r="C822" t="s">
        <v>3344</v>
      </c>
      <c r="D822" t="e" cm="1">
        <f t="array" ref="D822">TRANSPOSE(_xlfn._xlws.FILTER('Controllable Asset Registry'!#REF!,IFERROR('Controllable Asset Registry'!#REF!=A822,FALSE),"No Equipment in entity"))</f>
        <v>#REF!</v>
      </c>
    </row>
    <row r="823" spans="1:4" x14ac:dyDescent="0.3">
      <c r="A823" t="s">
        <v>4755</v>
      </c>
      <c r="B823" t="s">
        <v>5536</v>
      </c>
      <c r="C823" t="s">
        <v>3344</v>
      </c>
      <c r="D823" t="e" cm="1">
        <f t="array" ref="D823">TRANSPOSE(_xlfn._xlws.FILTER('Controllable Asset Registry'!#REF!,IFERROR('Controllable Asset Registry'!#REF!=A823,FALSE),"No Equipment in entity"))</f>
        <v>#REF!</v>
      </c>
    </row>
    <row r="824" spans="1:4" x14ac:dyDescent="0.3">
      <c r="A824" t="s">
        <v>3595</v>
      </c>
      <c r="B824" t="s">
        <v>5537</v>
      </c>
      <c r="C824" t="s">
        <v>4206</v>
      </c>
      <c r="D824" t="e" cm="1">
        <f t="array" ref="D824">TRANSPOSE(_xlfn._xlws.FILTER('Controllable Asset Registry'!#REF!,IFERROR('Controllable Asset Registry'!#REF!=A824,FALSE),"No Equipment in entity"))</f>
        <v>#REF!</v>
      </c>
    </row>
    <row r="825" spans="1:4" x14ac:dyDescent="0.3">
      <c r="A825" t="s">
        <v>4756</v>
      </c>
      <c r="B825" t="s">
        <v>5538</v>
      </c>
      <c r="C825" t="s">
        <v>3341</v>
      </c>
      <c r="D825" t="e" cm="1">
        <f t="array" ref="D825">TRANSPOSE(_xlfn._xlws.FILTER('Controllable Asset Registry'!#REF!,IFERROR('Controllable Asset Registry'!#REF!=A825,FALSE),"No Equipment in entity"))</f>
        <v>#REF!</v>
      </c>
    </row>
    <row r="826" spans="1:4" x14ac:dyDescent="0.3">
      <c r="A826" t="s">
        <v>3594</v>
      </c>
      <c r="B826" t="s">
        <v>5539</v>
      </c>
      <c r="C826" t="s">
        <v>4206</v>
      </c>
      <c r="D826" t="e" cm="1">
        <f t="array" ref="D826">TRANSPOSE(_xlfn._xlws.FILTER('Controllable Asset Registry'!#REF!,IFERROR('Controllable Asset Registry'!#REF!=A826,FALSE),"No Equipment in entity"))</f>
        <v>#REF!</v>
      </c>
    </row>
    <row r="827" spans="1:4" x14ac:dyDescent="0.3">
      <c r="A827" t="s">
        <v>4757</v>
      </c>
      <c r="B827" t="s">
        <v>5540</v>
      </c>
      <c r="C827" t="s">
        <v>4591</v>
      </c>
      <c r="D827" t="e" cm="1">
        <f t="array" ref="D827">TRANSPOSE(_xlfn._xlws.FILTER('Controllable Asset Registry'!#REF!,IFERROR('Controllable Asset Registry'!#REF!=A827,FALSE),"No Equipment in entity"))</f>
        <v>#REF!</v>
      </c>
    </row>
    <row r="828" spans="1:4" x14ac:dyDescent="0.3">
      <c r="A828" t="s">
        <v>4758</v>
      </c>
      <c r="B828" t="s">
        <v>5541</v>
      </c>
      <c r="C828" t="s">
        <v>4351</v>
      </c>
      <c r="D828" t="e" cm="1">
        <f t="array" ref="D828">TRANSPOSE(_xlfn._xlws.FILTER('Controllable Asset Registry'!#REF!,IFERROR('Controllable Asset Registry'!#REF!=A828,FALSE),"No Equipment in entity"))</f>
        <v>#REF!</v>
      </c>
    </row>
    <row r="829" spans="1:4" x14ac:dyDescent="0.3">
      <c r="A829" t="s">
        <v>4759</v>
      </c>
      <c r="B829" t="s">
        <v>5542</v>
      </c>
      <c r="C829" t="s">
        <v>3341</v>
      </c>
      <c r="D829" t="e" cm="1">
        <f t="array" ref="D829">TRANSPOSE(_xlfn._xlws.FILTER('Controllable Asset Registry'!#REF!,IFERROR('Controllable Asset Registry'!#REF!=A829,FALSE),"No Equipment in entity"))</f>
        <v>#REF!</v>
      </c>
    </row>
    <row r="830" spans="1:4" x14ac:dyDescent="0.3">
      <c r="A830" t="s">
        <v>5897</v>
      </c>
      <c r="B830" t="s">
        <v>5898</v>
      </c>
      <c r="C830" t="s">
        <v>4365</v>
      </c>
      <c r="D830" t="e" cm="1">
        <f t="array" ref="D830">TRANSPOSE(_xlfn._xlws.FILTER('Controllable Asset Registry'!#REF!,IFERROR('Controllable Asset Registry'!#REF!=A830,FALSE),"No Equipment in entity"))</f>
        <v>#REF!</v>
      </c>
    </row>
    <row r="831" spans="1:4" x14ac:dyDescent="0.3">
      <c r="A831" t="s">
        <v>5899</v>
      </c>
      <c r="B831" t="s">
        <v>5900</v>
      </c>
      <c r="C831" t="s">
        <v>4368</v>
      </c>
      <c r="D831" t="e" cm="1">
        <f t="array" ref="D831">TRANSPOSE(_xlfn._xlws.FILTER('Controllable Asset Registry'!#REF!,IFERROR('Controllable Asset Registry'!#REF!=A831,FALSE),"No Equipment in entity"))</f>
        <v>#REF!</v>
      </c>
    </row>
    <row r="832" spans="1:4" x14ac:dyDescent="0.3">
      <c r="A832" t="s">
        <v>5901</v>
      </c>
      <c r="B832" t="s">
        <v>5902</v>
      </c>
      <c r="C832" t="s">
        <v>4371</v>
      </c>
      <c r="D832" t="e" cm="1">
        <f t="array" ref="D832">TRANSPOSE(_xlfn._xlws.FILTER('Controllable Asset Registry'!#REF!,IFERROR('Controllable Asset Registry'!#REF!=A832,FALSE),"No Equipment in entity"))</f>
        <v>#REF!</v>
      </c>
    </row>
    <row r="833" spans="1:4" x14ac:dyDescent="0.3">
      <c r="A833" t="s">
        <v>5903</v>
      </c>
      <c r="B833" t="s">
        <v>5904</v>
      </c>
      <c r="C833" t="s">
        <v>4235</v>
      </c>
      <c r="D833" t="e" cm="1">
        <f t="array" ref="D833">TRANSPOSE(_xlfn._xlws.FILTER('Controllable Asset Registry'!#REF!,IFERROR('Controllable Asset Registry'!#REF!=A833,FALSE),"No Equipment in entity"))</f>
        <v>#REF!</v>
      </c>
    </row>
    <row r="834" spans="1:4" x14ac:dyDescent="0.3">
      <c r="A834" t="s">
        <v>5905</v>
      </c>
      <c r="B834" t="s">
        <v>5906</v>
      </c>
      <c r="C834" t="s">
        <v>4238</v>
      </c>
      <c r="D834" t="e" cm="1">
        <f t="array" ref="D834">TRANSPOSE(_xlfn._xlws.FILTER('Controllable Asset Registry'!#REF!,IFERROR('Controllable Asset Registry'!#REF!=A834,FALSE),"No Equipment in entity"))</f>
        <v>#REF!</v>
      </c>
    </row>
    <row r="835" spans="1:4" x14ac:dyDescent="0.3">
      <c r="A835" t="s">
        <v>5907</v>
      </c>
      <c r="B835" t="s">
        <v>5908</v>
      </c>
      <c r="C835" t="s">
        <v>4241</v>
      </c>
      <c r="D835" t="e" cm="1">
        <f t="array" ref="D835">TRANSPOSE(_xlfn._xlws.FILTER('Controllable Asset Registry'!#REF!,IFERROR('Controllable Asset Registry'!#REF!=A835,FALSE),"No Equipment in entity"))</f>
        <v>#REF!</v>
      </c>
    </row>
    <row r="836" spans="1:4" x14ac:dyDescent="0.3">
      <c r="A836" t="s">
        <v>5909</v>
      </c>
      <c r="B836" t="s">
        <v>5910</v>
      </c>
      <c r="C836" t="s">
        <v>4380</v>
      </c>
      <c r="D836" t="e" cm="1">
        <f t="array" ref="D836">TRANSPOSE(_xlfn._xlws.FILTER('Controllable Asset Registry'!#REF!,IFERROR('Controllable Asset Registry'!#REF!=A836,FALSE),"No Equipment in entity"))</f>
        <v>#REF!</v>
      </c>
    </row>
    <row r="837" spans="1:4" x14ac:dyDescent="0.3">
      <c r="A837" t="s">
        <v>5911</v>
      </c>
      <c r="B837" t="s">
        <v>5912</v>
      </c>
      <c r="C837" t="s">
        <v>4760</v>
      </c>
      <c r="D837" t="e" cm="1">
        <f t="array" ref="D837">TRANSPOSE(_xlfn._xlws.FILTER('Controllable Asset Registry'!#REF!,IFERROR('Controllable Asset Registry'!#REF!=A837,FALSE),"No Equipment in entity"))</f>
        <v>#REF!</v>
      </c>
    </row>
    <row r="838" spans="1:4" x14ac:dyDescent="0.3">
      <c r="A838" t="s">
        <v>5913</v>
      </c>
      <c r="B838" t="s">
        <v>5914</v>
      </c>
      <c r="C838" t="s">
        <v>4761</v>
      </c>
      <c r="D838" t="e" cm="1">
        <f t="array" ref="D838">TRANSPOSE(_xlfn._xlws.FILTER('Controllable Asset Registry'!#REF!,IFERROR('Controllable Asset Registry'!#REF!=A838,FALSE),"No Equipment in entity"))</f>
        <v>#REF!</v>
      </c>
    </row>
    <row r="839" spans="1:4" x14ac:dyDescent="0.3">
      <c r="A839" t="s">
        <v>5915</v>
      </c>
      <c r="B839" t="s">
        <v>5916</v>
      </c>
      <c r="C839" t="s">
        <v>4248</v>
      </c>
      <c r="D839" t="e" cm="1">
        <f t="array" ref="D839">TRANSPOSE(_xlfn._xlws.FILTER('Controllable Asset Registry'!#REF!,IFERROR('Controllable Asset Registry'!#REF!=A839,FALSE),"No Equipment in entity"))</f>
        <v>#REF!</v>
      </c>
    </row>
    <row r="840" spans="1:4" x14ac:dyDescent="0.3">
      <c r="A840" t="s">
        <v>5917</v>
      </c>
      <c r="B840" t="s">
        <v>5918</v>
      </c>
      <c r="C840" t="s">
        <v>4387</v>
      </c>
      <c r="D840" t="e" cm="1">
        <f t="array" ref="D840">TRANSPOSE(_xlfn._xlws.FILTER('Controllable Asset Registry'!#REF!,IFERROR('Controllable Asset Registry'!#REF!=A840,FALSE),"No Equipment in entity"))</f>
        <v>#REF!</v>
      </c>
    </row>
    <row r="841" spans="1:4" x14ac:dyDescent="0.3">
      <c r="A841" t="s">
        <v>4762</v>
      </c>
      <c r="B841" t="s">
        <v>5543</v>
      </c>
      <c r="C841" t="s">
        <v>4763</v>
      </c>
      <c r="D841" t="e" cm="1">
        <f t="array" ref="D841">TRANSPOSE(_xlfn._xlws.FILTER('Controllable Asset Registry'!#REF!,IFERROR('Controllable Asset Registry'!#REF!=A841,FALSE),"No Equipment in entity"))</f>
        <v>#REF!</v>
      </c>
    </row>
    <row r="842" spans="1:4" x14ac:dyDescent="0.3">
      <c r="A842" t="s">
        <v>4764</v>
      </c>
      <c r="B842" t="s">
        <v>5544</v>
      </c>
      <c r="C842" t="s">
        <v>4765</v>
      </c>
      <c r="D842" t="e" cm="1">
        <f t="array" ref="D842">TRANSPOSE(_xlfn._xlws.FILTER('Controllable Asset Registry'!#REF!,IFERROR('Controllable Asset Registry'!#REF!=A842,FALSE),"No Equipment in entity"))</f>
        <v>#REF!</v>
      </c>
    </row>
    <row r="843" spans="1:4" x14ac:dyDescent="0.3">
      <c r="A843" t="s">
        <v>4766</v>
      </c>
      <c r="B843" t="s">
        <v>5545</v>
      </c>
      <c r="C843" t="s">
        <v>4767</v>
      </c>
      <c r="D843" t="e" cm="1">
        <f t="array" ref="D843">TRANSPOSE(_xlfn._xlws.FILTER('Controllable Asset Registry'!#REF!,IFERROR('Controllable Asset Registry'!#REF!=A843,FALSE),"No Equipment in entity"))</f>
        <v>#REF!</v>
      </c>
    </row>
    <row r="844" spans="1:4" x14ac:dyDescent="0.3">
      <c r="A844" t="s">
        <v>4049</v>
      </c>
      <c r="B844" t="s">
        <v>5546</v>
      </c>
      <c r="C844" t="s">
        <v>4768</v>
      </c>
      <c r="D844" t="e" cm="1">
        <f t="array" ref="D844">TRANSPOSE(_xlfn._xlws.FILTER('Controllable Asset Registry'!#REF!,IFERROR('Controllable Asset Registry'!#REF!=A844,FALSE),"No Equipment in entity"))</f>
        <v>#REF!</v>
      </c>
    </row>
    <row r="845" spans="1:4" x14ac:dyDescent="0.3">
      <c r="A845" t="s">
        <v>4050</v>
      </c>
      <c r="B845" t="s">
        <v>5547</v>
      </c>
      <c r="C845" t="s">
        <v>4769</v>
      </c>
      <c r="D845" t="e" cm="1">
        <f t="array" ref="D845">TRANSPOSE(_xlfn._xlws.FILTER('Controllable Asset Registry'!#REF!,IFERROR('Controllable Asset Registry'!#REF!=A845,FALSE),"No Equipment in entity"))</f>
        <v>#REF!</v>
      </c>
    </row>
    <row r="846" spans="1:4" x14ac:dyDescent="0.3">
      <c r="A846" t="s">
        <v>4051</v>
      </c>
      <c r="B846" t="s">
        <v>5548</v>
      </c>
      <c r="C846" t="s">
        <v>4770</v>
      </c>
      <c r="D846" t="e" cm="1">
        <f t="array" ref="D846">TRANSPOSE(_xlfn._xlws.FILTER('Controllable Asset Registry'!#REF!,IFERROR('Controllable Asset Registry'!#REF!=A846,FALSE),"No Equipment in entity"))</f>
        <v>#REF!</v>
      </c>
    </row>
    <row r="847" spans="1:4" x14ac:dyDescent="0.3">
      <c r="A847" t="s">
        <v>4017</v>
      </c>
      <c r="B847" t="s">
        <v>5549</v>
      </c>
      <c r="C847" t="s">
        <v>4771</v>
      </c>
      <c r="D847" t="e" cm="1">
        <f t="array" ref="D847">TRANSPOSE(_xlfn._xlws.FILTER('Controllable Asset Registry'!#REF!,IFERROR('Controllable Asset Registry'!#REF!=A847,FALSE),"No Equipment in entity"))</f>
        <v>#REF!</v>
      </c>
    </row>
    <row r="848" spans="1:4" x14ac:dyDescent="0.3">
      <c r="A848" t="s">
        <v>4018</v>
      </c>
      <c r="B848" t="s">
        <v>5550</v>
      </c>
      <c r="C848" t="s">
        <v>4770</v>
      </c>
      <c r="D848" t="e" cm="1">
        <f t="array" ref="D848">TRANSPOSE(_xlfn._xlws.FILTER('Controllable Asset Registry'!#REF!,IFERROR('Controllable Asset Registry'!#REF!=A848,FALSE),"No Equipment in entity"))</f>
        <v>#REF!</v>
      </c>
    </row>
    <row r="849" spans="1:4" x14ac:dyDescent="0.3">
      <c r="A849" t="s">
        <v>4019</v>
      </c>
      <c r="B849" t="s">
        <v>5551</v>
      </c>
      <c r="C849" t="s">
        <v>4772</v>
      </c>
      <c r="D849" t="e" cm="1">
        <f t="array" ref="D849">TRANSPOSE(_xlfn._xlws.FILTER('Controllable Asset Registry'!#REF!,IFERROR('Controllable Asset Registry'!#REF!=A849,FALSE),"No Equipment in entity"))</f>
        <v>#REF!</v>
      </c>
    </row>
    <row r="850" spans="1:4" x14ac:dyDescent="0.3">
      <c r="A850" t="s">
        <v>4020</v>
      </c>
      <c r="B850" t="s">
        <v>5552</v>
      </c>
      <c r="C850" t="s">
        <v>4773</v>
      </c>
      <c r="D850" t="e" cm="1">
        <f t="array" ref="D850">TRANSPOSE(_xlfn._xlws.FILTER('Controllable Asset Registry'!#REF!,IFERROR('Controllable Asset Registry'!#REF!=A850,FALSE),"No Equipment in entity"))</f>
        <v>#REF!</v>
      </c>
    </row>
    <row r="851" spans="1:4" x14ac:dyDescent="0.3">
      <c r="A851" t="s">
        <v>4021</v>
      </c>
      <c r="B851" t="s">
        <v>5553</v>
      </c>
      <c r="C851" t="s">
        <v>4774</v>
      </c>
      <c r="D851" t="e" cm="1">
        <f t="array" ref="D851">TRANSPOSE(_xlfn._xlws.FILTER('Controllable Asset Registry'!#REF!,IFERROR('Controllable Asset Registry'!#REF!=A851,FALSE),"No Equipment in entity"))</f>
        <v>#REF!</v>
      </c>
    </row>
    <row r="852" spans="1:4" x14ac:dyDescent="0.3">
      <c r="A852" t="s">
        <v>4022</v>
      </c>
      <c r="B852" t="s">
        <v>5554</v>
      </c>
      <c r="C852" t="s">
        <v>4774</v>
      </c>
      <c r="D852" t="e" cm="1">
        <f t="array" ref="D852">TRANSPOSE(_xlfn._xlws.FILTER('Controllable Asset Registry'!#REF!,IFERROR('Controllable Asset Registry'!#REF!=A852,FALSE),"No Equipment in entity"))</f>
        <v>#REF!</v>
      </c>
    </row>
    <row r="853" spans="1:4" x14ac:dyDescent="0.3">
      <c r="A853" t="s">
        <v>4023</v>
      </c>
      <c r="B853" t="s">
        <v>5555</v>
      </c>
      <c r="C853" t="s">
        <v>4774</v>
      </c>
      <c r="D853" t="e" cm="1">
        <f t="array" ref="D853">TRANSPOSE(_xlfn._xlws.FILTER('Controllable Asset Registry'!#REF!,IFERROR('Controllable Asset Registry'!#REF!=A853,FALSE),"No Equipment in entity"))</f>
        <v>#REF!</v>
      </c>
    </row>
    <row r="854" spans="1:4" x14ac:dyDescent="0.3">
      <c r="A854" t="s">
        <v>4024</v>
      </c>
      <c r="B854" t="s">
        <v>5556</v>
      </c>
      <c r="C854" t="s">
        <v>4775</v>
      </c>
      <c r="D854" t="e" cm="1">
        <f t="array" ref="D854">TRANSPOSE(_xlfn._xlws.FILTER('Controllable Asset Registry'!#REF!,IFERROR('Controllable Asset Registry'!#REF!=A854,FALSE),"No Equipment in entity"))</f>
        <v>#REF!</v>
      </c>
    </row>
    <row r="855" spans="1:4" x14ac:dyDescent="0.3">
      <c r="A855" t="s">
        <v>4025</v>
      </c>
      <c r="B855" t="s">
        <v>5557</v>
      </c>
      <c r="C855" t="s">
        <v>4775</v>
      </c>
      <c r="D855" t="e" cm="1">
        <f t="array" ref="D855">TRANSPOSE(_xlfn._xlws.FILTER('Controllable Asset Registry'!#REF!,IFERROR('Controllable Asset Registry'!#REF!=A855,FALSE),"No Equipment in entity"))</f>
        <v>#REF!</v>
      </c>
    </row>
    <row r="856" spans="1:4" x14ac:dyDescent="0.3">
      <c r="A856" t="s">
        <v>3600</v>
      </c>
      <c r="B856" t="s">
        <v>5558</v>
      </c>
      <c r="C856" t="s">
        <v>4408</v>
      </c>
      <c r="D856" t="e" cm="1">
        <f t="array" ref="D856">TRANSPOSE(_xlfn._xlws.FILTER('Controllable Asset Registry'!#REF!,IFERROR('Controllable Asset Registry'!#REF!=A856,FALSE),"No Equipment in entity"))</f>
        <v>#REF!</v>
      </c>
    </row>
    <row r="857" spans="1:4" x14ac:dyDescent="0.3">
      <c r="A857" t="s">
        <v>4026</v>
      </c>
      <c r="B857" t="s">
        <v>5559</v>
      </c>
      <c r="C857" t="s">
        <v>4776</v>
      </c>
      <c r="D857" t="e" cm="1">
        <f t="array" ref="D857">TRANSPOSE(_xlfn._xlws.FILTER('Controllable Asset Registry'!#REF!,IFERROR('Controllable Asset Registry'!#REF!=A857,FALSE),"No Equipment in entity"))</f>
        <v>#REF!</v>
      </c>
    </row>
    <row r="858" spans="1:4" x14ac:dyDescent="0.3">
      <c r="A858" t="s">
        <v>4027</v>
      </c>
      <c r="B858" t="s">
        <v>5560</v>
      </c>
      <c r="C858" t="s">
        <v>4777</v>
      </c>
      <c r="D858" t="e" cm="1">
        <f t="array" ref="D858">TRANSPOSE(_xlfn._xlws.FILTER('Controllable Asset Registry'!#REF!,IFERROR('Controllable Asset Registry'!#REF!=A858,FALSE),"No Equipment in entity"))</f>
        <v>#REF!</v>
      </c>
    </row>
    <row r="859" spans="1:4" x14ac:dyDescent="0.3">
      <c r="A859" t="s">
        <v>4028</v>
      </c>
      <c r="B859" t="s">
        <v>5561</v>
      </c>
      <c r="C859" t="s">
        <v>4778</v>
      </c>
      <c r="D859" t="e" cm="1">
        <f t="array" ref="D859">TRANSPOSE(_xlfn._xlws.FILTER('Controllable Asset Registry'!#REF!,IFERROR('Controllable Asset Registry'!#REF!=A859,FALSE),"No Equipment in entity"))</f>
        <v>#REF!</v>
      </c>
    </row>
    <row r="860" spans="1:4" x14ac:dyDescent="0.3">
      <c r="A860" t="s">
        <v>4029</v>
      </c>
      <c r="B860" t="s">
        <v>5562</v>
      </c>
      <c r="C860" t="s">
        <v>4779</v>
      </c>
      <c r="D860" t="e" cm="1">
        <f t="array" ref="D860">TRANSPOSE(_xlfn._xlws.FILTER('Controllable Asset Registry'!#REF!,IFERROR('Controllable Asset Registry'!#REF!=A860,FALSE),"No Equipment in entity"))</f>
        <v>#REF!</v>
      </c>
    </row>
    <row r="861" spans="1:4" x14ac:dyDescent="0.3">
      <c r="A861" t="s">
        <v>4030</v>
      </c>
      <c r="B861" t="s">
        <v>5563</v>
      </c>
      <c r="C861" t="s">
        <v>4780</v>
      </c>
      <c r="D861" t="e" cm="1">
        <f t="array" ref="D861">TRANSPOSE(_xlfn._xlws.FILTER('Controllable Asset Registry'!#REF!,IFERROR('Controllable Asset Registry'!#REF!=A861,FALSE),"No Equipment in entity"))</f>
        <v>#REF!</v>
      </c>
    </row>
    <row r="862" spans="1:4" x14ac:dyDescent="0.3">
      <c r="A862" t="s">
        <v>4031</v>
      </c>
      <c r="B862" t="s">
        <v>5564</v>
      </c>
      <c r="C862" t="s">
        <v>4781</v>
      </c>
      <c r="D862" t="e" cm="1">
        <f t="array" ref="D862">TRANSPOSE(_xlfn._xlws.FILTER('Controllable Asset Registry'!#REF!,IFERROR('Controllable Asset Registry'!#REF!=A862,FALSE),"No Equipment in entity"))</f>
        <v>#REF!</v>
      </c>
    </row>
    <row r="863" spans="1:4" x14ac:dyDescent="0.3">
      <c r="A863" t="s">
        <v>4032</v>
      </c>
      <c r="B863" t="s">
        <v>5565</v>
      </c>
      <c r="C863" t="s">
        <v>4782</v>
      </c>
      <c r="D863" t="e" cm="1">
        <f t="array" ref="D863">TRANSPOSE(_xlfn._xlws.FILTER('Controllable Asset Registry'!#REF!,IFERROR('Controllable Asset Registry'!#REF!=A863,FALSE),"No Equipment in entity"))</f>
        <v>#REF!</v>
      </c>
    </row>
    <row r="864" spans="1:4" x14ac:dyDescent="0.3">
      <c r="A864" t="s">
        <v>4033</v>
      </c>
      <c r="B864" t="s">
        <v>5566</v>
      </c>
      <c r="C864" t="s">
        <v>4782</v>
      </c>
      <c r="D864" t="e" cm="1">
        <f t="array" ref="D864">TRANSPOSE(_xlfn._xlws.FILTER('Controllable Asset Registry'!#REF!,IFERROR('Controllable Asset Registry'!#REF!=A864,FALSE),"No Equipment in entity"))</f>
        <v>#REF!</v>
      </c>
    </row>
    <row r="865" spans="1:4" x14ac:dyDescent="0.3">
      <c r="A865" t="s">
        <v>4034</v>
      </c>
      <c r="B865" t="s">
        <v>5567</v>
      </c>
      <c r="C865" t="s">
        <v>4783</v>
      </c>
      <c r="D865" t="e" cm="1">
        <f t="array" ref="D865">TRANSPOSE(_xlfn._xlws.FILTER('Controllable Asset Registry'!#REF!,IFERROR('Controllable Asset Registry'!#REF!=A865,FALSE),"No Equipment in entity"))</f>
        <v>#REF!</v>
      </c>
    </row>
    <row r="866" spans="1:4" x14ac:dyDescent="0.3">
      <c r="A866" t="s">
        <v>4035</v>
      </c>
      <c r="B866" t="s">
        <v>5568</v>
      </c>
      <c r="C866" t="s">
        <v>4784</v>
      </c>
      <c r="D866" t="e" cm="1">
        <f t="array" ref="D866">TRANSPOSE(_xlfn._xlws.FILTER('Controllable Asset Registry'!#REF!,IFERROR('Controllable Asset Registry'!#REF!=A866,FALSE),"No Equipment in entity"))</f>
        <v>#REF!</v>
      </c>
    </row>
    <row r="867" spans="1:4" x14ac:dyDescent="0.3">
      <c r="A867" t="s">
        <v>4036</v>
      </c>
      <c r="B867" t="s">
        <v>5569</v>
      </c>
      <c r="C867" t="s">
        <v>4785</v>
      </c>
      <c r="D867" t="e" cm="1">
        <f t="array" ref="D867">TRANSPOSE(_xlfn._xlws.FILTER('Controllable Asset Registry'!#REF!,IFERROR('Controllable Asset Registry'!#REF!=A867,FALSE),"No Equipment in entity"))</f>
        <v>#REF!</v>
      </c>
    </row>
    <row r="868" spans="1:4" x14ac:dyDescent="0.3">
      <c r="A868" t="s">
        <v>4037</v>
      </c>
      <c r="B868" t="s">
        <v>5570</v>
      </c>
      <c r="C868" t="s">
        <v>4786</v>
      </c>
      <c r="D868" t="e" cm="1">
        <f t="array" ref="D868">TRANSPOSE(_xlfn._xlws.FILTER('Controllable Asset Registry'!#REF!,IFERROR('Controllable Asset Registry'!#REF!=A868,FALSE),"No Equipment in entity"))</f>
        <v>#REF!</v>
      </c>
    </row>
    <row r="869" spans="1:4" x14ac:dyDescent="0.3">
      <c r="A869" t="s">
        <v>4038</v>
      </c>
      <c r="B869" t="s">
        <v>5571</v>
      </c>
      <c r="C869" t="s">
        <v>4787</v>
      </c>
      <c r="D869" t="e" cm="1">
        <f t="array" ref="D869">TRANSPOSE(_xlfn._xlws.FILTER('Controllable Asset Registry'!#REF!,IFERROR('Controllable Asset Registry'!#REF!=A869,FALSE),"No Equipment in entity"))</f>
        <v>#REF!</v>
      </c>
    </row>
    <row r="870" spans="1:4" x14ac:dyDescent="0.3">
      <c r="A870" t="s">
        <v>4039</v>
      </c>
      <c r="B870" t="s">
        <v>5572</v>
      </c>
      <c r="C870" t="s">
        <v>4788</v>
      </c>
      <c r="D870" t="e" cm="1">
        <f t="array" ref="D870">TRANSPOSE(_xlfn._xlws.FILTER('Controllable Asset Registry'!#REF!,IFERROR('Controllable Asset Registry'!#REF!=A870,FALSE),"No Equipment in entity"))</f>
        <v>#REF!</v>
      </c>
    </row>
    <row r="871" spans="1:4" x14ac:dyDescent="0.3">
      <c r="A871" t="s">
        <v>4040</v>
      </c>
      <c r="B871" t="s">
        <v>5573</v>
      </c>
      <c r="C871" t="s">
        <v>4789</v>
      </c>
      <c r="D871" t="e" cm="1">
        <f t="array" ref="D871">TRANSPOSE(_xlfn._xlws.FILTER('Controllable Asset Registry'!#REF!,IFERROR('Controllable Asset Registry'!#REF!=A871,FALSE),"No Equipment in entity"))</f>
        <v>#REF!</v>
      </c>
    </row>
    <row r="872" spans="1:4" x14ac:dyDescent="0.3">
      <c r="A872" t="s">
        <v>4790</v>
      </c>
      <c r="B872" t="s">
        <v>5574</v>
      </c>
      <c r="C872" t="s">
        <v>4279</v>
      </c>
      <c r="D872" t="e" cm="1">
        <f t="array" ref="D872">TRANSPOSE(_xlfn._xlws.FILTER('Controllable Asset Registry'!#REF!,IFERROR('Controllable Asset Registry'!#REF!=A872,FALSE),"No Equipment in entity"))</f>
        <v>#REF!</v>
      </c>
    </row>
    <row r="873" spans="1:4" x14ac:dyDescent="0.3">
      <c r="A873" t="s">
        <v>4042</v>
      </c>
      <c r="B873" t="s">
        <v>5575</v>
      </c>
      <c r="C873" t="s">
        <v>4791</v>
      </c>
      <c r="D873" t="e" cm="1">
        <f t="array" ref="D873">TRANSPOSE(_xlfn._xlws.FILTER('Controllable Asset Registry'!#REF!,IFERROR('Controllable Asset Registry'!#REF!=A873,FALSE),"No Equipment in entity"))</f>
        <v>#REF!</v>
      </c>
    </row>
    <row r="874" spans="1:4" x14ac:dyDescent="0.3">
      <c r="A874" t="s">
        <v>4043</v>
      </c>
      <c r="B874" t="s">
        <v>5576</v>
      </c>
      <c r="C874" t="s">
        <v>4792</v>
      </c>
      <c r="D874" t="e" cm="1">
        <f t="array" ref="D874">TRANSPOSE(_xlfn._xlws.FILTER('Controllable Asset Registry'!#REF!,IFERROR('Controllable Asset Registry'!#REF!=A874,FALSE),"No Equipment in entity"))</f>
        <v>#REF!</v>
      </c>
    </row>
    <row r="875" spans="1:4" x14ac:dyDescent="0.3">
      <c r="A875" t="s">
        <v>4044</v>
      </c>
      <c r="B875" t="s">
        <v>5577</v>
      </c>
      <c r="C875" t="s">
        <v>4793</v>
      </c>
      <c r="D875" t="e" cm="1">
        <f t="array" ref="D875">TRANSPOSE(_xlfn._xlws.FILTER('Controllable Asset Registry'!#REF!,IFERROR('Controllable Asset Registry'!#REF!=A875,FALSE),"No Equipment in entity"))</f>
        <v>#REF!</v>
      </c>
    </row>
    <row r="876" spans="1:4" x14ac:dyDescent="0.3">
      <c r="A876" t="s">
        <v>4045</v>
      </c>
      <c r="B876" t="s">
        <v>5578</v>
      </c>
      <c r="C876" t="s">
        <v>4794</v>
      </c>
      <c r="D876" t="e" cm="1">
        <f t="array" ref="D876">TRANSPOSE(_xlfn._xlws.FILTER('Controllable Asset Registry'!#REF!,IFERROR('Controllable Asset Registry'!#REF!=A876,FALSE),"No Equipment in entity"))</f>
        <v>#REF!</v>
      </c>
    </row>
    <row r="877" spans="1:4" x14ac:dyDescent="0.3">
      <c r="A877" t="s">
        <v>4046</v>
      </c>
      <c r="B877" t="s">
        <v>5579</v>
      </c>
      <c r="C877" t="s">
        <v>4795</v>
      </c>
      <c r="D877" t="e" cm="1">
        <f t="array" ref="D877">TRANSPOSE(_xlfn._xlws.FILTER('Controllable Asset Registry'!#REF!,IFERROR('Controllable Asset Registry'!#REF!=A877,FALSE),"No Equipment in entity"))</f>
        <v>#REF!</v>
      </c>
    </row>
    <row r="878" spans="1:4" x14ac:dyDescent="0.3">
      <c r="A878" t="s">
        <v>4047</v>
      </c>
      <c r="B878" t="s">
        <v>5580</v>
      </c>
      <c r="C878" t="s">
        <v>4796</v>
      </c>
      <c r="D878" t="e" cm="1">
        <f t="array" ref="D878">TRANSPOSE(_xlfn._xlws.FILTER('Controllable Asset Registry'!#REF!,IFERROR('Controllable Asset Registry'!#REF!=A878,FALSE),"No Equipment in entity"))</f>
        <v>#REF!</v>
      </c>
    </row>
    <row r="879" spans="1:4" x14ac:dyDescent="0.3">
      <c r="A879" t="s">
        <v>4048</v>
      </c>
      <c r="B879" t="s">
        <v>5581</v>
      </c>
      <c r="C879" t="s">
        <v>4797</v>
      </c>
      <c r="D879" t="e" cm="1">
        <f t="array" ref="D879">TRANSPOSE(_xlfn._xlws.FILTER('Controllable Asset Registry'!#REF!,IFERROR('Controllable Asset Registry'!#REF!=A879,FALSE),"No Equipment in entity"))</f>
        <v>#REF!</v>
      </c>
    </row>
    <row r="880" spans="1:4" x14ac:dyDescent="0.3">
      <c r="A880" t="s">
        <v>3599</v>
      </c>
      <c r="B880" t="s">
        <v>5582</v>
      </c>
      <c r="C880" t="s">
        <v>4408</v>
      </c>
      <c r="D880" t="e" cm="1">
        <f t="array" ref="D880">TRANSPOSE(_xlfn._xlws.FILTER('Controllable Asset Registry'!#REF!,IFERROR('Controllable Asset Registry'!#REF!=A880,FALSE),"No Equipment in entity"))</f>
        <v>#REF!</v>
      </c>
    </row>
    <row r="881" spans="1:4" x14ac:dyDescent="0.3">
      <c r="A881" t="s">
        <v>4054</v>
      </c>
      <c r="B881" t="s">
        <v>5583</v>
      </c>
      <c r="C881" t="s">
        <v>4679</v>
      </c>
      <c r="D881" t="e" cm="1">
        <f t="array" ref="D881">TRANSPOSE(_xlfn._xlws.FILTER('Controllable Asset Registry'!#REF!,IFERROR('Controllable Asset Registry'!#REF!=A881,FALSE),"No Equipment in entity"))</f>
        <v>#REF!</v>
      </c>
    </row>
    <row r="882" spans="1:4" x14ac:dyDescent="0.3">
      <c r="A882" t="s">
        <v>4056</v>
      </c>
      <c r="B882" t="s">
        <v>5584</v>
      </c>
      <c r="C882" t="s">
        <v>4798</v>
      </c>
      <c r="D882" t="e" cm="1">
        <f t="array" ref="D882">TRANSPOSE(_xlfn._xlws.FILTER('Controllable Asset Registry'!#REF!,IFERROR('Controllable Asset Registry'!#REF!=A882,FALSE),"No Equipment in entity"))</f>
        <v>#REF!</v>
      </c>
    </row>
    <row r="883" spans="1:4" x14ac:dyDescent="0.3">
      <c r="A883" t="s">
        <v>4799</v>
      </c>
      <c r="B883" t="s">
        <v>5585</v>
      </c>
      <c r="C883" t="s">
        <v>4800</v>
      </c>
      <c r="D883" t="e" cm="1">
        <f t="array" ref="D883">TRANSPOSE(_xlfn._xlws.FILTER('Controllable Asset Registry'!#REF!,IFERROR('Controllable Asset Registry'!#REF!=A883,FALSE),"No Equipment in entity"))</f>
        <v>#REF!</v>
      </c>
    </row>
    <row r="884" spans="1:4" x14ac:dyDescent="0.3">
      <c r="A884" t="s">
        <v>4801</v>
      </c>
      <c r="B884" t="s">
        <v>5586</v>
      </c>
      <c r="C884" t="s">
        <v>4802</v>
      </c>
      <c r="D884" t="e" cm="1">
        <f t="array" ref="D884">TRANSPOSE(_xlfn._xlws.FILTER('Controllable Asset Registry'!#REF!,IFERROR('Controllable Asset Registry'!#REF!=A884,FALSE),"No Equipment in entity"))</f>
        <v>#REF!</v>
      </c>
    </row>
    <row r="885" spans="1:4" x14ac:dyDescent="0.3">
      <c r="A885" t="s">
        <v>4803</v>
      </c>
      <c r="B885" t="s">
        <v>5587</v>
      </c>
      <c r="C885" t="s">
        <v>4802</v>
      </c>
      <c r="D885" t="e" cm="1">
        <f t="array" ref="D885">TRANSPOSE(_xlfn._xlws.FILTER('Controllable Asset Registry'!#REF!,IFERROR('Controllable Asset Registry'!#REF!=A885,FALSE),"No Equipment in entity"))</f>
        <v>#REF!</v>
      </c>
    </row>
    <row r="886" spans="1:4" x14ac:dyDescent="0.3">
      <c r="A886" t="s">
        <v>4052</v>
      </c>
      <c r="B886" t="s">
        <v>5588</v>
      </c>
      <c r="C886" t="s">
        <v>3475</v>
      </c>
      <c r="D886" t="e" cm="1">
        <f t="array" ref="D886">TRANSPOSE(_xlfn._xlws.FILTER('Controllable Asset Registry'!#REF!,IFERROR('Controllable Asset Registry'!#REF!=A886,FALSE),"No Equipment in entity"))</f>
        <v>#REF!</v>
      </c>
    </row>
    <row r="887" spans="1:4" x14ac:dyDescent="0.3">
      <c r="A887" t="s">
        <v>4804</v>
      </c>
      <c r="B887" t="s">
        <v>5589</v>
      </c>
      <c r="C887" t="s">
        <v>3335</v>
      </c>
      <c r="D887" t="e" cm="1">
        <f t="array" ref="D887">TRANSPOSE(_xlfn._xlws.FILTER('Controllable Asset Registry'!#REF!,IFERROR('Controllable Asset Registry'!#REF!=A887,FALSE),"No Equipment in entity"))</f>
        <v>#REF!</v>
      </c>
    </row>
    <row r="888" spans="1:4" x14ac:dyDescent="0.3">
      <c r="A888" t="s">
        <v>4805</v>
      </c>
      <c r="B888" t="s">
        <v>5590</v>
      </c>
      <c r="C888" t="s">
        <v>4437</v>
      </c>
      <c r="D888" t="e" cm="1">
        <f t="array" ref="D888">TRANSPOSE(_xlfn._xlws.FILTER('Controllable Asset Registry'!#REF!,IFERROR('Controllable Asset Registry'!#REF!=A888,FALSE),"No Equipment in entity"))</f>
        <v>#REF!</v>
      </c>
    </row>
    <row r="889" spans="1:4" x14ac:dyDescent="0.3">
      <c r="A889" t="s">
        <v>4053</v>
      </c>
      <c r="B889" t="s">
        <v>5591</v>
      </c>
      <c r="C889" t="s">
        <v>4806</v>
      </c>
      <c r="D889" t="e" cm="1">
        <f t="array" ref="D889">TRANSPOSE(_xlfn._xlws.FILTER('Controllable Asset Registry'!#REF!,IFERROR('Controllable Asset Registry'!#REF!=A889,FALSE),"No Equipment in entity"))</f>
        <v>#REF!</v>
      </c>
    </row>
    <row r="890" spans="1:4" x14ac:dyDescent="0.3">
      <c r="A890" t="s">
        <v>4807</v>
      </c>
      <c r="B890" t="s">
        <v>5592</v>
      </c>
      <c r="C890" t="s">
        <v>4808</v>
      </c>
      <c r="D890" t="e" cm="1">
        <f t="array" ref="D890">TRANSPOSE(_xlfn._xlws.FILTER('Controllable Asset Registry'!#REF!,IFERROR('Controllable Asset Registry'!#REF!=A890,FALSE),"No Equipment in entity"))</f>
        <v>#REF!</v>
      </c>
    </row>
    <row r="891" spans="1:4" x14ac:dyDescent="0.3">
      <c r="A891" t="s">
        <v>3601</v>
      </c>
      <c r="B891" t="s">
        <v>5593</v>
      </c>
      <c r="C891" t="s">
        <v>4809</v>
      </c>
      <c r="D891" t="e" cm="1">
        <f t="array" ref="D891">TRANSPOSE(_xlfn._xlws.FILTER('Controllable Asset Registry'!#REF!,IFERROR('Controllable Asset Registry'!#REF!=A891,FALSE),"No Equipment in entity"))</f>
        <v>#REF!</v>
      </c>
    </row>
    <row r="892" spans="1:4" x14ac:dyDescent="0.3">
      <c r="A892" t="s">
        <v>4055</v>
      </c>
      <c r="B892" t="s">
        <v>5594</v>
      </c>
      <c r="C892" t="s">
        <v>4810</v>
      </c>
      <c r="D892" t="e" cm="1">
        <f t="array" ref="D892">TRANSPOSE(_xlfn._xlws.FILTER('Controllable Asset Registry'!#REF!,IFERROR('Controllable Asset Registry'!#REF!=A892,FALSE),"No Equipment in entity"))</f>
        <v>#REF!</v>
      </c>
    </row>
    <row r="893" spans="1:4" x14ac:dyDescent="0.3">
      <c r="A893" t="s">
        <v>4811</v>
      </c>
      <c r="B893" t="s">
        <v>5595</v>
      </c>
      <c r="C893" t="s">
        <v>4200</v>
      </c>
      <c r="D893" t="e" cm="1">
        <f t="array" ref="D893">TRANSPOSE(_xlfn._xlws.FILTER('Controllable Asset Registry'!#REF!,IFERROR('Controllable Asset Registry'!#REF!=A893,FALSE),"No Equipment in entity"))</f>
        <v>#REF!</v>
      </c>
    </row>
    <row r="894" spans="1:4" x14ac:dyDescent="0.3">
      <c r="A894" t="s">
        <v>4812</v>
      </c>
      <c r="B894" t="s">
        <v>5596</v>
      </c>
      <c r="C894" t="s">
        <v>4197</v>
      </c>
      <c r="D894" t="e" cm="1">
        <f t="array" ref="D894">TRANSPOSE(_xlfn._xlws.FILTER('Controllable Asset Registry'!#REF!,IFERROR('Controllable Asset Registry'!#REF!=A894,FALSE),"No Equipment in entity"))</f>
        <v>#REF!</v>
      </c>
    </row>
    <row r="895" spans="1:4" x14ac:dyDescent="0.3">
      <c r="A895" t="s">
        <v>4813</v>
      </c>
      <c r="B895" t="s">
        <v>5597</v>
      </c>
      <c r="C895" t="s">
        <v>4197</v>
      </c>
      <c r="D895" t="e" cm="1">
        <f t="array" ref="D895">TRANSPOSE(_xlfn._xlws.FILTER('Controllable Asset Registry'!#REF!,IFERROR('Controllable Asset Registry'!#REF!=A895,FALSE),"No Equipment in entity"))</f>
        <v>#REF!</v>
      </c>
    </row>
    <row r="896" spans="1:4" x14ac:dyDescent="0.3">
      <c r="A896" t="s">
        <v>4814</v>
      </c>
      <c r="B896" t="s">
        <v>5598</v>
      </c>
      <c r="C896" t="s">
        <v>4200</v>
      </c>
      <c r="D896" t="e" cm="1">
        <f t="array" ref="D896">TRANSPOSE(_xlfn._xlws.FILTER('Controllable Asset Registry'!#REF!,IFERROR('Controllable Asset Registry'!#REF!=A896,FALSE),"No Equipment in entity"))</f>
        <v>#REF!</v>
      </c>
    </row>
    <row r="897" spans="1:4" x14ac:dyDescent="0.3">
      <c r="A897" t="s">
        <v>4815</v>
      </c>
      <c r="B897" t="s">
        <v>5599</v>
      </c>
      <c r="C897" t="s">
        <v>4197</v>
      </c>
      <c r="D897" t="e" cm="1">
        <f t="array" ref="D897">TRANSPOSE(_xlfn._xlws.FILTER('Controllable Asset Registry'!#REF!,IFERROR('Controllable Asset Registry'!#REF!=A897,FALSE),"No Equipment in entity"))</f>
        <v>#REF!</v>
      </c>
    </row>
    <row r="898" spans="1:4" x14ac:dyDescent="0.3">
      <c r="A898" t="s">
        <v>4816</v>
      </c>
      <c r="B898" t="s">
        <v>5600</v>
      </c>
      <c r="C898" t="s">
        <v>4200</v>
      </c>
      <c r="D898" t="e" cm="1">
        <f t="array" ref="D898">TRANSPOSE(_xlfn._xlws.FILTER('Controllable Asset Registry'!#REF!,IFERROR('Controllable Asset Registry'!#REF!=A898,FALSE),"No Equipment in entity"))</f>
        <v>#REF!</v>
      </c>
    </row>
    <row r="899" spans="1:4" x14ac:dyDescent="0.3">
      <c r="A899" t="s">
        <v>4817</v>
      </c>
      <c r="B899" t="s">
        <v>5601</v>
      </c>
      <c r="C899" t="s">
        <v>3341</v>
      </c>
      <c r="D899" t="e" cm="1">
        <f t="array" ref="D899">TRANSPOSE(_xlfn._xlws.FILTER('Controllable Asset Registry'!#REF!,IFERROR('Controllable Asset Registry'!#REF!=A899,FALSE),"No Equipment in entity"))</f>
        <v>#REF!</v>
      </c>
    </row>
    <row r="900" spans="1:4" x14ac:dyDescent="0.3">
      <c r="A900" t="s">
        <v>3598</v>
      </c>
      <c r="B900" t="s">
        <v>5602</v>
      </c>
      <c r="C900" t="s">
        <v>4206</v>
      </c>
      <c r="D900" t="e" cm="1">
        <f t="array" ref="D900">TRANSPOSE(_xlfn._xlws.FILTER('Controllable Asset Registry'!#REF!,IFERROR('Controllable Asset Registry'!#REF!=A900,FALSE),"No Equipment in entity"))</f>
        <v>#REF!</v>
      </c>
    </row>
    <row r="901" spans="1:4" x14ac:dyDescent="0.3">
      <c r="A901" t="s">
        <v>4818</v>
      </c>
      <c r="B901" t="s">
        <v>5603</v>
      </c>
      <c r="C901" t="s">
        <v>3341</v>
      </c>
      <c r="D901" t="e" cm="1">
        <f t="array" ref="D901">TRANSPOSE(_xlfn._xlws.FILTER('Controllable Asset Registry'!#REF!,IFERROR('Controllable Asset Registry'!#REF!=A901,FALSE),"No Equipment in entity"))</f>
        <v>#REF!</v>
      </c>
    </row>
    <row r="902" spans="1:4" x14ac:dyDescent="0.3">
      <c r="A902" t="s">
        <v>3596</v>
      </c>
      <c r="B902" t="s">
        <v>5604</v>
      </c>
      <c r="C902" t="s">
        <v>4206</v>
      </c>
      <c r="D902" t="e" cm="1">
        <f t="array" ref="D902">TRANSPOSE(_xlfn._xlws.FILTER('Controllable Asset Registry'!#REF!,IFERROR('Controllable Asset Registry'!#REF!=A902,FALSE),"No Equipment in entity"))</f>
        <v>#REF!</v>
      </c>
    </row>
    <row r="903" spans="1:4" x14ac:dyDescent="0.3">
      <c r="A903" t="s">
        <v>4819</v>
      </c>
      <c r="B903" t="s">
        <v>5605</v>
      </c>
      <c r="C903" t="s">
        <v>4348</v>
      </c>
      <c r="D903" t="e" cm="1">
        <f t="array" ref="D903">TRANSPOSE(_xlfn._xlws.FILTER('Controllable Asset Registry'!#REF!,IFERROR('Controllable Asset Registry'!#REF!=A903,FALSE),"No Equipment in entity"))</f>
        <v>#REF!</v>
      </c>
    </row>
    <row r="904" spans="1:4" x14ac:dyDescent="0.3">
      <c r="A904" t="s">
        <v>4820</v>
      </c>
      <c r="B904" t="s">
        <v>5606</v>
      </c>
      <c r="C904" t="s">
        <v>4351</v>
      </c>
      <c r="D904" t="e" cm="1">
        <f t="array" ref="D904">TRANSPOSE(_xlfn._xlws.FILTER('Controllable Asset Registry'!#REF!,IFERROR('Controllable Asset Registry'!#REF!=A904,FALSE),"No Equipment in entity"))</f>
        <v>#REF!</v>
      </c>
    </row>
    <row r="905" spans="1:4" x14ac:dyDescent="0.3">
      <c r="A905" t="s">
        <v>4821</v>
      </c>
      <c r="B905" t="s">
        <v>5607</v>
      </c>
      <c r="C905" t="s">
        <v>3341</v>
      </c>
      <c r="D905" t="e" cm="1">
        <f t="array" ref="D905">TRANSPOSE(_xlfn._xlws.FILTER('Controllable Asset Registry'!#REF!,IFERROR('Controllable Asset Registry'!#REF!=A905,FALSE),"No Equipment in entity"))</f>
        <v>#REF!</v>
      </c>
    </row>
    <row r="906" spans="1:4" x14ac:dyDescent="0.3">
      <c r="A906" t="s">
        <v>4041</v>
      </c>
      <c r="B906" t="s">
        <v>5608</v>
      </c>
      <c r="C906" t="s">
        <v>4822</v>
      </c>
      <c r="D906" t="e" cm="1">
        <f t="array" ref="D906">TRANSPOSE(_xlfn._xlws.FILTER('Controllable Asset Registry'!#REF!,IFERROR('Controllable Asset Registry'!#REF!=A906,FALSE),"No Equipment in entity"))</f>
        <v>#REF!</v>
      </c>
    </row>
    <row r="907" spans="1:4" x14ac:dyDescent="0.3">
      <c r="A907" t="s">
        <v>4823</v>
      </c>
      <c r="B907" t="s">
        <v>5609</v>
      </c>
      <c r="C907" t="s">
        <v>4597</v>
      </c>
      <c r="D907" t="e" cm="1">
        <f t="array" ref="D907">TRANSPOSE(_xlfn._xlws.FILTER('Controllable Asset Registry'!#REF!,IFERROR('Controllable Asset Registry'!#REF!=A907,FALSE),"No Equipment in entity"))</f>
        <v>#REF!</v>
      </c>
    </row>
    <row r="908" spans="1:4" x14ac:dyDescent="0.3">
      <c r="A908" t="s">
        <v>4824</v>
      </c>
      <c r="B908" t="s">
        <v>4825</v>
      </c>
      <c r="C908" t="s">
        <v>4365</v>
      </c>
      <c r="D908" t="e" cm="1">
        <f t="array" ref="D908">TRANSPOSE(_xlfn._xlws.FILTER('Controllable Asset Registry'!#REF!,IFERROR('Controllable Asset Registry'!#REF!=A908,FALSE),"No Equipment in entity"))</f>
        <v>#REF!</v>
      </c>
    </row>
    <row r="909" spans="1:4" x14ac:dyDescent="0.3">
      <c r="A909" t="s">
        <v>4826</v>
      </c>
      <c r="B909" t="s">
        <v>4827</v>
      </c>
      <c r="C909" t="s">
        <v>4368</v>
      </c>
      <c r="D909" t="e" cm="1">
        <f t="array" ref="D909">TRANSPOSE(_xlfn._xlws.FILTER('Controllable Asset Registry'!#REF!,IFERROR('Controllable Asset Registry'!#REF!=A909,FALSE),"No Equipment in entity"))</f>
        <v>#REF!</v>
      </c>
    </row>
    <row r="910" spans="1:4" x14ac:dyDescent="0.3">
      <c r="A910" t="s">
        <v>4828</v>
      </c>
      <c r="B910" t="s">
        <v>4829</v>
      </c>
      <c r="C910" t="s">
        <v>4371</v>
      </c>
      <c r="D910" t="e" cm="1">
        <f t="array" ref="D910">TRANSPOSE(_xlfn._xlws.FILTER('Controllable Asset Registry'!#REF!,IFERROR('Controllable Asset Registry'!#REF!=A910,FALSE),"No Equipment in entity"))</f>
        <v>#REF!</v>
      </c>
    </row>
    <row r="911" spans="1:4" x14ac:dyDescent="0.3">
      <c r="A911" t="s">
        <v>4830</v>
      </c>
      <c r="B911" t="s">
        <v>4831</v>
      </c>
      <c r="C911" t="s">
        <v>4235</v>
      </c>
      <c r="D911" t="e" cm="1">
        <f t="array" ref="D911">TRANSPOSE(_xlfn._xlws.FILTER('Controllable Asset Registry'!#REF!,IFERROR('Controllable Asset Registry'!#REF!=A911,FALSE),"No Equipment in entity"))</f>
        <v>#REF!</v>
      </c>
    </row>
    <row r="912" spans="1:4" x14ac:dyDescent="0.3">
      <c r="A912" t="s">
        <v>4832</v>
      </c>
      <c r="B912" t="s">
        <v>4833</v>
      </c>
      <c r="C912" t="s">
        <v>4238</v>
      </c>
      <c r="D912" t="e" cm="1">
        <f t="array" ref="D912">TRANSPOSE(_xlfn._xlws.FILTER('Controllable Asset Registry'!#REF!,IFERROR('Controllable Asset Registry'!#REF!=A912,FALSE),"No Equipment in entity"))</f>
        <v>#REF!</v>
      </c>
    </row>
    <row r="913" spans="1:4" x14ac:dyDescent="0.3">
      <c r="A913" t="s">
        <v>4834</v>
      </c>
      <c r="B913" t="s">
        <v>4835</v>
      </c>
      <c r="C913" t="s">
        <v>4241</v>
      </c>
      <c r="D913" t="e" cm="1">
        <f t="array" ref="D913">TRANSPOSE(_xlfn._xlws.FILTER('Controllable Asset Registry'!#REF!,IFERROR('Controllable Asset Registry'!#REF!=A913,FALSE),"No Equipment in entity"))</f>
        <v>#REF!</v>
      </c>
    </row>
    <row r="914" spans="1:4" x14ac:dyDescent="0.3">
      <c r="A914" t="s">
        <v>4836</v>
      </c>
      <c r="B914" t="s">
        <v>4837</v>
      </c>
      <c r="C914" t="s">
        <v>4380</v>
      </c>
      <c r="D914" t="e" cm="1">
        <f t="array" ref="D914">TRANSPOSE(_xlfn._xlws.FILTER('Controllable Asset Registry'!#REF!,IFERROR('Controllable Asset Registry'!#REF!=A914,FALSE),"No Equipment in entity"))</f>
        <v>#REF!</v>
      </c>
    </row>
    <row r="915" spans="1:4" x14ac:dyDescent="0.3">
      <c r="A915" t="s">
        <v>4838</v>
      </c>
      <c r="B915" t="s">
        <v>4839</v>
      </c>
      <c r="C915" t="s">
        <v>4246</v>
      </c>
      <c r="D915" t="e" cm="1">
        <f t="array" ref="D915">TRANSPOSE(_xlfn._xlws.FILTER('Controllable Asset Registry'!#REF!,IFERROR('Controllable Asset Registry'!#REF!=A915,FALSE),"No Equipment in entity"))</f>
        <v>#REF!</v>
      </c>
    </row>
    <row r="916" spans="1:4" x14ac:dyDescent="0.3">
      <c r="A916" t="s">
        <v>4840</v>
      </c>
      <c r="B916" t="s">
        <v>4841</v>
      </c>
      <c r="C916" t="s">
        <v>4248</v>
      </c>
      <c r="D916" t="e" cm="1">
        <f t="array" ref="D916">TRANSPOSE(_xlfn._xlws.FILTER('Controllable Asset Registry'!#REF!,IFERROR('Controllable Asset Registry'!#REF!=A916,FALSE),"No Equipment in entity"))</f>
        <v>#REF!</v>
      </c>
    </row>
    <row r="917" spans="1:4" x14ac:dyDescent="0.3">
      <c r="A917" t="s">
        <v>4842</v>
      </c>
      <c r="B917" t="s">
        <v>4843</v>
      </c>
      <c r="C917" t="s">
        <v>4387</v>
      </c>
      <c r="D917" t="e" cm="1">
        <f t="array" ref="D917">TRANSPOSE(_xlfn._xlws.FILTER('Controllable Asset Registry'!#REF!,IFERROR('Controllable Asset Registry'!#REF!=A917,FALSE),"No Equipment in entity"))</f>
        <v>#REF!</v>
      </c>
    </row>
    <row r="918" spans="1:4" x14ac:dyDescent="0.3">
      <c r="A918" t="s">
        <v>4844</v>
      </c>
      <c r="B918" t="s">
        <v>4845</v>
      </c>
      <c r="C918" t="s">
        <v>4251</v>
      </c>
      <c r="D918" t="e" cm="1">
        <f t="array" ref="D918">TRANSPOSE(_xlfn._xlws.FILTER('Controllable Asset Registry'!#REF!,IFERROR('Controllable Asset Registry'!#REF!=A918,FALSE),"No Equipment in entity"))</f>
        <v>#REF!</v>
      </c>
    </row>
    <row r="919" spans="1:4" x14ac:dyDescent="0.3">
      <c r="A919" t="s">
        <v>4073</v>
      </c>
      <c r="B919" t="s">
        <v>5610</v>
      </c>
      <c r="C919" t="s">
        <v>4846</v>
      </c>
      <c r="D919" t="e" cm="1">
        <f t="array" ref="D919">TRANSPOSE(_xlfn._xlws.FILTER('Controllable Asset Registry'!#REF!,IFERROR('Controllable Asset Registry'!#REF!=A919,FALSE),"No Equipment in entity"))</f>
        <v>#REF!</v>
      </c>
    </row>
    <row r="920" spans="1:4" x14ac:dyDescent="0.3">
      <c r="A920" t="s">
        <v>4074</v>
      </c>
      <c r="B920" t="s">
        <v>5611</v>
      </c>
      <c r="C920" t="s">
        <v>4847</v>
      </c>
      <c r="D920" t="e" cm="1">
        <f t="array" ref="D920">TRANSPOSE(_xlfn._xlws.FILTER('Controllable Asset Registry'!#REF!,IFERROR('Controllable Asset Registry'!#REF!=A920,FALSE),"No Equipment in entity"))</f>
        <v>#REF!</v>
      </c>
    </row>
    <row r="921" spans="1:4" x14ac:dyDescent="0.3">
      <c r="A921" t="s">
        <v>4075</v>
      </c>
      <c r="B921" t="s">
        <v>5612</v>
      </c>
      <c r="C921" t="s">
        <v>4848</v>
      </c>
      <c r="D921" t="e" cm="1">
        <f t="array" ref="D921">TRANSPOSE(_xlfn._xlws.FILTER('Controllable Asset Registry'!#REF!,IFERROR('Controllable Asset Registry'!#REF!=A921,FALSE),"No Equipment in entity"))</f>
        <v>#REF!</v>
      </c>
    </row>
    <row r="922" spans="1:4" x14ac:dyDescent="0.3">
      <c r="A922" t="s">
        <v>4076</v>
      </c>
      <c r="B922" t="s">
        <v>5613</v>
      </c>
      <c r="C922" t="s">
        <v>4849</v>
      </c>
      <c r="D922" t="e" cm="1">
        <f t="array" ref="D922">TRANSPOSE(_xlfn._xlws.FILTER('Controllable Asset Registry'!#REF!,IFERROR('Controllable Asset Registry'!#REF!=A922,FALSE),"No Equipment in entity"))</f>
        <v>#REF!</v>
      </c>
    </row>
    <row r="923" spans="1:4" x14ac:dyDescent="0.3">
      <c r="A923" t="s">
        <v>4077</v>
      </c>
      <c r="B923" t="s">
        <v>5614</v>
      </c>
      <c r="C923" t="s">
        <v>4850</v>
      </c>
      <c r="D923" t="e" cm="1">
        <f t="array" ref="D923">TRANSPOSE(_xlfn._xlws.FILTER('Controllable Asset Registry'!#REF!,IFERROR('Controllable Asset Registry'!#REF!=A923,FALSE),"No Equipment in entity"))</f>
        <v>#REF!</v>
      </c>
    </row>
    <row r="924" spans="1:4" x14ac:dyDescent="0.3">
      <c r="A924" t="s">
        <v>4078</v>
      </c>
      <c r="B924" t="s">
        <v>5615</v>
      </c>
      <c r="C924" t="s">
        <v>4851</v>
      </c>
      <c r="D924" t="e" cm="1">
        <f t="array" ref="D924">TRANSPOSE(_xlfn._xlws.FILTER('Controllable Asset Registry'!#REF!,IFERROR('Controllable Asset Registry'!#REF!=A924,FALSE),"No Equipment in entity"))</f>
        <v>#REF!</v>
      </c>
    </row>
    <row r="925" spans="1:4" x14ac:dyDescent="0.3">
      <c r="A925" t="s">
        <v>4090</v>
      </c>
      <c r="B925" t="s">
        <v>5616</v>
      </c>
      <c r="C925" t="s">
        <v>4852</v>
      </c>
      <c r="D925" t="e" cm="1">
        <f t="array" ref="D925">TRANSPOSE(_xlfn._xlws.FILTER('Controllable Asset Registry'!#REF!,IFERROR('Controllable Asset Registry'!#REF!=A925,FALSE),"No Equipment in entity"))</f>
        <v>#REF!</v>
      </c>
    </row>
    <row r="926" spans="1:4" x14ac:dyDescent="0.3">
      <c r="A926" t="s">
        <v>4079</v>
      </c>
      <c r="B926" t="s">
        <v>5617</v>
      </c>
      <c r="C926" t="s">
        <v>4852</v>
      </c>
      <c r="D926" t="e" cm="1">
        <f t="array" ref="D926">TRANSPOSE(_xlfn._xlws.FILTER('Controllable Asset Registry'!#REF!,IFERROR('Controllable Asset Registry'!#REF!=A926,FALSE),"No Equipment in entity"))</f>
        <v>#REF!</v>
      </c>
    </row>
    <row r="927" spans="1:4" x14ac:dyDescent="0.3">
      <c r="A927" t="s">
        <v>4080</v>
      </c>
      <c r="B927" t="s">
        <v>5618</v>
      </c>
      <c r="C927" t="s">
        <v>4853</v>
      </c>
      <c r="D927" t="e" cm="1">
        <f t="array" ref="D927">TRANSPOSE(_xlfn._xlws.FILTER('Controllable Asset Registry'!#REF!,IFERROR('Controllable Asset Registry'!#REF!=A927,FALSE),"No Equipment in entity"))</f>
        <v>#REF!</v>
      </c>
    </row>
    <row r="928" spans="1:4" x14ac:dyDescent="0.3">
      <c r="A928" t="s">
        <v>4081</v>
      </c>
      <c r="B928" t="s">
        <v>5619</v>
      </c>
      <c r="C928" t="s">
        <v>4854</v>
      </c>
      <c r="D928" t="e" cm="1">
        <f t="array" ref="D928">TRANSPOSE(_xlfn._xlws.FILTER('Controllable Asset Registry'!#REF!,IFERROR('Controllable Asset Registry'!#REF!=A928,FALSE),"No Equipment in entity"))</f>
        <v>#REF!</v>
      </c>
    </row>
    <row r="929" spans="1:4" x14ac:dyDescent="0.3">
      <c r="A929" t="s">
        <v>4082</v>
      </c>
      <c r="B929" t="s">
        <v>5620</v>
      </c>
      <c r="C929" t="s">
        <v>4853</v>
      </c>
      <c r="D929" t="e" cm="1">
        <f t="array" ref="D929">TRANSPOSE(_xlfn._xlws.FILTER('Controllable Asset Registry'!#REF!,IFERROR('Controllable Asset Registry'!#REF!=A929,FALSE),"No Equipment in entity"))</f>
        <v>#REF!</v>
      </c>
    </row>
    <row r="930" spans="1:4" x14ac:dyDescent="0.3">
      <c r="A930" t="s">
        <v>4061</v>
      </c>
      <c r="B930" t="s">
        <v>5621</v>
      </c>
      <c r="C930" t="s">
        <v>4855</v>
      </c>
      <c r="D930" t="e" cm="1">
        <f t="array" ref="D930">TRANSPOSE(_xlfn._xlws.FILTER('Controllable Asset Registry'!#REF!,IFERROR('Controllable Asset Registry'!#REF!=A930,FALSE),"No Equipment in entity"))</f>
        <v>#REF!</v>
      </c>
    </row>
    <row r="931" spans="1:4" x14ac:dyDescent="0.3">
      <c r="A931" t="s">
        <v>4062</v>
      </c>
      <c r="B931" t="s">
        <v>5622</v>
      </c>
      <c r="C931" t="s">
        <v>4856</v>
      </c>
      <c r="D931" t="e" cm="1">
        <f t="array" ref="D931">TRANSPOSE(_xlfn._xlws.FILTER('Controllable Asset Registry'!#REF!,IFERROR('Controllable Asset Registry'!#REF!=A931,FALSE),"No Equipment in entity"))</f>
        <v>#REF!</v>
      </c>
    </row>
    <row r="932" spans="1:4" x14ac:dyDescent="0.3">
      <c r="A932" t="s">
        <v>4063</v>
      </c>
      <c r="B932" t="s">
        <v>5623</v>
      </c>
      <c r="C932" t="s">
        <v>4857</v>
      </c>
      <c r="D932" t="e" cm="1">
        <f t="array" ref="D932">TRANSPOSE(_xlfn._xlws.FILTER('Controllable Asset Registry'!#REF!,IFERROR('Controllable Asset Registry'!#REF!=A932,FALSE),"No Equipment in entity"))</f>
        <v>#REF!</v>
      </c>
    </row>
    <row r="933" spans="1:4" x14ac:dyDescent="0.3">
      <c r="A933" t="s">
        <v>4064</v>
      </c>
      <c r="B933" t="s">
        <v>5624</v>
      </c>
      <c r="C933" t="s">
        <v>4856</v>
      </c>
      <c r="D933" t="e" cm="1">
        <f t="array" ref="D933">TRANSPOSE(_xlfn._xlws.FILTER('Controllable Asset Registry'!#REF!,IFERROR('Controllable Asset Registry'!#REF!=A933,FALSE),"No Equipment in entity"))</f>
        <v>#REF!</v>
      </c>
    </row>
    <row r="934" spans="1:4" x14ac:dyDescent="0.3">
      <c r="A934" t="s">
        <v>4065</v>
      </c>
      <c r="B934" t="s">
        <v>5625</v>
      </c>
      <c r="C934" t="s">
        <v>4858</v>
      </c>
      <c r="D934" t="e" cm="1">
        <f t="array" ref="D934">TRANSPOSE(_xlfn._xlws.FILTER('Controllable Asset Registry'!#REF!,IFERROR('Controllable Asset Registry'!#REF!=A934,FALSE),"No Equipment in entity"))</f>
        <v>#REF!</v>
      </c>
    </row>
    <row r="935" spans="1:4" x14ac:dyDescent="0.3">
      <c r="A935" t="s">
        <v>4066</v>
      </c>
      <c r="B935" t="s">
        <v>5626</v>
      </c>
      <c r="C935" t="s">
        <v>4859</v>
      </c>
      <c r="D935" t="e" cm="1">
        <f t="array" ref="D935">TRANSPOSE(_xlfn._xlws.FILTER('Controllable Asset Registry'!#REF!,IFERROR('Controllable Asset Registry'!#REF!=A935,FALSE),"No Equipment in entity"))</f>
        <v>#REF!</v>
      </c>
    </row>
    <row r="936" spans="1:4" x14ac:dyDescent="0.3">
      <c r="A936" t="s">
        <v>4067</v>
      </c>
      <c r="B936" t="s">
        <v>5627</v>
      </c>
      <c r="C936" t="s">
        <v>4860</v>
      </c>
      <c r="D936" t="e" cm="1">
        <f t="array" ref="D936">TRANSPOSE(_xlfn._xlws.FILTER('Controllable Asset Registry'!#REF!,IFERROR('Controllable Asset Registry'!#REF!=A936,FALSE),"No Equipment in entity"))</f>
        <v>#REF!</v>
      </c>
    </row>
    <row r="937" spans="1:4" x14ac:dyDescent="0.3">
      <c r="A937" t="s">
        <v>4068</v>
      </c>
      <c r="B937" t="s">
        <v>5628</v>
      </c>
      <c r="C937" t="s">
        <v>4861</v>
      </c>
      <c r="D937" t="e" cm="1">
        <f t="array" ref="D937">TRANSPOSE(_xlfn._xlws.FILTER('Controllable Asset Registry'!#REF!,IFERROR('Controllable Asset Registry'!#REF!=A937,FALSE),"No Equipment in entity"))</f>
        <v>#REF!</v>
      </c>
    </row>
    <row r="938" spans="1:4" x14ac:dyDescent="0.3">
      <c r="A938" t="s">
        <v>4069</v>
      </c>
      <c r="B938" t="s">
        <v>5629</v>
      </c>
      <c r="C938" t="s">
        <v>4860</v>
      </c>
      <c r="D938" t="e" cm="1">
        <f t="array" ref="D938">TRANSPOSE(_xlfn._xlws.FILTER('Controllable Asset Registry'!#REF!,IFERROR('Controllable Asset Registry'!#REF!=A938,FALSE),"No Equipment in entity"))</f>
        <v>#REF!</v>
      </c>
    </row>
    <row r="939" spans="1:4" x14ac:dyDescent="0.3">
      <c r="A939" t="s">
        <v>4070</v>
      </c>
      <c r="B939" t="s">
        <v>5630</v>
      </c>
      <c r="C939" t="s">
        <v>4862</v>
      </c>
      <c r="D939" t="e" cm="1">
        <f t="array" ref="D939">TRANSPOSE(_xlfn._xlws.FILTER('Controllable Asset Registry'!#REF!,IFERROR('Controllable Asset Registry'!#REF!=A939,FALSE),"No Equipment in entity"))</f>
        <v>#REF!</v>
      </c>
    </row>
    <row r="940" spans="1:4" x14ac:dyDescent="0.3">
      <c r="A940" t="s">
        <v>4071</v>
      </c>
      <c r="B940" t="s">
        <v>5631</v>
      </c>
      <c r="C940" t="s">
        <v>4863</v>
      </c>
      <c r="D940" t="e" cm="1">
        <f t="array" ref="D940">TRANSPOSE(_xlfn._xlws.FILTER('Controllable Asset Registry'!#REF!,IFERROR('Controllable Asset Registry'!#REF!=A940,FALSE),"No Equipment in entity"))</f>
        <v>#REF!</v>
      </c>
    </row>
    <row r="941" spans="1:4" x14ac:dyDescent="0.3">
      <c r="A941" t="s">
        <v>4072</v>
      </c>
      <c r="B941" t="s">
        <v>5632</v>
      </c>
      <c r="C941" t="s">
        <v>4864</v>
      </c>
      <c r="D941" t="e" cm="1">
        <f t="array" ref="D941">TRANSPOSE(_xlfn._xlws.FILTER('Controllable Asset Registry'!#REF!,IFERROR('Controllable Asset Registry'!#REF!=A941,FALSE),"No Equipment in entity"))</f>
        <v>#REF!</v>
      </c>
    </row>
    <row r="942" spans="1:4" x14ac:dyDescent="0.3">
      <c r="A942" t="s">
        <v>4865</v>
      </c>
      <c r="B942" t="s">
        <v>5633</v>
      </c>
      <c r="C942" t="s">
        <v>4809</v>
      </c>
      <c r="D942" t="e" cm="1">
        <f t="array" ref="D942">TRANSPOSE(_xlfn._xlws.FILTER('Controllable Asset Registry'!#REF!,IFERROR('Controllable Asset Registry'!#REF!=A942,FALSE),"No Equipment in entity"))</f>
        <v>#REF!</v>
      </c>
    </row>
    <row r="943" spans="1:4" x14ac:dyDescent="0.3">
      <c r="A943" t="s">
        <v>4092</v>
      </c>
      <c r="B943" t="s">
        <v>5634</v>
      </c>
      <c r="C943" t="s">
        <v>4866</v>
      </c>
      <c r="D943" t="e" cm="1">
        <f t="array" ref="D943">TRANSPOSE(_xlfn._xlws.FILTER('Controllable Asset Registry'!#REF!,IFERROR('Controllable Asset Registry'!#REF!=A943,FALSE),"No Equipment in entity"))</f>
        <v>#REF!</v>
      </c>
    </row>
    <row r="944" spans="1:4" x14ac:dyDescent="0.3">
      <c r="A944" t="s">
        <v>4867</v>
      </c>
      <c r="B944" t="s">
        <v>5635</v>
      </c>
      <c r="C944" t="s">
        <v>4279</v>
      </c>
      <c r="D944" t="e" cm="1">
        <f t="array" ref="D944">TRANSPOSE(_xlfn._xlws.FILTER('Controllable Asset Registry'!#REF!,IFERROR('Controllable Asset Registry'!#REF!=A944,FALSE),"No Equipment in entity"))</f>
        <v>#REF!</v>
      </c>
    </row>
    <row r="945" spans="1:4" x14ac:dyDescent="0.3">
      <c r="A945" t="s">
        <v>4868</v>
      </c>
      <c r="B945" t="s">
        <v>5636</v>
      </c>
      <c r="C945" t="s">
        <v>4437</v>
      </c>
      <c r="D945" t="e" cm="1">
        <f t="array" ref="D945">TRANSPOSE(_xlfn._xlws.FILTER('Controllable Asset Registry'!#REF!,IFERROR('Controllable Asset Registry'!#REF!=A945,FALSE),"No Equipment in entity"))</f>
        <v>#REF!</v>
      </c>
    </row>
    <row r="946" spans="1:4" x14ac:dyDescent="0.3">
      <c r="A946" t="s">
        <v>3604</v>
      </c>
      <c r="B946" t="s">
        <v>5637</v>
      </c>
      <c r="C946" t="s">
        <v>4869</v>
      </c>
      <c r="D946" t="e" cm="1">
        <f t="array" ref="D946">TRANSPOSE(_xlfn._xlws.FILTER('Controllable Asset Registry'!#REF!,IFERROR('Controllable Asset Registry'!#REF!=A946,FALSE),"No Equipment in entity"))</f>
        <v>#REF!</v>
      </c>
    </row>
    <row r="947" spans="1:4" x14ac:dyDescent="0.3">
      <c r="A947" t="s">
        <v>3606</v>
      </c>
      <c r="B947" t="s">
        <v>5638</v>
      </c>
      <c r="C947" t="s">
        <v>4870</v>
      </c>
      <c r="D947" t="e" cm="1">
        <f t="array" ref="D947">TRANSPOSE(_xlfn._xlws.FILTER('Controllable Asset Registry'!#REF!,IFERROR('Controllable Asset Registry'!#REF!=A947,FALSE),"No Equipment in entity"))</f>
        <v>#REF!</v>
      </c>
    </row>
    <row r="948" spans="1:4" x14ac:dyDescent="0.3">
      <c r="A948" t="s">
        <v>3605</v>
      </c>
      <c r="B948" t="s">
        <v>5639</v>
      </c>
      <c r="C948" t="s">
        <v>4408</v>
      </c>
      <c r="D948" t="e" cm="1">
        <f t="array" ref="D948">TRANSPOSE(_xlfn._xlws.FILTER('Controllable Asset Registry'!#REF!,IFERROR('Controllable Asset Registry'!#REF!=A948,FALSE),"No Equipment in entity"))</f>
        <v>#REF!</v>
      </c>
    </row>
    <row r="949" spans="1:4" x14ac:dyDescent="0.3">
      <c r="A949" t="s">
        <v>3603</v>
      </c>
      <c r="B949" t="s">
        <v>5640</v>
      </c>
      <c r="C949" t="s">
        <v>4186</v>
      </c>
      <c r="D949" t="e" cm="1">
        <f t="array" ref="D949">TRANSPOSE(_xlfn._xlws.FILTER('Controllable Asset Registry'!#REF!,IFERROR('Controllable Asset Registry'!#REF!=A949,FALSE),"No Equipment in entity"))</f>
        <v>#REF!</v>
      </c>
    </row>
    <row r="950" spans="1:4" x14ac:dyDescent="0.3">
      <c r="A950" t="s">
        <v>4084</v>
      </c>
      <c r="B950" t="s">
        <v>5641</v>
      </c>
      <c r="C950" t="s">
        <v>4871</v>
      </c>
      <c r="D950" t="e" cm="1">
        <f t="array" ref="D950">TRANSPOSE(_xlfn._xlws.FILTER('Controllable Asset Registry'!#REF!,IFERROR('Controllable Asset Registry'!#REF!=A950,FALSE),"No Equipment in entity"))</f>
        <v>#REF!</v>
      </c>
    </row>
    <row r="951" spans="1:4" x14ac:dyDescent="0.3">
      <c r="A951" t="s">
        <v>4085</v>
      </c>
      <c r="B951" t="s">
        <v>5642</v>
      </c>
      <c r="C951" t="s">
        <v>4872</v>
      </c>
      <c r="D951" t="e" cm="1">
        <f t="array" ref="D951">TRANSPOSE(_xlfn._xlws.FILTER('Controllable Asset Registry'!#REF!,IFERROR('Controllable Asset Registry'!#REF!=A951,FALSE),"No Equipment in entity"))</f>
        <v>#REF!</v>
      </c>
    </row>
    <row r="952" spans="1:4" x14ac:dyDescent="0.3">
      <c r="A952" t="s">
        <v>4086</v>
      </c>
      <c r="B952" t="s">
        <v>5643</v>
      </c>
      <c r="C952" t="s">
        <v>4873</v>
      </c>
      <c r="D952" t="e" cm="1">
        <f t="array" ref="D952">TRANSPOSE(_xlfn._xlws.FILTER('Controllable Asset Registry'!#REF!,IFERROR('Controllable Asset Registry'!#REF!=A952,FALSE),"No Equipment in entity"))</f>
        <v>#REF!</v>
      </c>
    </row>
    <row r="953" spans="1:4" x14ac:dyDescent="0.3">
      <c r="A953" t="s">
        <v>4087</v>
      </c>
      <c r="B953" t="s">
        <v>5644</v>
      </c>
      <c r="C953" t="s">
        <v>4874</v>
      </c>
      <c r="D953" t="e" cm="1">
        <f t="array" ref="D953">TRANSPOSE(_xlfn._xlws.FILTER('Controllable Asset Registry'!#REF!,IFERROR('Controllable Asset Registry'!#REF!=A953,FALSE),"No Equipment in entity"))</f>
        <v>#REF!</v>
      </c>
    </row>
    <row r="954" spans="1:4" x14ac:dyDescent="0.3">
      <c r="A954" t="s">
        <v>4875</v>
      </c>
      <c r="B954" t="s">
        <v>5645</v>
      </c>
      <c r="C954" t="s">
        <v>4197</v>
      </c>
      <c r="D954" t="e" cm="1">
        <f t="array" ref="D954">TRANSPOSE(_xlfn._xlws.FILTER('Controllable Asset Registry'!#REF!,IFERROR('Controllable Asset Registry'!#REF!=A954,FALSE),"No Equipment in entity"))</f>
        <v>#REF!</v>
      </c>
    </row>
    <row r="955" spans="1:4" x14ac:dyDescent="0.3">
      <c r="A955" t="s">
        <v>4876</v>
      </c>
      <c r="B955" t="s">
        <v>5646</v>
      </c>
      <c r="C955" t="s">
        <v>4200</v>
      </c>
      <c r="D955" t="e" cm="1">
        <f t="array" ref="D955">TRANSPOSE(_xlfn._xlws.FILTER('Controllable Asset Registry'!#REF!,IFERROR('Controllable Asset Registry'!#REF!=A955,FALSE),"No Equipment in entity"))</f>
        <v>#REF!</v>
      </c>
    </row>
    <row r="956" spans="1:4" x14ac:dyDescent="0.3">
      <c r="A956" t="s">
        <v>4877</v>
      </c>
      <c r="B956" t="s">
        <v>5647</v>
      </c>
      <c r="C956" t="s">
        <v>4878</v>
      </c>
      <c r="D956" t="e" cm="1">
        <f t="array" ref="D956">TRANSPOSE(_xlfn._xlws.FILTER('Controllable Asset Registry'!#REF!,IFERROR('Controllable Asset Registry'!#REF!=A956,FALSE),"No Equipment in entity"))</f>
        <v>#REF!</v>
      </c>
    </row>
    <row r="957" spans="1:4" x14ac:dyDescent="0.3">
      <c r="A957" t="s">
        <v>4879</v>
      </c>
      <c r="B957" t="s">
        <v>5648</v>
      </c>
      <c r="C957" t="s">
        <v>3344</v>
      </c>
      <c r="D957" t="e" cm="1">
        <f t="array" ref="D957">TRANSPOSE(_xlfn._xlws.FILTER('Controllable Asset Registry'!#REF!,IFERROR('Controllable Asset Registry'!#REF!=A957,FALSE),"No Equipment in entity"))</f>
        <v>#REF!</v>
      </c>
    </row>
    <row r="958" spans="1:4" x14ac:dyDescent="0.3">
      <c r="A958" t="s">
        <v>4880</v>
      </c>
      <c r="B958" t="s">
        <v>5649</v>
      </c>
      <c r="C958" t="s">
        <v>3344</v>
      </c>
      <c r="D958" t="e" cm="1">
        <f t="array" ref="D958">TRANSPOSE(_xlfn._xlws.FILTER('Controllable Asset Registry'!#REF!,IFERROR('Controllable Asset Registry'!#REF!=A958,FALSE),"No Equipment in entity"))</f>
        <v>#REF!</v>
      </c>
    </row>
    <row r="959" spans="1:4" x14ac:dyDescent="0.3">
      <c r="A959" t="s">
        <v>4881</v>
      </c>
      <c r="B959" t="s">
        <v>5650</v>
      </c>
      <c r="C959" t="s">
        <v>3344</v>
      </c>
      <c r="D959" t="e" cm="1">
        <f t="array" ref="D959">TRANSPOSE(_xlfn._xlws.FILTER('Controllable Asset Registry'!#REF!,IFERROR('Controllable Asset Registry'!#REF!=A959,FALSE),"No Equipment in entity"))</f>
        <v>#REF!</v>
      </c>
    </row>
    <row r="960" spans="1:4" x14ac:dyDescent="0.3">
      <c r="A960" t="s">
        <v>4882</v>
      </c>
      <c r="B960" t="s">
        <v>5651</v>
      </c>
      <c r="C960" t="s">
        <v>3344</v>
      </c>
      <c r="D960" t="e" cm="1">
        <f t="array" ref="D960">TRANSPOSE(_xlfn._xlws.FILTER('Controllable Asset Registry'!#REF!,IFERROR('Controllable Asset Registry'!#REF!=A960,FALSE),"No Equipment in entity"))</f>
        <v>#REF!</v>
      </c>
    </row>
    <row r="961" spans="1:4" x14ac:dyDescent="0.3">
      <c r="A961" t="s">
        <v>4883</v>
      </c>
      <c r="B961" t="s">
        <v>5652</v>
      </c>
      <c r="C961" t="s">
        <v>3344</v>
      </c>
      <c r="D961" t="e" cm="1">
        <f t="array" ref="D961">TRANSPOSE(_xlfn._xlws.FILTER('Controllable Asset Registry'!#REF!,IFERROR('Controllable Asset Registry'!#REF!=A961,FALSE),"No Equipment in entity"))</f>
        <v>#REF!</v>
      </c>
    </row>
    <row r="962" spans="1:4" x14ac:dyDescent="0.3">
      <c r="A962" t="s">
        <v>4884</v>
      </c>
      <c r="B962" t="s">
        <v>5653</v>
      </c>
      <c r="C962" t="s">
        <v>3344</v>
      </c>
      <c r="D962" t="e" cm="1">
        <f t="array" ref="D962">TRANSPOSE(_xlfn._xlws.FILTER('Controllable Asset Registry'!#REF!,IFERROR('Controllable Asset Registry'!#REF!=A962,FALSE),"No Equipment in entity"))</f>
        <v>#REF!</v>
      </c>
    </row>
    <row r="963" spans="1:4" x14ac:dyDescent="0.3">
      <c r="A963" t="s">
        <v>4885</v>
      </c>
      <c r="B963" t="s">
        <v>5654</v>
      </c>
      <c r="C963" t="s">
        <v>3344</v>
      </c>
      <c r="D963" t="e" cm="1">
        <f t="array" ref="D963">TRANSPOSE(_xlfn._xlws.FILTER('Controllable Asset Registry'!#REF!,IFERROR('Controllable Asset Registry'!#REF!=A963,FALSE),"No Equipment in entity"))</f>
        <v>#REF!</v>
      </c>
    </row>
    <row r="964" spans="1:4" x14ac:dyDescent="0.3">
      <c r="A964" t="s">
        <v>4886</v>
      </c>
      <c r="B964" t="s">
        <v>5655</v>
      </c>
      <c r="C964" t="s">
        <v>3344</v>
      </c>
      <c r="D964" t="e" cm="1">
        <f t="array" ref="D964">TRANSPOSE(_xlfn._xlws.FILTER('Controllable Asset Registry'!#REF!,IFERROR('Controllable Asset Registry'!#REF!=A964,FALSE),"No Equipment in entity"))</f>
        <v>#REF!</v>
      </c>
    </row>
    <row r="965" spans="1:4" x14ac:dyDescent="0.3">
      <c r="A965" t="s">
        <v>4887</v>
      </c>
      <c r="B965" t="s">
        <v>5656</v>
      </c>
      <c r="C965" t="s">
        <v>3344</v>
      </c>
      <c r="D965" t="e" cm="1">
        <f t="array" ref="D965">TRANSPOSE(_xlfn._xlws.FILTER('Controllable Asset Registry'!#REF!,IFERROR('Controllable Asset Registry'!#REF!=A965,FALSE),"No Equipment in entity"))</f>
        <v>#REF!</v>
      </c>
    </row>
    <row r="966" spans="1:4" x14ac:dyDescent="0.3">
      <c r="A966" t="s">
        <v>4888</v>
      </c>
      <c r="B966" t="s">
        <v>5657</v>
      </c>
      <c r="C966" t="s">
        <v>3341</v>
      </c>
      <c r="D966" t="e" cm="1">
        <f t="array" ref="D966">TRANSPOSE(_xlfn._xlws.FILTER('Controllable Asset Registry'!#REF!,IFERROR('Controllable Asset Registry'!#REF!=A966,FALSE),"No Equipment in entity"))</f>
        <v>#REF!</v>
      </c>
    </row>
    <row r="967" spans="1:4" x14ac:dyDescent="0.3">
      <c r="A967" t="s">
        <v>3607</v>
      </c>
      <c r="B967" t="s">
        <v>5658</v>
      </c>
      <c r="C967" t="s">
        <v>4206</v>
      </c>
      <c r="D967" t="e" cm="1">
        <f t="array" ref="D967">TRANSPOSE(_xlfn._xlws.FILTER('Controllable Asset Registry'!#REF!,IFERROR('Controllable Asset Registry'!#REF!=A967,FALSE),"No Equipment in entity"))</f>
        <v>#REF!</v>
      </c>
    </row>
    <row r="968" spans="1:4" x14ac:dyDescent="0.3">
      <c r="A968" t="s">
        <v>4889</v>
      </c>
      <c r="B968" t="s">
        <v>5659</v>
      </c>
      <c r="C968" t="s">
        <v>3341</v>
      </c>
      <c r="D968" t="e" cm="1">
        <f t="array" ref="D968">TRANSPOSE(_xlfn._xlws.FILTER('Controllable Asset Registry'!#REF!,IFERROR('Controllable Asset Registry'!#REF!=A968,FALSE),"No Equipment in entity"))</f>
        <v>#REF!</v>
      </c>
    </row>
    <row r="969" spans="1:4" x14ac:dyDescent="0.3">
      <c r="A969" t="s">
        <v>3602</v>
      </c>
      <c r="B969" t="s">
        <v>5660</v>
      </c>
      <c r="C969" t="s">
        <v>4206</v>
      </c>
      <c r="D969" t="e" cm="1">
        <f t="array" ref="D969">TRANSPOSE(_xlfn._xlws.FILTER('Controllable Asset Registry'!#REF!,IFERROR('Controllable Asset Registry'!#REF!=A969,FALSE),"No Equipment in entity"))</f>
        <v>#REF!</v>
      </c>
    </row>
    <row r="970" spans="1:4" x14ac:dyDescent="0.3">
      <c r="A970" t="s">
        <v>4890</v>
      </c>
      <c r="B970" t="s">
        <v>5661</v>
      </c>
      <c r="C970" t="s">
        <v>4591</v>
      </c>
      <c r="D970" t="e" cm="1">
        <f t="array" ref="D970">TRANSPOSE(_xlfn._xlws.FILTER('Controllable Asset Registry'!#REF!,IFERROR('Controllable Asset Registry'!#REF!=A970,FALSE),"No Equipment in entity"))</f>
        <v>#REF!</v>
      </c>
    </row>
    <row r="971" spans="1:4" x14ac:dyDescent="0.3">
      <c r="A971" t="s">
        <v>4891</v>
      </c>
      <c r="B971" t="s">
        <v>5662</v>
      </c>
      <c r="C971" t="s">
        <v>4351</v>
      </c>
      <c r="D971" t="e" cm="1">
        <f t="array" ref="D971">TRANSPOSE(_xlfn._xlws.FILTER('Controllable Asset Registry'!#REF!,IFERROR('Controllable Asset Registry'!#REF!=A971,FALSE),"No Equipment in entity"))</f>
        <v>#REF!</v>
      </c>
    </row>
    <row r="972" spans="1:4" x14ac:dyDescent="0.3">
      <c r="A972" t="s">
        <v>4892</v>
      </c>
      <c r="B972" t="s">
        <v>5663</v>
      </c>
      <c r="C972" t="s">
        <v>3341</v>
      </c>
      <c r="D972" t="e" cm="1">
        <f t="array" ref="D972">TRANSPOSE(_xlfn._xlws.FILTER('Controllable Asset Registry'!#REF!,IFERROR('Controllable Asset Registry'!#REF!=A972,FALSE),"No Equipment in entity"))</f>
        <v>#REF!</v>
      </c>
    </row>
    <row r="973" spans="1:4" x14ac:dyDescent="0.3">
      <c r="A973" t="s">
        <v>4893</v>
      </c>
      <c r="B973" t="s">
        <v>5664</v>
      </c>
      <c r="C973" t="s">
        <v>4894</v>
      </c>
      <c r="D973" t="e" cm="1">
        <f t="array" ref="D973">TRANSPOSE(_xlfn._xlws.FILTER('Controllable Asset Registry'!#REF!,IFERROR('Controllable Asset Registry'!#REF!=A973,FALSE),"No Equipment in entity"))</f>
        <v>#REF!</v>
      </c>
    </row>
    <row r="974" spans="1:4" x14ac:dyDescent="0.3">
      <c r="A974" t="s">
        <v>4895</v>
      </c>
      <c r="B974" t="s">
        <v>5665</v>
      </c>
      <c r="C974" t="s">
        <v>4597</v>
      </c>
      <c r="D974" t="e" cm="1">
        <f t="array" ref="D974">TRANSPOSE(_xlfn._xlws.FILTER('Controllable Asset Registry'!#REF!,IFERROR('Controllable Asset Registry'!#REF!=A974,FALSE),"No Equipment in entity"))</f>
        <v>#REF!</v>
      </c>
    </row>
    <row r="975" spans="1:4" x14ac:dyDescent="0.3">
      <c r="A975" t="s">
        <v>4896</v>
      </c>
      <c r="B975" t="s">
        <v>5666</v>
      </c>
      <c r="C975" t="s">
        <v>4897</v>
      </c>
      <c r="D975" t="e" cm="1">
        <f t="array" ref="D975">TRANSPOSE(_xlfn._xlws.FILTER('Controllable Asset Registry'!#REF!,IFERROR('Controllable Asset Registry'!#REF!=A975,FALSE),"No Equipment in entity"))</f>
        <v>#REF!</v>
      </c>
    </row>
    <row r="976" spans="1:4" x14ac:dyDescent="0.3">
      <c r="A976" t="s">
        <v>4898</v>
      </c>
      <c r="B976" t="s">
        <v>4899</v>
      </c>
      <c r="C976" t="s">
        <v>4365</v>
      </c>
      <c r="D976" t="e" cm="1">
        <f t="array" ref="D976">TRANSPOSE(_xlfn._xlws.FILTER('Controllable Asset Registry'!#REF!,IFERROR('Controllable Asset Registry'!#REF!=A976,FALSE),"No Equipment in entity"))</f>
        <v>#REF!</v>
      </c>
    </row>
    <row r="977" spans="1:4" x14ac:dyDescent="0.3">
      <c r="A977" t="s">
        <v>4900</v>
      </c>
      <c r="B977" t="s">
        <v>4901</v>
      </c>
      <c r="C977" t="s">
        <v>4368</v>
      </c>
      <c r="D977" t="e" cm="1">
        <f t="array" ref="D977">TRANSPOSE(_xlfn._xlws.FILTER('Controllable Asset Registry'!#REF!,IFERROR('Controllable Asset Registry'!#REF!=A977,FALSE),"No Equipment in entity"))</f>
        <v>#REF!</v>
      </c>
    </row>
    <row r="978" spans="1:4" x14ac:dyDescent="0.3">
      <c r="A978" t="s">
        <v>4902</v>
      </c>
      <c r="B978" t="s">
        <v>4903</v>
      </c>
      <c r="C978" t="s">
        <v>4371</v>
      </c>
      <c r="D978" t="e" cm="1">
        <f t="array" ref="D978">TRANSPOSE(_xlfn._xlws.FILTER('Controllable Asset Registry'!#REF!,IFERROR('Controllable Asset Registry'!#REF!=A978,FALSE),"No Equipment in entity"))</f>
        <v>#REF!</v>
      </c>
    </row>
    <row r="979" spans="1:4" x14ac:dyDescent="0.3">
      <c r="A979" t="s">
        <v>4904</v>
      </c>
      <c r="B979" t="s">
        <v>4905</v>
      </c>
      <c r="C979" t="s">
        <v>4235</v>
      </c>
      <c r="D979" t="e" cm="1">
        <f t="array" ref="D979">TRANSPOSE(_xlfn._xlws.FILTER('Controllable Asset Registry'!#REF!,IFERROR('Controllable Asset Registry'!#REF!=A979,FALSE),"No Equipment in entity"))</f>
        <v>#REF!</v>
      </c>
    </row>
    <row r="980" spans="1:4" x14ac:dyDescent="0.3">
      <c r="A980" t="s">
        <v>4906</v>
      </c>
      <c r="B980" t="s">
        <v>4907</v>
      </c>
      <c r="C980" t="s">
        <v>4238</v>
      </c>
      <c r="D980" t="e" cm="1">
        <f t="array" ref="D980">TRANSPOSE(_xlfn._xlws.FILTER('Controllable Asset Registry'!#REF!,IFERROR('Controllable Asset Registry'!#REF!=A980,FALSE),"No Equipment in entity"))</f>
        <v>#REF!</v>
      </c>
    </row>
    <row r="981" spans="1:4" x14ac:dyDescent="0.3">
      <c r="A981" t="s">
        <v>4908</v>
      </c>
      <c r="B981" t="s">
        <v>4909</v>
      </c>
      <c r="C981" t="s">
        <v>4241</v>
      </c>
      <c r="D981" t="e" cm="1">
        <f t="array" ref="D981">TRANSPOSE(_xlfn._xlws.FILTER('Controllable Asset Registry'!#REF!,IFERROR('Controllable Asset Registry'!#REF!=A981,FALSE),"No Equipment in entity"))</f>
        <v>#REF!</v>
      </c>
    </row>
    <row r="982" spans="1:4" x14ac:dyDescent="0.3">
      <c r="A982" t="s">
        <v>4910</v>
      </c>
      <c r="B982" t="s">
        <v>4911</v>
      </c>
      <c r="C982" t="s">
        <v>4248</v>
      </c>
      <c r="D982" t="e" cm="1">
        <f t="array" ref="D982">TRANSPOSE(_xlfn._xlws.FILTER('Controllable Asset Registry'!#REF!,IFERROR('Controllable Asset Registry'!#REF!=A982,FALSE),"No Equipment in entity"))</f>
        <v>#REF!</v>
      </c>
    </row>
    <row r="983" spans="1:4" x14ac:dyDescent="0.3">
      <c r="A983" t="s">
        <v>4912</v>
      </c>
      <c r="B983" t="s">
        <v>4913</v>
      </c>
      <c r="C983" t="s">
        <v>4387</v>
      </c>
      <c r="D983" t="e" cm="1">
        <f t="array" ref="D983">TRANSPOSE(_xlfn._xlws.FILTER('Controllable Asset Registry'!#REF!,IFERROR('Controllable Asset Registry'!#REF!=A983,FALSE),"No Equipment in entity"))</f>
        <v>#REF!</v>
      </c>
    </row>
    <row r="984" spans="1:4" x14ac:dyDescent="0.3">
      <c r="A984" t="s">
        <v>4914</v>
      </c>
      <c r="B984" t="s">
        <v>4915</v>
      </c>
      <c r="C984" t="s">
        <v>4251</v>
      </c>
      <c r="D984" t="e" cm="1">
        <f t="array" ref="D984">TRANSPOSE(_xlfn._xlws.FILTER('Controllable Asset Registry'!#REF!,IFERROR('Controllable Asset Registry'!#REF!=A984,FALSE),"No Equipment in entity"))</f>
        <v>#REF!</v>
      </c>
    </row>
    <row r="985" spans="1:4" x14ac:dyDescent="0.3">
      <c r="A985" t="s">
        <v>5685</v>
      </c>
      <c r="B985" t="s">
        <v>5919</v>
      </c>
      <c r="C985" t="s">
        <v>4916</v>
      </c>
      <c r="D985" t="e" cm="1">
        <f t="array" ref="D985">TRANSPOSE(_xlfn._xlws.FILTER('Controllable Asset Registry'!#REF!,IFERROR('Controllable Asset Registry'!#REF!=A985,FALSE),"No Equipment in entity"))</f>
        <v>#REF!</v>
      </c>
    </row>
    <row r="986" spans="1:4" x14ac:dyDescent="0.3">
      <c r="A986" t="s">
        <v>3548</v>
      </c>
      <c r="B986" t="s">
        <v>5667</v>
      </c>
      <c r="C986" t="s">
        <v>4597</v>
      </c>
      <c r="D986" t="e" cm="1">
        <f t="array" ref="D986">TRANSPOSE(_xlfn._xlws.FILTER('Controllable Asset Registry'!#REF!,IFERROR('Controllable Asset Registry'!#REF!=A986,FALSE),"No Equipment in entity"))</f>
        <v>#REF!</v>
      </c>
    </row>
    <row r="987" spans="1:4" x14ac:dyDescent="0.3">
      <c r="A987" t="s">
        <v>5686</v>
      </c>
      <c r="B987">
        <v>5.2140000000000004</v>
      </c>
      <c r="C987" t="s">
        <v>4579</v>
      </c>
      <c r="D987" t="e" cm="1">
        <f t="array" ref="D987">TRANSPOSE(_xlfn._xlws.FILTER('Controllable Asset Registry'!#REF!,IFERROR('Controllable Asset Registry'!#REF!=A987,FALSE),"No Equipment in entity"))</f>
        <v>#REF!</v>
      </c>
    </row>
    <row r="988" spans="1:4" x14ac:dyDescent="0.3">
      <c r="A988" t="s">
        <v>5687</v>
      </c>
      <c r="B988">
        <v>4.1100000000000003</v>
      </c>
      <c r="C988" t="s">
        <v>4408</v>
      </c>
      <c r="D988" t="e" cm="1">
        <f t="array" ref="D988">TRANSPOSE(_xlfn._xlws.FILTER('Controllable Asset Registry'!#REF!,IFERROR('Controllable Asset Registry'!#REF!=A988,FALSE),"No Equipment in entity"))</f>
        <v>#REF!</v>
      </c>
    </row>
    <row r="989" spans="1:4" x14ac:dyDescent="0.3">
      <c r="A989" t="s">
        <v>3608</v>
      </c>
      <c r="B989" t="s">
        <v>5668</v>
      </c>
      <c r="C989" t="s">
        <v>4917</v>
      </c>
      <c r="D989" t="e" cm="1">
        <f t="array" ref="D989">TRANSPOSE(_xlfn._xlws.FILTER('Controllable Asset Registry'!#REF!,IFERROR('Controllable Asset Registry'!#REF!=A989,FALSE),"No Equipment in entity"))</f>
        <v>#REF!</v>
      </c>
    </row>
    <row r="990" spans="1:4" x14ac:dyDescent="0.3">
      <c r="A990" t="s">
        <v>3609</v>
      </c>
      <c r="B990" t="s">
        <v>5669</v>
      </c>
      <c r="C990" t="s">
        <v>4917</v>
      </c>
      <c r="D990" t="e" cm="1">
        <f t="array" ref="D990">TRANSPOSE(_xlfn._xlws.FILTER('Controllable Asset Registry'!#REF!,IFERROR('Controllable Asset Registry'!#REF!=A990,FALSE),"No Equipment in entity"))</f>
        <v>#REF!</v>
      </c>
    </row>
    <row r="991" spans="1:4" x14ac:dyDescent="0.3">
      <c r="A991" t="s">
        <v>3610</v>
      </c>
      <c r="B991" t="s">
        <v>5670</v>
      </c>
      <c r="C991" t="s">
        <v>4917</v>
      </c>
      <c r="D991" t="e" cm="1">
        <f t="array" ref="D991">TRANSPOSE(_xlfn._xlws.FILTER('Controllable Asset Registry'!#REF!,IFERROR('Controllable Asset Registry'!#REF!=A991,FALSE),"No Equipment in entity"))</f>
        <v>#REF!</v>
      </c>
    </row>
    <row r="992" spans="1:4" x14ac:dyDescent="0.3">
      <c r="A992" t="s">
        <v>3612</v>
      </c>
      <c r="B992" t="s">
        <v>3388</v>
      </c>
      <c r="C992" t="s">
        <v>4918</v>
      </c>
      <c r="D992" t="e" cm="1">
        <f t="array" ref="D992">TRANSPOSE(_xlfn._xlws.FILTER('Controllable Asset Registry'!#REF!,IFERROR('Controllable Asset Registry'!#REF!=A992,FALSE),"No Equipment in entity"))</f>
        <v>#REF!</v>
      </c>
    </row>
    <row r="993" spans="1:4" x14ac:dyDescent="0.3">
      <c r="A993" t="s">
        <v>5689</v>
      </c>
      <c r="B993" t="s">
        <v>5920</v>
      </c>
      <c r="C993" t="s">
        <v>3318</v>
      </c>
      <c r="D993" t="e" cm="1">
        <f t="array" ref="D993">TRANSPOSE(_xlfn._xlws.FILTER('Controllable Asset Registry'!#REF!,IFERROR('Controllable Asset Registry'!#REF!=A993,FALSE),"No Equipment in entity"))</f>
        <v>#REF!</v>
      </c>
    </row>
    <row r="994" spans="1:4" x14ac:dyDescent="0.3">
      <c r="A994" t="s">
        <v>3636</v>
      </c>
      <c r="B994" t="s">
        <v>4919</v>
      </c>
      <c r="C994" t="s">
        <v>4270</v>
      </c>
      <c r="D994" t="e" cm="1">
        <f t="array" ref="D994">TRANSPOSE(_xlfn._xlws.FILTER('Controllable Asset Registry'!#REF!,IFERROR('Controllable Asset Registry'!#REF!=A994,FALSE),"No Equipment in entity"))</f>
        <v>#REF!</v>
      </c>
    </row>
    <row r="995" spans="1:4" x14ac:dyDescent="0.3">
      <c r="A995" t="s">
        <v>3644</v>
      </c>
      <c r="B995" t="s">
        <v>4920</v>
      </c>
      <c r="C995" t="s">
        <v>4921</v>
      </c>
      <c r="D995" t="e" cm="1">
        <f t="array" ref="D995">TRANSPOSE(_xlfn._xlws.FILTER('Controllable Asset Registry'!#REF!,IFERROR('Controllable Asset Registry'!#REF!=A995,FALSE),"No Equipment in entity"))</f>
        <v>#REF!</v>
      </c>
    </row>
    <row r="996" spans="1:4" x14ac:dyDescent="0.3">
      <c r="A996" t="s">
        <v>3650</v>
      </c>
      <c r="B996" t="s">
        <v>4922</v>
      </c>
      <c r="C996" t="s">
        <v>4923</v>
      </c>
      <c r="D996" t="e" cm="1">
        <f t="array" ref="D996">TRANSPOSE(_xlfn._xlws.FILTER('Controllable Asset Registry'!#REF!,IFERROR('Controllable Asset Registry'!#REF!=A996,FALSE),"No Equipment in entity"))</f>
        <v>#REF!</v>
      </c>
    </row>
    <row r="997" spans="1:4" x14ac:dyDescent="0.3">
      <c r="A997" t="s">
        <v>3651</v>
      </c>
      <c r="B997" t="s">
        <v>4924</v>
      </c>
      <c r="C997" t="s">
        <v>4923</v>
      </c>
      <c r="D997" t="e" cm="1">
        <f t="array" ref="D997">TRANSPOSE(_xlfn._xlws.FILTER('Controllable Asset Registry'!#REF!,IFERROR('Controllable Asset Registry'!#REF!=A997,FALSE),"No Equipment in entity"))</f>
        <v>#REF!</v>
      </c>
    </row>
    <row r="998" spans="1:4" x14ac:dyDescent="0.3">
      <c r="A998" t="s">
        <v>3672</v>
      </c>
      <c r="B998" t="s">
        <v>5671</v>
      </c>
      <c r="C998" t="s">
        <v>4392</v>
      </c>
      <c r="D998" t="e" cm="1">
        <f t="array" ref="D998">TRANSPOSE(_xlfn._xlws.FILTER('Controllable Asset Registry'!#REF!,IFERROR('Controllable Asset Registry'!#REF!=A998,FALSE),"No Equipment in entity"))</f>
        <v>#REF!</v>
      </c>
    </row>
    <row r="999" spans="1:4" x14ac:dyDescent="0.3">
      <c r="A999" t="s">
        <v>3680</v>
      </c>
      <c r="B999" t="s">
        <v>5672</v>
      </c>
      <c r="C999" t="s">
        <v>4925</v>
      </c>
      <c r="D999" t="e" cm="1">
        <f t="array" ref="D999">TRANSPOSE(_xlfn._xlws.FILTER('Controllable Asset Registry'!#REF!,IFERROR('Controllable Asset Registry'!#REF!=A999,FALSE),"No Equipment in entity"))</f>
        <v>#REF!</v>
      </c>
    </row>
    <row r="1000" spans="1:4" x14ac:dyDescent="0.3">
      <c r="A1000" t="s">
        <v>3715</v>
      </c>
      <c r="B1000" t="s">
        <v>4926</v>
      </c>
      <c r="C1000" t="s">
        <v>4927</v>
      </c>
      <c r="D1000" t="e" cm="1">
        <f t="array" ref="D1000">TRANSPOSE(_xlfn._xlws.FILTER('Controllable Asset Registry'!#REF!,IFERROR('Controllable Asset Registry'!#REF!=A1000,FALSE),"No Equipment in entity"))</f>
        <v>#REF!</v>
      </c>
    </row>
    <row r="1001" spans="1:4" x14ac:dyDescent="0.3">
      <c r="A1001" t="s">
        <v>3739</v>
      </c>
      <c r="B1001" t="s">
        <v>4928</v>
      </c>
      <c r="C1001" t="s">
        <v>4927</v>
      </c>
      <c r="D1001" t="e" cm="1">
        <f t="array" ref="D1001">TRANSPOSE(_xlfn._xlws.FILTER('Controllable Asset Registry'!#REF!,IFERROR('Controllable Asset Registry'!#REF!=A1001,FALSE),"No Equipment in entity"))</f>
        <v>#REF!</v>
      </c>
    </row>
    <row r="1002" spans="1:4" x14ac:dyDescent="0.3">
      <c r="A1002" t="s">
        <v>3757</v>
      </c>
      <c r="B1002" t="s">
        <v>4929</v>
      </c>
      <c r="C1002" t="s">
        <v>4927</v>
      </c>
      <c r="D1002" t="e" cm="1">
        <f t="array" ref="D1002">TRANSPOSE(_xlfn._xlws.FILTER('Controllable Asset Registry'!#REF!,IFERROR('Controllable Asset Registry'!#REF!=A1002,FALSE),"No Equipment in entity"))</f>
        <v>#REF!</v>
      </c>
    </row>
    <row r="1003" spans="1:4" x14ac:dyDescent="0.3">
      <c r="A1003" t="s">
        <v>3759</v>
      </c>
      <c r="B1003" t="s">
        <v>5673</v>
      </c>
      <c r="C1003" t="s">
        <v>4403</v>
      </c>
      <c r="D1003" t="e" cm="1">
        <f t="array" ref="D1003">TRANSPOSE(_xlfn._xlws.FILTER('Controllable Asset Registry'!#REF!,IFERROR('Controllable Asset Registry'!#REF!=A1003,FALSE),"No Equipment in entity"))</f>
        <v>#REF!</v>
      </c>
    </row>
    <row r="1004" spans="1:4" x14ac:dyDescent="0.3">
      <c r="A1004" t="s">
        <v>3760</v>
      </c>
      <c r="B1004" t="s">
        <v>4930</v>
      </c>
      <c r="C1004" t="s">
        <v>4931</v>
      </c>
      <c r="D1004" t="e" cm="1">
        <f t="array" ref="D1004">TRANSPOSE(_xlfn._xlws.FILTER('Controllable Asset Registry'!#REF!,IFERROR('Controllable Asset Registry'!#REF!=A1004,FALSE),"No Equipment in entity"))</f>
        <v>#REF!</v>
      </c>
    </row>
    <row r="1005" spans="1:4" x14ac:dyDescent="0.3">
      <c r="A1005" t="s">
        <v>3780</v>
      </c>
      <c r="B1005" t="s">
        <v>4932</v>
      </c>
      <c r="C1005" t="s">
        <v>4927</v>
      </c>
      <c r="D1005" t="e" cm="1">
        <f t="array" ref="D1005">TRANSPOSE(_xlfn._xlws.FILTER('Controllable Asset Registry'!#REF!,IFERROR('Controllable Asset Registry'!#REF!=A1005,FALSE),"No Equipment in entity"))</f>
        <v>#REF!</v>
      </c>
    </row>
    <row r="1006" spans="1:4" x14ac:dyDescent="0.3">
      <c r="A1006" t="s">
        <v>3781</v>
      </c>
      <c r="B1006" t="s">
        <v>4933</v>
      </c>
      <c r="C1006" t="s">
        <v>4927</v>
      </c>
      <c r="D1006" t="e" cm="1">
        <f t="array" ref="D1006">TRANSPOSE(_xlfn._xlws.FILTER('Controllable Asset Registry'!#REF!,IFERROR('Controllable Asset Registry'!#REF!=A1006,FALSE),"No Equipment in entity"))</f>
        <v>#REF!</v>
      </c>
    </row>
    <row r="1007" spans="1:4" x14ac:dyDescent="0.3">
      <c r="A1007" t="s">
        <v>5690</v>
      </c>
      <c r="B1007">
        <v>4.0039999999999996</v>
      </c>
      <c r="C1007" t="s">
        <v>4934</v>
      </c>
      <c r="D1007" t="e" cm="1">
        <f t="array" ref="D1007">TRANSPOSE(_xlfn._xlws.FILTER('Controllable Asset Registry'!#REF!,IFERROR('Controllable Asset Registry'!#REF!=A1007,FALSE),"No Equipment in entity"))</f>
        <v>#REF!</v>
      </c>
    </row>
    <row r="1008" spans="1:4" x14ac:dyDescent="0.3">
      <c r="A1008" t="s">
        <v>5691</v>
      </c>
      <c r="B1008" t="s">
        <v>5921</v>
      </c>
      <c r="C1008" t="s">
        <v>4927</v>
      </c>
      <c r="D1008" t="e" cm="1">
        <f t="array" ref="D1008">TRANSPOSE(_xlfn._xlws.FILTER('Controllable Asset Registry'!#REF!,IFERROR('Controllable Asset Registry'!#REF!=A1008,FALSE),"No Equipment in entity"))</f>
        <v>#REF!</v>
      </c>
    </row>
    <row r="1009" spans="1:4" x14ac:dyDescent="0.3">
      <c r="A1009" t="s">
        <v>5692</v>
      </c>
      <c r="B1009" t="s">
        <v>5922</v>
      </c>
      <c r="C1009" t="s">
        <v>4927</v>
      </c>
      <c r="D1009" t="e" cm="1">
        <f t="array" ref="D1009">TRANSPOSE(_xlfn._xlws.FILTER('Controllable Asset Registry'!#REF!,IFERROR('Controllable Asset Registry'!#REF!=A1009,FALSE),"No Equipment in entity"))</f>
        <v>#REF!</v>
      </c>
    </row>
    <row r="1010" spans="1:4" x14ac:dyDescent="0.3">
      <c r="A1010" t="s">
        <v>5693</v>
      </c>
      <c r="B1010">
        <v>4.0030000000000001</v>
      </c>
      <c r="C1010" t="s">
        <v>4935</v>
      </c>
      <c r="D1010" t="e" cm="1">
        <f t="array" ref="D1010">TRANSPOSE(_xlfn._xlws.FILTER('Controllable Asset Registry'!#REF!,IFERROR('Controllable Asset Registry'!#REF!=A1010,FALSE),"No Equipment in entity"))</f>
        <v>#REF!</v>
      </c>
    </row>
    <row r="1011" spans="1:4" x14ac:dyDescent="0.3">
      <c r="A1011" t="s">
        <v>5694</v>
      </c>
      <c r="B1011" t="s">
        <v>5923</v>
      </c>
      <c r="C1011" t="s">
        <v>4927</v>
      </c>
      <c r="D1011" t="e" cm="1">
        <f t="array" ref="D1011">TRANSPOSE(_xlfn._xlws.FILTER('Controllable Asset Registry'!#REF!,IFERROR('Controllable Asset Registry'!#REF!=A1011,FALSE),"No Equipment in entity"))</f>
        <v>#REF!</v>
      </c>
    </row>
    <row r="1012" spans="1:4" x14ac:dyDescent="0.3">
      <c r="A1012" t="s">
        <v>5695</v>
      </c>
      <c r="B1012" t="s">
        <v>5924</v>
      </c>
      <c r="C1012" t="s">
        <v>4927</v>
      </c>
      <c r="D1012" t="e" cm="1">
        <f t="array" ref="D1012">TRANSPOSE(_xlfn._xlws.FILTER('Controllable Asset Registry'!#REF!,IFERROR('Controllable Asset Registry'!#REF!=A1012,FALSE),"No Equipment in entity"))</f>
        <v>#REF!</v>
      </c>
    </row>
    <row r="1013" spans="1:4" x14ac:dyDescent="0.3">
      <c r="A1013" t="s">
        <v>5696</v>
      </c>
      <c r="B1013" t="s">
        <v>5925</v>
      </c>
      <c r="C1013" t="s">
        <v>4927</v>
      </c>
      <c r="D1013" t="e" cm="1">
        <f t="array" ref="D1013">TRANSPOSE(_xlfn._xlws.FILTER('Controllable Asset Registry'!#REF!,IFERROR('Controllable Asset Registry'!#REF!=A1013,FALSE),"No Equipment in entity"))</f>
        <v>#REF!</v>
      </c>
    </row>
    <row r="1014" spans="1:4" x14ac:dyDescent="0.3">
      <c r="A1014" t="s">
        <v>5697</v>
      </c>
      <c r="B1014" t="s">
        <v>5926</v>
      </c>
      <c r="C1014" t="s">
        <v>4927</v>
      </c>
      <c r="D1014" t="e" cm="1">
        <f t="array" ref="D1014">TRANSPOSE(_xlfn._xlws.FILTER('Controllable Asset Registry'!#REF!,IFERROR('Controllable Asset Registry'!#REF!=A1014,FALSE),"No Equipment in entity"))</f>
        <v>#REF!</v>
      </c>
    </row>
    <row r="1015" spans="1:4" x14ac:dyDescent="0.3">
      <c r="A1015" t="s">
        <v>5698</v>
      </c>
      <c r="B1015">
        <v>4.1029999999999998</v>
      </c>
      <c r="C1015" t="s">
        <v>4561</v>
      </c>
      <c r="D1015" t="e" cm="1">
        <f t="array" ref="D1015">TRANSPOSE(_xlfn._xlws.FILTER('Controllable Asset Registry'!#REF!,IFERROR('Controllable Asset Registry'!#REF!=A1015,FALSE),"No Equipment in entity"))</f>
        <v>#REF!</v>
      </c>
    </row>
    <row r="1016" spans="1:4" x14ac:dyDescent="0.3">
      <c r="A1016" t="s">
        <v>3843</v>
      </c>
      <c r="B1016" t="s">
        <v>5674</v>
      </c>
      <c r="C1016" t="s">
        <v>4601</v>
      </c>
      <c r="D1016" t="e" cm="1">
        <f t="array" ref="D1016">TRANSPOSE(_xlfn._xlws.FILTER('Controllable Asset Registry'!#REF!,IFERROR('Controllable Asset Registry'!#REF!=A1016,FALSE),"No Equipment in entity"))</f>
        <v>#REF!</v>
      </c>
    </row>
    <row r="1017" spans="1:4" x14ac:dyDescent="0.3">
      <c r="A1017" t="s">
        <v>5703</v>
      </c>
      <c r="B1017" t="s">
        <v>5927</v>
      </c>
      <c r="C1017" t="s">
        <v>3318</v>
      </c>
      <c r="D1017" t="e" cm="1">
        <f t="array" ref="D1017">TRANSPOSE(_xlfn._xlws.FILTER('Controllable Asset Registry'!#REF!,IFERROR('Controllable Asset Registry'!#REF!=A1017,FALSE),"No Equipment in entity"))</f>
        <v>#REF!</v>
      </c>
    </row>
    <row r="1018" spans="1:4" x14ac:dyDescent="0.3">
      <c r="A1018" t="s">
        <v>3930</v>
      </c>
      <c r="B1018" t="s">
        <v>4936</v>
      </c>
      <c r="C1018" t="s">
        <v>4927</v>
      </c>
      <c r="D1018" t="e" cm="1">
        <f t="array" ref="D1018">TRANSPOSE(_xlfn._xlws.FILTER('Controllable Asset Registry'!#REF!,IFERROR('Controllable Asset Registry'!#REF!=A1018,FALSE),"No Equipment in entity"))</f>
        <v>#REF!</v>
      </c>
    </row>
    <row r="1019" spans="1:4" x14ac:dyDescent="0.3">
      <c r="A1019" t="s">
        <v>3966</v>
      </c>
      <c r="B1019" t="s">
        <v>5675</v>
      </c>
      <c r="C1019" t="s">
        <v>4513</v>
      </c>
      <c r="D1019" t="e" cm="1">
        <f t="array" ref="D1019">TRANSPOSE(_xlfn._xlws.FILTER('Controllable Asset Registry'!#REF!,IFERROR('Controllable Asset Registry'!#REF!=A1019,FALSE),"No Equipment in entity"))</f>
        <v>#REF!</v>
      </c>
    </row>
    <row r="1020" spans="1:4" x14ac:dyDescent="0.3">
      <c r="A1020" t="s">
        <v>3998</v>
      </c>
      <c r="B1020" t="s">
        <v>5676</v>
      </c>
      <c r="C1020" t="s">
        <v>4822</v>
      </c>
      <c r="D1020" t="e" cm="1">
        <f t="array" ref="D1020">TRANSPOSE(_xlfn._xlws.FILTER('Controllable Asset Registry'!#REF!,IFERROR('Controllable Asset Registry'!#REF!=A1020,FALSE),"No Equipment in entity"))</f>
        <v>#REF!</v>
      </c>
    </row>
    <row r="1021" spans="1:4" x14ac:dyDescent="0.3">
      <c r="A1021" t="s">
        <v>4057</v>
      </c>
      <c r="B1021" t="s">
        <v>4937</v>
      </c>
      <c r="C1021" t="s">
        <v>4927</v>
      </c>
      <c r="D1021" t="e" cm="1">
        <f t="array" ref="D1021">TRANSPOSE(_xlfn._xlws.FILTER('Controllable Asset Registry'!#REF!,IFERROR('Controllable Asset Registry'!#REF!=A1021,FALSE),"No Equipment in entity"))</f>
        <v>#REF!</v>
      </c>
    </row>
    <row r="1022" spans="1:4" x14ac:dyDescent="0.3">
      <c r="A1022" t="s">
        <v>4058</v>
      </c>
      <c r="B1022" t="s">
        <v>4938</v>
      </c>
      <c r="C1022" t="s">
        <v>4927</v>
      </c>
      <c r="D1022" t="e" cm="1">
        <f t="array" ref="D1022">TRANSPOSE(_xlfn._xlws.FILTER('Controllable Asset Registry'!#REF!,IFERROR('Controllable Asset Registry'!#REF!=A1022,FALSE),"No Equipment in entity"))</f>
        <v>#REF!</v>
      </c>
    </row>
    <row r="1023" spans="1:4" x14ac:dyDescent="0.3">
      <c r="A1023" t="s">
        <v>4059</v>
      </c>
      <c r="B1023" t="s">
        <v>4939</v>
      </c>
      <c r="C1023" t="s">
        <v>4927</v>
      </c>
      <c r="D1023" t="e" cm="1">
        <f t="array" ref="D1023">TRANSPOSE(_xlfn._xlws.FILTER('Controllable Asset Registry'!#REF!,IFERROR('Controllable Asset Registry'!#REF!=A1023,FALSE),"No Equipment in entity"))</f>
        <v>#REF!</v>
      </c>
    </row>
    <row r="1024" spans="1:4" x14ac:dyDescent="0.3">
      <c r="A1024" t="s">
        <v>4060</v>
      </c>
      <c r="B1024" t="s">
        <v>4940</v>
      </c>
      <c r="C1024" t="s">
        <v>4927</v>
      </c>
      <c r="D1024" t="e" cm="1">
        <f t="array" ref="D1024">TRANSPOSE(_xlfn._xlws.FILTER('Controllable Asset Registry'!#REF!,IFERROR('Controllable Asset Registry'!#REF!=A1024,FALSE),"No Equipment in entity"))</f>
        <v>#REF!</v>
      </c>
    </row>
    <row r="1025" spans="1:4" x14ac:dyDescent="0.3">
      <c r="A1025" t="s">
        <v>4083</v>
      </c>
      <c r="B1025" t="s">
        <v>5677</v>
      </c>
      <c r="C1025" t="s">
        <v>4941</v>
      </c>
      <c r="D1025" t="e" cm="1">
        <f t="array" ref="D1025">TRANSPOSE(_xlfn._xlws.FILTER('Controllable Asset Registry'!#REF!,IFERROR('Controllable Asset Registry'!#REF!=A1025,FALSE),"No Equipment in entity"))</f>
        <v>#REF!</v>
      </c>
    </row>
    <row r="1026" spans="1:4" x14ac:dyDescent="0.3">
      <c r="A1026" t="s">
        <v>5704</v>
      </c>
      <c r="B1026" t="s">
        <v>5928</v>
      </c>
      <c r="C1026" t="s">
        <v>4733</v>
      </c>
      <c r="D1026" t="e" cm="1">
        <f t="array" ref="D1026">TRANSPOSE(_xlfn._xlws.FILTER('Controllable Asset Registry'!#REF!,IFERROR('Controllable Asset Registry'!#REF!=A1026,FALSE),"No Equipment in entity"))</f>
        <v>#REF!</v>
      </c>
    </row>
    <row r="1027" spans="1:4" x14ac:dyDescent="0.3">
      <c r="A1027" t="s">
        <v>4088</v>
      </c>
      <c r="B1027" t="s">
        <v>4942</v>
      </c>
      <c r="C1027" t="s">
        <v>4943</v>
      </c>
      <c r="D1027" t="e" cm="1">
        <f t="array" ref="D1027">TRANSPOSE(_xlfn._xlws.FILTER('Controllable Asset Registry'!#REF!,IFERROR('Controllable Asset Registry'!#REF!=A1027,FALSE),"No Equipment in entity"))</f>
        <v>#REF!</v>
      </c>
    </row>
    <row r="1028" spans="1:4" x14ac:dyDescent="0.3">
      <c r="A1028" t="s">
        <v>5705</v>
      </c>
      <c r="B1028" t="s">
        <v>5929</v>
      </c>
      <c r="C1028" t="s">
        <v>4927</v>
      </c>
      <c r="D1028" t="e" cm="1">
        <f t="array" ref="D1028">TRANSPOSE(_xlfn._xlws.FILTER('Controllable Asset Registry'!#REF!,IFERROR('Controllable Asset Registry'!#REF!=A1028,FALSE),"No Equipment in entity"))</f>
        <v>#REF!</v>
      </c>
    </row>
    <row r="1029" spans="1:4" x14ac:dyDescent="0.3">
      <c r="A1029" t="s">
        <v>5706</v>
      </c>
      <c r="B1029" t="s">
        <v>5930</v>
      </c>
      <c r="C1029" t="s">
        <v>4927</v>
      </c>
      <c r="D1029" t="e" cm="1">
        <f t="array" ref="D1029">TRANSPOSE(_xlfn._xlws.FILTER('Controllable Asset Registry'!#REF!,IFERROR('Controllable Asset Registry'!#REF!=A1029,FALSE),"No Equipment in entity"))</f>
        <v>#REF!</v>
      </c>
    </row>
    <row r="1030" spans="1:4" x14ac:dyDescent="0.3">
      <c r="A1030" t="s">
        <v>5707</v>
      </c>
      <c r="B1030" t="s">
        <v>5931</v>
      </c>
      <c r="C1030" t="s">
        <v>4927</v>
      </c>
      <c r="D1030" t="e" cm="1">
        <f t="array" ref="D1030">TRANSPOSE(_xlfn._xlws.FILTER('Controllable Asset Registry'!#REF!,IFERROR('Controllable Asset Registry'!#REF!=A1030,FALSE),"No Equipment in entity"))</f>
        <v>#REF!</v>
      </c>
    </row>
    <row r="1031" spans="1:4" x14ac:dyDescent="0.3">
      <c r="A1031" t="s">
        <v>5708</v>
      </c>
      <c r="B1031" t="s">
        <v>5932</v>
      </c>
      <c r="C1031" t="s">
        <v>4927</v>
      </c>
      <c r="D1031" t="e" cm="1">
        <f t="array" ref="D1031">TRANSPOSE(_xlfn._xlws.FILTER('Controllable Asset Registry'!#REF!,IFERROR('Controllable Asset Registry'!#REF!=A1031,FALSE),"No Equipment in entity"))</f>
        <v>#REF!</v>
      </c>
    </row>
    <row r="1032" spans="1:4" x14ac:dyDescent="0.3">
      <c r="A1032" t="s">
        <v>5709</v>
      </c>
      <c r="B1032" t="s">
        <v>5933</v>
      </c>
      <c r="C1032" t="s">
        <v>4927</v>
      </c>
      <c r="D1032" t="e" cm="1">
        <f t="array" ref="D1032">TRANSPOSE(_xlfn._xlws.FILTER('Controllable Asset Registry'!#REF!,IFERROR('Controllable Asset Registry'!#REF!=A1032,FALSE),"No Equipment in entity"))</f>
        <v>#REF!</v>
      </c>
    </row>
    <row r="1033" spans="1:4" x14ac:dyDescent="0.3">
      <c r="A1033" t="s">
        <v>4089</v>
      </c>
      <c r="B1033" t="s">
        <v>4944</v>
      </c>
      <c r="C1033" t="s">
        <v>4927</v>
      </c>
      <c r="D1033" t="e" cm="1">
        <f t="array" ref="D1033">TRANSPOSE(_xlfn._xlws.FILTER('Controllable Asset Registry'!#REF!,IFERROR('Controllable Asset Registry'!#REF!=A1033,FALSE),"No Equipment in entity"))</f>
        <v>#REF!</v>
      </c>
    </row>
    <row r="1034" spans="1:4" x14ac:dyDescent="0.3">
      <c r="A1034" t="s">
        <v>4091</v>
      </c>
      <c r="B1034" t="s">
        <v>5678</v>
      </c>
      <c r="C1034" t="s">
        <v>4945</v>
      </c>
      <c r="D1034" t="e" cm="1">
        <f t="array" ref="D1034">TRANSPOSE(_xlfn._xlws.FILTER('Controllable Asset Registry'!#REF!,IFERROR('Controllable Asset Registry'!#REF!=A1034,FALSE),"No Equipment in entity"))</f>
        <v>#REF!</v>
      </c>
    </row>
    <row r="1035" spans="1:4" x14ac:dyDescent="0.3">
      <c r="A1035" t="s">
        <v>4095</v>
      </c>
      <c r="B1035" t="s">
        <v>5679</v>
      </c>
      <c r="C1035" t="s">
        <v>4872</v>
      </c>
      <c r="D1035" t="e" cm="1">
        <f t="array" ref="D1035">TRANSPOSE(_xlfn._xlws.FILTER('Controllable Asset Registry'!#REF!,IFERROR('Controllable Asset Registry'!#REF!=A1035,FALSE),"No Equipment in entity"))</f>
        <v>#REF!</v>
      </c>
    </row>
    <row r="1036" spans="1:4" x14ac:dyDescent="0.3">
      <c r="A1036" t="s">
        <v>4096</v>
      </c>
      <c r="B1036" t="s">
        <v>5680</v>
      </c>
      <c r="C1036" t="s">
        <v>4872</v>
      </c>
      <c r="D1036" t="e" cm="1">
        <f t="array" ref="D1036">TRANSPOSE(_xlfn._xlws.FILTER('Controllable Asset Registry'!#REF!,IFERROR('Controllable Asset Registry'!#REF!=A1036,FALSE),"No Equipment in entity"))</f>
        <v>#REF!</v>
      </c>
    </row>
    <row r="1037" spans="1:4" x14ac:dyDescent="0.3">
      <c r="A1037" t="s">
        <v>4097</v>
      </c>
      <c r="B1037" t="s">
        <v>5681</v>
      </c>
      <c r="C1037" t="s">
        <v>4873</v>
      </c>
      <c r="D1037" t="e" cm="1">
        <f t="array" ref="D1037">TRANSPOSE(_xlfn._xlws.FILTER('Controllable Asset Registry'!#REF!,IFERROR('Controllable Asset Registry'!#REF!=A1037,FALSE),"No Equipment in entity"))</f>
        <v>#REF!</v>
      </c>
    </row>
    <row r="1038" spans="1:4" x14ac:dyDescent="0.3">
      <c r="A1038" t="s">
        <v>4098</v>
      </c>
      <c r="B1038" t="s">
        <v>5682</v>
      </c>
      <c r="C1038" t="s">
        <v>4873</v>
      </c>
      <c r="D1038" t="e" cm="1">
        <f t="array" ref="D1038">TRANSPOSE(_xlfn._xlws.FILTER('Controllable Asset Registry'!#REF!,IFERROR('Controllable Asset Registry'!#REF!=A1038,FALSE),"No Equipment in entity"))</f>
        <v>#REF!</v>
      </c>
    </row>
    <row r="1039" spans="1:4" x14ac:dyDescent="0.3">
      <c r="A1039" t="s">
        <v>4099</v>
      </c>
      <c r="B1039" t="s">
        <v>5683</v>
      </c>
      <c r="C1039" t="s">
        <v>4946</v>
      </c>
      <c r="D1039" t="e" cm="1">
        <f t="array" ref="D1039">TRANSPOSE(_xlfn._xlws.FILTER('Controllable Asset Registry'!#REF!,IFERROR('Controllable Asset Registry'!#REF!=A1039,FALSE),"No Equipment in entity"))</f>
        <v>#REF!</v>
      </c>
    </row>
    <row r="1040" spans="1:4" x14ac:dyDescent="0.3">
      <c r="A1040" t="s">
        <v>4100</v>
      </c>
      <c r="B1040" t="s">
        <v>5684</v>
      </c>
      <c r="C1040" t="s">
        <v>3344</v>
      </c>
      <c r="D1040" t="e" cm="1">
        <f t="array" ref="D1040">TRANSPOSE(_xlfn._xlws.FILTER('Controllable Asset Registry'!#REF!,IFERROR('Controllable Asset Registry'!#REF!=A1040,FALSE),"No Equipment in entity"))</f>
        <v>#REF!</v>
      </c>
    </row>
    <row r="1041" spans="1:4" x14ac:dyDescent="0.3">
      <c r="A1041" t="s">
        <v>5688</v>
      </c>
      <c r="B1041" t="s">
        <v>5934</v>
      </c>
      <c r="C1041" t="s">
        <v>4947</v>
      </c>
      <c r="D1041" t="e" cm="1">
        <f t="array" ref="D1041">TRANSPOSE(_xlfn._xlws.FILTER('Controllable Asset Registry'!#REF!,IFERROR('Controllable Asset Registry'!#REF!=A1041,FALSE),"No Equipment in entity"))</f>
        <v>#REF!</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DABCD-D3C6-413C-8798-66418C1604AB}">
  <dimension ref="A1:U353"/>
  <sheetViews>
    <sheetView zoomScale="70" zoomScaleNormal="70" workbookViewId="0">
      <selection activeCell="O24" sqref="O24"/>
    </sheetView>
  </sheetViews>
  <sheetFormatPr defaultRowHeight="14.4" x14ac:dyDescent="0.3"/>
  <cols>
    <col min="1" max="1" width="57.44140625" bestFit="1" customWidth="1"/>
    <col min="3" max="3" width="41.6640625" bestFit="1" customWidth="1"/>
    <col min="4" max="4" width="21.109375" bestFit="1" customWidth="1"/>
    <col min="5" max="5" width="16.88671875" bestFit="1" customWidth="1"/>
    <col min="6" max="13" width="16" bestFit="1" customWidth="1"/>
    <col min="14" max="14" width="33.88671875" bestFit="1" customWidth="1"/>
    <col min="15" max="15" width="21.109375" bestFit="1" customWidth="1"/>
    <col min="16" max="23" width="12.33203125" bestFit="1" customWidth="1"/>
    <col min="24" max="24" width="2.21875" bestFit="1" customWidth="1"/>
    <col min="25" max="25" width="26.88671875" bestFit="1" customWidth="1"/>
    <col min="38" max="38" width="33.88671875" bestFit="1" customWidth="1"/>
    <col min="39" max="39" width="5.5546875" bestFit="1" customWidth="1"/>
  </cols>
  <sheetData>
    <row r="1" spans="1:19" x14ac:dyDescent="0.3">
      <c r="A1" t="s">
        <v>4101</v>
      </c>
      <c r="B1" t="s">
        <v>6697</v>
      </c>
      <c r="C1" t="s">
        <v>6698</v>
      </c>
    </row>
    <row r="2" spans="1:19" x14ac:dyDescent="0.3">
      <c r="A2" t="str">
        <f t="shared" ref="A2:A65" si="0">"entity:QNL_"&amp;B2&amp;"_"&amp;C2</f>
        <v>entity:QNL_B_228_M1_HVAC_SHAFT</v>
      </c>
      <c r="B2" s="24" t="s">
        <v>5943</v>
      </c>
      <c r="C2" t="s">
        <v>5944</v>
      </c>
      <c r="D2" t="str" cm="1">
        <f t="array" ref="D2">TRANSPOSE(_xlfn._xlws.FILTER('Controllable Asset Registry'!$A$4:$A$554,IFERROR('Controllable Asset Registry'!$E$4:$E$554=A2,FALSE),"No Equipment in entity"))</f>
        <v>No Equipment in entity</v>
      </c>
    </row>
    <row r="3" spans="1:19" x14ac:dyDescent="0.3">
      <c r="A3" t="str">
        <f t="shared" si="0"/>
        <v>entity:QNL_B_229_E1_ELEC_SHAFT</v>
      </c>
      <c r="B3" s="24" t="s">
        <v>5945</v>
      </c>
      <c r="C3" t="s">
        <v>5946</v>
      </c>
      <c r="D3" t="str" cm="1">
        <f t="array" ref="D3">TRANSPOSE(_xlfn._xlws.FILTER('Controllable Asset Registry'!$A$4:$A$554,IFERROR('Controllable Asset Registry'!$E$4:$E$554=A3,FALSE),"No Equipment in entity"))</f>
        <v>No Equipment in entity</v>
      </c>
    </row>
    <row r="4" spans="1:19" x14ac:dyDescent="0.3">
      <c r="A4" t="str">
        <f t="shared" si="0"/>
        <v>entity:QNL_B_230_REFR_STORE</v>
      </c>
      <c r="B4" s="24" t="s">
        <v>5947</v>
      </c>
      <c r="C4" t="s">
        <v>5948</v>
      </c>
      <c r="D4" t="str" cm="1">
        <f t="array" ref="D4">TRANSPOSE(_xlfn._xlws.FILTER('Controllable Asset Registry'!$A$4:$A$554,IFERROR('Controllable Asset Registry'!$E$4:$E$554=A4,FALSE),"No Equipment in entity"))</f>
        <v>No Equipment in entity</v>
      </c>
    </row>
    <row r="5" spans="1:19" x14ac:dyDescent="0.3">
      <c r="A5" t="str">
        <f t="shared" si="0"/>
        <v>entity:QNL_B_231_DISH_WASING</v>
      </c>
      <c r="B5" s="24" t="s">
        <v>5949</v>
      </c>
      <c r="C5" t="s">
        <v>5950</v>
      </c>
      <c r="D5" t="str" cm="1">
        <f t="array" ref="D5">TRANSPOSE(_xlfn._xlws.FILTER('Controllable Asset Registry'!$A$4:$A$554,IFERROR('Controllable Asset Registry'!$E$4:$E$554=A5,FALSE),"No Equipment in entity"))</f>
        <v>No Equipment in entity</v>
      </c>
    </row>
    <row r="6" spans="1:19" x14ac:dyDescent="0.3">
      <c r="A6" t="str">
        <f t="shared" si="0"/>
        <v>entity:QNL_B_232_DRY_STORE</v>
      </c>
      <c r="B6" s="24" t="s">
        <v>5951</v>
      </c>
      <c r="C6" t="s">
        <v>5952</v>
      </c>
      <c r="D6" t="str" cm="1">
        <f t="array" ref="D6">TRANSPOSE(_xlfn._xlws.FILTER('Controllable Asset Registry'!$A$4:$A$554,IFERROR('Controllable Asset Registry'!$E$4:$E$554=A6,FALSE),"No Equipment in entity"))</f>
        <v>No Equipment in entity</v>
      </c>
    </row>
    <row r="7" spans="1:19" x14ac:dyDescent="0.3">
      <c r="A7" t="str">
        <f t="shared" si="0"/>
        <v>entity:QNL_B_233_WC5_RISER</v>
      </c>
      <c r="B7" s="24" t="s">
        <v>5953</v>
      </c>
      <c r="C7" t="s">
        <v>5954</v>
      </c>
      <c r="D7" t="str" cm="1">
        <f t="array" ref="D7">TRANSPOSE(_xlfn._xlws.FILTER('Controllable Asset Registry'!$A$4:$A$554,IFERROR('Controllable Asset Registry'!$E$4:$E$554=A7,FALSE),"No Equipment in entity"))</f>
        <v>No Equipment in entity</v>
      </c>
    </row>
    <row r="8" spans="1:19" x14ac:dyDescent="0.3">
      <c r="A8" t="str">
        <f t="shared" si="0"/>
        <v>entity:QNL_B_234_E3_ELEC_SHAFT</v>
      </c>
      <c r="B8" s="24" t="s">
        <v>5955</v>
      </c>
      <c r="C8" t="s">
        <v>5956</v>
      </c>
      <c r="D8" t="str" cm="1">
        <f t="array" ref="D8">TRANSPOSE(_xlfn._xlws.FILTER('Controllable Asset Registry'!$A$4:$A$554,IFERROR('Controllable Asset Registry'!$E$4:$E$554=A8,FALSE),"No Equipment in entity"))</f>
        <v>No Equipment in entity</v>
      </c>
    </row>
    <row r="9" spans="1:19" x14ac:dyDescent="0.3">
      <c r="A9" t="str">
        <f t="shared" si="0"/>
        <v>entity:QNL_B_235_M2_HVAC_SHAFT_ABOVE</v>
      </c>
      <c r="B9" s="24" t="s">
        <v>5957</v>
      </c>
      <c r="C9" t="s">
        <v>5958</v>
      </c>
      <c r="D9" t="str" cm="1">
        <f t="array" ref="D9">TRANSPOSE(_xlfn._xlws.FILTER('Controllable Asset Registry'!$A$4:$A$554,IFERROR('Controllable Asset Registry'!$E$4:$E$554=A9,FALSE),"No Equipment in entity"))</f>
        <v>No Equipment in entity</v>
      </c>
    </row>
    <row r="10" spans="1:19" x14ac:dyDescent="0.3">
      <c r="A10" t="str">
        <f t="shared" si="0"/>
        <v>entity:QNL_B_236_WC1_RISER</v>
      </c>
      <c r="B10" s="24" t="s">
        <v>5959</v>
      </c>
      <c r="C10" t="s">
        <v>5960</v>
      </c>
      <c r="D10" t="str" cm="1">
        <f t="array" ref="D10">TRANSPOSE(_xlfn._xlws.FILTER('Controllable Asset Registry'!$A$4:$A$554,IFERROR('Controllable Asset Registry'!$E$4:$E$554=A10,FALSE),"No Equipment in entity"))</f>
        <v>No Equipment in entity</v>
      </c>
    </row>
    <row r="11" spans="1:19" x14ac:dyDescent="0.3">
      <c r="A11" t="str">
        <f t="shared" si="0"/>
        <v>entity:QNL_B_237_CORRIDOR</v>
      </c>
      <c r="B11" s="24" t="s">
        <v>5961</v>
      </c>
      <c r="C11" t="s">
        <v>3318</v>
      </c>
      <c r="D11" t="str" cm="1">
        <f t="array" ref="D11">TRANSPOSE(_xlfn._xlws.FILTER('Controllable Asset Registry'!$A$4:$A$554,IFERROR('Controllable Asset Registry'!$E$4:$E$554=A11,FALSE),"No Equipment in entity"))</f>
        <v>No Equipment in entity</v>
      </c>
    </row>
    <row r="12" spans="1:19" x14ac:dyDescent="0.3">
      <c r="A12" t="str">
        <f t="shared" si="0"/>
        <v>entity:QNL_B_238_M3_HVAC_SHAFT</v>
      </c>
      <c r="B12" s="24" t="s">
        <v>5962</v>
      </c>
      <c r="C12" t="s">
        <v>5963</v>
      </c>
      <c r="D12" t="str" cm="1">
        <f t="array" ref="D12">TRANSPOSE(_xlfn._xlws.FILTER('Controllable Asset Registry'!$A$4:$A$554,IFERROR('Controllable Asset Registry'!$E$4:$E$554=A12,FALSE),"No Equipment in entity"))</f>
        <v>No Equipment in entity</v>
      </c>
    </row>
    <row r="13" spans="1:19" x14ac:dyDescent="0.3">
      <c r="A13" t="str">
        <f t="shared" si="0"/>
        <v>entity:QNL_B_001_TECH_SERVICES_AND_COLLECTIONS_OFFICE</v>
      </c>
      <c r="B13" s="24" t="s">
        <v>6621</v>
      </c>
      <c r="C13" t="s">
        <v>6671</v>
      </c>
      <c r="D13" t="str" cm="1">
        <f t="array" ref="D13:S13">TRANSPOSE(_xlfn._xlws.FILTER('Controllable Asset Registry'!$A$4:$A$554,IFERROR('Controllable Asset Registry'!$E$4:$E$554=A13,FALSE),"No Equipment in entity"))</f>
        <v>VAV_B_S11_003</v>
      </c>
      <c r="E13" t="str">
        <v>VAV_B_S11_004</v>
      </c>
      <c r="F13" t="str">
        <v>VAV_B_S11_005</v>
      </c>
      <c r="G13" t="str">
        <v>VAV_B_S11_006</v>
      </c>
      <c r="H13" t="str">
        <v>VAV_B_S11_007</v>
      </c>
      <c r="I13" t="str">
        <v>VAV_B_S11_008</v>
      </c>
      <c r="J13" t="str">
        <v>VAV_B_S11_009</v>
      </c>
      <c r="K13" t="str">
        <v>VAV_B_S11_010</v>
      </c>
      <c r="L13" t="str">
        <v>VAV_B_S11_013</v>
      </c>
      <c r="M13" t="str">
        <v>VAV_B_S11_014</v>
      </c>
      <c r="N13" t="str">
        <v>VAV_B_S11_015</v>
      </c>
      <c r="O13" t="str">
        <v>VAV_B_S11_016</v>
      </c>
      <c r="P13" t="str">
        <v>VAV_B_S11_017</v>
      </c>
      <c r="Q13" t="str">
        <v>VAV_B_S11_018</v>
      </c>
      <c r="R13" t="str">
        <v>VAV_B_S11_019</v>
      </c>
      <c r="S13" t="str">
        <v>VAV_B_S11_020</v>
      </c>
    </row>
    <row r="14" spans="1:19" x14ac:dyDescent="0.3">
      <c r="A14" t="str">
        <f t="shared" si="0"/>
        <v>entity:QNL_B_002_KITCHEN</v>
      </c>
      <c r="B14" s="24" t="s">
        <v>5965</v>
      </c>
      <c r="C14" t="s">
        <v>3431</v>
      </c>
      <c r="D14" t="str" cm="1">
        <f t="array" ref="D14">TRANSPOSE(_xlfn._xlws.FILTER('Controllable Asset Registry'!$A$4:$A$554,IFERROR('Controllable Asset Registry'!$E$4:$E$554=A14,FALSE),"No Equipment in entity"))</f>
        <v>VAV_B_S11_024</v>
      </c>
    </row>
    <row r="15" spans="1:19" x14ac:dyDescent="0.3">
      <c r="A15" t="str">
        <f t="shared" si="0"/>
        <v>entity:QNL_B_003_FINANCE_COORDINATOR_&amp;_BUSINESS_SUPPORT_OFCR</v>
      </c>
      <c r="B15" s="24" t="s">
        <v>5967</v>
      </c>
      <c r="C15" t="s">
        <v>5968</v>
      </c>
      <c r="D15" t="str" cm="1">
        <f t="array" ref="D15:E15">TRANSPOSE(_xlfn._xlws.FILTER('Controllable Asset Registry'!$A$4:$A$554,IFERROR('Controllable Asset Registry'!$E$4:$E$554=A15,FALSE),"No Equipment in entity"))</f>
        <v>VAV_B_S11_026</v>
      </c>
      <c r="E15" t="str">
        <v>VAV_B_S11_027</v>
      </c>
    </row>
    <row r="16" spans="1:19" x14ac:dyDescent="0.3">
      <c r="A16" t="str">
        <f t="shared" si="0"/>
        <v>entity:QNL_B_004_ANALOG_RESOURCES</v>
      </c>
      <c r="B16" s="24" t="s">
        <v>5970</v>
      </c>
      <c r="C16" t="s">
        <v>5971</v>
      </c>
      <c r="D16" t="str" cm="1">
        <f t="array" ref="D16">TRANSPOSE(_xlfn._xlws.FILTER('Controllable Asset Registry'!$A$4:$A$554,IFERROR('Controllable Asset Registry'!$E$4:$E$554=A16,FALSE),"No Equipment in entity"))</f>
        <v>VAV_B_S11_028</v>
      </c>
    </row>
    <row r="17" spans="1:7" x14ac:dyDescent="0.3">
      <c r="A17" t="str">
        <f t="shared" si="0"/>
        <v>entity:QNL_B_005_DIGITAL_RESOURCES</v>
      </c>
      <c r="B17" s="24" t="s">
        <v>5973</v>
      </c>
      <c r="C17" t="s">
        <v>5974</v>
      </c>
      <c r="D17" t="str" cm="1">
        <f t="array" ref="D17">TRANSPOSE(_xlfn._xlws.FILTER('Controllable Asset Registry'!$A$4:$A$554,IFERROR('Controllable Asset Registry'!$E$4:$E$554=A17,FALSE),"No Equipment in entity"))</f>
        <v>VAV_B_S11_029</v>
      </c>
    </row>
    <row r="18" spans="1:7" x14ac:dyDescent="0.3">
      <c r="A18" t="str">
        <f t="shared" si="0"/>
        <v>entity:QNL_B_006_BUDGET_&amp;_PAYMENT_1</v>
      </c>
      <c r="B18" s="24" t="s">
        <v>5976</v>
      </c>
      <c r="C18" t="s">
        <v>5977</v>
      </c>
      <c r="D18" t="str" cm="1">
        <f t="array" ref="D18">TRANSPOSE(_xlfn._xlws.FILTER('Controllable Asset Registry'!$A$4:$A$554,IFERROR('Controllable Asset Registry'!$E$4:$E$554=A18,FALSE),"No Equipment in entity"))</f>
        <v>VAV_B_S11_030</v>
      </c>
    </row>
    <row r="19" spans="1:7" x14ac:dyDescent="0.3">
      <c r="A19" t="str">
        <f t="shared" si="0"/>
        <v>entity:QNL_B_007_BUDGET_&amp;_PAYMENT_2</v>
      </c>
      <c r="B19" s="24" t="s">
        <v>5979</v>
      </c>
      <c r="C19" t="s">
        <v>5980</v>
      </c>
      <c r="D19" t="str" cm="1">
        <f t="array" ref="D19">TRANSPOSE(_xlfn._xlws.FILTER('Controllable Asset Registry'!$A$4:$A$554,IFERROR('Controllable Asset Registry'!$E$4:$E$554=A19,FALSE),"No Equipment in entity"))</f>
        <v>VAV_B_S11_031</v>
      </c>
    </row>
    <row r="20" spans="1:7" x14ac:dyDescent="0.3">
      <c r="A20" t="str">
        <f t="shared" si="0"/>
        <v>entity:QNL_B_008_RECEIVING_AREA</v>
      </c>
      <c r="B20" s="24" t="s">
        <v>5982</v>
      </c>
      <c r="C20" t="s">
        <v>5983</v>
      </c>
      <c r="D20" t="str" cm="1">
        <f t="array" ref="D20:G20">TRANSPOSE(_xlfn._xlws.FILTER('Controllable Asset Registry'!$A$4:$A$554,IFERROR('Controllable Asset Registry'!$E$4:$E$554=A20,FALSE),"No Equipment in entity"))</f>
        <v>VAV_B_S11_043</v>
      </c>
      <c r="E20" t="str">
        <v>VAV_B_S11_044</v>
      </c>
      <c r="F20" t="str">
        <v>VAV_B_S11_045</v>
      </c>
      <c r="G20" t="str">
        <v>VAV_B_S11_046</v>
      </c>
    </row>
    <row r="21" spans="1:7" x14ac:dyDescent="0.3">
      <c r="A21" t="str">
        <f t="shared" si="0"/>
        <v>entity:QNL_B_009_RECEPTION_&amp;_LOUNGE</v>
      </c>
      <c r="B21" s="24" t="s">
        <v>5985</v>
      </c>
      <c r="C21" t="s">
        <v>5986</v>
      </c>
      <c r="D21" t="str" cm="1">
        <f t="array" ref="D21:F21">TRANSPOSE(_xlfn._xlws.FILTER('Controllable Asset Registry'!$A$4:$A$554,IFERROR('Controllable Asset Registry'!$E$4:$E$554=A21,FALSE),"No Equipment in entity"))</f>
        <v>VAV_B_S11_021</v>
      </c>
      <c r="E21" t="str">
        <v>VAV_B_S11_022</v>
      </c>
      <c r="F21" t="str">
        <v>VAV_B_S11_023</v>
      </c>
    </row>
    <row r="22" spans="1:7" x14ac:dyDescent="0.3">
      <c r="A22" t="str">
        <f t="shared" si="0"/>
        <v>entity:QNL_B_010_PATIO_GARDEN</v>
      </c>
      <c r="B22" s="24" t="s">
        <v>5987</v>
      </c>
      <c r="C22" t="s">
        <v>5988</v>
      </c>
      <c r="D22" t="str" cm="1">
        <f t="array" ref="D22">TRANSPOSE(_xlfn._xlws.FILTER('Controllable Asset Registry'!$A$4:$A$554,IFERROR('Controllable Asset Registry'!$E$4:$E$554=A22,FALSE),"No Equipment in entity"))</f>
        <v>No Equipment in entity</v>
      </c>
    </row>
    <row r="23" spans="1:7" x14ac:dyDescent="0.3">
      <c r="A23" t="str">
        <f t="shared" si="0"/>
        <v>entity:QNL_B_020_ENGINEERING</v>
      </c>
      <c r="B23" s="24" t="s">
        <v>5990</v>
      </c>
      <c r="C23" t="s">
        <v>5991</v>
      </c>
      <c r="D23" t="str" cm="1">
        <f t="array" ref="D23">TRANSPOSE(_xlfn._xlws.FILTER('Controllable Asset Registry'!$A$4:$A$554,IFERROR('Controllable Asset Registry'!$E$4:$E$554=A23,FALSE),"No Equipment in entity"))</f>
        <v>VAV_B_S11_034</v>
      </c>
    </row>
    <row r="24" spans="1:7" x14ac:dyDescent="0.3">
      <c r="A24" t="str">
        <f t="shared" si="0"/>
        <v>entity:QNL_B_021_ARABIC_STUDIES</v>
      </c>
      <c r="B24" s="24" t="s">
        <v>5993</v>
      </c>
      <c r="C24" t="s">
        <v>5994</v>
      </c>
      <c r="D24" t="str" cm="1">
        <f t="array" ref="D24">TRANSPOSE(_xlfn._xlws.FILTER('Controllable Asset Registry'!$A$4:$A$554,IFERROR('Controllable Asset Registry'!$E$4:$E$554=A24,FALSE),"No Equipment in entity"))</f>
        <v>VAV_B_S11_035</v>
      </c>
    </row>
    <row r="25" spans="1:7" x14ac:dyDescent="0.3">
      <c r="A25" t="str">
        <f t="shared" si="0"/>
        <v>entity:QNL_B_022_LICENSING_EXPERT</v>
      </c>
      <c r="B25" s="24" t="s">
        <v>5996</v>
      </c>
      <c r="C25" t="s">
        <v>5997</v>
      </c>
      <c r="D25" t="str" cm="1">
        <f t="array" ref="D25">TRANSPOSE(_xlfn._xlws.FILTER('Controllable Asset Registry'!$A$4:$A$554,IFERROR('Controllable Asset Registry'!$E$4:$E$554=A25,FALSE),"No Equipment in entity"))</f>
        <v>VAV_B_S11_036</v>
      </c>
    </row>
    <row r="26" spans="1:7" x14ac:dyDescent="0.3">
      <c r="A26" t="str">
        <f t="shared" si="0"/>
        <v>entity:QNL_B_023_ARTS_&amp;_HUMANITIES</v>
      </c>
      <c r="B26" s="24" t="s">
        <v>5999</v>
      </c>
      <c r="C26" t="s">
        <v>6000</v>
      </c>
      <c r="D26" t="str" cm="1">
        <f t="array" ref="D26">TRANSPOSE(_xlfn._xlws.FILTER('Controllable Asset Registry'!$A$4:$A$554,IFERROR('Controllable Asset Registry'!$E$4:$E$554=A26,FALSE),"No Equipment in entity"))</f>
        <v>VAV_B_S11_037</v>
      </c>
    </row>
    <row r="27" spans="1:7" x14ac:dyDescent="0.3">
      <c r="A27" t="str">
        <f t="shared" si="0"/>
        <v>entity:QNL_B_024_AD_COLLECTIONS</v>
      </c>
      <c r="B27" s="24" t="s">
        <v>6002</v>
      </c>
      <c r="C27" t="s">
        <v>6003</v>
      </c>
      <c r="D27" t="str" cm="1">
        <f t="array" ref="D27:E27">TRANSPOSE(_xlfn._xlws.FILTER('Controllable Asset Registry'!$A$4:$A$554,IFERROR('Controllable Asset Registry'!$E$4:$E$554=A27,FALSE),"No Equipment in entity"))</f>
        <v>VAV_B_S11_032</v>
      </c>
      <c r="E27" t="str">
        <v>VAV_B_S11_033</v>
      </c>
    </row>
    <row r="28" spans="1:7" x14ac:dyDescent="0.3">
      <c r="A28" t="str">
        <f t="shared" si="0"/>
        <v>entity:QNL_B_025_SOCIAL_SCIENCES</v>
      </c>
      <c r="B28" s="24" t="s">
        <v>6005</v>
      </c>
      <c r="C28" t="s">
        <v>6006</v>
      </c>
      <c r="D28" t="str" cm="1">
        <f t="array" ref="D28">TRANSPOSE(_xlfn._xlws.FILTER('Controllable Asset Registry'!$A$4:$A$554,IFERROR('Controllable Asset Registry'!$E$4:$E$554=A28,FALSE),"No Equipment in entity"))</f>
        <v>VAV_B_S11_040</v>
      </c>
    </row>
    <row r="29" spans="1:7" x14ac:dyDescent="0.3">
      <c r="A29" t="str">
        <f t="shared" si="0"/>
        <v>entity:QNL_B_026_BUSINESS_&amp;_COMPUTING</v>
      </c>
      <c r="B29" s="24" t="s">
        <v>6008</v>
      </c>
      <c r="C29" t="s">
        <v>6009</v>
      </c>
      <c r="D29" t="str" cm="1">
        <f t="array" ref="D29">TRANSPOSE(_xlfn._xlws.FILTER('Controllable Asset Registry'!$A$4:$A$554,IFERROR('Controllable Asset Registry'!$E$4:$E$554=A29,FALSE),"No Equipment in entity"))</f>
        <v>VAV_B_S11_039</v>
      </c>
    </row>
    <row r="30" spans="1:7" x14ac:dyDescent="0.3">
      <c r="A30" t="str">
        <f t="shared" si="0"/>
        <v>entity:QNL_B_027_PROCUREMENT_SPC_PROCUREMENT_OFCR</v>
      </c>
      <c r="B30" s="24" t="s">
        <v>6011</v>
      </c>
      <c r="C30" t="s">
        <v>6012</v>
      </c>
      <c r="D30" t="str" cm="1">
        <f t="array" ref="D30">TRANSPOSE(_xlfn._xlws.FILTER('Controllable Asset Registry'!$A$4:$A$554,IFERROR('Controllable Asset Registry'!$E$4:$E$554=A30,FALSE),"No Equipment in entity"))</f>
        <v>VAV_B_S11_038</v>
      </c>
    </row>
    <row r="31" spans="1:7" x14ac:dyDescent="0.3">
      <c r="A31" t="str">
        <f t="shared" si="0"/>
        <v>entity:QNL_B_028_STORAGE</v>
      </c>
      <c r="B31" s="24" t="s">
        <v>6014</v>
      </c>
      <c r="C31" t="s">
        <v>3335</v>
      </c>
      <c r="D31" t="str" cm="1">
        <f t="array" ref="D31">TRANSPOSE(_xlfn._xlws.FILTER('Controllable Asset Registry'!$A$4:$A$554,IFERROR('Controllable Asset Registry'!$E$4:$E$554=A31,FALSE),"No Equipment in entity"))</f>
        <v>VAV_B_S11_025</v>
      </c>
    </row>
    <row r="32" spans="1:7" x14ac:dyDescent="0.3">
      <c r="A32" t="str">
        <f t="shared" si="0"/>
        <v>entity:QNL_B_029_LITERATURE_&amp;_ANGUAGE</v>
      </c>
      <c r="B32" s="24" t="s">
        <v>6016</v>
      </c>
      <c r="C32" t="s">
        <v>6017</v>
      </c>
      <c r="D32" t="str" cm="1">
        <f t="array" ref="D32">TRANSPOSE(_xlfn._xlws.FILTER('Controllable Asset Registry'!$A$4:$A$554,IFERROR('Controllable Asset Registry'!$E$4:$E$554=A32,FALSE),"No Equipment in entity"))</f>
        <v>VAV_B_S11_041</v>
      </c>
    </row>
    <row r="33" spans="1:12" x14ac:dyDescent="0.3">
      <c r="A33" t="str">
        <f t="shared" si="0"/>
        <v>entity:QNL_B_030_SNR_P_COORDINATOR_&amp;_P_COORDINATOR</v>
      </c>
      <c r="B33" s="24" t="s">
        <v>6019</v>
      </c>
      <c r="C33" t="s">
        <v>6020</v>
      </c>
      <c r="D33" t="str" cm="1">
        <f t="array" ref="D33">TRANSPOSE(_xlfn._xlws.FILTER('Controllable Asset Registry'!$A$4:$A$554,IFERROR('Controllable Asset Registry'!$E$4:$E$554=A33,FALSE),"No Equipment in entity"))</f>
        <v>VAV_B_S11_042</v>
      </c>
    </row>
    <row r="34" spans="1:12" x14ac:dyDescent="0.3">
      <c r="A34" t="str">
        <f t="shared" si="0"/>
        <v>entity:QNL_B_031_JANITORS_ROOM</v>
      </c>
      <c r="B34" s="24" t="s">
        <v>6021</v>
      </c>
      <c r="C34" t="s">
        <v>6022</v>
      </c>
      <c r="D34" t="str" cm="1">
        <f t="array" ref="D34">TRANSPOSE(_xlfn._xlws.FILTER('Controllable Asset Registry'!$A$4:$A$554,IFERROR('Controllable Asset Registry'!$E$4:$E$554=A34,FALSE),"No Equipment in entity"))</f>
        <v>No Equipment in entity</v>
      </c>
    </row>
    <row r="35" spans="1:12" x14ac:dyDescent="0.3">
      <c r="A35" t="str">
        <f t="shared" si="0"/>
        <v>entity:QNL_B_032_REST_ROOM_MEN</v>
      </c>
      <c r="B35" s="24" t="s">
        <v>6023</v>
      </c>
      <c r="C35" t="s">
        <v>6024</v>
      </c>
      <c r="D35" t="str" cm="1">
        <f t="array" ref="D35">TRANSPOSE(_xlfn._xlws.FILTER('Controllable Asset Registry'!$A$4:$A$554,IFERROR('Controllable Asset Registry'!$E$4:$E$554=A35,FALSE),"No Equipment in entity"))</f>
        <v>No Equipment in entity</v>
      </c>
    </row>
    <row r="36" spans="1:12" x14ac:dyDescent="0.3">
      <c r="A36" t="str">
        <f t="shared" si="0"/>
        <v>entity:QNL_B_034_MEETING_ROOM</v>
      </c>
      <c r="B36" s="24" t="s">
        <v>6026</v>
      </c>
      <c r="C36" t="s">
        <v>4513</v>
      </c>
      <c r="D36" t="str" cm="1">
        <f t="array" ref="D36:E36">TRANSPOSE(_xlfn._xlws.FILTER('Controllable Asset Registry'!$A$4:$A$554,IFERROR('Controllable Asset Registry'!$E$4:$E$554=A36,FALSE),"No Equipment in entity"))</f>
        <v>VAV_B_S13_001</v>
      </c>
      <c r="E36" t="str">
        <v>VAV_B_S13_002</v>
      </c>
    </row>
    <row r="37" spans="1:12" x14ac:dyDescent="0.3">
      <c r="A37" t="str">
        <f t="shared" si="0"/>
        <v>entity:QNL_B036_REST_REST_ROOM_WOMEN</v>
      </c>
      <c r="B37" s="24" t="s">
        <v>6027</v>
      </c>
      <c r="C37" t="s">
        <v>6028</v>
      </c>
      <c r="D37" t="str" cm="1">
        <f t="array" ref="D37">TRANSPOSE(_xlfn._xlws.FILTER('Controllable Asset Registry'!$A$4:$A$554,IFERROR('Controllable Asset Registry'!$E$4:$E$554=A37,FALSE),"No Equipment in entity"))</f>
        <v>No Equipment in entity</v>
      </c>
    </row>
    <row r="38" spans="1:12" x14ac:dyDescent="0.3">
      <c r="A38" t="str">
        <f t="shared" si="0"/>
        <v>entity:QNL_B036_COR_CORRIDOR_4A</v>
      </c>
      <c r="B38" s="24" t="s">
        <v>6029</v>
      </c>
      <c r="C38" t="s">
        <v>6030</v>
      </c>
      <c r="D38" t="str" cm="1">
        <f t="array" ref="D38">TRANSPOSE(_xlfn._xlws.FILTER('Controllable Asset Registry'!$A$4:$A$554,IFERROR('Controllable Asset Registry'!$E$4:$E$554=A38,FALSE),"No Equipment in entity"))</f>
        <v>No Equipment in entity</v>
      </c>
    </row>
    <row r="39" spans="1:12" x14ac:dyDescent="0.3">
      <c r="A39" t="str">
        <f t="shared" si="0"/>
        <v>entity:QNL_B_040_OFFICE</v>
      </c>
      <c r="B39" s="24" t="s">
        <v>6032</v>
      </c>
      <c r="C39" t="s">
        <v>6033</v>
      </c>
      <c r="D39" t="str" cm="1">
        <f t="array" ref="D39:E39">TRANSPOSE(_xlfn._xlws.FILTER('Controllable Asset Registry'!$A$4:$A$554,IFERROR('Controllable Asset Registry'!$E$4:$E$554=A39,FALSE),"No Equipment in entity"))</f>
        <v>VAV_B_S14_001</v>
      </c>
      <c r="E39" t="str">
        <v>CAV_B_S14_001</v>
      </c>
    </row>
    <row r="40" spans="1:12" x14ac:dyDescent="0.3">
      <c r="A40" t="str">
        <f t="shared" si="0"/>
        <v>entity:QNL_B_041_DIGITIZATION_ROOM</v>
      </c>
      <c r="B40" s="24" t="s">
        <v>6035</v>
      </c>
      <c r="C40" t="s">
        <v>6036</v>
      </c>
      <c r="D40" t="str" cm="1">
        <f t="array" ref="D40:L40">TRANSPOSE(_xlfn._xlws.FILTER('Controllable Asset Registry'!$A$4:$A$554,IFERROR('Controllable Asset Registry'!$E$4:$E$554=A40,FALSE),"No Equipment in entity"))</f>
        <v>VAV_B_S14_004</v>
      </c>
      <c r="E40" t="str">
        <v>VAV_B_S14_005</v>
      </c>
      <c r="F40" t="str">
        <v>VAV_B_S14_006</v>
      </c>
      <c r="G40" t="str">
        <v>VAV_B_S14_008</v>
      </c>
      <c r="H40" t="str">
        <v>VAV_B_S14_010</v>
      </c>
      <c r="I40" t="str">
        <v>VAV_B_S14_011</v>
      </c>
      <c r="J40" t="str">
        <v>VAV_B_S14_012</v>
      </c>
      <c r="K40" t="str">
        <v>VAV_B_S14_015</v>
      </c>
      <c r="L40" t="str">
        <v>VAV_B_S14_016</v>
      </c>
    </row>
    <row r="41" spans="1:12" x14ac:dyDescent="0.3">
      <c r="A41" t="str">
        <f t="shared" si="0"/>
        <v>entity:QNL_B_042_RECEPTION_&amp;_LOUNGE</v>
      </c>
      <c r="B41" s="24" t="s">
        <v>6037</v>
      </c>
      <c r="C41" t="s">
        <v>5986</v>
      </c>
      <c r="D41" t="str" cm="1">
        <f t="array" ref="D41">TRANSPOSE(_xlfn._xlws.FILTER('Controllable Asset Registry'!$A$4:$A$554,IFERROR('Controllable Asset Registry'!$E$4:$E$554=A41,FALSE),"No Equipment in entity"))</f>
        <v>No Equipment in entity</v>
      </c>
    </row>
    <row r="42" spans="1:12" x14ac:dyDescent="0.3">
      <c r="A42" t="str">
        <f t="shared" si="0"/>
        <v>entity:QNL_B_043_BINDING_&amp;_PRESERVATION_SPACE</v>
      </c>
      <c r="B42" s="24" t="s">
        <v>6039</v>
      </c>
      <c r="C42" t="s">
        <v>6040</v>
      </c>
      <c r="D42" t="str" cm="1">
        <f t="array" ref="D42:L42">TRANSPOSE(_xlfn._xlws.FILTER('Controllable Asset Registry'!$A$4:$A$554,IFERROR('Controllable Asset Registry'!$E$4:$E$554=A42,FALSE),"No Equipment in entity"))</f>
        <v>VAV_B_S14_042</v>
      </c>
      <c r="E42" t="str">
        <v>VAV_B_S14_043</v>
      </c>
      <c r="F42" t="str">
        <v>VAV_B_S14_044</v>
      </c>
      <c r="G42" t="str">
        <v>VAV_B_S14_045</v>
      </c>
      <c r="H42" t="str">
        <v>VAV_B_S14_046</v>
      </c>
      <c r="I42" t="str">
        <v>VAV_B_S14_048</v>
      </c>
      <c r="J42" t="str">
        <v>VAV_B_S14_049</v>
      </c>
      <c r="K42" t="str">
        <v>VAV_B_S14_050</v>
      </c>
      <c r="L42" t="str">
        <v>VAV_B_S14_051</v>
      </c>
    </row>
    <row r="43" spans="1:12" x14ac:dyDescent="0.3">
      <c r="A43" t="str">
        <f t="shared" si="0"/>
        <v>entity:QNL_B044_BOH_B_O_H_KITCHEN</v>
      </c>
      <c r="B43" s="24" t="s">
        <v>6041</v>
      </c>
      <c r="C43" t="s">
        <v>6042</v>
      </c>
      <c r="D43" t="str" cm="1">
        <f t="array" ref="D43">TRANSPOSE(_xlfn._xlws.FILTER('Controllable Asset Registry'!$A$4:$A$554,IFERROR('Controllable Asset Registry'!$E$4:$E$554=A43,FALSE),"No Equipment in entity"))</f>
        <v>No Equipment in entity</v>
      </c>
    </row>
    <row r="44" spans="1:12" x14ac:dyDescent="0.3">
      <c r="A44" t="str">
        <f t="shared" si="0"/>
        <v>entity:QNL_B044_FIN_FINE_BINDING</v>
      </c>
      <c r="B44" s="24" t="s">
        <v>6043</v>
      </c>
      <c r="C44" t="s">
        <v>6044</v>
      </c>
      <c r="D44" t="str" cm="1">
        <f t="array" ref="D44">TRANSPOSE(_xlfn._xlws.FILTER('Controllable Asset Registry'!$A$4:$A$554,IFERROR('Controllable Asset Registry'!$E$4:$E$554=A44,FALSE),"No Equipment in entity"))</f>
        <v>No Equipment in entity</v>
      </c>
    </row>
    <row r="45" spans="1:12" x14ac:dyDescent="0.3">
      <c r="A45" t="str">
        <f t="shared" si="0"/>
        <v>entity:QNL_B046_RES_REST_ROOM_MEN</v>
      </c>
      <c r="B45" s="24" t="s">
        <v>6045</v>
      </c>
      <c r="C45" t="s">
        <v>6024</v>
      </c>
      <c r="D45" t="str" cm="1">
        <f t="array" ref="D45">TRANSPOSE(_xlfn._xlws.FILTER('Controllable Asset Registry'!$A$4:$A$554,IFERROR('Controllable Asset Registry'!$E$4:$E$554=A45,FALSE),"No Equipment in entity"))</f>
        <v>No Equipment in entity</v>
      </c>
    </row>
    <row r="46" spans="1:12" x14ac:dyDescent="0.3">
      <c r="A46" t="str">
        <f t="shared" si="0"/>
        <v>entity:QNL_B046_ITT_ITTIGATION_CONTROL_ROOM</v>
      </c>
      <c r="B46" s="24" t="s">
        <v>6047</v>
      </c>
      <c r="C46" t="s">
        <v>6048</v>
      </c>
      <c r="D46" t="str" cm="1">
        <f t="array" ref="D46">TRANSPOSE(_xlfn._xlws.FILTER('Controllable Asset Registry'!$A$4:$A$554,IFERROR('Controllable Asset Registry'!$E$4:$E$554=A46,FALSE),"No Equipment in entity"))</f>
        <v>DX_B11</v>
      </c>
    </row>
    <row r="47" spans="1:12" x14ac:dyDescent="0.3">
      <c r="A47" t="str">
        <f t="shared" si="0"/>
        <v>entity:QNL_B_047_REST_ROOM_WOMEN</v>
      </c>
      <c r="B47" s="24" t="s">
        <v>6049</v>
      </c>
      <c r="C47" t="s">
        <v>6028</v>
      </c>
      <c r="D47" t="str" cm="1">
        <f t="array" ref="D47">TRANSPOSE(_xlfn._xlws.FILTER('Controllable Asset Registry'!$A$4:$A$554,IFERROR('Controllable Asset Registry'!$E$4:$E$554=A47,FALSE),"No Equipment in entity"))</f>
        <v>No Equipment in entity</v>
      </c>
    </row>
    <row r="48" spans="1:12" x14ac:dyDescent="0.3">
      <c r="A48" t="str">
        <f t="shared" si="0"/>
        <v>entity:QNL_B_048_QTEL_ROOM</v>
      </c>
      <c r="B48" s="24" t="s">
        <v>6051</v>
      </c>
      <c r="C48" t="s">
        <v>6052</v>
      </c>
      <c r="D48" t="str" cm="1">
        <f t="array" ref="D48:E48">TRANSPOSE(_xlfn._xlws.FILTER('Controllable Asset Registry'!$A$4:$A$554,IFERROR('Controllable Asset Registry'!$E$4:$E$554=A48,FALSE),"No Equipment in entity"))</f>
        <v>CCU_B01</v>
      </c>
      <c r="E48" t="str">
        <v>CCU_B02</v>
      </c>
    </row>
    <row r="49" spans="1:14" x14ac:dyDescent="0.3">
      <c r="A49" t="str">
        <f t="shared" si="0"/>
        <v>entity:QNL_B_049_MEP_KITCHEN</v>
      </c>
      <c r="B49" s="24" t="s">
        <v>6054</v>
      </c>
      <c r="C49" t="s">
        <v>6055</v>
      </c>
      <c r="D49" t="str" cm="1">
        <f t="array" ref="D49">TRANSPOSE(_xlfn._xlws.FILTER('Controllable Asset Registry'!$A$4:$A$554,IFERROR('Controllable Asset Registry'!$E$4:$E$554=A49,FALSE),"No Equipment in entity"))</f>
        <v>KEF_B019</v>
      </c>
    </row>
    <row r="50" spans="1:14" x14ac:dyDescent="0.3">
      <c r="A50" t="str">
        <f t="shared" si="0"/>
        <v>entity:QNL_B-04B_ST-04B</v>
      </c>
      <c r="B50" s="24" t="s">
        <v>6056</v>
      </c>
      <c r="C50" t="s">
        <v>6057</v>
      </c>
      <c r="D50" t="str" cm="1">
        <f t="array" ref="D50">TRANSPOSE(_xlfn._xlws.FILTER('Controllable Asset Registry'!$A$4:$A$554,IFERROR('Controllable Asset Registry'!$E$4:$E$554=A50,FALSE),"No Equipment in entity"))</f>
        <v>No Equipment in entity</v>
      </c>
    </row>
    <row r="51" spans="1:14" x14ac:dyDescent="0.3">
      <c r="A51" t="str">
        <f t="shared" si="0"/>
        <v>entity:QNL_B_050_TELECOM_ROOM</v>
      </c>
      <c r="B51" s="24" t="s">
        <v>6059</v>
      </c>
      <c r="C51" t="s">
        <v>6060</v>
      </c>
      <c r="D51" t="str" cm="1">
        <f t="array" ref="D51:E51">TRANSPOSE(_xlfn._xlws.FILTER('Controllable Asset Registry'!$A$4:$A$554,IFERROR('Controllable Asset Registry'!$E$4:$E$554=A51,FALSE),"No Equipment in entity"))</f>
        <v>CCU_B03</v>
      </c>
      <c r="E51" t="str">
        <v>CCU_B04</v>
      </c>
    </row>
    <row r="52" spans="1:14" x14ac:dyDescent="0.3">
      <c r="A52" t="str">
        <f t="shared" si="0"/>
        <v>entity:QNL_B_051_STORAGE</v>
      </c>
      <c r="B52" s="24" t="s">
        <v>6061</v>
      </c>
      <c r="C52" t="s">
        <v>3335</v>
      </c>
      <c r="D52" t="str" cm="1">
        <f t="array" ref="D52">TRANSPOSE(_xlfn._xlws.FILTER('Controllable Asset Registry'!$A$4:$A$554,IFERROR('Controllable Asset Registry'!$E$4:$E$554=A52,FALSE),"No Equipment in entity"))</f>
        <v>No Equipment in entity</v>
      </c>
    </row>
    <row r="53" spans="1:14" x14ac:dyDescent="0.3">
      <c r="A53" t="str">
        <f t="shared" si="0"/>
        <v>entity:QNL_B_053_CORRIDORS</v>
      </c>
      <c r="B53" s="24" t="s">
        <v>6062</v>
      </c>
      <c r="C53" t="s">
        <v>6063</v>
      </c>
      <c r="D53" t="str" cm="1">
        <f t="array" ref="D53">TRANSPOSE(_xlfn._xlws.FILTER('Controllable Asset Registry'!$A$4:$A$554,IFERROR('Controllable Asset Registry'!$E$4:$E$554=A53,FALSE),"No Equipment in entity"))</f>
        <v>No Equipment in entity</v>
      </c>
    </row>
    <row r="54" spans="1:14" x14ac:dyDescent="0.3">
      <c r="A54" t="str">
        <f t="shared" si="0"/>
        <v>entity:QNL_B_054_PATIO_GARDEN</v>
      </c>
      <c r="B54" s="24" t="s">
        <v>6064</v>
      </c>
      <c r="C54" t="s">
        <v>5988</v>
      </c>
      <c r="D54" t="str" cm="1">
        <f t="array" ref="D54">TRANSPOSE(_xlfn._xlws.FILTER('Controllable Asset Registry'!$A$4:$A$554,IFERROR('Controllable Asset Registry'!$E$4:$E$554=A54,FALSE),"No Equipment in entity"))</f>
        <v>No Equipment in entity</v>
      </c>
    </row>
    <row r="55" spans="1:14" x14ac:dyDescent="0.3">
      <c r="A55" t="str">
        <f t="shared" si="0"/>
        <v>entity:QNL_B057_DIG_OFFICE_DIG_INIT</v>
      </c>
      <c r="B55" s="24" t="s">
        <v>6065</v>
      </c>
      <c r="C55" t="s">
        <v>6066</v>
      </c>
      <c r="D55" t="str" cm="1">
        <f t="array" ref="D55">TRANSPOSE(_xlfn._xlws.FILTER('Controllable Asset Registry'!$A$4:$A$554,IFERROR('Controllable Asset Registry'!$E$4:$E$554=A55,FALSE),"No Equipment in entity"))</f>
        <v>No Equipment in entity</v>
      </c>
    </row>
    <row r="56" spans="1:14" x14ac:dyDescent="0.3">
      <c r="A56" t="str">
        <f t="shared" si="0"/>
        <v>entity:QNL_B057_AD_OFFICE_AD_FOR_LIT</v>
      </c>
      <c r="B56" s="24" t="s">
        <v>6067</v>
      </c>
      <c r="C56" t="s">
        <v>6068</v>
      </c>
      <c r="D56" t="str" cm="1">
        <f t="array" ref="D56">TRANSPOSE(_xlfn._xlws.FILTER('Controllable Asset Registry'!$A$4:$A$554,IFERROR('Controllable Asset Registry'!$E$4:$E$554=A56,FALSE),"No Equipment in entity"))</f>
        <v>No Equipment in entity</v>
      </c>
    </row>
    <row r="57" spans="1:14" x14ac:dyDescent="0.3">
      <c r="A57" t="str">
        <f t="shared" si="0"/>
        <v>entity:QNL_B_058_SHELL_SPACE</v>
      </c>
      <c r="B57" s="24" t="s">
        <v>6070</v>
      </c>
      <c r="C57" t="s">
        <v>4439</v>
      </c>
      <c r="D57" t="str" cm="1">
        <f t="array" ref="D57:E57">TRANSPOSE(_xlfn._xlws.FILTER('Controllable Asset Registry'!$A$4:$A$554,IFERROR('Controllable Asset Registry'!$E$4:$E$554=A57,FALSE),"No Equipment in entity"))</f>
        <v>VAV_B_S14_007</v>
      </c>
      <c r="E57" t="str">
        <v>VAV_B_S14_013</v>
      </c>
    </row>
    <row r="58" spans="1:14" x14ac:dyDescent="0.3">
      <c r="A58" t="str">
        <f t="shared" si="0"/>
        <v>entity:QNL_B_060_MAINTENANCE</v>
      </c>
      <c r="B58" s="24" t="s">
        <v>6071</v>
      </c>
      <c r="C58" t="s">
        <v>6072</v>
      </c>
      <c r="D58" t="str" cm="1">
        <f t="array" ref="D58">TRANSPOSE(_xlfn._xlws.FILTER('Controllable Asset Registry'!$A$4:$A$554,IFERROR('Controllable Asset Registry'!$E$4:$E$554=A58,FALSE),"No Equipment in entity"))</f>
        <v>No Equipment in entity</v>
      </c>
    </row>
    <row r="59" spans="1:14" x14ac:dyDescent="0.3">
      <c r="A59" t="str">
        <f t="shared" si="0"/>
        <v>entity:QNL_B_062_IDF_CORRIDOR</v>
      </c>
      <c r="B59" s="24" t="s">
        <v>6074</v>
      </c>
      <c r="C59" t="s">
        <v>6075</v>
      </c>
      <c r="D59" t="str" cm="1">
        <f t="array" ref="D59">TRANSPOSE(_xlfn._xlws.FILTER('Controllable Asset Registry'!$A$4:$A$554,IFERROR('Controllable Asset Registry'!$E$4:$E$554=A59,FALSE),"No Equipment in entity"))</f>
        <v>FCU_B_003</v>
      </c>
    </row>
    <row r="60" spans="1:14" x14ac:dyDescent="0.3">
      <c r="A60" t="str">
        <f t="shared" si="0"/>
        <v>entity:QNL_B_063_PLANT_ROOM_01</v>
      </c>
      <c r="B60" s="24" t="s">
        <v>6077</v>
      </c>
      <c r="C60" t="s">
        <v>6078</v>
      </c>
      <c r="D60" t="str" cm="1">
        <f t="array" ref="D60:N60">TRANSPOSE(_xlfn._xlws.FILTER('Controllable Asset Registry'!$A$4:$A$554,IFERROR('Controllable Asset Registry'!$E$4:$E$554=A60,FALSE),"No Equipment in entity"))</f>
        <v>AHUB002</v>
      </c>
      <c r="E60" t="str">
        <v>AHUB011</v>
      </c>
      <c r="F60" t="str">
        <v>AHUB012</v>
      </c>
      <c r="G60" t="str">
        <v>FCU_B_011</v>
      </c>
      <c r="H60" t="str">
        <v>FCU_B_012</v>
      </c>
      <c r="I60" t="str">
        <v>CAV_B_S12_001</v>
      </c>
      <c r="J60" t="str">
        <v>CAV_B_S12_002</v>
      </c>
      <c r="K60" t="str">
        <v>CAV_B_S12_003</v>
      </c>
      <c r="L60" t="str">
        <v>CAV_B_S15_001</v>
      </c>
      <c r="M60" t="str">
        <v>CAV_B_S15_002</v>
      </c>
      <c r="N60" t="str">
        <v>CAV_B_S15_003</v>
      </c>
    </row>
    <row r="61" spans="1:14" x14ac:dyDescent="0.3">
      <c r="A61" t="str">
        <f t="shared" si="0"/>
        <v>entity:QNL_B_065_VENTLATON</v>
      </c>
      <c r="B61" s="24" t="s">
        <v>6079</v>
      </c>
      <c r="C61" t="s">
        <v>6080</v>
      </c>
      <c r="D61" t="str" cm="1">
        <f t="array" ref="D61">TRANSPOSE(_xlfn._xlws.FILTER('Controllable Asset Registry'!$A$4:$A$554,IFERROR('Controllable Asset Registry'!$E$4:$E$554=A61,FALSE),"No Equipment in entity"))</f>
        <v>No Equipment in entity</v>
      </c>
    </row>
    <row r="62" spans="1:14" x14ac:dyDescent="0.3">
      <c r="A62" t="str">
        <f t="shared" si="0"/>
        <v>entity:QNL_B_066_CORRIDOR</v>
      </c>
      <c r="B62" s="24" t="s">
        <v>6081</v>
      </c>
      <c r="C62" t="s">
        <v>3318</v>
      </c>
      <c r="D62" t="str" cm="1">
        <f t="array" ref="D62">TRANSPOSE(_xlfn._xlws.FILTER('Controllable Asset Registry'!$A$4:$A$554,IFERROR('Controllable Asset Registry'!$E$4:$E$554=A62,FALSE),"No Equipment in entity"))</f>
        <v>No Equipment in entity</v>
      </c>
    </row>
    <row r="63" spans="1:14" x14ac:dyDescent="0.3">
      <c r="A63" t="str">
        <f t="shared" si="0"/>
        <v>entity:QNL_B_067_VENTLATON</v>
      </c>
      <c r="B63" s="24" t="s">
        <v>6082</v>
      </c>
      <c r="C63" t="s">
        <v>6080</v>
      </c>
      <c r="D63" t="str" cm="1">
        <f t="array" ref="D63">TRANSPOSE(_xlfn._xlws.FILTER('Controllable Asset Registry'!$A$4:$A$554,IFERROR('Controllable Asset Registry'!$E$4:$E$554=A63,FALSE),"No Equipment in entity"))</f>
        <v>No Equipment in entity</v>
      </c>
    </row>
    <row r="64" spans="1:14" x14ac:dyDescent="0.3">
      <c r="A64" t="str">
        <f t="shared" si="0"/>
        <v>entity:QNL_B_068_CORRIDOR</v>
      </c>
      <c r="B64" s="24" t="s">
        <v>6083</v>
      </c>
      <c r="C64" t="s">
        <v>3318</v>
      </c>
      <c r="D64" t="str" cm="1">
        <f t="array" ref="D64">TRANSPOSE(_xlfn._xlws.FILTER('Controllable Asset Registry'!$A$4:$A$554,IFERROR('Controllable Asset Registry'!$E$4:$E$554=A64,FALSE),"No Equipment in entity"))</f>
        <v>No Equipment in entity</v>
      </c>
    </row>
    <row r="65" spans="1:15" x14ac:dyDescent="0.3">
      <c r="A65" t="str">
        <f t="shared" si="0"/>
        <v>entity:QNL_B_070_PLANT_ROOM_02</v>
      </c>
      <c r="B65" s="24" t="s">
        <v>6085</v>
      </c>
      <c r="C65" t="s">
        <v>6086</v>
      </c>
      <c r="D65" t="str" cm="1">
        <f t="array" ref="D65:O65">TRANSPOSE(_xlfn._xlws.FILTER('Controllable Asset Registry'!$A$4:$A$554,IFERROR('Controllable Asset Registry'!$E$4:$E$554=A65,FALSE),"No Equipment in entity"))</f>
        <v>AHUB003</v>
      </c>
      <c r="E65" t="str">
        <v>AHUB010</v>
      </c>
      <c r="F65" t="str">
        <v>AHUB013</v>
      </c>
      <c r="G65" t="str">
        <v>FCU_B_013</v>
      </c>
      <c r="H65" t="str">
        <v>FCU_B_014</v>
      </c>
      <c r="I65" t="str">
        <v>CAV_B_S13_010</v>
      </c>
      <c r="J65" t="str">
        <v>CAV_B_S13_011</v>
      </c>
      <c r="K65" t="str">
        <v>CAV_B_S13_012</v>
      </c>
      <c r="L65" t="str">
        <v>EF_BBV01</v>
      </c>
      <c r="M65" t="str">
        <v>EF_BBV02</v>
      </c>
      <c r="N65" t="str">
        <v>TEF_B02A</v>
      </c>
      <c r="O65" t="str">
        <v>TEF_B02B</v>
      </c>
    </row>
    <row r="66" spans="1:15" x14ac:dyDescent="0.3">
      <c r="A66" t="str">
        <f t="shared" ref="A66:A129" si="1">"entity:QNL_"&amp;B66&amp;"_"&amp;C66</f>
        <v>entity:QNL_B_071_FIRE_COMMAND_ROOM</v>
      </c>
      <c r="B66" s="24" t="s">
        <v>6088</v>
      </c>
      <c r="C66" t="s">
        <v>6089</v>
      </c>
      <c r="D66" t="str" cm="1">
        <f t="array" ref="D66:E66">TRANSPOSE(_xlfn._xlws.FILTER('Controllable Asset Registry'!$A$4:$A$554,IFERROR('Controllable Asset Registry'!$E$4:$E$554=A66,FALSE),"No Equipment in entity"))</f>
        <v>FCU_B_006</v>
      </c>
      <c r="E66" t="str">
        <v>EF_B14</v>
      </c>
    </row>
    <row r="67" spans="1:15" x14ac:dyDescent="0.3">
      <c r="A67" t="str">
        <f t="shared" si="1"/>
        <v>entity:QNL_B_072_SPRIMKLERS_PUMPS_&amp;_ZONES_VALVES</v>
      </c>
      <c r="B67" s="24" t="s">
        <v>6091</v>
      </c>
      <c r="C67" t="s">
        <v>6092</v>
      </c>
      <c r="D67" t="str" cm="1">
        <f t="array" ref="D67:F67">TRANSPOSE(_xlfn._xlws.FILTER('Controllable Asset Registry'!$A$4:$A$554,IFERROR('Controllable Asset Registry'!$E$4:$E$554=A67,FALSE),"No Equipment in entity"))</f>
        <v>FCU_B_007</v>
      </c>
      <c r="E67" t="str">
        <v>CAV_B_S13_021</v>
      </c>
      <c r="F67" t="str">
        <v>EF_B13</v>
      </c>
    </row>
    <row r="68" spans="1:15" x14ac:dyDescent="0.3">
      <c r="A68" t="str">
        <f t="shared" si="1"/>
        <v>entity:QNL_B_080_GENERATOR</v>
      </c>
      <c r="B68" s="24" t="s">
        <v>6094</v>
      </c>
      <c r="C68" t="s">
        <v>3288</v>
      </c>
      <c r="D68" t="str" cm="1">
        <f t="array" ref="D68:E68">TRANSPOSE(_xlfn._xlws.FILTER('Controllable Asset Registry'!$A$4:$A$554,IFERROR('Controllable Asset Registry'!$E$4:$E$554=A68,FALSE),"No Equipment in entity"))</f>
        <v>EF_B09</v>
      </c>
      <c r="E68" t="str">
        <v>ELEC_Gen</v>
      </c>
    </row>
    <row r="69" spans="1:15" x14ac:dyDescent="0.3">
      <c r="A69" t="str">
        <f t="shared" si="1"/>
        <v>entity:QNL_B_081_MV_ROOM</v>
      </c>
      <c r="B69" s="24" t="s">
        <v>6096</v>
      </c>
      <c r="C69" t="s">
        <v>6097</v>
      </c>
      <c r="D69" t="str" cm="1">
        <f t="array" ref="D69:E69">TRANSPOSE(_xlfn._xlws.FILTER('Controllable Asset Registry'!$A$4:$A$554,IFERROR('Controllable Asset Registry'!$E$4:$E$554=A69,FALSE),"No Equipment in entity"))</f>
        <v>DX_B01</v>
      </c>
      <c r="E69" t="str">
        <v>DX_B02</v>
      </c>
    </row>
    <row r="70" spans="1:15" x14ac:dyDescent="0.3">
      <c r="A70" t="str">
        <f t="shared" si="1"/>
        <v>entity:QNL_B_082_TRANSFORMER_ROOM</v>
      </c>
      <c r="B70" s="24" t="s">
        <v>6099</v>
      </c>
      <c r="C70" t="s">
        <v>6100</v>
      </c>
      <c r="D70" t="str" cm="1">
        <f t="array" ref="D70:F70">TRANSPOSE(_xlfn._xlws.FILTER('Controllable Asset Registry'!$A$4:$A$554,IFERROR('Controllable Asset Registry'!$E$4:$E$554=A70,FALSE),"No Equipment in entity"))</f>
        <v>DX_B03</v>
      </c>
      <c r="E70" t="str">
        <v>DX_B04</v>
      </c>
      <c r="F70" t="str">
        <v>DX_B14</v>
      </c>
    </row>
    <row r="71" spans="1:15" x14ac:dyDescent="0.3">
      <c r="A71" t="str">
        <f t="shared" si="1"/>
        <v>entity:QNL_B_084_UPS_BATTERY_ROOM</v>
      </c>
      <c r="B71" s="24" t="s">
        <v>6102</v>
      </c>
      <c r="C71" t="s">
        <v>6103</v>
      </c>
      <c r="D71" t="str" cm="1">
        <f t="array" ref="D71:F71">TRANSPOSE(_xlfn._xlws.FILTER('Controllable Asset Registry'!$A$4:$A$554,IFERROR('Controllable Asset Registry'!$E$4:$E$554=A71,FALSE),"No Equipment in entity"))</f>
        <v>CAV_B_S13_020</v>
      </c>
      <c r="E71" t="str">
        <v>DX_B08</v>
      </c>
      <c r="F71" t="str">
        <v>DX_B09</v>
      </c>
    </row>
    <row r="72" spans="1:15" x14ac:dyDescent="0.3">
      <c r="A72" t="str">
        <f t="shared" si="1"/>
        <v>entity:QNL_B_085_FUMIGATION_ROOM</v>
      </c>
      <c r="B72" s="24" t="s">
        <v>6105</v>
      </c>
      <c r="C72" t="s">
        <v>6106</v>
      </c>
      <c r="D72" t="str" cm="1">
        <f t="array" ref="D72:F72">TRANSPOSE(_xlfn._xlws.FILTER('Controllable Asset Registry'!$A$4:$A$554,IFERROR('Controllable Asset Registry'!$E$4:$E$554=A72,FALSE),"No Equipment in entity"))</f>
        <v>FCU_B_002</v>
      </c>
      <c r="E72" t="str">
        <v>VAV_B_S13_006</v>
      </c>
      <c r="F72" t="str">
        <v>EF_B05</v>
      </c>
    </row>
    <row r="73" spans="1:15" x14ac:dyDescent="0.3">
      <c r="A73" t="str">
        <f t="shared" si="1"/>
        <v>entity:QNL_B_086_FREEZE_AREA</v>
      </c>
      <c r="B73" s="24" t="s">
        <v>6107</v>
      </c>
      <c r="C73" t="s">
        <v>6108</v>
      </c>
      <c r="D73" t="str" cm="1">
        <f t="array" ref="D73">TRANSPOSE(_xlfn._xlws.FILTER('Controllable Asset Registry'!$A$4:$A$554,IFERROR('Controllable Asset Registry'!$E$4:$E$554=A73,FALSE),"No Equipment in entity"))</f>
        <v>No Equipment in entity</v>
      </c>
    </row>
    <row r="74" spans="1:15" x14ac:dyDescent="0.3">
      <c r="A74" t="str">
        <f t="shared" si="1"/>
        <v>entity:QNL_B_087_GAS_SUPPRESSION_ROOM</v>
      </c>
      <c r="B74" s="24" t="s">
        <v>6110</v>
      </c>
      <c r="C74" t="s">
        <v>6111</v>
      </c>
      <c r="D74" t="str" cm="1">
        <f t="array" ref="D74:E74">TRANSPOSE(_xlfn._xlws.FILTER('Controllable Asset Registry'!$A$4:$A$554,IFERROR('Controllable Asset Registry'!$E$4:$E$554=A74,FALSE),"No Equipment in entity"))</f>
        <v>FCU_B_008</v>
      </c>
      <c r="E74" t="str">
        <v>CAV_B_S13_013</v>
      </c>
    </row>
    <row r="75" spans="1:15" x14ac:dyDescent="0.3">
      <c r="A75" t="str">
        <f t="shared" si="1"/>
        <v>entity:QNL_B_088_PEOPLE_MOVER_PLANT</v>
      </c>
      <c r="B75" s="24" t="s">
        <v>6113</v>
      </c>
      <c r="C75" t="s">
        <v>6114</v>
      </c>
      <c r="D75" t="str" cm="1">
        <f t="array" ref="D75">TRANSPOSE(_xlfn._xlws.FILTER('Controllable Asset Registry'!$A$4:$A$554,IFERROR('Controllable Asset Registry'!$E$4:$E$554=A75,FALSE),"No Equipment in entity"))</f>
        <v>FCU_B_009</v>
      </c>
    </row>
    <row r="76" spans="1:15" x14ac:dyDescent="0.3">
      <c r="A76" t="str">
        <f t="shared" si="1"/>
        <v>entity:QNL_B_089_SERVER_ROOM</v>
      </c>
      <c r="B76" s="24" t="s">
        <v>6116</v>
      </c>
      <c r="C76" t="s">
        <v>4152</v>
      </c>
      <c r="D76" t="str" cm="1">
        <f t="array" ref="D76:G76">TRANSPOSE(_xlfn._xlws.FILTER('Controllable Asset Registry'!$A$4:$A$554,IFERROR('Controllable Asset Registry'!$E$4:$E$554=A76,FALSE),"No Equipment in entity"))</f>
        <v>CAV_B_S13_015</v>
      </c>
      <c r="E76" t="str">
        <v>CCU_B05</v>
      </c>
      <c r="F76" t="str">
        <v>CCU_B06</v>
      </c>
      <c r="G76" t="str">
        <v>CCU_B07</v>
      </c>
    </row>
    <row r="77" spans="1:15" x14ac:dyDescent="0.3">
      <c r="A77" t="str">
        <f t="shared" si="1"/>
        <v>entity:QNL_B_091_FUEL_ROOM</v>
      </c>
      <c r="B77" s="24" t="s">
        <v>6118</v>
      </c>
      <c r="C77" t="s">
        <v>6119</v>
      </c>
      <c r="D77" t="str" cm="1">
        <f t="array" ref="D77">TRANSPOSE(_xlfn._xlws.FILTER('Controllable Asset Registry'!$A$4:$A$554,IFERROR('Controllable Asset Registry'!$E$4:$E$554=A77,FALSE),"No Equipment in entity"))</f>
        <v>EF_B11</v>
      </c>
    </row>
    <row r="78" spans="1:15" x14ac:dyDescent="0.3">
      <c r="A78" t="str">
        <f t="shared" si="1"/>
        <v>entity:QNL_B_092_STORAGE</v>
      </c>
      <c r="B78" s="24" t="s">
        <v>6121</v>
      </c>
      <c r="C78" t="s">
        <v>3335</v>
      </c>
      <c r="D78" t="str" cm="1">
        <f t="array" ref="D78">TRANSPOSE(_xlfn._xlws.FILTER('Controllable Asset Registry'!$A$4:$A$554,IFERROR('Controllable Asset Registry'!$E$4:$E$554=A78,FALSE),"No Equipment in entity"))</f>
        <v>DX_B20</v>
      </c>
    </row>
    <row r="79" spans="1:15" x14ac:dyDescent="0.3">
      <c r="A79" t="str">
        <f t="shared" si="1"/>
        <v>entity:QNL_B_0924_FUEL_TANK_CHERRY_PICKER_PANKING</v>
      </c>
      <c r="B79" s="24" t="s">
        <v>6122</v>
      </c>
      <c r="C79" t="s">
        <v>6123</v>
      </c>
      <c r="D79" t="str" cm="1">
        <f t="array" ref="D79">TRANSPOSE(_xlfn._xlws.FILTER('Controllable Asset Registry'!$A$4:$A$554,IFERROR('Controllable Asset Registry'!$E$4:$E$554=A79,FALSE),"No Equipment in entity"))</f>
        <v>No Equipment in entity</v>
      </c>
    </row>
    <row r="80" spans="1:15" x14ac:dyDescent="0.3">
      <c r="A80" t="str">
        <f t="shared" si="1"/>
        <v>entity:QNL_B_093_TRANSH_CHAMBER</v>
      </c>
      <c r="B80" s="24" t="s">
        <v>6125</v>
      </c>
      <c r="C80" t="s">
        <v>6126</v>
      </c>
      <c r="D80" t="str" cm="1">
        <f t="array" ref="D80:F80">TRANSPOSE(_xlfn._xlws.FILTER('Controllable Asset Registry'!$A$4:$A$554,IFERROR('Controllable Asset Registry'!$E$4:$E$554=A80,FALSE),"No Equipment in entity"))</f>
        <v>DX_B13</v>
      </c>
      <c r="E80" t="str">
        <v>DX_B15</v>
      </c>
      <c r="F80" t="str">
        <v>EF_B10</v>
      </c>
    </row>
    <row r="81" spans="1:15" x14ac:dyDescent="0.3">
      <c r="A81" t="str">
        <f t="shared" si="1"/>
        <v>entity:QNL_B_095_EMERGENCY_LIGHTING_BATTERY_ROOM</v>
      </c>
      <c r="B81" s="24" t="s">
        <v>6128</v>
      </c>
      <c r="C81" t="s">
        <v>6129</v>
      </c>
      <c r="D81" t="str" cm="1">
        <f t="array" ref="D81:E81">TRANSPOSE(_xlfn._xlws.FILTER('Controllable Asset Registry'!$A$4:$A$554,IFERROR('Controllable Asset Registry'!$E$4:$E$554=A81,FALSE),"No Equipment in entity"))</f>
        <v>DX_B07</v>
      </c>
      <c r="E81" t="str">
        <v>DX_B16</v>
      </c>
    </row>
    <row r="82" spans="1:15" x14ac:dyDescent="0.3">
      <c r="A82" t="str">
        <f t="shared" si="1"/>
        <v>entity:QNL_B_100_LOADING_DOCK</v>
      </c>
      <c r="B82" s="24" t="s">
        <v>6130</v>
      </c>
      <c r="C82" t="s">
        <v>6131</v>
      </c>
      <c r="D82" t="str" cm="1">
        <f t="array" ref="D82">TRANSPOSE(_xlfn._xlws.FILTER('Controllable Asset Registry'!$A$4:$A$554,IFERROR('Controllable Asset Registry'!$E$4:$E$554=A82,FALSE),"No Equipment in entity"))</f>
        <v>No Equipment in entity</v>
      </c>
    </row>
    <row r="83" spans="1:15" x14ac:dyDescent="0.3">
      <c r="A83" t="str">
        <f t="shared" si="1"/>
        <v>entity:QNL_B_101_SHIPPING_CLERK</v>
      </c>
      <c r="B83" s="24" t="s">
        <v>6133</v>
      </c>
      <c r="C83" t="s">
        <v>6134</v>
      </c>
      <c r="D83" t="str" cm="1">
        <f t="array" ref="D83">TRANSPOSE(_xlfn._xlws.FILTER('Controllable Asset Registry'!$A$4:$A$554,IFERROR('Controllable Asset Registry'!$E$4:$E$554=A83,FALSE),"No Equipment in entity"))</f>
        <v>VAV_B_S13_007</v>
      </c>
    </row>
    <row r="84" spans="1:15" x14ac:dyDescent="0.3">
      <c r="A84" t="str">
        <f t="shared" si="1"/>
        <v>entity:QNL_B_102_SECURITY_&amp;_BMS</v>
      </c>
      <c r="B84" s="24" t="s">
        <v>6136</v>
      </c>
      <c r="C84" t="s">
        <v>6137</v>
      </c>
      <c r="D84" t="str" cm="1">
        <f t="array" ref="D84">TRANSPOSE(_xlfn._xlws.FILTER('Controllable Asset Registry'!$A$4:$A$554,IFERROR('Controllable Asset Registry'!$E$4:$E$554=A84,FALSE),"No Equipment in entity"))</f>
        <v>DX_B10</v>
      </c>
    </row>
    <row r="85" spans="1:15" x14ac:dyDescent="0.3">
      <c r="A85" t="str">
        <f t="shared" si="1"/>
        <v>entity:QNL_B_103_PROCESSING_ROOM</v>
      </c>
      <c r="B85" s="24" t="s">
        <v>6139</v>
      </c>
      <c r="C85" t="s">
        <v>6140</v>
      </c>
      <c r="D85" t="str" cm="1">
        <f t="array" ref="D85:E85">TRANSPOSE(_xlfn._xlws.FILTER('Controllable Asset Registry'!$A$4:$A$554,IFERROR('Controllable Asset Registry'!$E$4:$E$554=A85,FALSE),"No Equipment in entity"))</f>
        <v>VAV_B_S13_003</v>
      </c>
      <c r="E85" t="str">
        <v>VAV_B_S13_004</v>
      </c>
    </row>
    <row r="86" spans="1:15" x14ac:dyDescent="0.3">
      <c r="A86" t="str">
        <f t="shared" si="1"/>
        <v>entity:QNL_B_104_STORAGE</v>
      </c>
      <c r="B86" s="24" t="s">
        <v>6142</v>
      </c>
      <c r="C86" t="s">
        <v>3335</v>
      </c>
      <c r="D86" t="str" cm="1">
        <f t="array" ref="D86">TRANSPOSE(_xlfn._xlws.FILTER('Controllable Asset Registry'!$A$4:$A$554,IFERROR('Controllable Asset Registry'!$E$4:$E$554=A86,FALSE),"No Equipment in entity"))</f>
        <v>CAV_B_S13_009</v>
      </c>
    </row>
    <row r="87" spans="1:15" x14ac:dyDescent="0.3">
      <c r="A87" t="str">
        <f t="shared" si="1"/>
        <v>entity:QNL_B106_RES_REST_ROOM_SECURITY</v>
      </c>
      <c r="B87" s="24" t="s">
        <v>6144</v>
      </c>
      <c r="C87" t="s">
        <v>6145</v>
      </c>
      <c r="D87" t="str" cm="1">
        <f t="array" ref="D87">TRANSPOSE(_xlfn._xlws.FILTER('Controllable Asset Registry'!$A$4:$A$554,IFERROR('Controllable Asset Registry'!$E$4:$E$554=A87,FALSE),"No Equipment in entity"))</f>
        <v>DX_B22</v>
      </c>
    </row>
    <row r="88" spans="1:15" x14ac:dyDescent="0.3">
      <c r="A88" t="str">
        <f t="shared" si="1"/>
        <v>entity:QNL_B106_SEC_SECURITY_STORES_SECURITY_UPS</v>
      </c>
      <c r="B88" s="24" t="s">
        <v>6146</v>
      </c>
      <c r="C88" t="s">
        <v>6147</v>
      </c>
      <c r="D88" t="str" cm="1">
        <f t="array" ref="D88">TRANSPOSE(_xlfn._xlws.FILTER('Controllable Asset Registry'!$A$4:$A$554,IFERROR('Controllable Asset Registry'!$E$4:$E$554=A88,FALSE),"No Equipment in entity"))</f>
        <v>No Equipment in entity</v>
      </c>
    </row>
    <row r="89" spans="1:15" x14ac:dyDescent="0.3">
      <c r="A89" t="str">
        <f t="shared" si="1"/>
        <v>entity:QNL_B_107_SECURITY_EQUIPMENT_ROOM</v>
      </c>
      <c r="B89" s="24" t="s">
        <v>6149</v>
      </c>
      <c r="C89" t="s">
        <v>6150</v>
      </c>
      <c r="D89" t="str" cm="1">
        <f t="array" ref="D89:E89">TRANSPOSE(_xlfn._xlws.FILTER('Controllable Asset Registry'!$A$4:$A$554,IFERROR('Controllable Asset Registry'!$E$4:$E$554=A89,FALSE),"No Equipment in entity"))</f>
        <v>DX_B12</v>
      </c>
      <c r="E89" t="str">
        <v>DX_B23</v>
      </c>
    </row>
    <row r="90" spans="1:15" x14ac:dyDescent="0.3">
      <c r="A90" t="str">
        <f t="shared" si="1"/>
        <v>entity:QNL_B_108_TOILET</v>
      </c>
      <c r="B90" s="24" t="s">
        <v>6151</v>
      </c>
      <c r="C90" t="s">
        <v>3344</v>
      </c>
      <c r="D90" t="str" cm="1">
        <f t="array" ref="D90">TRANSPOSE(_xlfn._xlws.FILTER('Controllable Asset Registry'!$A$4:$A$554,IFERROR('Controllable Asset Registry'!$E$4:$E$554=A90,FALSE),"No Equipment in entity"))</f>
        <v>No Equipment in entity</v>
      </c>
    </row>
    <row r="91" spans="1:15" x14ac:dyDescent="0.3">
      <c r="A91" t="str">
        <f t="shared" si="1"/>
        <v>entity:QNL_B_109_LOADING_AREA</v>
      </c>
      <c r="B91" s="24" t="s">
        <v>6153</v>
      </c>
      <c r="C91" t="s">
        <v>6154</v>
      </c>
      <c r="D91" t="str" cm="1">
        <f t="array" ref="D91:G91">TRANSPOSE(_xlfn._xlws.FILTER('Controllable Asset Registry'!$A$4:$A$554,IFERROR('Controllable Asset Registry'!$E$4:$E$554=A91,FALSE),"No Equipment in entity"))</f>
        <v>EF_B07</v>
      </c>
      <c r="E91" t="str">
        <v>EF_B08</v>
      </c>
      <c r="F91" t="str">
        <v>EF_B15</v>
      </c>
      <c r="G91" t="str">
        <v>EF_B16</v>
      </c>
    </row>
    <row r="92" spans="1:15" x14ac:dyDescent="0.3">
      <c r="A92" t="str">
        <f t="shared" si="1"/>
        <v>entity:QNL_B_110_PLANT_ROOM_03</v>
      </c>
      <c r="B92" s="24" t="s">
        <v>6156</v>
      </c>
      <c r="C92" t="s">
        <v>6157</v>
      </c>
      <c r="D92" t="str" cm="1">
        <f t="array" ref="D92:O92">TRANSPOSE(_xlfn._xlws.FILTER('Controllable Asset Registry'!$A$4:$A$554,IFERROR('Controllable Asset Registry'!$E$4:$E$554=A92,FALSE),"No Equipment in entity"))</f>
        <v>AHUB004</v>
      </c>
      <c r="E92" t="str">
        <v>AHUB009</v>
      </c>
      <c r="F92" t="str">
        <v>AHUB014</v>
      </c>
      <c r="G92" t="str">
        <v>AHUB015</v>
      </c>
      <c r="H92" t="str">
        <v>FCU_B_015</v>
      </c>
      <c r="I92" t="str">
        <v>FCU_B_016</v>
      </c>
      <c r="J92" t="str">
        <v>FCU_B_017</v>
      </c>
      <c r="K92" t="str">
        <v>CAV_B_S14_003</v>
      </c>
      <c r="L92" t="str">
        <v>CAV_B_S14_004</v>
      </c>
      <c r="M92" t="str">
        <v>CAV_B_S14_005</v>
      </c>
      <c r="N92" t="str">
        <v>TEF_B01A</v>
      </c>
      <c r="O92" t="str">
        <v>TEF_B01B</v>
      </c>
    </row>
    <row r="93" spans="1:15" x14ac:dyDescent="0.3">
      <c r="A93" t="str">
        <f t="shared" si="1"/>
        <v>entity:QNL_B_111_STORAGE</v>
      </c>
      <c r="B93" s="24" t="s">
        <v>6158</v>
      </c>
      <c r="C93" t="s">
        <v>3335</v>
      </c>
      <c r="D93" t="str" cm="1">
        <f t="array" ref="D93">TRANSPOSE(_xlfn._xlws.FILTER('Controllable Asset Registry'!$A$4:$A$554,IFERROR('Controllable Asset Registry'!$E$4:$E$554=A93,FALSE),"No Equipment in entity"))</f>
        <v>No Equipment in entity</v>
      </c>
    </row>
    <row r="94" spans="1:15" x14ac:dyDescent="0.3">
      <c r="A94" t="str">
        <f t="shared" si="1"/>
        <v>entity:QNL_B_112_CORRIDOR</v>
      </c>
      <c r="B94" s="24" t="s">
        <v>6159</v>
      </c>
      <c r="C94" t="s">
        <v>3318</v>
      </c>
      <c r="D94" t="str" cm="1">
        <f t="array" ref="D94">TRANSPOSE(_xlfn._xlws.FILTER('Controllable Asset Registry'!$A$4:$A$554,IFERROR('Controllable Asset Registry'!$E$4:$E$554=A94,FALSE),"No Equipment in entity"))</f>
        <v>No Equipment in entity</v>
      </c>
    </row>
    <row r="95" spans="1:15" x14ac:dyDescent="0.3">
      <c r="A95" t="str">
        <f t="shared" si="1"/>
        <v>entity:QNL_B_113_MAINTENANCE</v>
      </c>
      <c r="B95" s="24" t="s">
        <v>6160</v>
      </c>
      <c r="C95" t="s">
        <v>6072</v>
      </c>
      <c r="D95" t="str" cm="1">
        <f t="array" ref="D95">TRANSPOSE(_xlfn._xlws.FILTER('Controllable Asset Registry'!$A$4:$A$554,IFERROR('Controllable Asset Registry'!$E$4:$E$554=A95,FALSE),"No Equipment in entity"))</f>
        <v>No Equipment in entity</v>
      </c>
    </row>
    <row r="96" spans="1:15" x14ac:dyDescent="0.3">
      <c r="A96" t="str">
        <f t="shared" si="1"/>
        <v>entity:QNL_B_114_VENTLATON</v>
      </c>
      <c r="B96" s="24" t="s">
        <v>6161</v>
      </c>
      <c r="C96" t="s">
        <v>6080</v>
      </c>
      <c r="D96" t="str" cm="1">
        <f t="array" ref="D96">TRANSPOSE(_xlfn._xlws.FILTER('Controllable Asset Registry'!$A$4:$A$554,IFERROR('Controllable Asset Registry'!$E$4:$E$554=A96,FALSE),"No Equipment in entity"))</f>
        <v>No Equipment in entity</v>
      </c>
    </row>
    <row r="97" spans="1:8" x14ac:dyDescent="0.3">
      <c r="A97" t="str">
        <f t="shared" si="1"/>
        <v>entity:QNL_B_115_CORRIDOR</v>
      </c>
      <c r="B97" s="24" t="s">
        <v>6162</v>
      </c>
      <c r="C97" t="s">
        <v>3318</v>
      </c>
      <c r="D97" t="str" cm="1">
        <f t="array" ref="D97">TRANSPOSE(_xlfn._xlws.FILTER('Controllable Asset Registry'!$A$4:$A$554,IFERROR('Controllable Asset Registry'!$E$4:$E$554=A97,FALSE),"No Equipment in entity"))</f>
        <v>No Equipment in entity</v>
      </c>
    </row>
    <row r="98" spans="1:8" x14ac:dyDescent="0.3">
      <c r="A98" t="str">
        <f t="shared" si="1"/>
        <v>entity:QNL_B_116_VENTLATON</v>
      </c>
      <c r="B98" s="24" t="s">
        <v>6163</v>
      </c>
      <c r="C98" t="s">
        <v>6080</v>
      </c>
      <c r="D98" t="str" cm="1">
        <f t="array" ref="D98">TRANSPOSE(_xlfn._xlws.FILTER('Controllable Asset Registry'!$A$4:$A$554,IFERROR('Controllable Asset Registry'!$E$4:$E$554=A98,FALSE),"No Equipment in entity"))</f>
        <v>No Equipment in entity</v>
      </c>
    </row>
    <row r="99" spans="1:8" x14ac:dyDescent="0.3">
      <c r="A99" t="str">
        <f t="shared" si="1"/>
        <v>entity:QNL_B_120_COMPACT_SHELVING_-MAIN_COLLECTION</v>
      </c>
      <c r="B99" s="24" t="s">
        <v>6165</v>
      </c>
      <c r="C99" t="s">
        <v>6166</v>
      </c>
      <c r="D99" t="str" cm="1">
        <f t="array" ref="D99:E99">TRANSPOSE(_xlfn._xlws.FILTER('Controllable Asset Registry'!$A$4:$A$554,IFERROR('Controllable Asset Registry'!$E$4:$E$554=A99,FALSE),"No Equipment in entity"))</f>
        <v>TEF_B03A</v>
      </c>
      <c r="E99" t="str">
        <v>TEF_B03B</v>
      </c>
    </row>
    <row r="100" spans="1:8" x14ac:dyDescent="0.3">
      <c r="A100" t="str">
        <f t="shared" si="1"/>
        <v>entity:QNL_B_121_SORTING_SHELVING_ROOM</v>
      </c>
      <c r="B100" s="24" t="s">
        <v>6168</v>
      </c>
      <c r="C100" t="s">
        <v>6169</v>
      </c>
      <c r="D100" t="str" cm="1">
        <f t="array" ref="D100:E100">TRANSPOSE(_xlfn._xlws.FILTER('Controllable Asset Registry'!$A$4:$A$554,IFERROR('Controllable Asset Registry'!$E$4:$E$554=A100,FALSE),"No Equipment in entity"))</f>
        <v>FCU_B_027</v>
      </c>
      <c r="E100" t="str">
        <v>FCU_B_028</v>
      </c>
    </row>
    <row r="101" spans="1:8" x14ac:dyDescent="0.3">
      <c r="A101" t="str">
        <f t="shared" si="1"/>
        <v>entity:QNL_B_122_IT_OFFICE</v>
      </c>
      <c r="B101" s="24" t="s">
        <v>6171</v>
      </c>
      <c r="C101" t="s">
        <v>6172</v>
      </c>
      <c r="D101" t="str" cm="1">
        <f t="array" ref="D101">TRANSPOSE(_xlfn._xlws.FILTER('Controllable Asset Registry'!$A$4:$A$554,IFERROR('Controllable Asset Registry'!$E$4:$E$554=A101,FALSE),"No Equipment in entity"))</f>
        <v>FCU_B_036</v>
      </c>
    </row>
    <row r="102" spans="1:8" x14ac:dyDescent="0.3">
      <c r="A102" t="str">
        <f t="shared" si="1"/>
        <v>entity:QNL_B_132_SHELL_SPACE-SPECIAL_COLLECTION</v>
      </c>
      <c r="B102" s="24" t="s">
        <v>6174</v>
      </c>
      <c r="C102" t="s">
        <v>6175</v>
      </c>
      <c r="D102" t="str" cm="1">
        <f t="array" ref="D102:G102">TRANSPOSE(_xlfn._xlws.FILTER('Controllable Asset Registry'!$A$4:$A$554,IFERROR('Controllable Asset Registry'!$E$4:$E$554=A102,FALSE),"No Equipment in entity"))</f>
        <v>FCU_B_032</v>
      </c>
      <c r="E102" t="str">
        <v>FCU_B_033</v>
      </c>
      <c r="F102" t="str">
        <v>FCU_B_034</v>
      </c>
      <c r="G102" t="str">
        <v>FCU_B_035</v>
      </c>
    </row>
    <row r="103" spans="1:8" x14ac:dyDescent="0.3">
      <c r="A103" t="str">
        <f t="shared" si="1"/>
        <v>entity:QNL_B141_HLP_HL_PLANT_ROOM</v>
      </c>
      <c r="B103" s="24" t="s">
        <v>6176</v>
      </c>
      <c r="C103" t="s">
        <v>6177</v>
      </c>
      <c r="D103" t="str" cm="1">
        <f t="array" ref="D103">TRANSPOSE(_xlfn._xlws.FILTER('Controllable Asset Registry'!$A$4:$A$554,IFERROR('Controllable Asset Registry'!$E$4:$E$554=A103,FALSE),"No Equipment in entity"))</f>
        <v>No Equipment in entity</v>
      </c>
    </row>
    <row r="104" spans="1:8" x14ac:dyDescent="0.3">
      <c r="A104" t="str">
        <f t="shared" si="1"/>
        <v>entity:QNL_B141_VAU_VAULT</v>
      </c>
      <c r="B104" s="24" t="s">
        <v>6179</v>
      </c>
      <c r="C104" t="s">
        <v>6180</v>
      </c>
      <c r="D104" t="str" cm="1">
        <f t="array" ref="D104:E104">TRANSPOSE(_xlfn._xlws.FILTER('Controllable Asset Registry'!$A$4:$A$554,IFERROR('Controllable Asset Registry'!$E$4:$E$554=A104,FALSE),"No Equipment in entity"))</f>
        <v>CCU_B08</v>
      </c>
      <c r="E104" t="str">
        <v>CCU_B09</v>
      </c>
    </row>
    <row r="105" spans="1:8" x14ac:dyDescent="0.3">
      <c r="A105" t="str">
        <f t="shared" si="1"/>
        <v>entity:QNL_B_142_CORRIDOR</v>
      </c>
      <c r="B105" s="24" t="s">
        <v>6181</v>
      </c>
      <c r="C105" t="s">
        <v>3318</v>
      </c>
      <c r="D105" t="str" cm="1">
        <f t="array" ref="D105">TRANSPOSE(_xlfn._xlws.FILTER('Controllable Asset Registry'!$A$4:$A$554,IFERROR('Controllable Asset Registry'!$E$4:$E$554=A105,FALSE),"No Equipment in entity"))</f>
        <v>No Equipment in entity</v>
      </c>
    </row>
    <row r="106" spans="1:8" x14ac:dyDescent="0.3">
      <c r="A106" t="str">
        <f t="shared" si="1"/>
        <v>entity:QNL_B_143_HERITAGE_COLLECTION</v>
      </c>
      <c r="B106" s="24" t="s">
        <v>6182</v>
      </c>
      <c r="C106" t="s">
        <v>6183</v>
      </c>
      <c r="D106" t="str" cm="1">
        <f t="array" ref="D106">TRANSPOSE(_xlfn._xlws.FILTER('Controllable Asset Registry'!$A$4:$A$554,IFERROR('Controllable Asset Registry'!$E$4:$E$554=A106,FALSE),"No Equipment in entity"))</f>
        <v>No Equipment in entity</v>
      </c>
    </row>
    <row r="107" spans="1:8" x14ac:dyDescent="0.3">
      <c r="A107" t="str">
        <f t="shared" si="1"/>
        <v>entity:QNL_B_144_PANTRY</v>
      </c>
      <c r="B107" s="24" t="s">
        <v>6184</v>
      </c>
      <c r="C107" t="s">
        <v>4279</v>
      </c>
      <c r="D107" t="str" cm="1">
        <f t="array" ref="D107">TRANSPOSE(_xlfn._xlws.FILTER('Controllable Asset Registry'!$A$4:$A$554,IFERROR('Controllable Asset Registry'!$E$4:$E$554=A107,FALSE),"No Equipment in entity"))</f>
        <v>No Equipment in entity</v>
      </c>
    </row>
    <row r="108" spans="1:8" x14ac:dyDescent="0.3">
      <c r="A108" t="str">
        <f t="shared" si="1"/>
        <v>entity:QNL_B_145_LOBY_&amp;_CSECURITY</v>
      </c>
      <c r="B108" s="24" t="s">
        <v>6186</v>
      </c>
      <c r="C108" t="s">
        <v>6187</v>
      </c>
      <c r="D108" t="str" cm="1">
        <f t="array" ref="D108:H108">TRANSPOSE(_xlfn._xlws.FILTER('Controllable Asset Registry'!$A$4:$A$554,IFERROR('Controllable Asset Registry'!$E$4:$E$554=A108,FALSE),"No Equipment in entity"))</f>
        <v>FCU_B_029</v>
      </c>
      <c r="E108" t="str">
        <v>FCU_B_038</v>
      </c>
      <c r="F108" t="str">
        <v>VAV_B_S15_002</v>
      </c>
      <c r="G108" t="str">
        <v>VAV_B_S15_003</v>
      </c>
      <c r="H108" t="str">
        <v>VAV_B_S15_004</v>
      </c>
    </row>
    <row r="109" spans="1:8" x14ac:dyDescent="0.3">
      <c r="A109" t="str">
        <f t="shared" si="1"/>
        <v>entity:QNL_B_146_VIP_REST_ROOM</v>
      </c>
      <c r="B109" s="24" t="s">
        <v>6188</v>
      </c>
      <c r="C109" t="s">
        <v>6189</v>
      </c>
      <c r="D109" t="str" cm="1">
        <f t="array" ref="D109">TRANSPOSE(_xlfn._xlws.FILTER('Controllable Asset Registry'!$A$4:$A$554,IFERROR('Controllable Asset Registry'!$E$4:$E$554=A109,FALSE),"No Equipment in entity"))</f>
        <v>No Equipment in entity</v>
      </c>
    </row>
    <row r="110" spans="1:8" x14ac:dyDescent="0.3">
      <c r="A110" t="str">
        <f t="shared" si="1"/>
        <v>entity:QNL_B_147_VIP_REST_ROOM</v>
      </c>
      <c r="B110" s="24" t="s">
        <v>6190</v>
      </c>
      <c r="C110" t="s">
        <v>6189</v>
      </c>
      <c r="D110" t="str" cm="1">
        <f t="array" ref="D110">TRANSPOSE(_xlfn._xlws.FILTER('Controllable Asset Registry'!$A$4:$A$554,IFERROR('Controllable Asset Registry'!$E$4:$E$554=A110,FALSE),"No Equipment in entity"))</f>
        <v>No Equipment in entity</v>
      </c>
    </row>
    <row r="111" spans="1:8" x14ac:dyDescent="0.3">
      <c r="A111" t="str">
        <f t="shared" si="1"/>
        <v>entity:QNL_B_148_VIP_MAJLIS</v>
      </c>
      <c r="B111" s="24" t="s">
        <v>6191</v>
      </c>
      <c r="C111" t="s">
        <v>6192</v>
      </c>
      <c r="D111" t="str" cm="1">
        <f t="array" ref="D111">TRANSPOSE(_xlfn._xlws.FILTER('Controllable Asset Registry'!$A$4:$A$554,IFERROR('Controllable Asset Registry'!$E$4:$E$554=A111,FALSE),"No Equipment in entity"))</f>
        <v>No Equipment in entity</v>
      </c>
    </row>
    <row r="112" spans="1:8" x14ac:dyDescent="0.3">
      <c r="A112" t="str">
        <f t="shared" si="1"/>
        <v>entity:QNL_B_149_DIRECTOR_HEAD</v>
      </c>
      <c r="B112" s="24" t="s">
        <v>6194</v>
      </c>
      <c r="C112" t="s">
        <v>6195</v>
      </c>
      <c r="D112" t="str" cm="1">
        <f t="array" ref="D112:G112">TRANSPOSE(_xlfn._xlws.FILTER('Controllable Asset Registry'!$A$4:$A$554,IFERROR('Controllable Asset Registry'!$E$4:$E$554=A112,FALSE),"No Equipment in entity"))</f>
        <v>VAV_B_S15_009</v>
      </c>
      <c r="E112" t="str">
        <v>VAV_B_S15_010</v>
      </c>
      <c r="F112" t="str">
        <v>VAV_B_S15_011</v>
      </c>
      <c r="G112" t="str">
        <v>VAV_B_S15_012</v>
      </c>
    </row>
    <row r="113" spans="1:6" x14ac:dyDescent="0.3">
      <c r="A113" t="str">
        <f t="shared" si="1"/>
        <v>entity:QNL_B_150_ASSISTANT_HEAD</v>
      </c>
      <c r="B113" s="24" t="s">
        <v>6196</v>
      </c>
      <c r="C113" t="s">
        <v>6197</v>
      </c>
      <c r="D113" t="str" cm="1">
        <f t="array" ref="D113">TRANSPOSE(_xlfn._xlws.FILTER('Controllable Asset Registry'!$A$4:$A$554,IFERROR('Controllable Asset Registry'!$E$4:$E$554=A113,FALSE),"No Equipment in entity"))</f>
        <v>No Equipment in entity</v>
      </c>
    </row>
    <row r="114" spans="1:6" x14ac:dyDescent="0.3">
      <c r="A114" t="str">
        <f t="shared" si="1"/>
        <v>entity:QNL_B_151_RESEARCH_&amp;_DOC-RCRDS_MGMT</v>
      </c>
      <c r="B114" s="24" t="s">
        <v>6199</v>
      </c>
      <c r="C114" t="s">
        <v>6200</v>
      </c>
      <c r="D114" t="str" cm="1">
        <f t="array" ref="D114:E114">TRANSPOSE(_xlfn._xlws.FILTER('Controllable Asset Registry'!$A$4:$A$554,IFERROR('Controllable Asset Registry'!$E$4:$E$554=A114,FALSE),"No Equipment in entity"))</f>
        <v>VAV_B_S15_008</v>
      </c>
      <c r="E114" t="str">
        <v>VAV_B_S15_013</v>
      </c>
    </row>
    <row r="115" spans="1:6" x14ac:dyDescent="0.3">
      <c r="A115" t="str">
        <f t="shared" si="1"/>
        <v>entity:QNL_B_152_SECURITY_ROOM</v>
      </c>
      <c r="B115" s="24" t="s">
        <v>6202</v>
      </c>
      <c r="C115" t="s">
        <v>6203</v>
      </c>
      <c r="D115" t="str" cm="1">
        <f t="array" ref="D115">TRANSPOSE(_xlfn._xlws.FILTER('Controllable Asset Registry'!$A$4:$A$554,IFERROR('Controllable Asset Registry'!$E$4:$E$554=A115,FALSE),"No Equipment in entity"))</f>
        <v>VAV_B_S15_007</v>
      </c>
    </row>
    <row r="116" spans="1:6" x14ac:dyDescent="0.3">
      <c r="A116" t="str">
        <f t="shared" si="1"/>
        <v>entity:QNL_B_153_PROF_LIBRARIAN</v>
      </c>
      <c r="B116" s="24" t="s">
        <v>6205</v>
      </c>
      <c r="C116" t="s">
        <v>6206</v>
      </c>
      <c r="D116" t="str" cm="1">
        <f t="array" ref="D116:F116">TRANSPOSE(_xlfn._xlws.FILTER('Controllable Asset Registry'!$A$4:$A$554,IFERROR('Controllable Asset Registry'!$E$4:$E$554=A116,FALSE),"No Equipment in entity"))</f>
        <v>VAV_B_S15_001</v>
      </c>
      <c r="E116" t="str">
        <v>VAV_B_S15_005</v>
      </c>
      <c r="F116" t="str">
        <v>VAV_B_S15_006</v>
      </c>
    </row>
    <row r="117" spans="1:6" x14ac:dyDescent="0.3">
      <c r="A117" t="str">
        <f t="shared" si="1"/>
        <v>entity:QNL_B_155_FACULTY_CARRELS</v>
      </c>
      <c r="B117" s="24" t="s">
        <v>6208</v>
      </c>
      <c r="C117" t="s">
        <v>6209</v>
      </c>
      <c r="D117" t="str" cm="1">
        <f t="array" ref="D117">TRANSPOSE(_xlfn._xlws.FILTER('Controllable Asset Registry'!$A$4:$A$554,IFERROR('Controllable Asset Registry'!$E$4:$E$554=A117,FALSE),"No Equipment in entity"))</f>
        <v>FCU_B_001</v>
      </c>
    </row>
    <row r="118" spans="1:6" x14ac:dyDescent="0.3">
      <c r="A118" t="str">
        <f t="shared" si="1"/>
        <v>entity:QNL_B_156_FACULTY_CARRELS</v>
      </c>
      <c r="B118" s="24" t="s">
        <v>6210</v>
      </c>
      <c r="C118" t="s">
        <v>6209</v>
      </c>
      <c r="D118" t="str" cm="1">
        <f t="array" ref="D118">TRANSPOSE(_xlfn._xlws.FILTER('Controllable Asset Registry'!$A$4:$A$554,IFERROR('Controllable Asset Registry'!$E$4:$E$554=A118,FALSE),"No Equipment in entity"))</f>
        <v>No Equipment in entity</v>
      </c>
    </row>
    <row r="119" spans="1:6" x14ac:dyDescent="0.3">
      <c r="A119" t="str">
        <f t="shared" si="1"/>
        <v>entity:QNL_B_157_FACULTY_CARRELS</v>
      </c>
      <c r="B119" s="24" t="s">
        <v>6211</v>
      </c>
      <c r="C119" t="s">
        <v>6209</v>
      </c>
      <c r="D119" t="str" cm="1">
        <f t="array" ref="D119">TRANSPOSE(_xlfn._xlws.FILTER('Controllable Asset Registry'!$A$4:$A$554,IFERROR('Controllable Asset Registry'!$E$4:$E$554=A119,FALSE),"No Equipment in entity"))</f>
        <v>No Equipment in entity</v>
      </c>
    </row>
    <row r="120" spans="1:6" x14ac:dyDescent="0.3">
      <c r="A120" t="str">
        <f t="shared" si="1"/>
        <v>entity:QNL_B_158_FACULTY_CARRELS</v>
      </c>
      <c r="B120" s="24" t="s">
        <v>6212</v>
      </c>
      <c r="C120" t="s">
        <v>6209</v>
      </c>
      <c r="D120" t="str" cm="1">
        <f t="array" ref="D120">TRANSPOSE(_xlfn._xlws.FILTER('Controllable Asset Registry'!$A$4:$A$554,IFERROR('Controllable Asset Registry'!$E$4:$E$554=A120,FALSE),"No Equipment in entity"))</f>
        <v>No Equipment in entity</v>
      </c>
    </row>
    <row r="121" spans="1:6" x14ac:dyDescent="0.3">
      <c r="A121" t="str">
        <f t="shared" si="1"/>
        <v>entity:QNL_B_159_FACULTY_CARRELS</v>
      </c>
      <c r="B121" s="24" t="s">
        <v>6213</v>
      </c>
      <c r="C121" t="s">
        <v>6209</v>
      </c>
      <c r="D121" t="str" cm="1">
        <f t="array" ref="D121">TRANSPOSE(_xlfn._xlws.FILTER('Controllable Asset Registry'!$A$4:$A$554,IFERROR('Controllable Asset Registry'!$E$4:$E$554=A121,FALSE),"No Equipment in entity"))</f>
        <v>No Equipment in entity</v>
      </c>
    </row>
    <row r="122" spans="1:6" x14ac:dyDescent="0.3">
      <c r="A122" t="str">
        <f t="shared" si="1"/>
        <v>entity:QNL_B_160_FACULTY_CARRELS</v>
      </c>
      <c r="B122" s="24" t="s">
        <v>6214</v>
      </c>
      <c r="C122" t="s">
        <v>6209</v>
      </c>
      <c r="D122" t="str" cm="1">
        <f t="array" ref="D122">TRANSPOSE(_xlfn._xlws.FILTER('Controllable Asset Registry'!$A$4:$A$554,IFERROR('Controllable Asset Registry'!$E$4:$E$554=A122,FALSE),"No Equipment in entity"))</f>
        <v>No Equipment in entity</v>
      </c>
    </row>
    <row r="123" spans="1:6" x14ac:dyDescent="0.3">
      <c r="A123" t="str">
        <f t="shared" si="1"/>
        <v>entity:QNL_B_161_FACULTY_CARRELS</v>
      </c>
      <c r="B123" s="24" t="s">
        <v>6215</v>
      </c>
      <c r="C123" t="s">
        <v>6209</v>
      </c>
      <c r="D123" t="str" cm="1">
        <f t="array" ref="D123">TRANSPOSE(_xlfn._xlws.FILTER('Controllable Asset Registry'!$A$4:$A$554,IFERROR('Controllable Asset Registry'!$E$4:$E$554=A123,FALSE),"No Equipment in entity"))</f>
        <v>No Equipment in entity</v>
      </c>
    </row>
    <row r="124" spans="1:6" x14ac:dyDescent="0.3">
      <c r="A124" t="str">
        <f t="shared" si="1"/>
        <v>entity:QNL_B_162_FACULTY_CARRELS</v>
      </c>
      <c r="B124" s="24" t="s">
        <v>6216</v>
      </c>
      <c r="C124" t="s">
        <v>6209</v>
      </c>
      <c r="D124" t="str" cm="1">
        <f t="array" ref="D124">TRANSPOSE(_xlfn._xlws.FILTER('Controllable Asset Registry'!$A$4:$A$554,IFERROR('Controllable Asset Registry'!$E$4:$E$554=A124,FALSE),"No Equipment in entity"))</f>
        <v>No Equipment in entity</v>
      </c>
    </row>
    <row r="125" spans="1:6" x14ac:dyDescent="0.3">
      <c r="A125" t="str">
        <f t="shared" si="1"/>
        <v>entity:QNL_B_163_FACULTY_CARRELS</v>
      </c>
      <c r="B125" s="24" t="s">
        <v>6217</v>
      </c>
      <c r="C125" t="s">
        <v>6209</v>
      </c>
      <c r="D125" t="str" cm="1">
        <f t="array" ref="D125">TRANSPOSE(_xlfn._xlws.FILTER('Controllable Asset Registry'!$A$4:$A$554,IFERROR('Controllable Asset Registry'!$E$4:$E$554=A125,FALSE),"No Equipment in entity"))</f>
        <v>No Equipment in entity</v>
      </c>
    </row>
    <row r="126" spans="1:6" x14ac:dyDescent="0.3">
      <c r="A126" t="str">
        <f t="shared" si="1"/>
        <v>entity:QNL_B_164_FACULTY_CARRELS</v>
      </c>
      <c r="B126" s="24" t="s">
        <v>6218</v>
      </c>
      <c r="C126" t="s">
        <v>6209</v>
      </c>
      <c r="D126" t="str" cm="1">
        <f t="array" ref="D126">TRANSPOSE(_xlfn._xlws.FILTER('Controllable Asset Registry'!$A$4:$A$554,IFERROR('Controllable Asset Registry'!$E$4:$E$554=A126,FALSE),"No Equipment in entity"))</f>
        <v>No Equipment in entity</v>
      </c>
    </row>
    <row r="127" spans="1:6" x14ac:dyDescent="0.3">
      <c r="A127" t="str">
        <f t="shared" si="1"/>
        <v>entity:QNL_B_165_FACULTY_CARRELS</v>
      </c>
      <c r="B127" s="24" t="s">
        <v>6219</v>
      </c>
      <c r="C127" t="s">
        <v>6209</v>
      </c>
      <c r="D127" t="str" cm="1">
        <f t="array" ref="D127">TRANSPOSE(_xlfn._xlws.FILTER('Controllable Asset Registry'!$A$4:$A$554,IFERROR('Controllable Asset Registry'!$E$4:$E$554=A127,FALSE),"No Equipment in entity"))</f>
        <v>No Equipment in entity</v>
      </c>
    </row>
    <row r="128" spans="1:6" x14ac:dyDescent="0.3">
      <c r="A128" t="str">
        <f t="shared" si="1"/>
        <v>entity:QNL_B_166_FACULTY_CARRELS</v>
      </c>
      <c r="B128" s="24" t="s">
        <v>6220</v>
      </c>
      <c r="C128" t="s">
        <v>6209</v>
      </c>
      <c r="D128" t="str" cm="1">
        <f t="array" ref="D128">TRANSPOSE(_xlfn._xlws.FILTER('Controllable Asset Registry'!$A$4:$A$554,IFERROR('Controllable Asset Registry'!$E$4:$E$554=A128,FALSE),"No Equipment in entity"))</f>
        <v>No Equipment in entity</v>
      </c>
    </row>
    <row r="129" spans="1:12" x14ac:dyDescent="0.3">
      <c r="A129" t="str">
        <f t="shared" si="1"/>
        <v>entity:QNL_B_167_FACULTY_CARRELS</v>
      </c>
      <c r="B129" s="24" t="s">
        <v>6221</v>
      </c>
      <c r="C129" t="s">
        <v>6209</v>
      </c>
      <c r="D129" t="str" cm="1">
        <f t="array" ref="D129">TRANSPOSE(_xlfn._xlws.FILTER('Controllable Asset Registry'!$A$4:$A$554,IFERROR('Controllable Asset Registry'!$E$4:$E$554=A129,FALSE),"No Equipment in entity"))</f>
        <v>No Equipment in entity</v>
      </c>
    </row>
    <row r="130" spans="1:12" x14ac:dyDescent="0.3">
      <c r="A130" t="str">
        <f t="shared" ref="A130:A193" si="2">"entity:QNL_"&amp;B130&amp;"_"&amp;C130</f>
        <v>entity:QNL_B_168_FACULTY_CARRELS</v>
      </c>
      <c r="B130" s="24" t="s">
        <v>6222</v>
      </c>
      <c r="C130" t="s">
        <v>6209</v>
      </c>
      <c r="D130" t="str" cm="1">
        <f t="array" ref="D130">TRANSPOSE(_xlfn._xlws.FILTER('Controllable Asset Registry'!$A$4:$A$554,IFERROR('Controllable Asset Registry'!$E$4:$E$554=A130,FALSE),"No Equipment in entity"))</f>
        <v>No Equipment in entity</v>
      </c>
    </row>
    <row r="131" spans="1:12" x14ac:dyDescent="0.3">
      <c r="A131" t="str">
        <f t="shared" si="2"/>
        <v>entity:QNL_B_169_FACULTY_CARRELS</v>
      </c>
      <c r="B131" s="24" t="s">
        <v>6223</v>
      </c>
      <c r="C131" t="s">
        <v>6209</v>
      </c>
      <c r="D131" t="str" cm="1">
        <f t="array" ref="D131">TRANSPOSE(_xlfn._xlws.FILTER('Controllable Asset Registry'!$A$4:$A$554,IFERROR('Controllable Asset Registry'!$E$4:$E$554=A131,FALSE),"No Equipment in entity"))</f>
        <v>No Equipment in entity</v>
      </c>
    </row>
    <row r="132" spans="1:12" x14ac:dyDescent="0.3">
      <c r="A132" t="str">
        <f t="shared" si="2"/>
        <v>entity:QNL_B_200_DIGITIZATION</v>
      </c>
      <c r="B132" s="24" t="s">
        <v>6225</v>
      </c>
      <c r="C132" t="s">
        <v>6226</v>
      </c>
      <c r="D132" t="str" cm="1">
        <f t="array" ref="D132:L132">TRANSPOSE(_xlfn._xlws.FILTER('Controllable Asset Registry'!$A$4:$A$554,IFERROR('Controllable Asset Registry'!$E$4:$E$554=A132,FALSE),"No Equipment in entity"))</f>
        <v>VAV_B_S10_001</v>
      </c>
      <c r="E132" t="str">
        <v>VAV_B_S10_002</v>
      </c>
      <c r="F132" t="str">
        <v>VAV_B_S10_003</v>
      </c>
      <c r="G132" t="str">
        <v>VAV_B_S10_004</v>
      </c>
      <c r="H132" t="str">
        <v>VAV_B_S10_005</v>
      </c>
      <c r="I132" t="str">
        <v>VAV_B_S10_006</v>
      </c>
      <c r="J132" t="str">
        <v>VAV_B_S10_007</v>
      </c>
      <c r="K132" t="str">
        <v>VAV_B_S10_008</v>
      </c>
      <c r="L132" t="str">
        <v>VAV_B_S10_024</v>
      </c>
    </row>
    <row r="133" spans="1:12" x14ac:dyDescent="0.3">
      <c r="A133" t="str">
        <f t="shared" si="2"/>
        <v>entity:QNL_B_201_REST_ROOM_MEN</v>
      </c>
      <c r="B133" s="24" t="s">
        <v>6227</v>
      </c>
      <c r="C133" t="s">
        <v>6024</v>
      </c>
      <c r="D133" t="str" cm="1">
        <f t="array" ref="D133">TRANSPOSE(_xlfn._xlws.FILTER('Controllable Asset Registry'!$A$4:$A$554,IFERROR('Controllable Asset Registry'!$E$4:$E$554=A133,FALSE),"No Equipment in entity"))</f>
        <v>No Equipment in entity</v>
      </c>
    </row>
    <row r="134" spans="1:12" x14ac:dyDescent="0.3">
      <c r="A134" t="str">
        <f t="shared" si="2"/>
        <v>entity:QNL_B_202_REST_ROOM_WOMEN</v>
      </c>
      <c r="B134" s="24" t="s">
        <v>6228</v>
      </c>
      <c r="C134" t="s">
        <v>6028</v>
      </c>
      <c r="D134" t="str" cm="1">
        <f t="array" ref="D134">TRANSPOSE(_xlfn._xlws.FILTER('Controllable Asset Registry'!$A$4:$A$554,IFERROR('Controllable Asset Registry'!$E$4:$E$554=A134,FALSE),"No Equipment in entity"))</f>
        <v>No Equipment in entity</v>
      </c>
    </row>
    <row r="135" spans="1:12" x14ac:dyDescent="0.3">
      <c r="A135" t="str">
        <f t="shared" si="2"/>
        <v>entity:QNL_B_203_STORAGE_ROOM</v>
      </c>
      <c r="B135" s="24" t="s">
        <v>6229</v>
      </c>
      <c r="C135" t="s">
        <v>4324</v>
      </c>
      <c r="D135" t="str" cm="1">
        <f t="array" ref="D135">TRANSPOSE(_xlfn._xlws.FILTER('Controllable Asset Registry'!$A$4:$A$554,IFERROR('Controllable Asset Registry'!$E$4:$E$554=A135,FALSE),"No Equipment in entity"))</f>
        <v>No Equipment in entity</v>
      </c>
    </row>
    <row r="136" spans="1:12" x14ac:dyDescent="0.3">
      <c r="A136" t="str">
        <f t="shared" si="2"/>
        <v>entity:QNL_B_204_TECHNICAL_SERVICES</v>
      </c>
      <c r="B136" s="24" t="s">
        <v>6231</v>
      </c>
      <c r="C136" t="s">
        <v>6232</v>
      </c>
      <c r="D136" t="str" cm="1">
        <f t="array" ref="D136:F136">TRANSPOSE(_xlfn._xlws.FILTER('Controllable Asset Registry'!$A$4:$A$554,IFERROR('Controllable Asset Registry'!$E$4:$E$554=A136,FALSE),"No Equipment in entity"))</f>
        <v>VAV_B_S10_009</v>
      </c>
      <c r="E136" t="str">
        <v>VAV_B_S10_010</v>
      </c>
      <c r="F136" t="str">
        <v>VAV_B_S10_011</v>
      </c>
    </row>
    <row r="137" spans="1:12" x14ac:dyDescent="0.3">
      <c r="A137" t="str">
        <f t="shared" si="2"/>
        <v>entity:QNL_B_205_INSTRUCTION_PRESENTATION</v>
      </c>
      <c r="B137" s="24" t="s">
        <v>6234</v>
      </c>
      <c r="C137" t="s">
        <v>6235</v>
      </c>
      <c r="D137" t="str" cm="1">
        <f t="array" ref="D137:F137">TRANSPOSE(_xlfn._xlws.FILTER('Controllable Asset Registry'!$A$4:$A$554,IFERROR('Controllable Asset Registry'!$E$4:$E$554=A137,FALSE),"No Equipment in entity"))</f>
        <v>VAV_B_S10_016</v>
      </c>
      <c r="E137" t="str">
        <v>VAV_B_S10_017</v>
      </c>
      <c r="F137" t="str">
        <v>VAV_B_S10_018</v>
      </c>
    </row>
    <row r="138" spans="1:12" x14ac:dyDescent="0.3">
      <c r="A138" t="str">
        <f t="shared" si="2"/>
        <v>entity:QNL_B_206_INSTRUCTION_OUTREACH</v>
      </c>
      <c r="B138" s="24" t="s">
        <v>6237</v>
      </c>
      <c r="C138" t="s">
        <v>6238</v>
      </c>
      <c r="D138" t="str" cm="1">
        <f t="array" ref="D138">TRANSPOSE(_xlfn._xlws.FILTER('Controllable Asset Registry'!$A$4:$A$554,IFERROR('Controllable Asset Registry'!$E$4:$E$554=A138,FALSE),"No Equipment in entity"))</f>
        <v>VAV_B_S10_015</v>
      </c>
    </row>
    <row r="139" spans="1:12" x14ac:dyDescent="0.3">
      <c r="A139" t="str">
        <f t="shared" si="2"/>
        <v>entity:QNL_B_207_PRESEARCHERS_READING_AREA</v>
      </c>
      <c r="B139" s="24" t="s">
        <v>6240</v>
      </c>
      <c r="C139" t="s">
        <v>6241</v>
      </c>
      <c r="D139" t="str" cm="1">
        <f t="array" ref="D139:G139">TRANSPOSE(_xlfn._xlws.FILTER('Controllable Asset Registry'!$A$4:$A$554,IFERROR('Controllable Asset Registry'!$E$4:$E$554=A139,FALSE),"No Equipment in entity"))</f>
        <v>VAV_B_S10_020</v>
      </c>
      <c r="E139" t="str">
        <v>VAV_B_S10_021</v>
      </c>
      <c r="F139" t="str">
        <v>VAV_B_S10_022</v>
      </c>
      <c r="G139" t="str">
        <v>VAV_B_S10_023</v>
      </c>
    </row>
    <row r="140" spans="1:12" x14ac:dyDescent="0.3">
      <c r="A140" t="str">
        <f t="shared" si="2"/>
        <v>entity:QNL_B_208_PROF_LIBRARIAN</v>
      </c>
      <c r="B140" s="24" t="s">
        <v>6243</v>
      </c>
      <c r="C140" t="s">
        <v>6206</v>
      </c>
      <c r="D140" t="str" cm="1">
        <f t="array" ref="D140">TRANSPOSE(_xlfn._xlws.FILTER('Controllable Asset Registry'!$A$4:$A$554,IFERROR('Controllable Asset Registry'!$E$4:$E$554=A140,FALSE),"No Equipment in entity"))</f>
        <v>VAV_B_S10_019</v>
      </c>
    </row>
    <row r="141" spans="1:12" x14ac:dyDescent="0.3">
      <c r="A141" t="str">
        <f t="shared" si="2"/>
        <v>entity:QNL_B_209_CONSERVATION_WORK_AREA</v>
      </c>
      <c r="B141" s="24" t="s">
        <v>6245</v>
      </c>
      <c r="C141" t="s">
        <v>6246</v>
      </c>
      <c r="D141" t="str" cm="1">
        <f t="array" ref="D141:F141">TRANSPOSE(_xlfn._xlws.FILTER('Controllable Asset Registry'!$A$4:$A$554,IFERROR('Controllable Asset Registry'!$E$4:$E$554=A141,FALSE),"No Equipment in entity"))</f>
        <v>VAV_B_S10_012</v>
      </c>
      <c r="E141" t="str">
        <v>VAV_B_S10_013</v>
      </c>
      <c r="F141" t="str">
        <v>VAV_B_S10_014</v>
      </c>
    </row>
    <row r="142" spans="1:12" x14ac:dyDescent="0.3">
      <c r="A142" t="str">
        <f t="shared" si="2"/>
        <v>entity:QNL_B_210_FM_STORAGE</v>
      </c>
      <c r="B142" s="24" t="s">
        <v>6248</v>
      </c>
      <c r="C142" t="s">
        <v>4117</v>
      </c>
      <c r="D142" t="str" cm="1">
        <f t="array" ref="D142:E142">TRANSPOSE(_xlfn._xlws.FILTER('Controllable Asset Registry'!$A$4:$A$554,IFERROR('Controllable Asset Registry'!$E$4:$E$554=A142,FALSE),"No Equipment in entity"))</f>
        <v>FCU_B_022</v>
      </c>
      <c r="E142" t="str">
        <v>FCU_B_023</v>
      </c>
    </row>
    <row r="143" spans="1:12" x14ac:dyDescent="0.3">
      <c r="A143" t="str">
        <f t="shared" si="2"/>
        <v>entity:QNL_B_211_PH_PLANT_ROOM</v>
      </c>
      <c r="B143" s="24" t="s">
        <v>6250</v>
      </c>
      <c r="C143" t="s">
        <v>6251</v>
      </c>
      <c r="D143" t="str" cm="1">
        <f t="array" ref="D143:E143">TRANSPOSE(_xlfn._xlws.FILTER('Controllable Asset Registry'!$A$4:$A$554,IFERROR('Controllable Asset Registry'!$E$4:$E$554=A143,FALSE),"No Equipment in entity"))</f>
        <v>FCU_B_024</v>
      </c>
      <c r="E143" t="str">
        <v>HEX05</v>
      </c>
    </row>
    <row r="144" spans="1:12" x14ac:dyDescent="0.3">
      <c r="A144" t="str">
        <f t="shared" si="2"/>
        <v>entity:QNL_B_213_MISTING_SYSTEM</v>
      </c>
      <c r="B144" s="24" t="s">
        <v>6252</v>
      </c>
      <c r="C144" t="s">
        <v>6253</v>
      </c>
      <c r="D144" t="str" cm="1">
        <f t="array" ref="D144">TRANSPOSE(_xlfn._xlws.FILTER('Controllable Asset Registry'!$A$4:$A$554,IFERROR('Controllable Asset Registry'!$E$4:$E$554=A144,FALSE),"No Equipment in entity"))</f>
        <v>No Equipment in entity</v>
      </c>
    </row>
    <row r="145" spans="1:21" x14ac:dyDescent="0.3">
      <c r="A145" t="str">
        <f t="shared" si="2"/>
        <v>entity:QNL_B214_COR_CORRIDOR6</v>
      </c>
      <c r="B145" s="24" t="s">
        <v>6254</v>
      </c>
      <c r="C145" t="s">
        <v>6255</v>
      </c>
      <c r="D145" t="str" cm="1">
        <f t="array" ref="D145">TRANSPOSE(_xlfn._xlws.FILTER('Controllable Asset Registry'!$A$4:$A$554,IFERROR('Controllable Asset Registry'!$E$4:$E$554=A145,FALSE),"No Equipment in entity"))</f>
        <v>No Equipment in entity</v>
      </c>
    </row>
    <row r="146" spans="1:21" x14ac:dyDescent="0.3">
      <c r="A146" t="str">
        <f t="shared" si="2"/>
        <v>entity:QNL_B214_IDF_IDF_ROOM</v>
      </c>
      <c r="B146" s="24" t="s">
        <v>6256</v>
      </c>
      <c r="C146" t="s">
        <v>4206</v>
      </c>
      <c r="D146" t="str" cm="1">
        <f t="array" ref="D146">TRANSPOSE(_xlfn._xlws.FILTER('Controllable Asset Registry'!$A$4:$A$554,IFERROR('Controllable Asset Registry'!$E$4:$E$554=A146,FALSE),"No Equipment in entity"))</f>
        <v>No Equipment in entity</v>
      </c>
    </row>
    <row r="147" spans="1:21" x14ac:dyDescent="0.3">
      <c r="A147" t="str">
        <f t="shared" si="2"/>
        <v>entity:QNL_B_215_IDF_FM_STORAGE</v>
      </c>
      <c r="B147" s="24" t="s">
        <v>6258</v>
      </c>
      <c r="C147" t="s">
        <v>6259</v>
      </c>
      <c r="D147" t="str" cm="1">
        <f t="array" ref="D147">TRANSPOSE(_xlfn._xlws.FILTER('Controllable Asset Registry'!$A$4:$A$554,IFERROR('Controllable Asset Registry'!$E$4:$E$554=A147,FALSE),"No Equipment in entity"))</f>
        <v>FCU_B_004</v>
      </c>
    </row>
    <row r="148" spans="1:21" x14ac:dyDescent="0.3">
      <c r="A148" t="str">
        <f t="shared" si="2"/>
        <v>entity:QNL_B_215A_IDF</v>
      </c>
      <c r="B148" s="24" t="s">
        <v>6261</v>
      </c>
      <c r="C148" t="s">
        <v>6262</v>
      </c>
      <c r="D148" t="str" cm="1">
        <f t="array" ref="D148:E148">TRANSPOSE(_xlfn._xlws.FILTER('Controllable Asset Registry'!$A$4:$A$554,IFERROR('Controllable Asset Registry'!$E$4:$E$554=A148,FALSE),"No Equipment in entity"))</f>
        <v>FCU_B_031</v>
      </c>
      <c r="E148" t="str">
        <v>FCU_B_037</v>
      </c>
    </row>
    <row r="149" spans="1:21" x14ac:dyDescent="0.3">
      <c r="A149" t="str">
        <f t="shared" si="2"/>
        <v>entity:QNL_B_220_PLANT_ROOM_04</v>
      </c>
      <c r="B149" s="24" t="s">
        <v>6264</v>
      </c>
      <c r="C149" t="s">
        <v>6265</v>
      </c>
      <c r="D149" t="str" cm="1">
        <f t="array" ref="D149:U149">TRANSPOSE(_xlfn._xlws.FILTER('Controllable Asset Registry'!$A$4:$A$554,IFERROR('Controllable Asset Registry'!$E$4:$E$554=A149,FALSE),"No Equipment in entity"))</f>
        <v>AHUB001</v>
      </c>
      <c r="E149" t="str">
        <v>AHUB005</v>
      </c>
      <c r="F149" t="str">
        <v>AHUB006</v>
      </c>
      <c r="G149" t="str">
        <v>AHUB007</v>
      </c>
      <c r="H149" t="str">
        <v>AHUB008</v>
      </c>
      <c r="I149" t="str">
        <v>FCU_B_018</v>
      </c>
      <c r="J149" t="str">
        <v>FCU_B_019</v>
      </c>
      <c r="K149" t="str">
        <v>FCU_B_020</v>
      </c>
      <c r="L149" t="str">
        <v>FCU_B_021</v>
      </c>
      <c r="M149" t="str">
        <v>HEX01</v>
      </c>
      <c r="N149" t="str">
        <v>HEX02</v>
      </c>
      <c r="O149" t="str">
        <v>HEX03</v>
      </c>
      <c r="P149" t="str">
        <v>HEX04</v>
      </c>
      <c r="Q149" t="str">
        <v>CHW_P01</v>
      </c>
      <c r="R149" t="str">
        <v>CHW_P02</v>
      </c>
      <c r="S149" t="str">
        <v>CHW_P03</v>
      </c>
      <c r="T149" t="str">
        <v>CHW_P04</v>
      </c>
      <c r="U149" t="str">
        <v>CHWPU_P01</v>
      </c>
    </row>
    <row r="150" spans="1:21" x14ac:dyDescent="0.3">
      <c r="A150" t="str">
        <f t="shared" si="2"/>
        <v>entity:QNL_B_221_MAINTENANCE</v>
      </c>
      <c r="B150" s="24" t="s">
        <v>6266</v>
      </c>
      <c r="C150" t="s">
        <v>6072</v>
      </c>
      <c r="D150" t="str" cm="1">
        <f t="array" ref="D150">TRANSPOSE(_xlfn._xlws.FILTER('Controllable Asset Registry'!$A$4:$A$554,IFERROR('Controllable Asset Registry'!$E$4:$E$554=A150,FALSE),"No Equipment in entity"))</f>
        <v>No Equipment in entity</v>
      </c>
    </row>
    <row r="151" spans="1:21" x14ac:dyDescent="0.3">
      <c r="A151" t="str">
        <f t="shared" si="2"/>
        <v>entity:QNL_B_222_IDF</v>
      </c>
      <c r="B151" s="24" t="s">
        <v>6268</v>
      </c>
      <c r="C151" t="s">
        <v>6262</v>
      </c>
      <c r="D151" t="str" cm="1">
        <f t="array" ref="D151:E151">TRANSPOSE(_xlfn._xlws.FILTER('Controllable Asset Registry'!$A$4:$A$554,IFERROR('Controllable Asset Registry'!$E$4:$E$554=A151,FALSE),"No Equipment in entity"))</f>
        <v>CCU_B10</v>
      </c>
      <c r="E151" t="str">
        <v>CCU_B11</v>
      </c>
    </row>
    <row r="152" spans="1:21" x14ac:dyDescent="0.3">
      <c r="A152" t="str">
        <f t="shared" si="2"/>
        <v>entity:QNL_B_223_VENTILATON</v>
      </c>
      <c r="B152" s="24" t="s">
        <v>6269</v>
      </c>
      <c r="C152" t="s">
        <v>6270</v>
      </c>
      <c r="D152" t="str" cm="1">
        <f t="array" ref="D152">TRANSPOSE(_xlfn._xlws.FILTER('Controllable Asset Registry'!$A$4:$A$554,IFERROR('Controllable Asset Registry'!$E$4:$E$554=A152,FALSE),"No Equipment in entity"))</f>
        <v>No Equipment in entity</v>
      </c>
    </row>
    <row r="153" spans="1:21" x14ac:dyDescent="0.3">
      <c r="A153" t="str">
        <f t="shared" si="2"/>
        <v>entity:QNL_B_224_CORRIDOR</v>
      </c>
      <c r="B153" s="24" t="s">
        <v>6271</v>
      </c>
      <c r="C153" t="s">
        <v>3318</v>
      </c>
      <c r="D153" t="str" cm="1">
        <f t="array" ref="D153">TRANSPOSE(_xlfn._xlws.FILTER('Controllable Asset Registry'!$A$4:$A$554,IFERROR('Controllable Asset Registry'!$E$4:$E$554=A153,FALSE),"No Equipment in entity"))</f>
        <v>No Equipment in entity</v>
      </c>
    </row>
    <row r="154" spans="1:21" x14ac:dyDescent="0.3">
      <c r="A154" t="str">
        <f t="shared" si="2"/>
        <v>entity:QNL_B_225_VENTILATON</v>
      </c>
      <c r="B154" s="24" t="s">
        <v>6272</v>
      </c>
      <c r="C154" t="s">
        <v>6270</v>
      </c>
      <c r="D154" t="str" cm="1">
        <f t="array" ref="D154">TRANSPOSE(_xlfn._xlws.FILTER('Controllable Asset Registry'!$A$4:$A$554,IFERROR('Controllable Asset Registry'!$E$4:$E$554=A154,FALSE),"No Equipment in entity"))</f>
        <v>No Equipment in entity</v>
      </c>
    </row>
    <row r="155" spans="1:21" x14ac:dyDescent="0.3">
      <c r="A155" t="str">
        <f t="shared" si="2"/>
        <v>entity:QNL_B_226_PUMP_ROOM</v>
      </c>
      <c r="B155" s="24" t="s">
        <v>6274</v>
      </c>
      <c r="C155" t="s">
        <v>6275</v>
      </c>
      <c r="D155" t="str" cm="1">
        <f t="array" ref="D155">TRANSPOSE(_xlfn._xlws.FILTER('Controllable Asset Registry'!$A$4:$A$554,IFERROR('Controllable Asset Registry'!$E$4:$E$554=A155,FALSE),"No Equipment in entity"))</f>
        <v>FCU_B_030</v>
      </c>
    </row>
    <row r="156" spans="1:21" x14ac:dyDescent="0.3">
      <c r="A156" t="str">
        <f t="shared" si="2"/>
        <v>entity:QNL_B_227_CORRIDOR</v>
      </c>
      <c r="B156" s="24" t="s">
        <v>6276</v>
      </c>
      <c r="C156" t="s">
        <v>3318</v>
      </c>
      <c r="D156" t="str" cm="1">
        <f t="array" ref="D156">TRANSPOSE(_xlfn._xlws.FILTER('Controllable Asset Registry'!$A$4:$A$554,IFERROR('Controllable Asset Registry'!$E$4:$E$554=A156,FALSE),"No Equipment in entity"))</f>
        <v>No Equipment in entity</v>
      </c>
    </row>
    <row r="157" spans="1:21" x14ac:dyDescent="0.3">
      <c r="A157" t="str">
        <f t="shared" si="2"/>
        <v>entity:QNL_B-AT-04A_ST-04A</v>
      </c>
      <c r="B157" s="24" t="s">
        <v>6277</v>
      </c>
      <c r="C157" t="s">
        <v>6278</v>
      </c>
      <c r="D157" t="str" cm="1">
        <f t="array" ref="D157">TRANSPOSE(_xlfn._xlws.FILTER('Controllable Asset Registry'!$A$4:$A$554,IFERROR('Controllable Asset Registry'!$E$4:$E$554=A157,FALSE),"No Equipment in entity"))</f>
        <v>No Equipment in entity</v>
      </c>
    </row>
    <row r="158" spans="1:21" x14ac:dyDescent="0.3">
      <c r="A158" t="str">
        <f t="shared" si="2"/>
        <v>entity:QNL_B-L-1_L-1</v>
      </c>
      <c r="B158" s="24" t="s">
        <v>6279</v>
      </c>
      <c r="C158" t="s">
        <v>6280</v>
      </c>
      <c r="D158" t="str" cm="1">
        <f t="array" ref="D158">TRANSPOSE(_xlfn._xlws.FILTER('Controllable Asset Registry'!$A$4:$A$554,IFERROR('Controllable Asset Registry'!$E$4:$E$554=A158,FALSE),"No Equipment in entity"))</f>
        <v>No Equipment in entity</v>
      </c>
    </row>
    <row r="159" spans="1:21" x14ac:dyDescent="0.3">
      <c r="A159" t="str">
        <f t="shared" si="2"/>
        <v>entity:QNL_B-L-15_L-15</v>
      </c>
      <c r="B159" s="24" t="s">
        <v>6281</v>
      </c>
      <c r="C159" t="s">
        <v>6282</v>
      </c>
      <c r="D159" t="str" cm="1">
        <f t="array" ref="D159">TRANSPOSE(_xlfn._xlws.FILTER('Controllable Asset Registry'!$A$4:$A$554,IFERROR('Controllable Asset Registry'!$E$4:$E$554=A159,FALSE),"No Equipment in entity"))</f>
        <v>No Equipment in entity</v>
      </c>
    </row>
    <row r="160" spans="1:21" x14ac:dyDescent="0.3">
      <c r="A160" t="str">
        <f t="shared" si="2"/>
        <v>entity:QNL_B-L-2_L-2</v>
      </c>
      <c r="B160" s="24" t="s">
        <v>6283</v>
      </c>
      <c r="C160" t="s">
        <v>6284</v>
      </c>
      <c r="D160" t="str" cm="1">
        <f t="array" ref="D160">TRANSPOSE(_xlfn._xlws.FILTER('Controllable Asset Registry'!$A$4:$A$554,IFERROR('Controllable Asset Registry'!$E$4:$E$554=A160,FALSE),"No Equipment in entity"))</f>
        <v>No Equipment in entity</v>
      </c>
    </row>
    <row r="161" spans="1:4" x14ac:dyDescent="0.3">
      <c r="A161" t="str">
        <f t="shared" si="2"/>
        <v>entity:QNL_B-L-3_L-3</v>
      </c>
      <c r="B161" s="24" t="s">
        <v>6285</v>
      </c>
      <c r="C161" t="s">
        <v>6286</v>
      </c>
      <c r="D161" t="str" cm="1">
        <f t="array" ref="D161">TRANSPOSE(_xlfn._xlws.FILTER('Controllable Asset Registry'!$A$4:$A$554,IFERROR('Controllable Asset Registry'!$E$4:$E$554=A161,FALSE),"No Equipment in entity"))</f>
        <v>No Equipment in entity</v>
      </c>
    </row>
    <row r="162" spans="1:4" x14ac:dyDescent="0.3">
      <c r="A162" t="str">
        <f t="shared" si="2"/>
        <v>entity:QNL_B-L-4_L-4</v>
      </c>
      <c r="B162" s="24" t="s">
        <v>6287</v>
      </c>
      <c r="C162" t="s">
        <v>6288</v>
      </c>
      <c r="D162" t="str" cm="1">
        <f t="array" ref="D162">TRANSPOSE(_xlfn._xlws.FILTER('Controllable Asset Registry'!$A$4:$A$554,IFERROR('Controllable Asset Registry'!$E$4:$E$554=A162,FALSE),"No Equipment in entity"))</f>
        <v>No Equipment in entity</v>
      </c>
    </row>
    <row r="163" spans="1:4" x14ac:dyDescent="0.3">
      <c r="A163" t="str">
        <f t="shared" si="2"/>
        <v>entity:QNL_B-ST-01_ST-01</v>
      </c>
      <c r="B163" s="24" t="s">
        <v>6289</v>
      </c>
      <c r="C163" t="s">
        <v>4760</v>
      </c>
      <c r="D163" t="str" cm="1">
        <f t="array" ref="D163">TRANSPOSE(_xlfn._xlws.FILTER('Controllable Asset Registry'!$A$4:$A$554,IFERROR('Controllable Asset Registry'!$E$4:$E$554=A163,FALSE),"No Equipment in entity"))</f>
        <v>No Equipment in entity</v>
      </c>
    </row>
    <row r="164" spans="1:4" x14ac:dyDescent="0.3">
      <c r="A164" t="str">
        <f t="shared" si="2"/>
        <v>entity:QNL_B-ST-02_ST-02</v>
      </c>
      <c r="B164" s="24" t="s">
        <v>6290</v>
      </c>
      <c r="C164" t="s">
        <v>6291</v>
      </c>
      <c r="D164" t="str" cm="1">
        <f t="array" ref="D164">TRANSPOSE(_xlfn._xlws.FILTER('Controllable Asset Registry'!$A$4:$A$554,IFERROR('Controllable Asset Registry'!$E$4:$E$554=A164,FALSE),"No Equipment in entity"))</f>
        <v>No Equipment in entity</v>
      </c>
    </row>
    <row r="165" spans="1:4" x14ac:dyDescent="0.3">
      <c r="A165" t="str">
        <f t="shared" si="2"/>
        <v>entity:QNL_B-ST-03_ST-03</v>
      </c>
      <c r="B165" s="24" t="s">
        <v>6292</v>
      </c>
      <c r="C165" t="s">
        <v>6293</v>
      </c>
      <c r="D165" t="str" cm="1">
        <f t="array" ref="D165">TRANSPOSE(_xlfn._xlws.FILTER('Controllable Asset Registry'!$A$4:$A$554,IFERROR('Controllable Asset Registry'!$E$4:$E$554=A165,FALSE),"No Equipment in entity"))</f>
        <v>No Equipment in entity</v>
      </c>
    </row>
    <row r="166" spans="1:4" x14ac:dyDescent="0.3">
      <c r="A166" t="str">
        <f t="shared" si="2"/>
        <v>entity:QNL_B-ST-05_ST-05</v>
      </c>
      <c r="B166" s="24" t="s">
        <v>6294</v>
      </c>
      <c r="C166" t="s">
        <v>6295</v>
      </c>
      <c r="D166" t="str" cm="1">
        <f t="array" ref="D166">TRANSPOSE(_xlfn._xlws.FILTER('Controllable Asset Registry'!$A$4:$A$554,IFERROR('Controllable Asset Registry'!$E$4:$E$554=A166,FALSE),"No Equipment in entity"))</f>
        <v>No Equipment in entity</v>
      </c>
    </row>
    <row r="167" spans="1:4" x14ac:dyDescent="0.3">
      <c r="A167" t="str">
        <f t="shared" si="2"/>
        <v>entity:QNL_B-ST-11_ST-11</v>
      </c>
      <c r="B167" s="24" t="s">
        <v>6296</v>
      </c>
      <c r="C167" t="s">
        <v>6297</v>
      </c>
      <c r="D167" t="str" cm="1">
        <f t="array" ref="D167">TRANSPOSE(_xlfn._xlws.FILTER('Controllable Asset Registry'!$A$4:$A$554,IFERROR('Controllable Asset Registry'!$E$4:$E$554=A167,FALSE),"No Equipment in entity"))</f>
        <v>No Equipment in entity</v>
      </c>
    </row>
    <row r="168" spans="1:4" x14ac:dyDescent="0.3">
      <c r="A168" t="str">
        <f t="shared" si="2"/>
        <v>entity:QNL_B-ST-12_ST-12</v>
      </c>
      <c r="B168" s="24" t="s">
        <v>6298</v>
      </c>
      <c r="C168" t="s">
        <v>6299</v>
      </c>
      <c r="D168" t="str" cm="1">
        <f t="array" ref="D168">TRANSPOSE(_xlfn._xlws.FILTER('Controllable Asset Registry'!$A$4:$A$554,IFERROR('Controllable Asset Registry'!$E$4:$E$554=A168,FALSE),"No Equipment in entity"))</f>
        <v>No Equipment in entity</v>
      </c>
    </row>
    <row r="169" spans="1:4" x14ac:dyDescent="0.3">
      <c r="A169" t="str">
        <f t="shared" si="2"/>
        <v>entity:QNL_ST-04_ST-04</v>
      </c>
      <c r="B169" s="24" t="s">
        <v>4761</v>
      </c>
      <c r="C169" t="s">
        <v>4761</v>
      </c>
      <c r="D169" t="str" cm="1">
        <f t="array" ref="D169">TRANSPOSE(_xlfn._xlws.FILTER('Controllable Asset Registry'!$A$4:$A$554,IFERROR('Controllable Asset Registry'!$E$4:$E$554=A169,FALSE),"No Equipment in entity"))</f>
        <v>No Equipment in entity</v>
      </c>
    </row>
    <row r="170" spans="1:4" x14ac:dyDescent="0.3">
      <c r="A170" t="str">
        <f t="shared" si="2"/>
        <v>entity:QNL_L1_154_CORRIDOR</v>
      </c>
      <c r="B170" s="24" t="s">
        <v>6300</v>
      </c>
      <c r="C170" t="s">
        <v>3318</v>
      </c>
      <c r="D170" t="str" cm="1">
        <f t="array" ref="D170">TRANSPOSE(_xlfn._xlws.FILTER('Controllable Asset Registry'!$A$4:$A$554,IFERROR('Controllable Asset Registry'!$E$4:$E$554=A170,FALSE),"No Equipment in entity"))</f>
        <v>No Equipment in entity</v>
      </c>
    </row>
    <row r="171" spans="1:4" x14ac:dyDescent="0.3">
      <c r="A171" t="str">
        <f t="shared" si="2"/>
        <v>entity:QNL_L1_155_SECURITY_ROOM</v>
      </c>
      <c r="B171" s="24" t="s">
        <v>6301</v>
      </c>
      <c r="C171" t="s">
        <v>6203</v>
      </c>
      <c r="D171" t="str" cm="1">
        <f t="array" ref="D171">TRANSPOSE(_xlfn._xlws.FILTER('Controllable Asset Registry'!$A$4:$A$554,IFERROR('Controllable Asset Registry'!$E$4:$E$554=A171,FALSE),"No Equipment in entity"))</f>
        <v>No Equipment in entity</v>
      </c>
    </row>
    <row r="172" spans="1:4" x14ac:dyDescent="0.3">
      <c r="A172" t="str">
        <f t="shared" si="2"/>
        <v>entity:QNL_L1_156_M2_HVAC_SHAFT</v>
      </c>
      <c r="B172" s="24" t="s">
        <v>6302</v>
      </c>
      <c r="C172" t="s">
        <v>6303</v>
      </c>
      <c r="D172" t="str" cm="1">
        <f t="array" ref="D172">TRANSPOSE(_xlfn._xlws.FILTER('Controllable Asset Registry'!$A$4:$A$554,IFERROR('Controllable Asset Registry'!$E$4:$E$554=A172,FALSE),"No Equipment in entity"))</f>
        <v>No Equipment in entity</v>
      </c>
    </row>
    <row r="173" spans="1:4" x14ac:dyDescent="0.3">
      <c r="A173" t="str">
        <f t="shared" si="2"/>
        <v>entity:QNL_L1_157_E2_ELEC_SHAFT</v>
      </c>
      <c r="B173" s="24" t="s">
        <v>6304</v>
      </c>
      <c r="C173" t="s">
        <v>6305</v>
      </c>
      <c r="D173" t="str" cm="1">
        <f t="array" ref="D173">TRANSPOSE(_xlfn._xlws.FILTER('Controllable Asset Registry'!$A$4:$A$554,IFERROR('Controllable Asset Registry'!$E$4:$E$554=A173,FALSE),"No Equipment in entity"))</f>
        <v>No Equipment in entity</v>
      </c>
    </row>
    <row r="174" spans="1:4" x14ac:dyDescent="0.3">
      <c r="A174" t="str">
        <f t="shared" si="2"/>
        <v>entity:QNL_L1_158_M1_HVAC_SHAFT</v>
      </c>
      <c r="B174" s="24" t="s">
        <v>6306</v>
      </c>
      <c r="C174" t="s">
        <v>5944</v>
      </c>
      <c r="D174" t="str" cm="1">
        <f t="array" ref="D174">TRANSPOSE(_xlfn._xlws.FILTER('Controllable Asset Registry'!$A$4:$A$554,IFERROR('Controllable Asset Registry'!$E$4:$E$554=A174,FALSE),"No Equipment in entity"))</f>
        <v>No Equipment in entity</v>
      </c>
    </row>
    <row r="175" spans="1:4" x14ac:dyDescent="0.3">
      <c r="A175" t="str">
        <f t="shared" si="2"/>
        <v>entity:QNL_L1_159_E1_ELEC_SHAFT</v>
      </c>
      <c r="B175" s="24" t="s">
        <v>6307</v>
      </c>
      <c r="C175" t="s">
        <v>5946</v>
      </c>
      <c r="D175" t="str" cm="1">
        <f t="array" ref="D175">TRANSPOSE(_xlfn._xlws.FILTER('Controllable Asset Registry'!$A$4:$A$554,IFERROR('Controllable Asset Registry'!$E$4:$E$554=A175,FALSE),"No Equipment in entity"))</f>
        <v>No Equipment in entity</v>
      </c>
    </row>
    <row r="176" spans="1:4" x14ac:dyDescent="0.3">
      <c r="A176" t="str">
        <f t="shared" si="2"/>
        <v>entity:QNL_L1_160_M3_HVAC_SHAFT</v>
      </c>
      <c r="B176" s="24" t="s">
        <v>6308</v>
      </c>
      <c r="C176" t="s">
        <v>5963</v>
      </c>
      <c r="D176" t="str" cm="1">
        <f t="array" ref="D176">TRANSPOSE(_xlfn._xlws.FILTER('Controllable Asset Registry'!$A$4:$A$554,IFERROR('Controllable Asset Registry'!$E$4:$E$554=A176,FALSE),"No Equipment in entity"))</f>
        <v>No Equipment in entity</v>
      </c>
    </row>
    <row r="177" spans="1:12" x14ac:dyDescent="0.3">
      <c r="A177" t="str">
        <f t="shared" si="2"/>
        <v>entity:QNL_L1_161_N2_PIPE_SHAFT</v>
      </c>
      <c r="B177" s="24" t="s">
        <v>6309</v>
      </c>
      <c r="C177" t="s">
        <v>6310</v>
      </c>
      <c r="D177" t="str" cm="1">
        <f t="array" ref="D177">TRANSPOSE(_xlfn._xlws.FILTER('Controllable Asset Registry'!$A$4:$A$554,IFERROR('Controllable Asset Registry'!$E$4:$E$554=A177,FALSE),"No Equipment in entity"))</f>
        <v>No Equipment in entity</v>
      </c>
    </row>
    <row r="178" spans="1:12" x14ac:dyDescent="0.3">
      <c r="A178" t="str">
        <f t="shared" si="2"/>
        <v>entity:QNL_L1_162_STORE</v>
      </c>
      <c r="B178" s="24" t="s">
        <v>6311</v>
      </c>
      <c r="C178" t="s">
        <v>6312</v>
      </c>
      <c r="D178" t="str" cm="1">
        <f t="array" ref="D178">TRANSPOSE(_xlfn._xlws.FILTER('Controllable Asset Registry'!$A$4:$A$554,IFERROR('Controllable Asset Registry'!$E$4:$E$554=A178,FALSE),"No Equipment in entity"))</f>
        <v>No Equipment in entity</v>
      </c>
    </row>
    <row r="179" spans="1:12" x14ac:dyDescent="0.3">
      <c r="A179" t="str">
        <f t="shared" si="2"/>
        <v>entity:QNL_L1_001_OPEN_READING_AREA</v>
      </c>
      <c r="B179" s="24" t="s">
        <v>6314</v>
      </c>
      <c r="C179" t="s">
        <v>6315</v>
      </c>
      <c r="D179" t="str" cm="1">
        <f t="array" ref="D179:L179">TRANSPOSE(_xlfn._xlws.FILTER('Controllable Asset Registry'!$A$4:$A$554,IFERROR('Controllable Asset Registry'!$E$4:$E$554=A179,FALSE),"No Equipment in entity"))</f>
        <v>VAV_2F_S12_001</v>
      </c>
      <c r="E179" t="str">
        <v>VAV_2F_S12_002</v>
      </c>
      <c r="F179" t="str">
        <v>VAV_2F_S12_003</v>
      </c>
      <c r="G179" t="str">
        <v>VAV_2F_S12_004</v>
      </c>
      <c r="H179" t="str">
        <v>VAV_2F_S12_005</v>
      </c>
      <c r="I179" t="str">
        <v>VAV_2F_S12_006</v>
      </c>
      <c r="J179" t="str">
        <v>VAV_2F_S12_007</v>
      </c>
      <c r="K179" t="str">
        <v>VAV_2F_S12_008</v>
      </c>
      <c r="L179" t="str">
        <v>VAV_2F_S12_009</v>
      </c>
    </row>
    <row r="180" spans="1:12" x14ac:dyDescent="0.3">
      <c r="A180" t="str">
        <f t="shared" si="2"/>
        <v>entity:QNL_L1_002_BRAILLE_READER</v>
      </c>
      <c r="B180" s="24" t="s">
        <v>6317</v>
      </c>
      <c r="C180" t="s">
        <v>6318</v>
      </c>
      <c r="D180" t="str" cm="1">
        <f t="array" ref="D180:E180">TRANSPOSE(_xlfn._xlws.FILTER('Controllable Asset Registry'!$A$4:$A$554,IFERROR('Controllable Asset Registry'!$E$4:$E$554=A180,FALSE),"No Equipment in entity"))</f>
        <v>VAV_2F_S12_010</v>
      </c>
      <c r="E180" t="str">
        <v>VAV_2F_S12_011</v>
      </c>
    </row>
    <row r="181" spans="1:12" x14ac:dyDescent="0.3">
      <c r="A181" t="str">
        <f t="shared" si="2"/>
        <v>entity:QNL_L1_002A_GREEM_ROOM</v>
      </c>
      <c r="B181" s="24" t="s">
        <v>6320</v>
      </c>
      <c r="C181" t="s">
        <v>6321</v>
      </c>
      <c r="D181" t="str" cm="1">
        <f t="array" ref="D181:E181">TRANSPOSE(_xlfn._xlws.FILTER('Controllable Asset Registry'!$A$4:$A$554,IFERROR('Controllable Asset Registry'!$E$4:$E$554=A181,FALSE),"No Equipment in entity"))</f>
        <v>VAV_1F_S15_039</v>
      </c>
      <c r="E181" t="str">
        <v>VAV_1F_S15_040</v>
      </c>
    </row>
    <row r="182" spans="1:12" x14ac:dyDescent="0.3">
      <c r="A182" t="str">
        <f t="shared" si="2"/>
        <v>entity:QNL_L1_003_TUTORING_HEAD</v>
      </c>
      <c r="B182" s="24" t="s">
        <v>6323</v>
      </c>
      <c r="C182" t="s">
        <v>6324</v>
      </c>
      <c r="D182" t="str" cm="1">
        <f t="array" ref="D182">TRANSPOSE(_xlfn._xlws.FILTER('Controllable Asset Registry'!$A$4:$A$554,IFERROR('Controllable Asset Registry'!$E$4:$E$554=A182,FALSE),"No Equipment in entity"))</f>
        <v>VAV_2F_S12_012</v>
      </c>
    </row>
    <row r="183" spans="1:12" x14ac:dyDescent="0.3">
      <c r="A183" t="str">
        <f t="shared" si="2"/>
        <v>entity:QNL_L1_004_WRITING_ROOM1</v>
      </c>
      <c r="B183" s="24" t="s">
        <v>6326</v>
      </c>
      <c r="C183" t="s">
        <v>6327</v>
      </c>
      <c r="D183" t="str" cm="1">
        <f t="array" ref="D183">TRANSPOSE(_xlfn._xlws.FILTER('Controllable Asset Registry'!$A$4:$A$554,IFERROR('Controllable Asset Registry'!$E$4:$E$554=A183,FALSE),"No Equipment in entity"))</f>
        <v>VAV_2F_S12_013</v>
      </c>
    </row>
    <row r="184" spans="1:12" x14ac:dyDescent="0.3">
      <c r="A184" t="str">
        <f t="shared" si="2"/>
        <v>entity:QNL_L1_005_WRITING_ROOM2</v>
      </c>
      <c r="B184" s="24" t="s">
        <v>6329</v>
      </c>
      <c r="C184" t="s">
        <v>6330</v>
      </c>
      <c r="D184" t="str" cm="1">
        <f t="array" ref="D184:E184">TRANSPOSE(_xlfn._xlws.FILTER('Controllable Asset Registry'!$A$4:$A$554,IFERROR('Controllable Asset Registry'!$E$4:$E$554=A184,FALSE),"No Equipment in entity"))</f>
        <v>VAV_2F_S12_014</v>
      </c>
      <c r="E184" t="str">
        <v>VAV_2F_S12_015</v>
      </c>
    </row>
    <row r="185" spans="1:12" x14ac:dyDescent="0.3">
      <c r="A185" t="str">
        <f t="shared" si="2"/>
        <v>entity:QNL_L1_006_WRITING_HEAD</v>
      </c>
      <c r="B185" s="24" t="s">
        <v>6331</v>
      </c>
      <c r="C185" t="s">
        <v>6332</v>
      </c>
      <c r="D185" t="str" cm="1">
        <f t="array" ref="D185">TRANSPOSE(_xlfn._xlws.FILTER('Controllable Asset Registry'!$A$4:$A$554,IFERROR('Controllable Asset Registry'!$E$4:$E$554=A185,FALSE),"No Equipment in entity"))</f>
        <v>No Equipment in entity</v>
      </c>
    </row>
    <row r="186" spans="1:12" x14ac:dyDescent="0.3">
      <c r="A186" t="str">
        <f t="shared" si="2"/>
        <v>entity:QNL_L1_007_STUDENT_CARRLES</v>
      </c>
      <c r="B186" s="24" t="s">
        <v>6334</v>
      </c>
      <c r="C186" t="s">
        <v>6335</v>
      </c>
      <c r="D186" t="str" cm="1">
        <f t="array" ref="D186:H186">TRANSPOSE(_xlfn._xlws.FILTER('Controllable Asset Registry'!$A$4:$A$554,IFERROR('Controllable Asset Registry'!$E$4:$E$554=A186,FALSE),"No Equipment in entity"))</f>
        <v>VAV_2F_S12_016</v>
      </c>
      <c r="E186" t="str">
        <v>VAV_2F_S12_017</v>
      </c>
      <c r="F186" t="str">
        <v>VAV_2F_S12_018</v>
      </c>
      <c r="G186" t="str">
        <v>VAV_2F_S12_019</v>
      </c>
      <c r="H186" t="str">
        <v>VAV_2F_S12_020</v>
      </c>
    </row>
    <row r="187" spans="1:12" x14ac:dyDescent="0.3">
      <c r="A187" t="str">
        <f t="shared" si="2"/>
        <v>entity:QNL_L1_020_INFO_LITERACY_INSTR1</v>
      </c>
      <c r="B187" s="24" t="s">
        <v>6337</v>
      </c>
      <c r="C187" t="s">
        <v>6338</v>
      </c>
      <c r="D187" t="str" cm="1">
        <f t="array" ref="D187:E187">TRANSPOSE(_xlfn._xlws.FILTER('Controllable Asset Registry'!$A$4:$A$554,IFERROR('Controllable Asset Registry'!$E$4:$E$554=A187,FALSE),"No Equipment in entity"))</f>
        <v>VAV_1F_S11_004</v>
      </c>
      <c r="E187" t="str">
        <v>VAV_1F_S11_005</v>
      </c>
    </row>
    <row r="188" spans="1:12" x14ac:dyDescent="0.3">
      <c r="A188" t="str">
        <f t="shared" si="2"/>
        <v>entity:QNL_L1_021_INFO_LITERACY_INSTR2</v>
      </c>
      <c r="B188" s="24" t="s">
        <v>6340</v>
      </c>
      <c r="C188" t="s">
        <v>6341</v>
      </c>
      <c r="D188" t="str" cm="1">
        <f t="array" ref="D188:K188">TRANSPOSE(_xlfn._xlws.FILTER('Controllable Asset Registry'!$A$4:$A$554,IFERROR('Controllable Asset Registry'!$E$4:$E$554=A188,FALSE),"No Equipment in entity"))</f>
        <v>VAV_1F_S11_006</v>
      </c>
      <c r="E188" t="str">
        <v>VAV_1F_S11_007</v>
      </c>
      <c r="F188" t="str">
        <v>VAV_1F_S11_008</v>
      </c>
      <c r="G188" t="str">
        <v>VAV_1F_S11_009</v>
      </c>
      <c r="H188" t="str">
        <v>VAV_1F_S11_010</v>
      </c>
      <c r="I188" t="str">
        <v>VAV_1F_S11_011</v>
      </c>
      <c r="J188" t="str">
        <v>VAV_1F_S11_012</v>
      </c>
      <c r="K188" t="str">
        <v>VAV_1F_S11_013</v>
      </c>
    </row>
    <row r="189" spans="1:12" x14ac:dyDescent="0.3">
      <c r="A189" t="str">
        <f t="shared" si="2"/>
        <v>entity:QNL_L1_022_COMPUTER_CLASSROOM</v>
      </c>
      <c r="B189" s="24" t="s">
        <v>6343</v>
      </c>
      <c r="C189" t="s">
        <v>6344</v>
      </c>
      <c r="D189" t="str" cm="1">
        <f t="array" ref="D189:K189">TRANSPOSE(_xlfn._xlws.FILTER('Controllable Asset Registry'!$A$4:$A$554,IFERROR('Controllable Asset Registry'!$E$4:$E$554=A189,FALSE),"No Equipment in entity"))</f>
        <v>VAV_1F_S11_014</v>
      </c>
      <c r="E189" t="str">
        <v>VAV_1F_S11_015</v>
      </c>
      <c r="F189" t="str">
        <v>VAV_1F_S11_016</v>
      </c>
      <c r="G189" t="str">
        <v>VAV_1F_S11_017</v>
      </c>
      <c r="H189" t="str">
        <v>VAV_1F_S11_018</v>
      </c>
      <c r="I189" t="str">
        <v>VAV_1F_S11_019</v>
      </c>
      <c r="J189" t="str">
        <v>VAV_1F_S11_020</v>
      </c>
      <c r="K189" t="str">
        <v>VAV_1F_S11_021</v>
      </c>
    </row>
    <row r="190" spans="1:12" x14ac:dyDescent="0.3">
      <c r="A190" t="str">
        <f t="shared" si="2"/>
        <v>entity:QNL_L1023_1_CORRIDOR</v>
      </c>
      <c r="B190" s="24" t="s">
        <v>6345</v>
      </c>
      <c r="C190" t="s">
        <v>3318</v>
      </c>
      <c r="D190" t="str" cm="1">
        <f t="array" ref="D190">TRANSPOSE(_xlfn._xlws.FILTER('Controllable Asset Registry'!$A$4:$A$554,IFERROR('Controllable Asset Registry'!$E$4:$E$554=A190,FALSE),"No Equipment in entity"))</f>
        <v>No Equipment in entity</v>
      </c>
    </row>
    <row r="191" spans="1:12" x14ac:dyDescent="0.3">
      <c r="A191" t="str">
        <f t="shared" si="2"/>
        <v>entity:QNL_L1023_2_CORRIDOR</v>
      </c>
      <c r="B191" s="24" t="s">
        <v>6347</v>
      </c>
      <c r="C191" t="s">
        <v>3318</v>
      </c>
      <c r="D191" t="str" cm="1">
        <f t="array" ref="D191:G191">TRANSPOSE(_xlfn._xlws.FILTER('Controllable Asset Registry'!$A$4:$A$554,IFERROR('Controllable Asset Registry'!$E$4:$E$554=A191,FALSE),"No Equipment in entity"))</f>
        <v>VAV_1F_S11_087</v>
      </c>
      <c r="E191" t="str">
        <v>VAV_1F_S11_088</v>
      </c>
      <c r="F191" t="str">
        <v>VAV_1F_S11_089</v>
      </c>
      <c r="G191" t="str">
        <v>VAV_1F_S11_090</v>
      </c>
    </row>
    <row r="192" spans="1:12" x14ac:dyDescent="0.3">
      <c r="A192" t="str">
        <f t="shared" si="2"/>
        <v>entity:QNL_L1023_3_CORRIDOR</v>
      </c>
      <c r="B192" s="24" t="s">
        <v>6348</v>
      </c>
      <c r="C192" t="s">
        <v>3318</v>
      </c>
      <c r="D192" t="str" cm="1">
        <f t="array" ref="D192">TRANSPOSE(_xlfn._xlws.FILTER('Controllable Asset Registry'!$A$4:$A$554,IFERROR('Controllable Asset Registry'!$E$4:$E$554=A192,FALSE),"No Equipment in entity"))</f>
        <v>No Equipment in entity</v>
      </c>
    </row>
    <row r="193" spans="1:12" x14ac:dyDescent="0.3">
      <c r="A193" t="str">
        <f t="shared" si="2"/>
        <v>entity:QNL_L1_024_REST_ROOM_MEN</v>
      </c>
      <c r="B193" s="24" t="s">
        <v>6349</v>
      </c>
      <c r="C193" t="s">
        <v>6024</v>
      </c>
      <c r="D193" t="str" cm="1">
        <f t="array" ref="D193">TRANSPOSE(_xlfn._xlws.FILTER('Controllable Asset Registry'!$A$4:$A$554,IFERROR('Controllable Asset Registry'!$E$4:$E$554=A193,FALSE),"No Equipment in entity"))</f>
        <v>No Equipment in entity</v>
      </c>
    </row>
    <row r="194" spans="1:12" x14ac:dyDescent="0.3">
      <c r="A194" t="str">
        <f t="shared" ref="A194:A257" si="3">"entity:QNL_"&amp;B194&amp;"_"&amp;C194</f>
        <v>entity:QNL_L1_025_REST_ROOM_WOMEN</v>
      </c>
      <c r="B194" s="24" t="s">
        <v>6350</v>
      </c>
      <c r="C194" t="s">
        <v>6028</v>
      </c>
      <c r="D194" t="str" cm="1">
        <f t="array" ref="D194">TRANSPOSE(_xlfn._xlws.FILTER('Controllable Asset Registry'!$A$4:$A$554,IFERROR('Controllable Asset Registry'!$E$4:$E$554=A194,FALSE),"No Equipment in entity"))</f>
        <v>No Equipment in entity</v>
      </c>
    </row>
    <row r="195" spans="1:12" x14ac:dyDescent="0.3">
      <c r="A195" t="str">
        <f t="shared" si="3"/>
        <v>entity:QNL_L1_026_GROUP_STUDY_ROOM1</v>
      </c>
      <c r="B195" s="24" t="s">
        <v>6352</v>
      </c>
      <c r="C195" t="s">
        <v>6353</v>
      </c>
      <c r="D195" t="str" cm="1">
        <f t="array" ref="D195">TRANSPOSE(_xlfn._xlws.FILTER('Controllable Asset Registry'!$A$4:$A$554,IFERROR('Controllable Asset Registry'!$E$4:$E$554=A195,FALSE),"No Equipment in entity"))</f>
        <v>VAV_1F_S11_001</v>
      </c>
    </row>
    <row r="196" spans="1:12" x14ac:dyDescent="0.3">
      <c r="A196" t="str">
        <f t="shared" si="3"/>
        <v>entity:QNL_L1_027_GROUP_STUDY_ROOM2</v>
      </c>
      <c r="B196" s="24" t="s">
        <v>6355</v>
      </c>
      <c r="C196" t="s">
        <v>6356</v>
      </c>
      <c r="D196" t="str" cm="1">
        <f t="array" ref="D196">TRANSPOSE(_xlfn._xlws.FILTER('Controllable Asset Registry'!$A$4:$A$554,IFERROR('Controllable Asset Registry'!$E$4:$E$554=A196,FALSE),"No Equipment in entity"))</f>
        <v>VAV_1F_S11_002</v>
      </c>
    </row>
    <row r="197" spans="1:12" x14ac:dyDescent="0.3">
      <c r="A197" t="str">
        <f t="shared" si="3"/>
        <v>entity:QNL_L1_028_GROUP_STUDY_ROOM3</v>
      </c>
      <c r="B197" s="24" t="s">
        <v>6358</v>
      </c>
      <c r="C197" t="s">
        <v>6359</v>
      </c>
      <c r="D197" t="str" cm="1">
        <f t="array" ref="D197">TRANSPOSE(_xlfn._xlws.FILTER('Controllable Asset Registry'!$A$4:$A$554,IFERROR('Controllable Asset Registry'!$E$4:$E$554=A197,FALSE),"No Equipment in entity"))</f>
        <v>VAV_1F_S11_003</v>
      </c>
    </row>
    <row r="198" spans="1:12" x14ac:dyDescent="0.3">
      <c r="A198" t="str">
        <f t="shared" si="3"/>
        <v>entity:QNL_L1_029_GROUP_STUDY_ROOM4</v>
      </c>
      <c r="B198" s="24" t="s">
        <v>6361</v>
      </c>
      <c r="C198" t="s">
        <v>6362</v>
      </c>
      <c r="D198" t="str" cm="1">
        <f t="array" ref="D198">TRANSPOSE(_xlfn._xlws.FILTER('Controllable Asset Registry'!$A$4:$A$554,IFERROR('Controllable Asset Registry'!$E$4:$E$554=A198,FALSE),"No Equipment in entity"))</f>
        <v>VAV_1F_S11_022</v>
      </c>
    </row>
    <row r="199" spans="1:12" x14ac:dyDescent="0.3">
      <c r="A199" t="str">
        <f t="shared" si="3"/>
        <v>entity:QNL_L1_030_ICT_ROOM_02</v>
      </c>
      <c r="B199" s="24" t="s">
        <v>6364</v>
      </c>
      <c r="C199" t="s">
        <v>6365</v>
      </c>
      <c r="D199" t="str" cm="1">
        <f t="array" ref="D199">TRANSPOSE(_xlfn._xlws.FILTER('Controllable Asset Registry'!$A$4:$A$554,IFERROR('Controllable Asset Registry'!$E$4:$E$554=A199,FALSE),"No Equipment in entity"))</f>
        <v>FCU_1F_002</v>
      </c>
    </row>
    <row r="200" spans="1:12" x14ac:dyDescent="0.3">
      <c r="A200" t="str">
        <f t="shared" si="3"/>
        <v>entity:QNL_L1_040_HEAD_LIBRARIAN_OFFICE</v>
      </c>
      <c r="B200" s="24" t="s">
        <v>6367</v>
      </c>
      <c r="C200" t="s">
        <v>6368</v>
      </c>
      <c r="D200" t="str" cm="1">
        <f t="array" ref="D200">TRANSPOSE(_xlfn._xlws.FILTER('Controllable Asset Registry'!$A$4:$A$554,IFERROR('Controllable Asset Registry'!$E$4:$E$554=A200,FALSE),"No Equipment in entity"))</f>
        <v>VAV_1F_S15_005</v>
      </c>
    </row>
    <row r="201" spans="1:12" x14ac:dyDescent="0.3">
      <c r="A201" t="str">
        <f t="shared" si="3"/>
        <v>entity:QNL_L1_041_MULTPURPOSE_ROOM</v>
      </c>
      <c r="B201" s="24" t="s">
        <v>6370</v>
      </c>
      <c r="C201" t="s">
        <v>6371</v>
      </c>
      <c r="D201" t="str" cm="1">
        <f t="array" ref="D201:F201">TRANSPOSE(_xlfn._xlws.FILTER('Controllable Asset Registry'!$A$4:$A$554,IFERROR('Controllable Asset Registry'!$E$4:$E$554=A201,FALSE),"No Equipment in entity"))</f>
        <v>VAV_1F_S15_096</v>
      </c>
      <c r="E201" t="str">
        <v>VAV_1F_S15_097</v>
      </c>
      <c r="F201" t="str">
        <v>VAV_1F_S15_098</v>
      </c>
    </row>
    <row r="202" spans="1:12" x14ac:dyDescent="0.3">
      <c r="A202" t="str">
        <f t="shared" si="3"/>
        <v>entity:QNL_L1_042_LOBBY</v>
      </c>
      <c r="B202" s="24" t="s">
        <v>6372</v>
      </c>
      <c r="C202" t="s">
        <v>3509</v>
      </c>
      <c r="D202" t="str" cm="1">
        <f t="array" ref="D202">TRANSPOSE(_xlfn._xlws.FILTER('Controllable Asset Registry'!$A$4:$A$554,IFERROR('Controllable Asset Registry'!$E$4:$E$554=A202,FALSE),"No Equipment in entity"))</f>
        <v>No Equipment in entity</v>
      </c>
    </row>
    <row r="203" spans="1:12" x14ac:dyDescent="0.3">
      <c r="A203" t="str">
        <f t="shared" si="3"/>
        <v>entity:QNL_L1_043_BABY_CHAN</v>
      </c>
      <c r="B203" s="24" t="s">
        <v>6373</v>
      </c>
      <c r="C203" t="s">
        <v>6374</v>
      </c>
      <c r="D203" t="str" cm="1">
        <f t="array" ref="D203">TRANSPOSE(_xlfn._xlws.FILTER('Controllable Asset Registry'!$A$4:$A$554,IFERROR('Controllable Asset Registry'!$E$4:$E$554=A203,FALSE),"No Equipment in entity"))</f>
        <v>No Equipment in entity</v>
      </c>
    </row>
    <row r="204" spans="1:12" x14ac:dyDescent="0.3">
      <c r="A204" t="str">
        <f t="shared" si="3"/>
        <v>entity:QNL_L1_044_BREAST_FEEDING</v>
      </c>
      <c r="B204" s="24" t="s">
        <v>6375</v>
      </c>
      <c r="C204" t="s">
        <v>6376</v>
      </c>
      <c r="D204" t="str" cm="1">
        <f t="array" ref="D204">TRANSPOSE(_xlfn._xlws.FILTER('Controllable Asset Registry'!$A$4:$A$554,IFERROR('Controllable Asset Registry'!$E$4:$E$554=A204,FALSE),"No Equipment in entity"))</f>
        <v>No Equipment in entity</v>
      </c>
    </row>
    <row r="205" spans="1:12" x14ac:dyDescent="0.3">
      <c r="A205" t="str">
        <f t="shared" si="3"/>
        <v>entity:QNL_L1_045_FEMALE_TOILET</v>
      </c>
      <c r="B205" s="24" t="s">
        <v>6377</v>
      </c>
      <c r="C205" t="s">
        <v>4200</v>
      </c>
      <c r="D205" t="str" cm="1">
        <f t="array" ref="D205">TRANSPOSE(_xlfn._xlws.FILTER('Controllable Asset Registry'!$A$4:$A$554,IFERROR('Controllable Asset Registry'!$E$4:$E$554=A205,FALSE),"No Equipment in entity"))</f>
        <v>No Equipment in entity</v>
      </c>
    </row>
    <row r="206" spans="1:12" x14ac:dyDescent="0.3">
      <c r="A206" t="str">
        <f t="shared" si="3"/>
        <v>entity:QNL_L1_046_MALE_TOILET</v>
      </c>
      <c r="B206" s="24" t="s">
        <v>6378</v>
      </c>
      <c r="C206" t="s">
        <v>4197</v>
      </c>
      <c r="D206" t="str" cm="1">
        <f t="array" ref="D206">TRANSPOSE(_xlfn._xlws.FILTER('Controllable Asset Registry'!$A$4:$A$554,IFERROR('Controllable Asset Registry'!$E$4:$E$554=A206,FALSE),"No Equipment in entity"))</f>
        <v>No Equipment in entity</v>
      </c>
    </row>
    <row r="207" spans="1:12" x14ac:dyDescent="0.3">
      <c r="A207" t="str">
        <f t="shared" si="3"/>
        <v>entity:QNL_L1_047_CHILDREN_LIBRARY_-_PRE_SCHOOL_READING_&amp;_PLAYING</v>
      </c>
      <c r="B207" s="24" t="s">
        <v>6380</v>
      </c>
      <c r="C207" t="s">
        <v>6381</v>
      </c>
      <c r="D207" t="str" cm="1">
        <f t="array" ref="D207:L207">TRANSPOSE(_xlfn._xlws.FILTER('Controllable Asset Registry'!$A$4:$A$554,IFERROR('Controllable Asset Registry'!$E$4:$E$554=A207,FALSE),"No Equipment in entity"))</f>
        <v>VAV_1F_S15_006</v>
      </c>
      <c r="E207" t="str">
        <v>VAV_1F_S15_007</v>
      </c>
      <c r="F207" t="str">
        <v>VAV_1F_S15_008</v>
      </c>
      <c r="G207" t="str">
        <v>VAV_1F_S15_009</v>
      </c>
      <c r="H207" t="str">
        <v>VAV_1F_S15_010</v>
      </c>
      <c r="I207" t="str">
        <v>VAV_1F_S15_011</v>
      </c>
      <c r="J207" t="str">
        <v>CAV_1F_S11_006</v>
      </c>
      <c r="K207" t="str">
        <v>CAV_1F_S11_008</v>
      </c>
      <c r="L207" t="str">
        <v>CAV_1F_S11_009</v>
      </c>
    </row>
    <row r="208" spans="1:12" x14ac:dyDescent="0.3">
      <c r="A208" t="str">
        <f t="shared" si="3"/>
        <v>entity:QNL_L1_048_STAFF_OFFICE</v>
      </c>
      <c r="B208" s="24" t="s">
        <v>6383</v>
      </c>
      <c r="C208" t="s">
        <v>6384</v>
      </c>
      <c r="D208" t="str" cm="1">
        <f t="array" ref="D208:E208">TRANSPOSE(_xlfn._xlws.FILTER('Controllable Asset Registry'!$A$4:$A$554,IFERROR('Controllable Asset Registry'!$E$4:$E$554=A208,FALSE),"No Equipment in entity"))</f>
        <v>VAV_1F_S15_012</v>
      </c>
      <c r="E208" t="str">
        <v>VAV_1F_S15_039S</v>
      </c>
    </row>
    <row r="209" spans="1:7" x14ac:dyDescent="0.3">
      <c r="A209" t="str">
        <f t="shared" si="3"/>
        <v>entity:QNL_L1_049_STORAGE</v>
      </c>
      <c r="B209" s="24" t="s">
        <v>6385</v>
      </c>
      <c r="C209" t="s">
        <v>3335</v>
      </c>
      <c r="D209" t="str" cm="1">
        <f t="array" ref="D209">TRANSPOSE(_xlfn._xlws.FILTER('Controllable Asset Registry'!$A$4:$A$554,IFERROR('Controllable Asset Registry'!$E$4:$E$554=A209,FALSE),"No Equipment in entity"))</f>
        <v>No Equipment in entity</v>
      </c>
    </row>
    <row r="210" spans="1:7" x14ac:dyDescent="0.3">
      <c r="A210" t="str">
        <f t="shared" si="3"/>
        <v>entity:QNL_L1_050_STROLLER_PARKING</v>
      </c>
      <c r="B210" s="24" t="s">
        <v>6386</v>
      </c>
      <c r="C210" t="s">
        <v>6387</v>
      </c>
      <c r="D210" t="str" cm="1">
        <f t="array" ref="D210">TRANSPOSE(_xlfn._xlws.FILTER('Controllable Asset Registry'!$A$4:$A$554,IFERROR('Controllable Asset Registry'!$E$4:$E$554=A210,FALSE),"No Equipment in entity"))</f>
        <v>No Equipment in entity</v>
      </c>
    </row>
    <row r="211" spans="1:7" x14ac:dyDescent="0.3">
      <c r="A211" t="str">
        <f t="shared" si="3"/>
        <v>entity:QNL_L1_061_REST_ROOM_MEN</v>
      </c>
      <c r="B211" s="24" t="s">
        <v>6388</v>
      </c>
      <c r="C211" t="s">
        <v>6024</v>
      </c>
      <c r="D211" t="str" cm="1">
        <f t="array" ref="D211">TRANSPOSE(_xlfn._xlws.FILTER('Controllable Asset Registry'!$A$4:$A$554,IFERROR('Controllable Asset Registry'!$E$4:$E$554=A211,FALSE),"No Equipment in entity"))</f>
        <v>No Equipment in entity</v>
      </c>
    </row>
    <row r="212" spans="1:7" x14ac:dyDescent="0.3">
      <c r="A212" t="str">
        <f t="shared" si="3"/>
        <v>entity:QNL_L1_062_REST_ROOM_WOMEN</v>
      </c>
      <c r="B212" s="24" t="s">
        <v>6389</v>
      </c>
      <c r="C212" t="s">
        <v>6028</v>
      </c>
      <c r="D212" t="str" cm="1">
        <f t="array" ref="D212">TRANSPOSE(_xlfn._xlws.FILTER('Controllable Asset Registry'!$A$4:$A$554,IFERROR('Controllable Asset Registry'!$E$4:$E$554=A212,FALSE),"No Equipment in entity"))</f>
        <v>No Equipment in entity</v>
      </c>
    </row>
    <row r="213" spans="1:7" x14ac:dyDescent="0.3">
      <c r="A213" t="str">
        <f t="shared" si="3"/>
        <v>entity:QNL_L1_063_MEDIA_STUDIO_1</v>
      </c>
      <c r="B213" s="24" t="s">
        <v>6391</v>
      </c>
      <c r="C213" t="s">
        <v>6392</v>
      </c>
      <c r="D213" t="str" cm="1">
        <f t="array" ref="D213:E213">TRANSPOSE(_xlfn._xlws.FILTER('Controllable Asset Registry'!$A$4:$A$554,IFERROR('Controllable Asset Registry'!$E$4:$E$554=A213,FALSE),"No Equipment in entity"))</f>
        <v>VAV_1F_S15_001</v>
      </c>
      <c r="E213" t="str">
        <v>VAV_1F_S15_002</v>
      </c>
    </row>
    <row r="214" spans="1:7" x14ac:dyDescent="0.3">
      <c r="A214" t="str">
        <f t="shared" si="3"/>
        <v>entity:QNL_L1_064_STORAGE</v>
      </c>
      <c r="B214" s="24" t="s">
        <v>6393</v>
      </c>
      <c r="C214" t="s">
        <v>3335</v>
      </c>
      <c r="D214" t="str" cm="1">
        <f t="array" ref="D214">TRANSPOSE(_xlfn._xlws.FILTER('Controllable Asset Registry'!$A$4:$A$554,IFERROR('Controllable Asset Registry'!$E$4:$E$554=A214,FALSE),"No Equipment in entity"))</f>
        <v>No Equipment in entity</v>
      </c>
    </row>
    <row r="215" spans="1:7" x14ac:dyDescent="0.3">
      <c r="A215" t="str">
        <f t="shared" si="3"/>
        <v>entity:QNL_L1_065_MEDIA_STUDIO_1</v>
      </c>
      <c r="B215" s="24" t="s">
        <v>6395</v>
      </c>
      <c r="C215" t="s">
        <v>6392</v>
      </c>
      <c r="D215" t="str" cm="1">
        <f t="array" ref="D215:E215">TRANSPOSE(_xlfn._xlws.FILTER('Controllable Asset Registry'!$A$4:$A$554,IFERROR('Controllable Asset Registry'!$E$4:$E$554=A215,FALSE),"No Equipment in entity"))</f>
        <v>VAV_1F_S15_003</v>
      </c>
      <c r="E215" t="str">
        <v>VAV_1F_S15_004</v>
      </c>
    </row>
    <row r="216" spans="1:7" x14ac:dyDescent="0.3">
      <c r="A216" t="str">
        <f t="shared" si="3"/>
        <v>entity:QNL_L1067_FRO_FRONT_KITCHEN</v>
      </c>
      <c r="B216" s="24" t="s">
        <v>6396</v>
      </c>
      <c r="C216" t="s">
        <v>6397</v>
      </c>
      <c r="D216" t="str" cm="1">
        <f t="array" ref="D216">TRANSPOSE(_xlfn._xlws.FILTER('Controllable Asset Registry'!$A$4:$A$554,IFERROR('Controllable Asset Registry'!$E$4:$E$554=A216,FALSE),"No Equipment in entity"))</f>
        <v>No Equipment in entity</v>
      </c>
    </row>
    <row r="217" spans="1:7" x14ac:dyDescent="0.3">
      <c r="A217" t="str">
        <f t="shared" si="3"/>
        <v>entity:QNL_L1067_RES_RESTAURANT</v>
      </c>
      <c r="B217" s="24" t="s">
        <v>6398</v>
      </c>
      <c r="C217" t="s">
        <v>6399</v>
      </c>
      <c r="D217" t="str" cm="1">
        <f t="array" ref="D217">TRANSPOSE(_xlfn._xlws.FILTER('Controllable Asset Registry'!$A$4:$A$554,IFERROR('Controllable Asset Registry'!$E$4:$E$554=A217,FALSE),"No Equipment in entity"))</f>
        <v>No Equipment in entity</v>
      </c>
    </row>
    <row r="218" spans="1:7" x14ac:dyDescent="0.3">
      <c r="A218" t="str">
        <f t="shared" si="3"/>
        <v>entity:QNL_L1_080_PUBLIC_SERVICE</v>
      </c>
      <c r="B218" s="24" t="s">
        <v>6401</v>
      </c>
      <c r="C218" t="s">
        <v>6402</v>
      </c>
      <c r="D218" t="str" cm="1">
        <f t="array" ref="D218:G218">TRANSPOSE(_xlfn._xlws.FILTER('Controllable Asset Registry'!$A$4:$A$554,IFERROR('Controllable Asset Registry'!$E$4:$E$554=A218,FALSE),"No Equipment in entity"))</f>
        <v>VAV_2F_S14_001</v>
      </c>
      <c r="E218" t="str">
        <v>VAV_2F_S14_002</v>
      </c>
      <c r="F218" t="str">
        <v>VAV_2F_S14_003</v>
      </c>
      <c r="G218" t="str">
        <v>VAV_2F_S14_004</v>
      </c>
    </row>
    <row r="219" spans="1:7" x14ac:dyDescent="0.3">
      <c r="A219" t="str">
        <f t="shared" si="3"/>
        <v>entity:QNL_L1_081_BIBLIOGRANHER1</v>
      </c>
      <c r="B219" s="24" t="s">
        <v>6404</v>
      </c>
      <c r="C219" t="s">
        <v>6405</v>
      </c>
      <c r="D219" t="str" cm="1">
        <f t="array" ref="D219">TRANSPOSE(_xlfn._xlws.FILTER('Controllable Asset Registry'!$A$4:$A$554,IFERROR('Controllable Asset Registry'!$E$4:$E$554=A219,FALSE),"No Equipment in entity"))</f>
        <v>VAV_2F_S14_005</v>
      </c>
    </row>
    <row r="220" spans="1:7" x14ac:dyDescent="0.3">
      <c r="A220" t="str">
        <f t="shared" si="3"/>
        <v>entity:QNL_L1_082_BIBLIOGRAPHER2</v>
      </c>
      <c r="B220" s="24" t="s">
        <v>6407</v>
      </c>
      <c r="C220" t="s">
        <v>6408</v>
      </c>
      <c r="D220" t="str" cm="1">
        <f t="array" ref="D220">TRANSPOSE(_xlfn._xlws.FILTER('Controllable Asset Registry'!$A$4:$A$554,IFERROR('Controllable Asset Registry'!$E$4:$E$554=A220,FALSE),"No Equipment in entity"))</f>
        <v>VAV_2F_S14_006</v>
      </c>
    </row>
    <row r="221" spans="1:7" x14ac:dyDescent="0.3">
      <c r="A221" t="str">
        <f t="shared" si="3"/>
        <v>entity:QNL_L1_083_SPEC_COLL&amp;ARCH</v>
      </c>
      <c r="B221" s="24" t="s">
        <v>6410</v>
      </c>
      <c r="C221" t="s">
        <v>6411</v>
      </c>
      <c r="D221" t="str" cm="1">
        <f t="array" ref="D221">TRANSPOSE(_xlfn._xlws.FILTER('Controllable Asset Registry'!$A$4:$A$554,IFERROR('Controllable Asset Registry'!$E$4:$E$554=A221,FALSE),"No Equipment in entity"))</f>
        <v>VAV_2F_S14_007</v>
      </c>
    </row>
    <row r="222" spans="1:7" x14ac:dyDescent="0.3">
      <c r="A222" t="str">
        <f t="shared" si="3"/>
        <v>entity:QNL_L1_084_R&amp;L_SERVICES</v>
      </c>
      <c r="B222" s="24" t="s">
        <v>6413</v>
      </c>
      <c r="C222" t="s">
        <v>6414</v>
      </c>
      <c r="D222" t="str" cm="1">
        <f t="array" ref="D222">TRANSPOSE(_xlfn._xlws.FILTER('Controllable Asset Registry'!$A$4:$A$554,IFERROR('Controllable Asset Registry'!$E$4:$E$554=A222,FALSE),"No Equipment in entity"))</f>
        <v>VAV_2F_S14_008</v>
      </c>
    </row>
    <row r="223" spans="1:7" x14ac:dyDescent="0.3">
      <c r="A223" t="str">
        <f t="shared" si="3"/>
        <v>entity:QNL_L1_085_ADPUBLIC_SERVICE</v>
      </c>
      <c r="B223" s="24" t="s">
        <v>6416</v>
      </c>
      <c r="C223" t="s">
        <v>6417</v>
      </c>
      <c r="D223" t="str" cm="1">
        <f t="array" ref="D223">TRANSPOSE(_xlfn._xlws.FILTER('Controllable Asset Registry'!$A$4:$A$554,IFERROR('Controllable Asset Registry'!$E$4:$E$554=A223,FALSE),"No Equipment in entity"))</f>
        <v>VAV_2F_S14_009</v>
      </c>
    </row>
    <row r="224" spans="1:7" x14ac:dyDescent="0.3">
      <c r="A224" t="str">
        <f t="shared" si="3"/>
        <v>entity:QNL_L1_086_REF_LIBRARIAN_1</v>
      </c>
      <c r="B224" s="24" t="s">
        <v>6419</v>
      </c>
      <c r="C224" t="s">
        <v>6420</v>
      </c>
      <c r="D224" t="str" cm="1">
        <f t="array" ref="D224">TRANSPOSE(_xlfn._xlws.FILTER('Controllable Asset Registry'!$A$4:$A$554,IFERROR('Controllable Asset Registry'!$E$4:$E$554=A224,FALSE),"No Equipment in entity"))</f>
        <v>VAV_2F_S14_010</v>
      </c>
    </row>
    <row r="225" spans="1:5" x14ac:dyDescent="0.3">
      <c r="A225" t="str">
        <f t="shared" si="3"/>
        <v>entity:QNL_L1_087_REF_LIBRARIAN_2</v>
      </c>
      <c r="B225" s="24" t="s">
        <v>6422</v>
      </c>
      <c r="C225" t="s">
        <v>6423</v>
      </c>
      <c r="D225" t="str" cm="1">
        <f t="array" ref="D225">TRANSPOSE(_xlfn._xlws.FILTER('Controllable Asset Registry'!$A$4:$A$554,IFERROR('Controllable Asset Registry'!$E$4:$E$554=A225,FALSE),"No Equipment in entity"))</f>
        <v>VAV_2F_S14_011</v>
      </c>
    </row>
    <row r="226" spans="1:5" x14ac:dyDescent="0.3">
      <c r="A226" t="str">
        <f t="shared" si="3"/>
        <v>entity:QNL_L1_088_REF_LIBRARIAN_3</v>
      </c>
      <c r="B226" s="24" t="s">
        <v>6425</v>
      </c>
      <c r="C226" t="s">
        <v>6426</v>
      </c>
      <c r="D226" t="str" cm="1">
        <f t="array" ref="D226">TRANSPOSE(_xlfn._xlws.FILTER('Controllable Asset Registry'!$A$4:$A$554,IFERROR('Controllable Asset Registry'!$E$4:$E$554=A226,FALSE),"No Equipment in entity"))</f>
        <v>VAV_2F_S14_012</v>
      </c>
    </row>
    <row r="227" spans="1:5" x14ac:dyDescent="0.3">
      <c r="A227" t="str">
        <f t="shared" si="3"/>
        <v>entity:QNL_L1_089_REF_LIBRARIAN_4</v>
      </c>
      <c r="B227" s="24" t="s">
        <v>6428</v>
      </c>
      <c r="C227" t="s">
        <v>6429</v>
      </c>
      <c r="D227" t="str" cm="1">
        <f t="array" ref="D227">TRANSPOSE(_xlfn._xlws.FILTER('Controllable Asset Registry'!$A$4:$A$554,IFERROR('Controllable Asset Registry'!$E$4:$E$554=A227,FALSE),"No Equipment in entity"))</f>
        <v>VAV_2F_S14_013</v>
      </c>
    </row>
    <row r="228" spans="1:5" x14ac:dyDescent="0.3">
      <c r="A228" t="str">
        <f t="shared" si="3"/>
        <v>entity:QNL_L1_090_REF_LIBRARIAN_5</v>
      </c>
      <c r="B228" s="24" t="s">
        <v>6431</v>
      </c>
      <c r="C228" t="s">
        <v>6432</v>
      </c>
      <c r="D228" t="str" cm="1">
        <f t="array" ref="D228">TRANSPOSE(_xlfn._xlws.FILTER('Controllable Asset Registry'!$A$4:$A$554,IFERROR('Controllable Asset Registry'!$E$4:$E$554=A228,FALSE),"No Equipment in entity"))</f>
        <v>VAV_2F_S14_014</v>
      </c>
    </row>
    <row r="229" spans="1:5" x14ac:dyDescent="0.3">
      <c r="A229" t="str">
        <f t="shared" si="3"/>
        <v>entity:QNL_L1_091_REF_LIBRARIAN_6</v>
      </c>
      <c r="B229" s="24" t="s">
        <v>6434</v>
      </c>
      <c r="C229" t="s">
        <v>6435</v>
      </c>
      <c r="D229" t="str" cm="1">
        <f t="array" ref="D229">TRANSPOSE(_xlfn._xlws.FILTER('Controllable Asset Registry'!$A$4:$A$554,IFERROR('Controllable Asset Registry'!$E$4:$E$554=A229,FALSE),"No Equipment in entity"))</f>
        <v>VAV_2F_S14_015</v>
      </c>
    </row>
    <row r="230" spans="1:5" x14ac:dyDescent="0.3">
      <c r="A230" t="str">
        <f t="shared" si="3"/>
        <v>entity:QNL_L1_092_REF_LIBRARIAN_7</v>
      </c>
      <c r="B230" s="24" t="s">
        <v>6437</v>
      </c>
      <c r="C230" t="s">
        <v>6438</v>
      </c>
      <c r="D230" t="str" cm="1">
        <f t="array" ref="D230">TRANSPOSE(_xlfn._xlws.FILTER('Controllable Asset Registry'!$A$4:$A$554,IFERROR('Controllable Asset Registry'!$E$4:$E$554=A230,FALSE),"No Equipment in entity"))</f>
        <v>VAV_2F_S14_016</v>
      </c>
    </row>
    <row r="231" spans="1:5" x14ac:dyDescent="0.3">
      <c r="A231" t="str">
        <f t="shared" si="3"/>
        <v>entity:QNL_L1_093_REF_LIBRARIAN_8</v>
      </c>
      <c r="B231" s="24" t="s">
        <v>6440</v>
      </c>
      <c r="C231" t="s">
        <v>6441</v>
      </c>
      <c r="D231" t="str" cm="1">
        <f t="array" ref="D231">TRANSPOSE(_xlfn._xlws.FILTER('Controllable Asset Registry'!$A$4:$A$554,IFERROR('Controllable Asset Registry'!$E$4:$E$554=A231,FALSE),"No Equipment in entity"))</f>
        <v>VAV_2F_S14_017</v>
      </c>
    </row>
    <row r="232" spans="1:5" x14ac:dyDescent="0.3">
      <c r="A232" t="str">
        <f t="shared" si="3"/>
        <v>entity:QNL_L1_094_REF_LIBRARIAN_9</v>
      </c>
      <c r="B232" s="24" t="s">
        <v>6443</v>
      </c>
      <c r="C232" t="s">
        <v>6444</v>
      </c>
      <c r="D232" t="str" cm="1">
        <f t="array" ref="D232">TRANSPOSE(_xlfn._xlws.FILTER('Controllable Asset Registry'!$A$4:$A$554,IFERROR('Controllable Asset Registry'!$E$4:$E$554=A232,FALSE),"No Equipment in entity"))</f>
        <v>VAV_2F_S14_018</v>
      </c>
    </row>
    <row r="233" spans="1:5" x14ac:dyDescent="0.3">
      <c r="A233" t="str">
        <f t="shared" si="3"/>
        <v>entity:QNL_L1_095_REF_LIBRARIAN_10</v>
      </c>
      <c r="B233" s="24" t="s">
        <v>6446</v>
      </c>
      <c r="C233" t="s">
        <v>6447</v>
      </c>
      <c r="D233" t="str" cm="1">
        <f t="array" ref="D233">TRANSPOSE(_xlfn._xlws.FILTER('Controllable Asset Registry'!$A$4:$A$554,IFERROR('Controllable Asset Registry'!$E$4:$E$554=A233,FALSE),"No Equipment in entity"))</f>
        <v>VAV_2F_S14_019</v>
      </c>
    </row>
    <row r="234" spans="1:5" x14ac:dyDescent="0.3">
      <c r="A234" t="str">
        <f t="shared" si="3"/>
        <v>entity:QNL_L1_096_REF_LIBRARIAN_11</v>
      </c>
      <c r="B234" s="24" t="s">
        <v>6449</v>
      </c>
      <c r="C234" t="s">
        <v>6450</v>
      </c>
      <c r="D234" t="str" cm="1">
        <f t="array" ref="D234">TRANSPOSE(_xlfn._xlws.FILTER('Controllable Asset Registry'!$A$4:$A$554,IFERROR('Controllable Asset Registry'!$E$4:$E$554=A234,FALSE),"No Equipment in entity"))</f>
        <v>VAV_2F_S14_020</v>
      </c>
    </row>
    <row r="235" spans="1:5" x14ac:dyDescent="0.3">
      <c r="A235" t="str">
        <f t="shared" si="3"/>
        <v>entity:QNL_L1_097_REF_LIBRARIAN_12</v>
      </c>
      <c r="B235" s="24" t="s">
        <v>6452</v>
      </c>
      <c r="C235" t="s">
        <v>6453</v>
      </c>
      <c r="D235" t="str" cm="1">
        <f t="array" ref="D235">TRANSPOSE(_xlfn._xlws.FILTER('Controllable Asset Registry'!$A$4:$A$554,IFERROR('Controllable Asset Registry'!$E$4:$E$554=A235,FALSE),"No Equipment in entity"))</f>
        <v>VAV_2F_S14_021</v>
      </c>
    </row>
    <row r="236" spans="1:5" x14ac:dyDescent="0.3">
      <c r="A236" t="str">
        <f t="shared" si="3"/>
        <v>entity:QNL_L1_098_STORAGE</v>
      </c>
      <c r="B236" s="24" t="s">
        <v>6454</v>
      </c>
      <c r="C236" t="s">
        <v>3335</v>
      </c>
      <c r="D236" t="str" cm="1">
        <f t="array" ref="D236">TRANSPOSE(_xlfn._xlws.FILTER('Controllable Asset Registry'!$A$4:$A$554,IFERROR('Controllable Asset Registry'!$E$4:$E$554=A236,FALSE),"No Equipment in entity"))</f>
        <v>No Equipment in entity</v>
      </c>
    </row>
    <row r="237" spans="1:5" x14ac:dyDescent="0.3">
      <c r="A237" t="str">
        <f t="shared" si="3"/>
        <v>entity:QNL_L1_099_IDF_ROOM_02</v>
      </c>
      <c r="B237" s="24" t="s">
        <v>6456</v>
      </c>
      <c r="C237" t="s">
        <v>6457</v>
      </c>
      <c r="D237" t="str" cm="1">
        <f t="array" ref="D237">TRANSPOSE(_xlfn._xlws.FILTER('Controllable Asset Registry'!$A$4:$A$554,IFERROR('Controllable Asset Registry'!$E$4:$E$554=A237,FALSE),"No Equipment in entity"))</f>
        <v>FCU_1F_003</v>
      </c>
    </row>
    <row r="238" spans="1:5" x14ac:dyDescent="0.3">
      <c r="A238" t="str">
        <f t="shared" si="3"/>
        <v>entity:QNL_L1_100_AERIAL_PLATFORM_PARKING</v>
      </c>
      <c r="B238" s="24" t="s">
        <v>6459</v>
      </c>
      <c r="C238" t="s">
        <v>6460</v>
      </c>
      <c r="D238" t="str" cm="1">
        <f t="array" ref="D238:E238">TRANSPOSE(_xlfn._xlws.FILTER('Controllable Asset Registry'!$A$4:$A$554,IFERROR('Controllable Asset Registry'!$E$4:$E$554=A238,FALSE),"No Equipment in entity"))</f>
        <v>CAV_1F_S15_004</v>
      </c>
      <c r="E238" t="str">
        <v>CAV_1F_S15_018</v>
      </c>
    </row>
    <row r="239" spans="1:5" x14ac:dyDescent="0.3">
      <c r="A239" t="str">
        <f t="shared" si="3"/>
        <v>entity:QNL_L1_101_REST_ROOMMEN</v>
      </c>
      <c r="B239" s="24" t="s">
        <v>6461</v>
      </c>
      <c r="C239" t="s">
        <v>6462</v>
      </c>
      <c r="D239" t="str" cm="1">
        <f t="array" ref="D239">TRANSPOSE(_xlfn._xlws.FILTER('Controllable Asset Registry'!$A$4:$A$554,IFERROR('Controllable Asset Registry'!$E$4:$E$554=A239,FALSE),"No Equipment in entity"))</f>
        <v>No Equipment in entity</v>
      </c>
    </row>
    <row r="240" spans="1:5" x14ac:dyDescent="0.3">
      <c r="A240" t="str">
        <f t="shared" si="3"/>
        <v>entity:QNL_L1_102_REST_ROOM_WOMEN</v>
      </c>
      <c r="B240" s="24" t="s">
        <v>6463</v>
      </c>
      <c r="C240" t="s">
        <v>6028</v>
      </c>
      <c r="D240" t="str" cm="1">
        <f t="array" ref="D240">TRANSPOSE(_xlfn._xlws.FILTER('Controllable Asset Registry'!$A$4:$A$554,IFERROR('Controllable Asset Registry'!$E$4:$E$554=A240,FALSE),"No Equipment in entity"))</f>
        <v>No Equipment in entity</v>
      </c>
    </row>
    <row r="241" spans="1:4" x14ac:dyDescent="0.3">
      <c r="A241" t="str">
        <f t="shared" si="3"/>
        <v>entity:QNL_L1104_FEM_PRAYER_ROOM_FEMALE</v>
      </c>
      <c r="B241" s="24" t="s">
        <v>6464</v>
      </c>
      <c r="C241" t="s">
        <v>6465</v>
      </c>
      <c r="D241" t="str" cm="1">
        <f t="array" ref="D241">TRANSPOSE(_xlfn._xlws.FILTER('Controllable Asset Registry'!$A$4:$A$554,IFERROR('Controllable Asset Registry'!$E$4:$E$554=A241,FALSE),"No Equipment in entity"))</f>
        <v>No Equipment in entity</v>
      </c>
    </row>
    <row r="242" spans="1:4" x14ac:dyDescent="0.3">
      <c r="A242" t="str">
        <f t="shared" si="3"/>
        <v>entity:QNL_L1104_MEL_PRAYER_ROOM_MALE</v>
      </c>
      <c r="B242" s="24" t="s">
        <v>6466</v>
      </c>
      <c r="C242" t="s">
        <v>6467</v>
      </c>
      <c r="D242" t="str" cm="1">
        <f t="array" ref="D242">TRANSPOSE(_xlfn._xlws.FILTER('Controllable Asset Registry'!$A$4:$A$554,IFERROR('Controllable Asset Registry'!$E$4:$E$554=A242,FALSE),"No Equipment in entity"))</f>
        <v>No Equipment in entity</v>
      </c>
    </row>
    <row r="243" spans="1:4" x14ac:dyDescent="0.3">
      <c r="A243" t="str">
        <f t="shared" si="3"/>
        <v>entity:QNL_L1_105_ABLUTIONMEN</v>
      </c>
      <c r="B243" s="24" t="s">
        <v>6469</v>
      </c>
      <c r="C243" t="s">
        <v>6470</v>
      </c>
      <c r="D243" t="str" cm="1">
        <f t="array" ref="D243">TRANSPOSE(_xlfn._xlws.FILTER('Controllable Asset Registry'!$A$4:$A$554,IFERROR('Controllable Asset Registry'!$E$4:$E$554=A243,FALSE),"No Equipment in entity"))</f>
        <v>VAV_1F_S15_038</v>
      </c>
    </row>
    <row r="244" spans="1:4" x14ac:dyDescent="0.3">
      <c r="A244" t="str">
        <f t="shared" si="3"/>
        <v>entity:QNL_L1_106_ABLUTIONWOMEN</v>
      </c>
      <c r="B244" s="24" t="s">
        <v>6472</v>
      </c>
      <c r="C244" t="s">
        <v>6473</v>
      </c>
      <c r="D244" t="str" cm="1">
        <f t="array" ref="D244">TRANSPOSE(_xlfn._xlws.FILTER('Controllable Asset Registry'!$A$4:$A$554,IFERROR('Controllable Asset Registry'!$E$4:$E$554=A244,FALSE),"No Equipment in entity"))</f>
        <v>VAV_1F_S15_025</v>
      </c>
    </row>
    <row r="245" spans="1:4" x14ac:dyDescent="0.3">
      <c r="A245" t="str">
        <f t="shared" si="3"/>
        <v>entity:QNL_L1_130_PUBLIS_SPACE</v>
      </c>
      <c r="B245" s="24" t="s">
        <v>6474</v>
      </c>
      <c r="C245" t="s">
        <v>6475</v>
      </c>
      <c r="D245" t="str" cm="1">
        <f t="array" ref="D245">TRANSPOSE(_xlfn._xlws.FILTER('Controllable Asset Registry'!$A$4:$A$554,IFERROR('Controllable Asset Registry'!$E$4:$E$554=A245,FALSE),"No Equipment in entity"))</f>
        <v>No Equipment in entity</v>
      </c>
    </row>
    <row r="246" spans="1:4" x14ac:dyDescent="0.3">
      <c r="A246" t="str">
        <f t="shared" si="3"/>
        <v>entity:QNL_L1_142_LEARNING_COMMONS</v>
      </c>
      <c r="B246" s="24" t="s">
        <v>6476</v>
      </c>
      <c r="C246" t="s">
        <v>6477</v>
      </c>
      <c r="D246" t="str" cm="1">
        <f t="array" ref="D246">TRANSPOSE(_xlfn._xlws.FILTER('Controllable Asset Registry'!$A$4:$A$554,IFERROR('Controllable Asset Registry'!$E$4:$E$554=A246,FALSE),"No Equipment in entity"))</f>
        <v>No Equipment in entity</v>
      </c>
    </row>
    <row r="247" spans="1:4" x14ac:dyDescent="0.3">
      <c r="A247" t="str">
        <f t="shared" si="3"/>
        <v>entity:QNL_L1_153_FURNITURE_STORAGE</v>
      </c>
      <c r="B247" s="24" t="s">
        <v>6479</v>
      </c>
      <c r="C247" t="s">
        <v>6480</v>
      </c>
      <c r="D247" t="str" cm="1">
        <f t="array" ref="D247">TRANSPOSE(_xlfn._xlws.FILTER('Controllable Asset Registry'!$A$4:$A$554,IFERROR('Controllable Asset Registry'!$E$4:$E$554=A247,FALSE),"No Equipment in entity"))</f>
        <v>CAV_1F_S15_019</v>
      </c>
    </row>
    <row r="248" spans="1:4" x14ac:dyDescent="0.3">
      <c r="A248" t="str">
        <f t="shared" si="3"/>
        <v>entity:QNL_L1-L-1_L-1</v>
      </c>
      <c r="B248" s="24" t="s">
        <v>6481</v>
      </c>
      <c r="C248" t="s">
        <v>6280</v>
      </c>
      <c r="D248" t="str" cm="1">
        <f t="array" ref="D248">TRANSPOSE(_xlfn._xlws.FILTER('Controllable Asset Registry'!$A$4:$A$554,IFERROR('Controllable Asset Registry'!$E$4:$E$554=A248,FALSE),"No Equipment in entity"))</f>
        <v>No Equipment in entity</v>
      </c>
    </row>
    <row r="249" spans="1:4" x14ac:dyDescent="0.3">
      <c r="A249" t="str">
        <f t="shared" si="3"/>
        <v>entity:QNL_L1-L-2_L-2</v>
      </c>
      <c r="B249" s="24" t="s">
        <v>6482</v>
      </c>
      <c r="C249" t="s">
        <v>6284</v>
      </c>
      <c r="D249" t="str" cm="1">
        <f t="array" ref="D249">TRANSPOSE(_xlfn._xlws.FILTER('Controllable Asset Registry'!$A$4:$A$554,IFERROR('Controllable Asset Registry'!$E$4:$E$554=A249,FALSE),"No Equipment in entity"))</f>
        <v>No Equipment in entity</v>
      </c>
    </row>
    <row r="250" spans="1:4" x14ac:dyDescent="0.3">
      <c r="A250" t="str">
        <f t="shared" si="3"/>
        <v>entity:QNL_L1-L-3_L-3</v>
      </c>
      <c r="B250" s="24" t="s">
        <v>6484</v>
      </c>
      <c r="C250" t="s">
        <v>6286</v>
      </c>
      <c r="D250" t="str" cm="1">
        <f t="array" ref="D250">TRANSPOSE(_xlfn._xlws.FILTER('Controllable Asset Registry'!$A$4:$A$554,IFERROR('Controllable Asset Registry'!$E$4:$E$554=A250,FALSE),"No Equipment in entity"))</f>
        <v>EF_201</v>
      </c>
    </row>
    <row r="251" spans="1:4" x14ac:dyDescent="0.3">
      <c r="A251" t="str">
        <f t="shared" si="3"/>
        <v>entity:QNL_L1-L-4_L-4</v>
      </c>
      <c r="B251" s="24" t="s">
        <v>6485</v>
      </c>
      <c r="C251" t="s">
        <v>6288</v>
      </c>
      <c r="D251" t="str" cm="1">
        <f t="array" ref="D251">TRANSPOSE(_xlfn._xlws.FILTER('Controllable Asset Registry'!$A$4:$A$554,IFERROR('Controllable Asset Registry'!$E$4:$E$554=A251,FALSE),"No Equipment in entity"))</f>
        <v>No Equipment in entity</v>
      </c>
    </row>
    <row r="252" spans="1:4" x14ac:dyDescent="0.3">
      <c r="A252" t="str">
        <f t="shared" si="3"/>
        <v>entity:QNL_L1-L-5_L-5</v>
      </c>
      <c r="B252" s="24" t="s">
        <v>6486</v>
      </c>
      <c r="C252" t="s">
        <v>6487</v>
      </c>
      <c r="D252" t="str" cm="1">
        <f t="array" ref="D252">TRANSPOSE(_xlfn._xlws.FILTER('Controllable Asset Registry'!$A$4:$A$554,IFERROR('Controllable Asset Registry'!$E$4:$E$554=A252,FALSE),"No Equipment in entity"))</f>
        <v>No Equipment in entity</v>
      </c>
    </row>
    <row r="253" spans="1:4" x14ac:dyDescent="0.3">
      <c r="A253" t="str">
        <f t="shared" si="3"/>
        <v>entity:QNL_L1-RP-10_RP-10</v>
      </c>
      <c r="B253" s="24" t="s">
        <v>6488</v>
      </c>
      <c r="C253" t="s">
        <v>6489</v>
      </c>
      <c r="D253" t="str" cm="1">
        <f t="array" ref="D253">TRANSPOSE(_xlfn._xlws.FILTER('Controllable Asset Registry'!$A$4:$A$554,IFERROR('Controllable Asset Registry'!$E$4:$E$554=A253,FALSE),"No Equipment in entity"))</f>
        <v>No Equipment in entity</v>
      </c>
    </row>
    <row r="254" spans="1:4" x14ac:dyDescent="0.3">
      <c r="A254" t="str">
        <f t="shared" si="3"/>
        <v>entity:QNL_L1-ST-01_ST-01</v>
      </c>
      <c r="B254" s="24" t="s">
        <v>6490</v>
      </c>
      <c r="C254" t="s">
        <v>4760</v>
      </c>
      <c r="D254" t="str" cm="1">
        <f t="array" ref="D254">TRANSPOSE(_xlfn._xlws.FILTER('Controllable Asset Registry'!$A$4:$A$554,IFERROR('Controllable Asset Registry'!$E$4:$E$554=A254,FALSE),"No Equipment in entity"))</f>
        <v>No Equipment in entity</v>
      </c>
    </row>
    <row r="255" spans="1:4" x14ac:dyDescent="0.3">
      <c r="A255" t="str">
        <f t="shared" si="3"/>
        <v>entity:QNL_L1-ST-02_ST-02</v>
      </c>
      <c r="B255" s="24" t="s">
        <v>6491</v>
      </c>
      <c r="C255" t="s">
        <v>6291</v>
      </c>
      <c r="D255" t="str" cm="1">
        <f t="array" ref="D255">TRANSPOSE(_xlfn._xlws.FILTER('Controllable Asset Registry'!$A$4:$A$554,IFERROR('Controllable Asset Registry'!$E$4:$E$554=A255,FALSE),"No Equipment in entity"))</f>
        <v>No Equipment in entity</v>
      </c>
    </row>
    <row r="256" spans="1:4" x14ac:dyDescent="0.3">
      <c r="A256" t="str">
        <f t="shared" si="3"/>
        <v>entity:QNL_L1-ST-03_ST-03</v>
      </c>
      <c r="B256" s="24" t="s">
        <v>6492</v>
      </c>
      <c r="C256" t="s">
        <v>6293</v>
      </c>
      <c r="D256" t="str" cm="1">
        <f t="array" ref="D256">TRANSPOSE(_xlfn._xlws.FILTER('Controllable Asset Registry'!$A$4:$A$554,IFERROR('Controllable Asset Registry'!$E$4:$E$554=A256,FALSE),"No Equipment in entity"))</f>
        <v>No Equipment in entity</v>
      </c>
    </row>
    <row r="257" spans="1:5" x14ac:dyDescent="0.3">
      <c r="A257" t="str">
        <f t="shared" si="3"/>
        <v>entity:QNL_L1-ST-10_ST-10</v>
      </c>
      <c r="B257" s="24" t="s">
        <v>6493</v>
      </c>
      <c r="C257" t="s">
        <v>3448</v>
      </c>
      <c r="D257" t="str" cm="1">
        <f t="array" ref="D257">TRANSPOSE(_xlfn._xlws.FILTER('Controllable Asset Registry'!$A$4:$A$554,IFERROR('Controllable Asset Registry'!$E$4:$E$554=A257,FALSE),"No Equipment in entity"))</f>
        <v>No Equipment in entity</v>
      </c>
    </row>
    <row r="258" spans="1:5" x14ac:dyDescent="0.3">
      <c r="A258" t="str">
        <f t="shared" ref="A258:A321" si="4">"entity:QNL_"&amp;B258&amp;"_"&amp;C258</f>
        <v>entity:QNL_L1_140_SPECIAL_EVENTS</v>
      </c>
      <c r="B258" s="24" t="s">
        <v>6494</v>
      </c>
      <c r="C258" t="s">
        <v>6495</v>
      </c>
      <c r="D258" t="str" cm="1">
        <f t="array" ref="D258">TRANSPOSE(_xlfn._xlws.FILTER('Controllable Asset Registry'!$A$4:$A$554,IFERROR('Controllable Asset Registry'!$E$4:$E$554=A258,FALSE),"No Equipment in entity"))</f>
        <v>No Equipment in entity</v>
      </c>
    </row>
    <row r="259" spans="1:5" x14ac:dyDescent="0.3">
      <c r="A259" t="str">
        <f t="shared" si="4"/>
        <v>entity:QNL_L2_006_STORAGE</v>
      </c>
      <c r="B259" s="24" t="s">
        <v>6496</v>
      </c>
      <c r="C259" t="s">
        <v>3335</v>
      </c>
      <c r="D259" t="str" cm="1">
        <f t="array" ref="D259">TRANSPOSE(_xlfn._xlws.FILTER('Controllable Asset Registry'!$A$4:$A$554,IFERROR('Controllable Asset Registry'!$E$4:$E$554=A259,FALSE),"No Equipment in entity"))</f>
        <v>No Equipment in entity</v>
      </c>
    </row>
    <row r="260" spans="1:5" x14ac:dyDescent="0.3">
      <c r="A260" t="str">
        <f t="shared" si="4"/>
        <v>entity:QNL_L2_007_REST_ROOM_MEN</v>
      </c>
      <c r="B260" s="24" t="s">
        <v>6497</v>
      </c>
      <c r="C260" t="s">
        <v>6024</v>
      </c>
      <c r="D260" t="str" cm="1">
        <f t="array" ref="D260">TRANSPOSE(_xlfn._xlws.FILTER('Controllable Asset Registry'!$A$4:$A$554,IFERROR('Controllable Asset Registry'!$E$4:$E$554=A260,FALSE),"No Equipment in entity"))</f>
        <v>No Equipment in entity</v>
      </c>
    </row>
    <row r="261" spans="1:5" x14ac:dyDescent="0.3">
      <c r="A261" t="str">
        <f t="shared" si="4"/>
        <v>entity:QNL_L2_008_REST_ROOM_WOMEN</v>
      </c>
      <c r="B261" s="24" t="s">
        <v>6498</v>
      </c>
      <c r="C261" t="s">
        <v>6028</v>
      </c>
      <c r="D261" t="str" cm="1">
        <f t="array" ref="D261">TRANSPOSE(_xlfn._xlws.FILTER('Controllable Asset Registry'!$A$4:$A$554,IFERROR('Controllable Asset Registry'!$E$4:$E$554=A261,FALSE),"No Equipment in entity"))</f>
        <v>No Equipment in entity</v>
      </c>
    </row>
    <row r="262" spans="1:5" x14ac:dyDescent="0.3">
      <c r="A262" t="str">
        <f t="shared" si="4"/>
        <v>entity:QNL_L2_009_KDF_ROOM</v>
      </c>
      <c r="B262" s="24" t="s">
        <v>6500</v>
      </c>
      <c r="C262" t="s">
        <v>6501</v>
      </c>
      <c r="D262" t="str" cm="1">
        <f t="array" ref="D262">TRANSPOSE(_xlfn._xlws.FILTER('Controllable Asset Registry'!$A$4:$A$554,IFERROR('Controllable Asset Registry'!$E$4:$E$554=A262,FALSE),"No Equipment in entity"))</f>
        <v>FCU_2F_005</v>
      </c>
    </row>
    <row r="263" spans="1:5" x14ac:dyDescent="0.3">
      <c r="A263" t="str">
        <f t="shared" si="4"/>
        <v>entity:QNL_L2_010_BREAKOUT_SPACE</v>
      </c>
      <c r="B263" s="24" t="s">
        <v>6503</v>
      </c>
      <c r="C263" t="s">
        <v>6504</v>
      </c>
      <c r="D263" t="str" cm="1">
        <f t="array" ref="D263">TRANSPOSE(_xlfn._xlws.FILTER('Controllable Asset Registry'!$A$4:$A$554,IFERROR('Controllable Asset Registry'!$E$4:$E$554=A263,FALSE),"No Equipment in entity"))</f>
        <v>VAV_2F_S12_021</v>
      </c>
    </row>
    <row r="264" spans="1:5" x14ac:dyDescent="0.3">
      <c r="A264" t="str">
        <f t="shared" si="4"/>
        <v>entity:QNL_L2_011_CTRCULATION_OFFICE</v>
      </c>
      <c r="B264" s="24" t="s">
        <v>6506</v>
      </c>
      <c r="C264" t="s">
        <v>6507</v>
      </c>
      <c r="D264" t="str" cm="1">
        <f t="array" ref="D264:E264">TRANSPOSE(_xlfn._xlws.FILTER('Controllable Asset Registry'!$A$4:$A$554,IFERROR('Controllable Asset Registry'!$E$4:$E$554=A264,FALSE),"No Equipment in entity"))</f>
        <v>VAV_2F_S12_022</v>
      </c>
      <c r="E264" t="str">
        <v>VAV_2F_S12_026</v>
      </c>
    </row>
    <row r="265" spans="1:5" x14ac:dyDescent="0.3">
      <c r="A265" t="str">
        <f t="shared" si="4"/>
        <v>entity:QNL_L2_012_OFFICE_SPEC_COL</v>
      </c>
      <c r="B265" s="24" t="s">
        <v>6509</v>
      </c>
      <c r="C265" t="s">
        <v>6510</v>
      </c>
      <c r="D265" t="str" cm="1">
        <f t="array" ref="D265">TRANSPOSE(_xlfn._xlws.FILTER('Controllable Asset Registry'!$A$4:$A$554,IFERROR('Controllable Asset Registry'!$E$4:$E$554=A265,FALSE),"No Equipment in entity"))</f>
        <v>VAV_2F_S12_023</v>
      </c>
    </row>
    <row r="266" spans="1:5" x14ac:dyDescent="0.3">
      <c r="A266" t="str">
        <f t="shared" si="4"/>
        <v>entity:QNL_L2_013_OFFICE_SPEC_COL</v>
      </c>
      <c r="B266" s="24" t="s">
        <v>6512</v>
      </c>
      <c r="C266" t="s">
        <v>6510</v>
      </c>
      <c r="D266" t="str" cm="1">
        <f t="array" ref="D266">TRANSPOSE(_xlfn._xlws.FILTER('Controllable Asset Registry'!$A$4:$A$554,IFERROR('Controllable Asset Registry'!$E$4:$E$554=A266,FALSE),"No Equipment in entity"))</f>
        <v>VAV_2F_S12_024</v>
      </c>
    </row>
    <row r="267" spans="1:5" x14ac:dyDescent="0.3">
      <c r="A267" t="str">
        <f t="shared" si="4"/>
        <v>entity:QNL_L2_014_TRANSL_SPC_&amp;_EDI_PUBLICATIONS_SPC</v>
      </c>
      <c r="B267" s="24" t="s">
        <v>6513</v>
      </c>
      <c r="C267" t="s">
        <v>6514</v>
      </c>
      <c r="D267" t="str" cm="1">
        <f t="array" ref="D267">TRANSPOSE(_xlfn._xlws.FILTER('Controllable Asset Registry'!$A$4:$A$554,IFERROR('Controllable Asset Registry'!$E$4:$E$554=A267,FALSE),"No Equipment in entity"))</f>
        <v>No Equipment in entity</v>
      </c>
    </row>
    <row r="268" spans="1:5" x14ac:dyDescent="0.3">
      <c r="A268" t="str">
        <f t="shared" si="4"/>
        <v>entity:QNL_L2_015_40_GROUP_STUDY_ROOM_5</v>
      </c>
      <c r="B268" s="24" t="s">
        <v>6515</v>
      </c>
      <c r="C268" t="s">
        <v>6516</v>
      </c>
      <c r="D268" t="str" cm="1">
        <f t="array" ref="D268">TRANSPOSE(_xlfn._xlws.FILTER('Controllable Asset Registry'!$A$4:$A$554,IFERROR('Controllable Asset Registry'!$E$4:$E$554=A268,FALSE),"No Equipment in entity"))</f>
        <v>No Equipment in entity</v>
      </c>
    </row>
    <row r="269" spans="1:5" x14ac:dyDescent="0.3">
      <c r="A269" t="str">
        <f t="shared" si="4"/>
        <v>entity:QNL_L2_016_40_GROUP_STUDY_ROOM_6</v>
      </c>
      <c r="B269" s="24" t="s">
        <v>6517</v>
      </c>
      <c r="C269" t="s">
        <v>6518</v>
      </c>
      <c r="D269" t="str" cm="1">
        <f t="array" ref="D269">TRANSPOSE(_xlfn._xlws.FILTER('Controllable Asset Registry'!$A$4:$A$554,IFERROR('Controllable Asset Registry'!$E$4:$E$554=A269,FALSE),"No Equipment in entity"))</f>
        <v>No Equipment in entity</v>
      </c>
    </row>
    <row r="270" spans="1:5" x14ac:dyDescent="0.3">
      <c r="A270" t="str">
        <f t="shared" si="4"/>
        <v>entity:QNL_L2_017_40_GROUP_STUDY_ROOM_7</v>
      </c>
      <c r="B270" s="24" t="s">
        <v>6520</v>
      </c>
      <c r="C270" t="s">
        <v>6521</v>
      </c>
      <c r="D270" t="str" cm="1">
        <f t="array" ref="D270:E270">TRANSPOSE(_xlfn._xlws.FILTER('Controllable Asset Registry'!$A$4:$A$554,IFERROR('Controllable Asset Registry'!$E$4:$E$554=A270,FALSE),"No Equipment in entity"))</f>
        <v>VAV_2F_S12_027</v>
      </c>
      <c r="E270" t="str">
        <v>VAV_2F_S12_029</v>
      </c>
    </row>
    <row r="271" spans="1:5" x14ac:dyDescent="0.3">
      <c r="A271" t="str">
        <f t="shared" si="4"/>
        <v>entity:QNL_L2_018_GROUP_STUDY_ROOM_8</v>
      </c>
      <c r="B271" s="24" t="s">
        <v>6522</v>
      </c>
      <c r="C271" t="s">
        <v>6699</v>
      </c>
      <c r="D271" t="str" cm="1">
        <f t="array" ref="D271:E271">TRANSPOSE(_xlfn._xlws.FILTER('Controllable Asset Registry'!$A$4:$A$554,IFERROR('Controllable Asset Registry'!$E$4:$E$554=A271,FALSE),"No Equipment in entity"))</f>
        <v>VAV_2F_S12_028</v>
      </c>
      <c r="E271" t="str">
        <v>VAV_2F_S12_097</v>
      </c>
    </row>
    <row r="272" spans="1:5" x14ac:dyDescent="0.3">
      <c r="A272" t="str">
        <f t="shared" si="4"/>
        <v>entity:QNL_L2_021_LIBR_COM_REO_&amp;_EVENTS_SPC</v>
      </c>
      <c r="B272" s="24" t="s">
        <v>6523</v>
      </c>
      <c r="C272" t="s">
        <v>6524</v>
      </c>
      <c r="D272" t="str" cm="1">
        <f t="array" ref="D272">TRANSPOSE(_xlfn._xlws.FILTER('Controllable Asset Registry'!$A$4:$A$554,IFERROR('Controllable Asset Registry'!$E$4:$E$554=A272,FALSE),"No Equipment in entity"))</f>
        <v>No Equipment in entity</v>
      </c>
    </row>
    <row r="273" spans="1:7" x14ac:dyDescent="0.3">
      <c r="A273" t="str">
        <f t="shared" si="4"/>
        <v>entity:QNL_L2_022_ACADEMIC_PERS_LIBRARIA</v>
      </c>
      <c r="B273" s="24" t="s">
        <v>6526</v>
      </c>
      <c r="C273" t="s">
        <v>6527</v>
      </c>
      <c r="D273" t="str" cm="1">
        <f t="array" ref="D273">TRANSPOSE(_xlfn._xlws.FILTER('Controllable Asset Registry'!$A$4:$A$554,IFERROR('Controllable Asset Registry'!$E$4:$E$554=A273,FALSE),"No Equipment in entity"))</f>
        <v>VAV_2F_S13_006</v>
      </c>
    </row>
    <row r="274" spans="1:7" x14ac:dyDescent="0.3">
      <c r="A274" t="str">
        <f t="shared" si="4"/>
        <v>entity:QNL_L2_023_AD_ADMIN_&amp;_PLANNING</v>
      </c>
      <c r="B274" s="24" t="s">
        <v>6529</v>
      </c>
      <c r="C274" t="s">
        <v>6530</v>
      </c>
      <c r="D274" t="str" cm="1">
        <f t="array" ref="D274">TRANSPOSE(_xlfn._xlws.FILTER('Controllable Asset Registry'!$A$4:$A$554,IFERROR('Controllable Asset Registry'!$E$4:$E$554=A274,FALSE),"No Equipment in entity"))</f>
        <v>VAV_2F_S13_007</v>
      </c>
    </row>
    <row r="275" spans="1:7" x14ac:dyDescent="0.3">
      <c r="A275" t="str">
        <f t="shared" si="4"/>
        <v>entity:QNL_L2_024_OFFICE_COORD</v>
      </c>
      <c r="B275" s="24" t="s">
        <v>6532</v>
      </c>
      <c r="C275" t="s">
        <v>6533</v>
      </c>
      <c r="D275" t="str" cm="1">
        <f t="array" ref="D275">TRANSPOSE(_xlfn._xlws.FILTER('Controllable Asset Registry'!$A$4:$A$554,IFERROR('Controllable Asset Registry'!$E$4:$E$554=A275,FALSE),"No Equipment in entity"))</f>
        <v>VAV_2F_S13_008</v>
      </c>
    </row>
    <row r="276" spans="1:7" x14ac:dyDescent="0.3">
      <c r="A276" t="str">
        <f t="shared" si="4"/>
        <v>entity:QNL_L2_025_OPEN_OFFICE</v>
      </c>
      <c r="B276" s="24" t="s">
        <v>6535</v>
      </c>
      <c r="C276" t="s">
        <v>6536</v>
      </c>
      <c r="D276" t="str" cm="1">
        <f t="array" ref="D276">TRANSPOSE(_xlfn._xlws.FILTER('Controllable Asset Registry'!$A$4:$A$554,IFERROR('Controllable Asset Registry'!$E$4:$E$554=A276,FALSE),"No Equipment in entity"))</f>
        <v>VAV_2F_S13_009</v>
      </c>
    </row>
    <row r="277" spans="1:7" x14ac:dyDescent="0.3">
      <c r="A277" t="str">
        <f t="shared" si="4"/>
        <v>entity:QNL_L2_041_PANTRY</v>
      </c>
      <c r="B277" s="24" t="s">
        <v>6537</v>
      </c>
      <c r="C277" t="s">
        <v>4279</v>
      </c>
      <c r="D277" t="str" cm="1">
        <f t="array" ref="D277">TRANSPOSE(_xlfn._xlws.FILTER('Controllable Asset Registry'!$A$4:$A$554,IFERROR('Controllable Asset Registry'!$E$4:$E$554=A277,FALSE),"No Equipment in entity"))</f>
        <v>No Equipment in entity</v>
      </c>
    </row>
    <row r="278" spans="1:7" x14ac:dyDescent="0.3">
      <c r="A278" t="str">
        <f t="shared" si="4"/>
        <v>entity:QNL_L2_042_REST_ROOM</v>
      </c>
      <c r="B278" s="24" t="s">
        <v>6538</v>
      </c>
      <c r="C278" t="s">
        <v>6539</v>
      </c>
      <c r="D278" t="str" cm="1">
        <f t="array" ref="D278">TRANSPOSE(_xlfn._xlws.FILTER('Controllable Asset Registry'!$A$4:$A$554,IFERROR('Controllable Asset Registry'!$E$4:$E$554=A278,FALSE),"No Equipment in entity"))</f>
        <v>No Equipment in entity</v>
      </c>
    </row>
    <row r="279" spans="1:7" x14ac:dyDescent="0.3">
      <c r="A279" t="str">
        <f t="shared" si="4"/>
        <v>entity:QNL_L2_043_SERVICE_&amp;_LOUNGE</v>
      </c>
      <c r="B279" s="24" t="s">
        <v>6541</v>
      </c>
      <c r="C279" t="s">
        <v>6542</v>
      </c>
      <c r="D279" t="str" cm="1">
        <f t="array" ref="D279">TRANSPOSE(_xlfn._xlws.FILTER('Controllable Asset Registry'!$A$4:$A$554,IFERROR('Controllable Asset Registry'!$E$4:$E$554=A279,FALSE),"No Equipment in entity"))</f>
        <v>VAV_2F_S13_003</v>
      </c>
    </row>
    <row r="280" spans="1:7" x14ac:dyDescent="0.3">
      <c r="A280" t="str">
        <f t="shared" si="4"/>
        <v>entity:QNL_L2_044_LIBDIRECTORS_ROOM</v>
      </c>
      <c r="B280" s="24" t="s">
        <v>6544</v>
      </c>
      <c r="C280" t="s">
        <v>6545</v>
      </c>
      <c r="D280" t="str" cm="1">
        <f t="array" ref="D280:E280">TRANSPOSE(_xlfn._xlws.FILTER('Controllable Asset Registry'!$A$4:$A$554,IFERROR('Controllable Asset Registry'!$E$4:$E$554=A280,FALSE),"No Equipment in entity"))</f>
        <v>VAV_2F_S13_001</v>
      </c>
      <c r="E280" t="str">
        <v>VAV_2F_S13_002</v>
      </c>
    </row>
    <row r="281" spans="1:7" x14ac:dyDescent="0.3">
      <c r="A281" t="str">
        <f t="shared" si="4"/>
        <v>entity:QNL_L2_046_VIP_MEETING</v>
      </c>
      <c r="B281" s="24" t="s">
        <v>6547</v>
      </c>
      <c r="C281" t="s">
        <v>6548</v>
      </c>
      <c r="D281" t="str" cm="1">
        <f t="array" ref="D281">TRANSPOSE(_xlfn._xlws.FILTER('Controllable Asset Registry'!$A$4:$A$554,IFERROR('Controllable Asset Registry'!$E$4:$E$554=A281,FALSE),"No Equipment in entity"))</f>
        <v>VAV_2F_S15_005</v>
      </c>
    </row>
    <row r="282" spans="1:7" x14ac:dyDescent="0.3">
      <c r="A282" t="str">
        <f t="shared" si="4"/>
        <v>entity:QNL_L2_047_REST_ROOM</v>
      </c>
      <c r="B282" s="24" t="s">
        <v>6549</v>
      </c>
      <c r="C282" t="s">
        <v>6539</v>
      </c>
      <c r="D282" t="str" cm="1">
        <f t="array" ref="D282">TRANSPOSE(_xlfn._xlws.FILTER('Controllable Asset Registry'!$A$4:$A$554,IFERROR('Controllable Asset Registry'!$E$4:$E$554=A282,FALSE),"No Equipment in entity"))</f>
        <v>No Equipment in entity</v>
      </c>
    </row>
    <row r="283" spans="1:7" x14ac:dyDescent="0.3">
      <c r="A283" t="str">
        <f t="shared" si="4"/>
        <v>entity:QNL_L2_048_VIP_WATING</v>
      </c>
      <c r="B283" s="24" t="s">
        <v>6551</v>
      </c>
      <c r="C283" t="s">
        <v>6552</v>
      </c>
      <c r="D283" t="str" cm="1">
        <f t="array" ref="D283">TRANSPOSE(_xlfn._xlws.FILTER('Controllable Asset Registry'!$A$4:$A$554,IFERROR('Controllable Asset Registry'!$E$4:$E$554=A283,FALSE),"No Equipment in entity"))</f>
        <v>VAV_2F_S13_016</v>
      </c>
    </row>
    <row r="284" spans="1:7" x14ac:dyDescent="0.3">
      <c r="A284" t="str">
        <f t="shared" si="4"/>
        <v>entity:QNL_L2_049_REST_ROOM_MEN</v>
      </c>
      <c r="B284" s="24" t="s">
        <v>6553</v>
      </c>
      <c r="C284" t="s">
        <v>6024</v>
      </c>
      <c r="D284" t="str" cm="1">
        <f t="array" ref="D284">TRANSPOSE(_xlfn._xlws.FILTER('Controllable Asset Registry'!$A$4:$A$554,IFERROR('Controllable Asset Registry'!$E$4:$E$554=A284,FALSE),"No Equipment in entity"))</f>
        <v>No Equipment in entity</v>
      </c>
    </row>
    <row r="285" spans="1:7" x14ac:dyDescent="0.3">
      <c r="A285" t="str">
        <f t="shared" si="4"/>
        <v>entity:QNL_L2_050_REST_ROOM_WOMEN</v>
      </c>
      <c r="B285" s="24" t="s">
        <v>6554</v>
      </c>
      <c r="C285" t="s">
        <v>6028</v>
      </c>
      <c r="D285" t="str" cm="1">
        <f t="array" ref="D285">TRANSPOSE(_xlfn._xlws.FILTER('Controllable Asset Registry'!$A$4:$A$554,IFERROR('Controllable Asset Registry'!$E$4:$E$554=A285,FALSE),"No Equipment in entity"))</f>
        <v>No Equipment in entity</v>
      </c>
    </row>
    <row r="286" spans="1:7" x14ac:dyDescent="0.3">
      <c r="A286" t="str">
        <f t="shared" si="4"/>
        <v>entity:QNL_L2_051_VIP_ROOM</v>
      </c>
      <c r="B286" s="24" t="s">
        <v>6556</v>
      </c>
      <c r="C286" t="s">
        <v>6557</v>
      </c>
      <c r="D286" t="str" cm="1">
        <f t="array" ref="D286:G286">TRANSPOSE(_xlfn._xlws.FILTER('Controllable Asset Registry'!$A$4:$A$554,IFERROR('Controllable Asset Registry'!$E$4:$E$554=A286,FALSE),"No Equipment in entity"))</f>
        <v>VAV_2F_S15_001</v>
      </c>
      <c r="E286" t="str">
        <v>VAV_2F_S15_002</v>
      </c>
      <c r="F286" t="str">
        <v>VAV_2F_S15_003</v>
      </c>
      <c r="G286" t="str">
        <v>VAV_2F_S15_004</v>
      </c>
    </row>
    <row r="287" spans="1:7" x14ac:dyDescent="0.3">
      <c r="A287" t="str">
        <f t="shared" si="4"/>
        <v>entity:QNL_L2_070_INDIVISTUDY_ROOM</v>
      </c>
      <c r="B287" s="24" t="s">
        <v>6559</v>
      </c>
      <c r="C287" t="s">
        <v>6560</v>
      </c>
      <c r="D287" t="str" cm="1">
        <f t="array" ref="D287:F287">TRANSPOSE(_xlfn._xlws.FILTER('Controllable Asset Registry'!$A$4:$A$554,IFERROR('Controllable Asset Registry'!$E$4:$E$554=A287,FALSE),"No Equipment in entity"))</f>
        <v>FCU_2F_048</v>
      </c>
      <c r="E287" t="str">
        <v>FCU_2F_049</v>
      </c>
      <c r="F287" t="str">
        <v>FCU_2F_050</v>
      </c>
    </row>
    <row r="288" spans="1:7" x14ac:dyDescent="0.3">
      <c r="A288" t="str">
        <f t="shared" si="4"/>
        <v>entity:QNL_L2_071_INDIVISTUDY_ROOM</v>
      </c>
      <c r="B288" s="24" t="s">
        <v>6561</v>
      </c>
      <c r="C288" t="s">
        <v>6560</v>
      </c>
      <c r="D288" t="str" cm="1">
        <f t="array" ref="D288">TRANSPOSE(_xlfn._xlws.FILTER('Controllable Asset Registry'!$A$4:$A$554,IFERROR('Controllable Asset Registry'!$E$4:$E$554=A288,FALSE),"No Equipment in entity"))</f>
        <v>No Equipment in entity</v>
      </c>
    </row>
    <row r="289" spans="1:10" x14ac:dyDescent="0.3">
      <c r="A289" t="str">
        <f t="shared" si="4"/>
        <v>entity:QNL_L2_072_INDIVISTUDY_ROOM</v>
      </c>
      <c r="B289" s="24" t="s">
        <v>6562</v>
      </c>
      <c r="C289" t="s">
        <v>6560</v>
      </c>
      <c r="D289" t="str" cm="1">
        <f t="array" ref="D289">TRANSPOSE(_xlfn._xlws.FILTER('Controllable Asset Registry'!$A$4:$A$554,IFERROR('Controllable Asset Registry'!$E$4:$E$554=A289,FALSE),"No Equipment in entity"))</f>
        <v>No Equipment in entity</v>
      </c>
    </row>
    <row r="290" spans="1:10" x14ac:dyDescent="0.3">
      <c r="A290" t="str">
        <f t="shared" si="4"/>
        <v>entity:QNL_L2_073_INDIVISTUDY_ROOM</v>
      </c>
      <c r="B290" s="24" t="s">
        <v>6564</v>
      </c>
      <c r="C290" t="s">
        <v>6560</v>
      </c>
      <c r="D290" t="str" cm="1">
        <f t="array" ref="D290:F290">TRANSPOSE(_xlfn._xlws.FILTER('Controllable Asset Registry'!$A$4:$A$554,IFERROR('Controllable Asset Registry'!$E$4:$E$554=A290,FALSE),"No Equipment in entity"))</f>
        <v>FCU_2F_051</v>
      </c>
      <c r="E290" t="str">
        <v>FCU_2F_052</v>
      </c>
      <c r="F290" t="str">
        <v>FCU_2F_053</v>
      </c>
    </row>
    <row r="291" spans="1:10" x14ac:dyDescent="0.3">
      <c r="A291" t="str">
        <f t="shared" si="4"/>
        <v>entity:QNL_L2_074_INDIVISTUDY_ROOM</v>
      </c>
      <c r="B291" s="24" t="s">
        <v>6565</v>
      </c>
      <c r="C291" t="s">
        <v>6560</v>
      </c>
      <c r="D291" t="str" cm="1">
        <f t="array" ref="D291">TRANSPOSE(_xlfn._xlws.FILTER('Controllable Asset Registry'!$A$4:$A$554,IFERROR('Controllable Asset Registry'!$E$4:$E$554=A291,FALSE),"No Equipment in entity"))</f>
        <v>No Equipment in entity</v>
      </c>
    </row>
    <row r="292" spans="1:10" x14ac:dyDescent="0.3">
      <c r="A292" t="str">
        <f t="shared" si="4"/>
        <v>entity:QNL_L2_075_INDIVISTUDY_ROOM</v>
      </c>
      <c r="B292" s="24" t="s">
        <v>6566</v>
      </c>
      <c r="C292" t="s">
        <v>6560</v>
      </c>
      <c r="D292" t="str" cm="1">
        <f t="array" ref="D292">TRANSPOSE(_xlfn._xlws.FILTER('Controllable Asset Registry'!$A$4:$A$554,IFERROR('Controllable Asset Registry'!$E$4:$E$554=A292,FALSE),"No Equipment in entity"))</f>
        <v>No Equipment in entity</v>
      </c>
    </row>
    <row r="293" spans="1:10" x14ac:dyDescent="0.3">
      <c r="A293" t="str">
        <f t="shared" si="4"/>
        <v>entity:QNL_L2_076_GROUP_STUDY_ROOM</v>
      </c>
      <c r="B293" s="24" t="s">
        <v>6568</v>
      </c>
      <c r="C293" t="s">
        <v>6569</v>
      </c>
      <c r="D293" t="str" cm="1">
        <f t="array" ref="D293:E293">TRANSPOSE(_xlfn._xlws.FILTER('Controllable Asset Registry'!$A$4:$A$554,IFERROR('Controllable Asset Registry'!$E$4:$E$554=A293,FALSE),"No Equipment in entity"))</f>
        <v>FCU_2F_046</v>
      </c>
      <c r="E293" t="str">
        <v>FCU_2F_047</v>
      </c>
    </row>
    <row r="294" spans="1:10" x14ac:dyDescent="0.3">
      <c r="A294" t="str">
        <f t="shared" si="4"/>
        <v>entity:QNL_L2_077_GROUP_STUDY_ROOM</v>
      </c>
      <c r="B294" s="24" t="s">
        <v>6570</v>
      </c>
      <c r="C294" t="s">
        <v>6569</v>
      </c>
      <c r="D294" t="str" cm="1">
        <f t="array" ref="D294">TRANSPOSE(_xlfn._xlws.FILTER('Controllable Asset Registry'!$A$4:$A$554,IFERROR('Controllable Asset Registry'!$E$4:$E$554=A294,FALSE),"No Equipment in entity"))</f>
        <v>No Equipment in entity</v>
      </c>
    </row>
    <row r="295" spans="1:10" x14ac:dyDescent="0.3">
      <c r="A295" t="str">
        <f t="shared" si="4"/>
        <v>entity:QNL_L2_079_REST_ROOM_MEN</v>
      </c>
      <c r="B295" s="24" t="s">
        <v>6571</v>
      </c>
      <c r="C295" t="s">
        <v>6024</v>
      </c>
      <c r="D295" t="str" cm="1">
        <f t="array" ref="D295">TRANSPOSE(_xlfn._xlws.FILTER('Controllable Asset Registry'!$A$4:$A$554,IFERROR('Controllable Asset Registry'!$E$4:$E$554=A295,FALSE),"No Equipment in entity"))</f>
        <v>No Equipment in entity</v>
      </c>
    </row>
    <row r="296" spans="1:10" x14ac:dyDescent="0.3">
      <c r="A296" t="str">
        <f t="shared" si="4"/>
        <v>entity:QNL_L2_081_GROUP_STUDY_ROOM</v>
      </c>
      <c r="B296" s="24" t="s">
        <v>6573</v>
      </c>
      <c r="C296" t="s">
        <v>6569</v>
      </c>
      <c r="D296" t="str" cm="1">
        <f t="array" ref="D296">TRANSPOSE(_xlfn._xlws.FILTER('Controllable Asset Registry'!$A$4:$A$554,IFERROR('Controllable Asset Registry'!$E$4:$E$554=A296,FALSE),"No Equipment in entity"))</f>
        <v>FCU_2F_045</v>
      </c>
    </row>
    <row r="297" spans="1:10" x14ac:dyDescent="0.3">
      <c r="A297" t="str">
        <f t="shared" si="4"/>
        <v>entity:QNL_L2_085_REST_ROOM_WOMEN</v>
      </c>
      <c r="B297" s="24" t="s">
        <v>6574</v>
      </c>
      <c r="C297" t="s">
        <v>6028</v>
      </c>
      <c r="D297" t="str" cm="1">
        <f t="array" ref="D297">TRANSPOSE(_xlfn._xlws.FILTER('Controllable Asset Registry'!$A$4:$A$554,IFERROR('Controllable Asset Registry'!$E$4:$E$554=A297,FALSE),"No Equipment in entity"))</f>
        <v>No Equipment in entity</v>
      </c>
    </row>
    <row r="298" spans="1:10" x14ac:dyDescent="0.3">
      <c r="A298" t="str">
        <f t="shared" si="4"/>
        <v>entity:QNL_L2_087_AUDITORIUM_HIGH_LEVLEL_IN_CEILING_VOID</v>
      </c>
      <c r="B298" s="24" t="s">
        <v>6576</v>
      </c>
      <c r="C298" t="s">
        <v>6577</v>
      </c>
      <c r="D298" t="str" cm="1">
        <f t="array" ref="D298:J298">TRANSPOSE(_xlfn._xlws.FILTER('Controllable Asset Registry'!$A$4:$A$554,IFERROR('Controllable Asset Registry'!$E$4:$E$554=A298,FALSE),"No Equipment in entity"))</f>
        <v>FCU_2F_034</v>
      </c>
      <c r="E298" t="str">
        <v>FCU_2F_035</v>
      </c>
      <c r="F298" t="str">
        <v>FCU_2F_036</v>
      </c>
      <c r="G298" t="str">
        <v>FCU_2F_037</v>
      </c>
      <c r="H298" t="str">
        <v>FCU_2F_038</v>
      </c>
      <c r="I298" t="str">
        <v>FCU_2F_039</v>
      </c>
      <c r="J298" t="str">
        <v>FCU_2F_040</v>
      </c>
    </row>
    <row r="299" spans="1:10" x14ac:dyDescent="0.3">
      <c r="A299" t="str">
        <f t="shared" si="4"/>
        <v>entity:QNL_L2-L-1_1_L-1</v>
      </c>
      <c r="B299" s="24" t="s">
        <v>6578</v>
      </c>
      <c r="C299" t="s">
        <v>6280</v>
      </c>
      <c r="D299" t="str" cm="1">
        <f t="array" ref="D299">TRANSPOSE(_xlfn._xlws.FILTER('Controllable Asset Registry'!$A$4:$A$554,IFERROR('Controllable Asset Registry'!$E$4:$E$554=A299,FALSE),"No Equipment in entity"))</f>
        <v>No Equipment in entity</v>
      </c>
    </row>
    <row r="300" spans="1:10" x14ac:dyDescent="0.3">
      <c r="A300" t="str">
        <f t="shared" si="4"/>
        <v>entity:QNL_L2-L-1_2_L-2</v>
      </c>
      <c r="B300" s="24" t="s">
        <v>6579</v>
      </c>
      <c r="C300" t="s">
        <v>6284</v>
      </c>
      <c r="D300" t="str" cm="1">
        <f t="array" ref="D300">TRANSPOSE(_xlfn._xlws.FILTER('Controllable Asset Registry'!$A$4:$A$554,IFERROR('Controllable Asset Registry'!$E$4:$E$554=A300,FALSE),"No Equipment in entity"))</f>
        <v>No Equipment in entity</v>
      </c>
    </row>
    <row r="301" spans="1:10" x14ac:dyDescent="0.3">
      <c r="A301" t="str">
        <f t="shared" si="4"/>
        <v>entity:QNL_L2-L-3_L-3</v>
      </c>
      <c r="B301" s="24" t="s">
        <v>6580</v>
      </c>
      <c r="C301" t="s">
        <v>6286</v>
      </c>
      <c r="D301" t="str" cm="1">
        <f t="array" ref="D301">TRANSPOSE(_xlfn._xlws.FILTER('Controllable Asset Registry'!$A$4:$A$554,IFERROR('Controllable Asset Registry'!$E$4:$E$554=A301,FALSE),"No Equipment in entity"))</f>
        <v>No Equipment in entity</v>
      </c>
    </row>
    <row r="302" spans="1:10" x14ac:dyDescent="0.3">
      <c r="A302" t="str">
        <f t="shared" si="4"/>
        <v>entity:QNL_L2-L-4_L-4</v>
      </c>
      <c r="B302" s="24" t="s">
        <v>6581</v>
      </c>
      <c r="C302" t="s">
        <v>6288</v>
      </c>
      <c r="D302" t="str" cm="1">
        <f t="array" ref="D302">TRANSPOSE(_xlfn._xlws.FILTER('Controllable Asset Registry'!$A$4:$A$554,IFERROR('Controllable Asset Registry'!$E$4:$E$554=A302,FALSE),"No Equipment in entity"))</f>
        <v>No Equipment in entity</v>
      </c>
    </row>
    <row r="303" spans="1:10" x14ac:dyDescent="0.3">
      <c r="A303" t="str">
        <f t="shared" si="4"/>
        <v>entity:QNL_L2-ST-01_ST-01</v>
      </c>
      <c r="B303" s="24" t="s">
        <v>6582</v>
      </c>
      <c r="C303" t="s">
        <v>4760</v>
      </c>
      <c r="D303" t="str" cm="1">
        <f t="array" ref="D303">TRANSPOSE(_xlfn._xlws.FILTER('Controllable Asset Registry'!$A$4:$A$554,IFERROR('Controllable Asset Registry'!$E$4:$E$554=A303,FALSE),"No Equipment in entity"))</f>
        <v>No Equipment in entity</v>
      </c>
    </row>
    <row r="304" spans="1:10" x14ac:dyDescent="0.3">
      <c r="A304" t="str">
        <f t="shared" si="4"/>
        <v>entity:QNL_L2-ST-02_ST-02</v>
      </c>
      <c r="B304" s="24" t="s">
        <v>6583</v>
      </c>
      <c r="C304" t="s">
        <v>6291</v>
      </c>
      <c r="D304" t="str" cm="1">
        <f t="array" ref="D304">TRANSPOSE(_xlfn._xlws.FILTER('Controllable Asset Registry'!$A$4:$A$554,IFERROR('Controllable Asset Registry'!$E$4:$E$554=A304,FALSE),"No Equipment in entity"))</f>
        <v>No Equipment in entity</v>
      </c>
    </row>
    <row r="305" spans="1:20" x14ac:dyDescent="0.3">
      <c r="A305" t="str">
        <f t="shared" si="4"/>
        <v>entity:QNL_T1_020_OPEN_LOUNGE_TERRACE</v>
      </c>
      <c r="B305" s="24" t="s">
        <v>6585</v>
      </c>
      <c r="C305" t="s">
        <v>6586</v>
      </c>
      <c r="D305" t="str" cm="1">
        <f t="array" ref="D305:F305">TRANSPOSE(_xlfn._xlws.FILTER('Controllable Asset Registry'!$A$4:$A$554,IFERROR('Controllable Asset Registry'!$E$4:$E$554=A305,FALSE),"No Equipment in entity"))</f>
        <v>FCU_2F_060</v>
      </c>
      <c r="E305" t="str">
        <v>FCU_2F_061</v>
      </c>
      <c r="F305" t="str">
        <v>FCU_2F_062</v>
      </c>
    </row>
    <row r="306" spans="1:20" x14ac:dyDescent="0.3">
      <c r="A306" t="str">
        <f t="shared" si="4"/>
        <v>entity:QNL_T1_021_OPEN_STUDY_TERRACE</v>
      </c>
      <c r="B306" s="24" t="s">
        <v>6588</v>
      </c>
      <c r="C306" t="s">
        <v>6589</v>
      </c>
      <c r="D306" t="str" cm="1">
        <f t="array" ref="D306:G306">TRANSPOSE(_xlfn._xlws.FILTER('Controllable Asset Registry'!$A$4:$A$554,IFERROR('Controllable Asset Registry'!$E$4:$E$554=A306,FALSE),"No Equipment in entity"))</f>
        <v>FCU_2F_056</v>
      </c>
      <c r="E306" t="str">
        <v>FCU_2F_057</v>
      </c>
      <c r="F306" t="str">
        <v>FCU_2F_058</v>
      </c>
      <c r="G306" t="str">
        <v>FCU_2F_059</v>
      </c>
    </row>
    <row r="307" spans="1:20" x14ac:dyDescent="0.3">
      <c r="A307" t="str">
        <f t="shared" si="4"/>
        <v>entity:QNL_T1_323_IDF_ROOM</v>
      </c>
      <c r="B307" s="24" t="s">
        <v>6591</v>
      </c>
      <c r="C307" t="s">
        <v>4206</v>
      </c>
      <c r="D307" t="str" cm="1">
        <f t="array" ref="D307">TRANSPOSE(_xlfn._xlws.FILTER('Controllable Asset Registry'!$A$4:$A$554,IFERROR('Controllable Asset Registry'!$E$4:$E$554=A307,FALSE),"No Equipment in entity"))</f>
        <v>FCU_1F_001</v>
      </c>
    </row>
    <row r="308" spans="1:20" x14ac:dyDescent="0.3">
      <c r="A308" t="str">
        <f t="shared" si="4"/>
        <v>entity:QNL_L1_BR6_BRIDGE_CEILING_VOID</v>
      </c>
      <c r="B308" s="24" t="s">
        <v>6700</v>
      </c>
      <c r="C308" t="s">
        <v>6701</v>
      </c>
      <c r="D308" t="str" cm="1">
        <f t="array" ref="D308:N308">TRANSPOSE(_xlfn._xlws.FILTER('Controllable Asset Registry'!$A$4:$A$554,IFERROR('Controllable Asset Registry'!$E$4:$E$554=A308,FALSE),"No Equipment in entity"))</f>
        <v>FCU_1F_004</v>
      </c>
      <c r="E308" t="str">
        <v>FCU_1F_005</v>
      </c>
      <c r="F308" t="str">
        <v>FCU_1F_006</v>
      </c>
      <c r="G308" t="str">
        <v>FCU_1F_007</v>
      </c>
      <c r="H308" t="str">
        <v>FCU_1F_008</v>
      </c>
      <c r="I308" t="str">
        <v>FCU_1F_013</v>
      </c>
      <c r="J308" t="str">
        <v>FCU_1F_015</v>
      </c>
      <c r="K308" t="str">
        <v>FCU_1F_043</v>
      </c>
      <c r="L308" t="str">
        <v>FCU_1F_044</v>
      </c>
      <c r="M308" t="str">
        <v>FCU_1F_045</v>
      </c>
      <c r="N308" t="str">
        <v>FCU_1F_046</v>
      </c>
    </row>
    <row r="309" spans="1:20" x14ac:dyDescent="0.3">
      <c r="A309" t="str">
        <f t="shared" si="4"/>
        <v>entity:QNL_L1_BR5_BRIDGE_CEILING_VOID</v>
      </c>
      <c r="B309" s="24" t="s">
        <v>6702</v>
      </c>
      <c r="C309" t="s">
        <v>6701</v>
      </c>
      <c r="D309" t="str" cm="1">
        <f t="array" ref="D309:L309">TRANSPOSE(_xlfn._xlws.FILTER('Controllable Asset Registry'!$A$4:$A$554,IFERROR('Controllable Asset Registry'!$E$4:$E$554=A309,FALSE),"No Equipment in entity"))</f>
        <v>FCU_1F_009</v>
      </c>
      <c r="E309" t="str">
        <v>FCU_1F_010</v>
      </c>
      <c r="F309" t="str">
        <v>FCU_1F_011</v>
      </c>
      <c r="G309" t="str">
        <v>FCU_1F_012</v>
      </c>
      <c r="H309" t="str">
        <v>FCU_1F_019</v>
      </c>
      <c r="I309" t="str">
        <v>FCU_1F_021</v>
      </c>
      <c r="J309" t="str">
        <v>FCU_1F_042</v>
      </c>
      <c r="K309" t="str">
        <v>FCU_1F_053</v>
      </c>
      <c r="L309" t="str">
        <v>FCU_1F_054</v>
      </c>
    </row>
    <row r="310" spans="1:20" x14ac:dyDescent="0.3">
      <c r="A310" t="str">
        <f t="shared" si="4"/>
        <v>entity:QNL_L1_BR4_BRIDGE_CEILING_VOID</v>
      </c>
      <c r="B310" s="24" t="s">
        <v>6703</v>
      </c>
      <c r="C310" t="s">
        <v>6701</v>
      </c>
      <c r="D310" t="str" cm="1">
        <f t="array" ref="D310:L310">TRANSPOSE(_xlfn._xlws.FILTER('Controllable Asset Registry'!$A$4:$A$554,IFERROR('Controllable Asset Registry'!$E$4:$E$554=A310,FALSE),"No Equipment in entity"))</f>
        <v>FCU_1F_014</v>
      </c>
      <c r="E310" t="str">
        <v>FCU_1F_017</v>
      </c>
      <c r="F310" t="str">
        <v>FCU_1F_018</v>
      </c>
      <c r="G310" t="str">
        <v>FCU_1F_026</v>
      </c>
      <c r="H310" t="str">
        <v>FCU_1F_028</v>
      </c>
      <c r="I310" t="str">
        <v>FCU_1F_039</v>
      </c>
      <c r="J310" t="str">
        <v>FCU_1F_040</v>
      </c>
      <c r="K310" t="str">
        <v>FCU_1F_051</v>
      </c>
      <c r="L310" t="str">
        <v>FCU_1F_052</v>
      </c>
    </row>
    <row r="311" spans="1:20" x14ac:dyDescent="0.3">
      <c r="A311" t="str">
        <f t="shared" si="4"/>
        <v>entity:QNL_L1_BR3_BRIDGE_CEILING_VOID</v>
      </c>
      <c r="B311" s="24" t="s">
        <v>6704</v>
      </c>
      <c r="C311" t="s">
        <v>6701</v>
      </c>
      <c r="D311" t="str" cm="1">
        <f t="array" ref="D311:I311">TRANSPOSE(_xlfn._xlws.FILTER('Controllable Asset Registry'!$A$4:$A$554,IFERROR('Controllable Asset Registry'!$E$4:$E$554=A311,FALSE),"No Equipment in entity"))</f>
        <v>FCU_1F_020</v>
      </c>
      <c r="E311" t="str">
        <v>FCU_1F_022</v>
      </c>
      <c r="F311" t="str">
        <v>FCU_1F_023</v>
      </c>
      <c r="G311" t="str">
        <v>FCU_1F_024</v>
      </c>
      <c r="H311" t="str">
        <v>FCU_1F_037</v>
      </c>
      <c r="I311" t="str">
        <v>FCU_1F_038</v>
      </c>
    </row>
    <row r="312" spans="1:20" x14ac:dyDescent="0.3">
      <c r="A312" t="str">
        <f t="shared" si="4"/>
        <v>entity:QNL_L1_BR2_BRIDGE_CEILING_VOID</v>
      </c>
      <c r="B312" s="24" t="s">
        <v>6705</v>
      </c>
      <c r="C312" t="s">
        <v>6701</v>
      </c>
      <c r="D312" t="str" cm="1">
        <f t="array" ref="D312:K312">TRANSPOSE(_xlfn._xlws.FILTER('Controllable Asset Registry'!$A$4:$A$554,IFERROR('Controllable Asset Registry'!$E$4:$E$554=A312,FALSE),"No Equipment in entity"))</f>
        <v>FCU_1F_025</v>
      </c>
      <c r="E312" t="str">
        <v>FCU_1F_027</v>
      </c>
      <c r="F312" t="str">
        <v>FCU_1F_029</v>
      </c>
      <c r="G312" t="str">
        <v>FCU_1F_030</v>
      </c>
      <c r="H312" t="str">
        <v>FCU_1F_035</v>
      </c>
      <c r="I312" t="str">
        <v>FCU_1F_036</v>
      </c>
      <c r="J312" t="str">
        <v>FCU_1F_049</v>
      </c>
      <c r="K312" t="str">
        <v>FCU_1F_050</v>
      </c>
    </row>
    <row r="313" spans="1:20" x14ac:dyDescent="0.3">
      <c r="A313" t="str">
        <f t="shared" si="4"/>
        <v>entity:QNL_L1_BR1_BRIDGE_CEILING_VOID</v>
      </c>
      <c r="B313" s="24" t="s">
        <v>6706</v>
      </c>
      <c r="C313" t="s">
        <v>6701</v>
      </c>
      <c r="D313" t="str" cm="1">
        <f t="array" ref="D313:I313">TRANSPOSE(_xlfn._xlws.FILTER('Controllable Asset Registry'!$A$4:$A$554,IFERROR('Controllable Asset Registry'!$E$4:$E$554=A313,FALSE),"No Equipment in entity"))</f>
        <v>FCU_1F_031</v>
      </c>
      <c r="E313" t="str">
        <v>FCU_1F_032</v>
      </c>
      <c r="F313" t="str">
        <v>FCU_1F_033</v>
      </c>
      <c r="G313" t="str">
        <v>FCU_1F_034</v>
      </c>
      <c r="H313" t="str">
        <v>FCU_1F_047</v>
      </c>
      <c r="I313" t="str">
        <v>FCU_1F_048</v>
      </c>
    </row>
    <row r="314" spans="1:20" x14ac:dyDescent="0.3">
      <c r="A314" t="str">
        <f t="shared" si="4"/>
        <v>entity:QNL_L1_144_ILL_DIRECTOR</v>
      </c>
      <c r="B314" s="24" t="s">
        <v>6593</v>
      </c>
      <c r="C314" t="s">
        <v>6594</v>
      </c>
      <c r="D314" t="str" cm="1">
        <f t="array" ref="D314:E314">TRANSPOSE(_xlfn._xlws.FILTER('Controllable Asset Registry'!$A$4:$A$554,IFERROR('Controllable Asset Registry'!$E$4:$E$554=A314,FALSE),"No Equipment in entity"))</f>
        <v>FCU_1F_057</v>
      </c>
      <c r="E314" t="str">
        <v>FCU_1F_058</v>
      </c>
    </row>
    <row r="315" spans="1:20" x14ac:dyDescent="0.3">
      <c r="A315" t="str">
        <f t="shared" si="4"/>
        <v>entity:QNL_L1_150_RESTAURANT</v>
      </c>
      <c r="B315" s="24" t="s">
        <v>6596</v>
      </c>
      <c r="C315" t="s">
        <v>6399</v>
      </c>
      <c r="D315" t="str" cm="1">
        <f t="array" ref="D315:T315">TRANSPOSE(_xlfn._xlws.FILTER('Controllable Asset Registry'!$A$4:$A$554,IFERROR('Controllable Asset Registry'!$E$4:$E$554=A315,FALSE),"No Equipment in entity"))</f>
        <v>FCU_1F_059</v>
      </c>
      <c r="E315" t="str">
        <v>FCU_1F_060</v>
      </c>
      <c r="F315" t="str">
        <v>FCU_1F_061</v>
      </c>
      <c r="G315" t="str">
        <v>FCU_1F_062</v>
      </c>
      <c r="H315" t="str">
        <v>FCU_1F_063</v>
      </c>
      <c r="I315" t="str">
        <v>FCU_1F_064</v>
      </c>
      <c r="J315" t="str">
        <v>CAV_1F_S15_002</v>
      </c>
      <c r="K315" t="str">
        <v>CAV_1F_S15_005</v>
      </c>
      <c r="L315" t="str">
        <v>CAV_1F_S15_006</v>
      </c>
      <c r="M315" t="str">
        <v>CAV_1F_S15_010</v>
      </c>
      <c r="N315" t="str">
        <v>CAV_1F_S15_011</v>
      </c>
      <c r="O315" t="str">
        <v>CAV_1F_S15_012</v>
      </c>
      <c r="P315" t="str">
        <v>CAV_1F_S15_013</v>
      </c>
      <c r="Q315" t="str">
        <v>CAV_1F_S15_014</v>
      </c>
      <c r="R315" t="str">
        <v>CAV_1F_S15_015</v>
      </c>
      <c r="S315" t="str">
        <v>CAV_1F_S15_016</v>
      </c>
      <c r="T315" t="str">
        <v>CAV_1F_S15_017</v>
      </c>
    </row>
    <row r="316" spans="1:20" x14ac:dyDescent="0.3">
      <c r="A316" t="str">
        <f t="shared" si="4"/>
        <v>entity:QNL_T1_275_IDF_ROOM</v>
      </c>
      <c r="B316" s="24" t="s">
        <v>6598</v>
      </c>
      <c r="C316" t="s">
        <v>4206</v>
      </c>
      <c r="D316" t="str" cm="1">
        <f t="array" ref="D316">TRANSPOSE(_xlfn._xlws.FILTER('Controllable Asset Registry'!$A$4:$A$554,IFERROR('Controllable Asset Registry'!$E$4:$E$554=A316,FALSE),"No Equipment in entity"))</f>
        <v>FCU_2F_001</v>
      </c>
    </row>
    <row r="317" spans="1:20" x14ac:dyDescent="0.3">
      <c r="A317" t="str">
        <f t="shared" si="4"/>
        <v>entity:QNL_T1_276_IDF_ROOM</v>
      </c>
      <c r="B317" s="24" t="s">
        <v>6600</v>
      </c>
      <c r="C317" t="s">
        <v>4206</v>
      </c>
      <c r="D317" t="str" cm="1">
        <f t="array" ref="D317">TRANSPOSE(_xlfn._xlws.FILTER('Controllable Asset Registry'!$A$4:$A$554,IFERROR('Controllable Asset Registry'!$E$4:$E$554=A317,FALSE),"No Equipment in entity"))</f>
        <v>FCU_2F_002</v>
      </c>
    </row>
    <row r="318" spans="1:20" x14ac:dyDescent="0.3">
      <c r="A318" t="str">
        <f t="shared" si="4"/>
        <v>entity:QNL_T1_171_IDF_ROOM</v>
      </c>
      <c r="B318" s="24" t="s">
        <v>6602</v>
      </c>
      <c r="C318" t="s">
        <v>4206</v>
      </c>
      <c r="D318" t="str" cm="1">
        <f t="array" ref="D318">TRANSPOSE(_xlfn._xlws.FILTER('Controllable Asset Registry'!$A$4:$A$554,IFERROR('Controllable Asset Registry'!$E$4:$E$554=A318,FALSE),"No Equipment in entity"))</f>
        <v>FCU_2F_003</v>
      </c>
    </row>
    <row r="319" spans="1:20" x14ac:dyDescent="0.3">
      <c r="A319" t="str">
        <f t="shared" si="4"/>
        <v>entity:QNL_T1_1714_IDF_ROOM</v>
      </c>
      <c r="B319" s="24" t="s">
        <v>6604</v>
      </c>
      <c r="C319" t="s">
        <v>4206</v>
      </c>
      <c r="D319" t="str" cm="1">
        <f t="array" ref="D319">TRANSPOSE(_xlfn._xlws.FILTER('Controllable Asset Registry'!$A$4:$A$554,IFERROR('Controllable Asset Registry'!$E$4:$E$554=A319,FALSE),"No Equipment in entity"))</f>
        <v>FCU_2F_004</v>
      </c>
    </row>
    <row r="320" spans="1:20" x14ac:dyDescent="0.3">
      <c r="A320" t="str">
        <f t="shared" si="4"/>
        <v>entity:QNL_L2_088_BRIDGE_RAISED_FLOOR</v>
      </c>
      <c r="B320" s="24" t="s">
        <v>6606</v>
      </c>
      <c r="C320" t="s">
        <v>6607</v>
      </c>
      <c r="D320" t="str" cm="1">
        <f t="array" ref="D320:G320">TRANSPOSE(_xlfn._xlws.FILTER('Controllable Asset Registry'!$A$4:$A$554,IFERROR('Controllable Asset Registry'!$E$4:$E$554=A320,FALSE),"No Equipment in entity"))</f>
        <v>FCU_2F_041</v>
      </c>
      <c r="E320" t="str">
        <v>FCU_2F_042</v>
      </c>
      <c r="F320" t="str">
        <v>FCU_2F_043</v>
      </c>
      <c r="G320" t="str">
        <v>FCU_2F_044</v>
      </c>
    </row>
    <row r="321" spans="1:9" x14ac:dyDescent="0.3">
      <c r="A321" t="str">
        <f t="shared" si="4"/>
        <v>entity:QNL_B_140_HL_PLANT_ROOM</v>
      </c>
      <c r="B321" s="24" t="s">
        <v>6609</v>
      </c>
      <c r="C321" t="s">
        <v>6177</v>
      </c>
      <c r="D321" t="str" cm="1">
        <f t="array" ref="D321">TRANSPOSE(_xlfn._xlws.FILTER('Controllable Asset Registry'!$A$4:$A$554,IFERROR('Controllable Asset Registry'!$E$4:$E$554=A321,FALSE),"No Equipment in entity"))</f>
        <v>FCU_B_005</v>
      </c>
    </row>
    <row r="322" spans="1:9" x14ac:dyDescent="0.3">
      <c r="A322" t="str">
        <f t="shared" ref="A322:A342" si="5">"entity:QNL_"&amp;B322&amp;"_"&amp;C322</f>
        <v>entity:QNL_B_105_SECURITY_CONTOL_ROOM</v>
      </c>
      <c r="B322" s="24" t="s">
        <v>6611</v>
      </c>
      <c r="C322" t="s">
        <v>6612</v>
      </c>
      <c r="D322" t="str" cm="1">
        <f t="array" ref="D322:E322">TRANSPOSE(_xlfn._xlws.FILTER('Controllable Asset Registry'!$A$4:$A$554,IFERROR('Controllable Asset Registry'!$E$4:$E$554=A322,FALSE),"No Equipment in entity"))</f>
        <v>FCU_B_010</v>
      </c>
      <c r="E322" t="str">
        <v>VAV_B_S13_008</v>
      </c>
    </row>
    <row r="323" spans="1:9" x14ac:dyDescent="0.3">
      <c r="A323" t="str">
        <f t="shared" si="5"/>
        <v>entity:QNL_B_212_MISTING_PUMP_ROOM</v>
      </c>
      <c r="B323" s="24" t="s">
        <v>6614</v>
      </c>
      <c r="C323" t="s">
        <v>6615</v>
      </c>
      <c r="D323" t="str" cm="1">
        <f t="array" ref="D323:E323">TRANSPOSE(_xlfn._xlws.FILTER('Controllable Asset Registry'!$A$4:$A$554,IFERROR('Controllable Asset Registry'!$E$4:$E$554=A323,FALSE),"No Equipment in entity"))</f>
        <v>FCU_B_025</v>
      </c>
      <c r="E323" t="str">
        <v>FCU_B_026</v>
      </c>
    </row>
    <row r="324" spans="1:9" x14ac:dyDescent="0.3">
      <c r="A324" t="str">
        <f t="shared" si="5"/>
        <v>entity:QNL_L1_104_PRAYER_ROOM_FEMALE</v>
      </c>
      <c r="B324" s="24" t="s">
        <v>6617</v>
      </c>
      <c r="C324" t="s">
        <v>6465</v>
      </c>
      <c r="D324" t="str" cm="1">
        <f t="array" ref="D324:G324">TRANSPOSE(_xlfn._xlws.FILTER('Controllable Asset Registry'!$A$4:$A$554,IFERROR('Controllable Asset Registry'!$E$4:$E$554=A324,FALSE),"No Equipment in entity"))</f>
        <v>VAV_1F_S15_021</v>
      </c>
      <c r="E324" t="str">
        <v>VAV_1F_S15_022</v>
      </c>
      <c r="F324" t="str">
        <v>VAV_1F_S15_023</v>
      </c>
      <c r="G324" t="str">
        <v>VAV_1F_S15_024</v>
      </c>
    </row>
    <row r="325" spans="1:9" x14ac:dyDescent="0.3">
      <c r="A325" t="str">
        <f t="shared" si="5"/>
        <v>entity:QNL_B_001A_BREAK_OUT_AREA</v>
      </c>
      <c r="B325" s="24" t="s">
        <v>6619</v>
      </c>
      <c r="C325" t="s">
        <v>6620</v>
      </c>
      <c r="D325" t="str" cm="1">
        <f t="array" ref="D325:H325">TRANSPOSE(_xlfn._xlws.FILTER('Controllable Asset Registry'!$A$4:$A$554,IFERROR('Controllable Asset Registry'!$E$4:$E$554=A325,FALSE),"No Equipment in entity"))</f>
        <v>VAV_B_S11_001</v>
      </c>
      <c r="E325" t="str">
        <v>VAV_B_S11_002</v>
      </c>
      <c r="F325" t="str">
        <v>VAV_B_S11_011</v>
      </c>
      <c r="G325" t="str">
        <v>VAV_B_S11_012</v>
      </c>
      <c r="H325" t="str">
        <v>KEF_B04</v>
      </c>
    </row>
    <row r="326" spans="1:9" x14ac:dyDescent="0.3">
      <c r="A326" t="str">
        <f t="shared" si="5"/>
        <v>entity:QNL_B_056_OFFICE_DIG_INIT</v>
      </c>
      <c r="B326" s="24" t="s">
        <v>6623</v>
      </c>
      <c r="C326" t="s">
        <v>6066</v>
      </c>
      <c r="D326" t="str" cm="1">
        <f t="array" ref="D326">TRANSPOSE(_xlfn._xlws.FILTER('Controllable Asset Registry'!$A$4:$A$554,IFERROR('Controllable Asset Registry'!$E$4:$E$554=A326,FALSE),"No Equipment in entity"))</f>
        <v>VAV_B_S14_002</v>
      </c>
    </row>
    <row r="327" spans="1:9" x14ac:dyDescent="0.3">
      <c r="A327" t="str">
        <f t="shared" si="5"/>
        <v>entity:QNL_B_057_OFFICE_AD_FOR_LIT</v>
      </c>
      <c r="B327" s="24" t="s">
        <v>6625</v>
      </c>
      <c r="C327" t="s">
        <v>6068</v>
      </c>
      <c r="D327" t="str" cm="1">
        <f t="array" ref="D327:E327">TRANSPOSE(_xlfn._xlws.FILTER('Controllable Asset Registry'!$A$4:$A$554,IFERROR('Controllable Asset Registry'!$E$4:$E$554=A327,FALSE),"No Equipment in entity"))</f>
        <v>VAV_B_S14_003</v>
      </c>
      <c r="E327" t="str">
        <v>VAV_B_S14_009</v>
      </c>
    </row>
    <row r="328" spans="1:9" x14ac:dyDescent="0.3">
      <c r="A328" t="str">
        <f t="shared" si="5"/>
        <v>entity:QNL_B_59_SHELL_SPACE</v>
      </c>
      <c r="B328" s="24" t="s">
        <v>6627</v>
      </c>
      <c r="C328" t="s">
        <v>4439</v>
      </c>
      <c r="D328" t="str" cm="1">
        <f t="array" ref="D328">TRANSPOSE(_xlfn._xlws.FILTER('Controllable Asset Registry'!$A$4:$A$554,IFERROR('Controllable Asset Registry'!$E$4:$E$554=A328,FALSE),"No Equipment in entity"))</f>
        <v>VAV_B_S14_014</v>
      </c>
    </row>
    <row r="329" spans="1:9" x14ac:dyDescent="0.3">
      <c r="A329" t="str">
        <f t="shared" si="5"/>
        <v>entity:QNL_B_044_BOH_KITCHEN</v>
      </c>
      <c r="B329" s="24" t="s">
        <v>6629</v>
      </c>
      <c r="C329" t="s">
        <v>6630</v>
      </c>
      <c r="D329" t="str" cm="1">
        <f t="array" ref="D329:H329">TRANSPOSE(_xlfn._xlws.FILTER('Controllable Asset Registry'!$A$4:$A$554,IFERROR('Controllable Asset Registry'!$E$4:$E$554=A329,FALSE),"No Equipment in entity"))</f>
        <v>VAV_B_S14_040</v>
      </c>
      <c r="E329" t="str">
        <v>VAV_B_S14_041</v>
      </c>
      <c r="F329" t="str">
        <v>VAV_B_S14_047</v>
      </c>
      <c r="G329" t="str">
        <v>CAV_B_S14_006</v>
      </c>
      <c r="H329" t="str">
        <v>CAV_B_S14_007</v>
      </c>
    </row>
    <row r="330" spans="1:9" x14ac:dyDescent="0.3">
      <c r="A330" t="str">
        <f t="shared" si="5"/>
        <v>entity:QNL_L1_023_CORRIDOR</v>
      </c>
      <c r="B330" s="24" t="s">
        <v>6632</v>
      </c>
      <c r="C330" t="s">
        <v>3318</v>
      </c>
      <c r="D330" t="str" cm="1">
        <f t="array" ref="D330:F330">TRANSPOSE(_xlfn._xlws.FILTER('Controllable Asset Registry'!$A$4:$A$554,IFERROR('Controllable Asset Registry'!$E$4:$E$554=A330,FALSE),"No Equipment in entity"))</f>
        <v>CAV_1F_S11_001</v>
      </c>
      <c r="E330" t="str">
        <v>CAV_1F_S11_002</v>
      </c>
      <c r="F330" t="str">
        <v>CAV_1F_S11_007</v>
      </c>
    </row>
    <row r="331" spans="1:9" x14ac:dyDescent="0.3">
      <c r="A331" t="str">
        <f t="shared" si="5"/>
        <v>entity:QNL_B_061_CORRIDOR</v>
      </c>
      <c r="B331" s="24" t="s">
        <v>6633</v>
      </c>
      <c r="C331" t="s">
        <v>3318</v>
      </c>
      <c r="D331" t="str" cm="1">
        <f t="array" ref="D331">TRANSPOSE(_xlfn._xlws.FILTER('Controllable Asset Registry'!$A$4:$A$554,IFERROR('Controllable Asset Registry'!$E$4:$E$554=A331,FALSE),"No Equipment in entity"))</f>
        <v>No Equipment in entity</v>
      </c>
    </row>
    <row r="332" spans="1:9" x14ac:dyDescent="0.3">
      <c r="A332" t="str">
        <f t="shared" si="5"/>
        <v>entity:QNL_B_064_CORRIDOR_2</v>
      </c>
      <c r="B332" s="24" t="s">
        <v>6635</v>
      </c>
      <c r="C332" t="s">
        <v>6636</v>
      </c>
      <c r="D332" t="str" cm="1">
        <f t="array" ref="D332:I332">TRANSPOSE(_xlfn._xlws.FILTER('Controllable Asset Registry'!$A$4:$A$554,IFERROR('Controllable Asset Registry'!$E$4:$E$554=A332,FALSE),"No Equipment in entity"))</f>
        <v>CAV_B_S13_001</v>
      </c>
      <c r="E332" t="str">
        <v>CAV_B_S13_002</v>
      </c>
      <c r="F332" t="str">
        <v>CAV_B_S13_003</v>
      </c>
      <c r="G332" t="str">
        <v>CAV_B_S13_004</v>
      </c>
      <c r="H332" t="str">
        <v>CAV_B_S13_005</v>
      </c>
      <c r="I332" t="str">
        <v>CAV_B_S13_014</v>
      </c>
    </row>
    <row r="333" spans="1:9" x14ac:dyDescent="0.3">
      <c r="A333" t="str">
        <f t="shared" si="5"/>
        <v>entity:QNL_B_035_CORRIDOR_4</v>
      </c>
      <c r="B333" s="24" t="s">
        <v>6638</v>
      </c>
      <c r="C333" t="s">
        <v>6639</v>
      </c>
      <c r="D333" t="str" cm="1">
        <f t="array" ref="D333:F333">TRANSPOSE(_xlfn._xlws.FILTER('Controllable Asset Registry'!$A$4:$A$554,IFERROR('Controllable Asset Registry'!$E$4:$E$554=A333,FALSE),"No Equipment in entity"))</f>
        <v>CAV_B_S13_006</v>
      </c>
      <c r="E333" t="str">
        <v>CAV_B_S13_007</v>
      </c>
      <c r="F333" t="str">
        <v>CAV_B_S13_008</v>
      </c>
    </row>
    <row r="334" spans="1:9" x14ac:dyDescent="0.3">
      <c r="A334" t="str">
        <f t="shared" si="5"/>
        <v>entity:QNL_B_104A_PLANT_ROOM</v>
      </c>
      <c r="B334" s="24" t="s">
        <v>6641</v>
      </c>
      <c r="C334" t="s">
        <v>4613</v>
      </c>
      <c r="D334" t="str" cm="1">
        <f t="array" ref="D334">TRANSPOSE(_xlfn._xlws.FILTER('Controllable Asset Registry'!$A$4:$A$554,IFERROR('Controllable Asset Registry'!$E$4:$E$554=A334,FALSE),"No Equipment in entity"))</f>
        <v>CAV_B_S13_050</v>
      </c>
    </row>
    <row r="335" spans="1:9" x14ac:dyDescent="0.3">
      <c r="A335" t="str">
        <f t="shared" si="5"/>
        <v>entity:QNL_B_052_CORRIDOR_3</v>
      </c>
      <c r="B335" s="24" t="s">
        <v>6643</v>
      </c>
      <c r="C335" t="s">
        <v>6644</v>
      </c>
      <c r="D335" t="str" cm="1">
        <f t="array" ref="D335:E335">TRANSPOSE(_xlfn._xlws.FILTER('Controllable Asset Registry'!$A$4:$A$554,IFERROR('Controllable Asset Registry'!$E$4:$E$554=A335,FALSE),"No Equipment in entity"))</f>
        <v>CAV_B_S14_002</v>
      </c>
      <c r="E335" t="str">
        <v>KEF_B020</v>
      </c>
    </row>
    <row r="336" spans="1:9" x14ac:dyDescent="0.3">
      <c r="A336" t="str">
        <f t="shared" si="5"/>
        <v>entity:QNL_L1_990_VESTIBULE</v>
      </c>
      <c r="B336" s="24" t="s">
        <v>6646</v>
      </c>
      <c r="C336" t="s">
        <v>3341</v>
      </c>
      <c r="D336" t="str" cm="1">
        <f t="array" ref="D336">TRANSPOSE(_xlfn._xlws.FILTER('Controllable Asset Registry'!$A$4:$A$554,IFERROR('Controllable Asset Registry'!$E$4:$E$554=A336,FALSE),"No Equipment in entity"))</f>
        <v>FCU_1F_055</v>
      </c>
    </row>
    <row r="337" spans="1:10" x14ac:dyDescent="0.3">
      <c r="A337" t="str">
        <f t="shared" si="5"/>
        <v>entity:QNL_L1_991_EXTERNAL_BOOK_DROP</v>
      </c>
      <c r="B337" s="24" t="s">
        <v>6648</v>
      </c>
      <c r="C337" t="s">
        <v>6649</v>
      </c>
      <c r="D337" t="str" cm="1">
        <f t="array" ref="D337">TRANSPOSE(_xlfn._xlws.FILTER('Controllable Asset Registry'!$A$4:$A$554,IFERROR('Controllable Asset Registry'!$E$4:$E$554=A337,FALSE),"No Equipment in entity"))</f>
        <v>FCU_1F_056</v>
      </c>
    </row>
    <row r="338" spans="1:10" x14ac:dyDescent="0.3">
      <c r="A338" t="str">
        <f t="shared" si="5"/>
        <v>entity:QNL_L2_992_GULF_MATERIAL</v>
      </c>
      <c r="B338" s="24" t="s">
        <v>6651</v>
      </c>
      <c r="C338" t="s">
        <v>6652</v>
      </c>
      <c r="D338" t="str" cm="1">
        <f t="array" ref="D338:I338">TRANSPOSE(_xlfn._xlws.FILTER('Controllable Asset Registry'!$A$4:$A$554,IFERROR('Controllable Asset Registry'!$E$4:$E$554=A338,FALSE),"No Equipment in entity"))</f>
        <v>VAV_2F_S10_001</v>
      </c>
      <c r="E338" t="str">
        <v>VAV_2F_S10_002</v>
      </c>
      <c r="F338" t="str">
        <v>VAV_2F_S10_003</v>
      </c>
      <c r="G338" t="str">
        <v>VAV_2F_S10_004</v>
      </c>
      <c r="H338" t="str">
        <v>VAV_2F_S10_005</v>
      </c>
      <c r="I338" t="str">
        <v>VAV_2F_S10_006</v>
      </c>
    </row>
    <row r="339" spans="1:10" x14ac:dyDescent="0.3">
      <c r="A339" t="str">
        <f t="shared" si="5"/>
        <v>entity:QNL_L2_993_CORRIDOR</v>
      </c>
      <c r="B339" s="24" t="s">
        <v>6654</v>
      </c>
      <c r="C339" t="s">
        <v>3318</v>
      </c>
      <c r="D339" t="str" cm="1">
        <f t="array" ref="D339:J339">TRANSPOSE(_xlfn._xlws.FILTER('Controllable Asset Registry'!$A$4:$A$554,IFERROR('Controllable Asset Registry'!$E$4:$E$554=A339,FALSE),"No Equipment in entity"))</f>
        <v>VAV_2F_S12_025</v>
      </c>
      <c r="E339" t="str">
        <v>VAV_2F_S13_010</v>
      </c>
      <c r="F339" t="str">
        <v>VAV_2F_S13_011</v>
      </c>
      <c r="G339" t="str">
        <v>VAV_2F_S13_012</v>
      </c>
      <c r="H339" t="str">
        <v>VAV_2F_S13_013</v>
      </c>
      <c r="I339" t="str">
        <v>VAV_2F_S13_014</v>
      </c>
      <c r="J339" t="str">
        <v>VAV_2F_S13_015</v>
      </c>
    </row>
    <row r="340" spans="1:10" x14ac:dyDescent="0.3">
      <c r="A340" t="str">
        <f t="shared" si="5"/>
        <v>entity:QNL_L1_BC1_BRIDGE_CEILING</v>
      </c>
      <c r="B340" s="24" t="s">
        <v>6707</v>
      </c>
      <c r="C340" t="s">
        <v>6708</v>
      </c>
      <c r="D340" t="str" cm="1">
        <f t="array" ref="D340">TRANSPOSE(_xlfn._xlws.FILTER('Controllable Asset Registry'!$A$4:$A$554,IFERROR('Controllable Asset Registry'!$E$4:$E$554=A340,FALSE),"No Equipment in entity"))</f>
        <v>FCU_1F_016</v>
      </c>
    </row>
    <row r="341" spans="1:10" x14ac:dyDescent="0.3">
      <c r="A341" t="str">
        <f t="shared" si="5"/>
        <v>entity:QNL_L1_BC2_BRIDGE_CEILING</v>
      </c>
      <c r="B341" s="24" t="s">
        <v>6709</v>
      </c>
      <c r="C341" t="s">
        <v>6708</v>
      </c>
      <c r="D341" t="str" cm="1">
        <f t="array" ref="D341">TRANSPOSE(_xlfn._xlws.FILTER('Controllable Asset Registry'!$A$4:$A$554,IFERROR('Controllable Asset Registry'!$E$4:$E$554=A341,FALSE),"No Equipment in entity"))</f>
        <v>FCU_1F_041</v>
      </c>
    </row>
    <row r="342" spans="1:10" x14ac:dyDescent="0.3">
      <c r="A342" t="str">
        <f t="shared" si="5"/>
        <v>entity:QNL_L1_BI_BRIDGE_IDF</v>
      </c>
      <c r="B342" s="24" t="s">
        <v>6710</v>
      </c>
      <c r="C342" t="s">
        <v>6711</v>
      </c>
      <c r="D342" t="str" cm="1">
        <f t="array" ref="D342">TRANSPOSE(_xlfn._xlws.FILTER('Controllable Asset Registry'!$A$4:$A$554,IFERROR('Controllable Asset Registry'!$E$4:$E$554=A342,FALSE),"No Equipment in entity"))</f>
        <v>FCU_1F_065</v>
      </c>
    </row>
    <row r="343" spans="1:10" x14ac:dyDescent="0.3">
      <c r="A343" t="str">
        <f t="shared" ref="A343:A353" si="6">"entity:QNL_"&amp;B343&amp;"_"&amp;C343</f>
        <v>entity:QNL_B_083_HV_ROOM</v>
      </c>
      <c r="B343" s="24" t="s">
        <v>6772</v>
      </c>
      <c r="C343" t="s">
        <v>6773</v>
      </c>
      <c r="D343" t="str" cm="1">
        <f t="array" ref="D343:E343">TRANSPOSE(_xlfn._xlws.FILTER('Controllable Asset Registry'!$A$4:$A$554,IFERROR('Controllable Asset Registry'!$E$4:$E$554=A343,FALSE),"No Equipment in entity"))</f>
        <v>DX_B05</v>
      </c>
      <c r="E343" t="str">
        <v>DX_B06</v>
      </c>
    </row>
    <row r="344" spans="1:10" x14ac:dyDescent="0.3">
      <c r="A344" t="str">
        <f t="shared" si="6"/>
        <v>entity:QNL_B_045A_REFRIGERATE_STORE</v>
      </c>
      <c r="B344" s="24" t="s">
        <v>6774</v>
      </c>
      <c r="C344" t="s">
        <v>6775</v>
      </c>
      <c r="D344" t="str" cm="1">
        <f t="array" ref="D344:F344">TRANSPOSE(_xlfn._xlws.FILTER('Controllable Asset Registry'!$A$4:$A$554,IFERROR('Controllable Asset Registry'!$E$4:$E$554=A344,FALSE),"No Equipment in entity"))</f>
        <v>DX_B17</v>
      </c>
      <c r="E344" t="str">
        <v>DX_B18</v>
      </c>
      <c r="F344" t="str">
        <v>DX_B19</v>
      </c>
    </row>
    <row r="345" spans="1:10" x14ac:dyDescent="0.3">
      <c r="A345" t="str">
        <f t="shared" si="6"/>
        <v>entity:QNL_P_004_PLANT_ZONE</v>
      </c>
      <c r="B345" s="24" t="s">
        <v>6776</v>
      </c>
      <c r="C345" t="s">
        <v>6777</v>
      </c>
      <c r="D345" t="str" cm="1">
        <f t="array" ref="D345:J345">TRANSPOSE(_xlfn._xlws.FILTER('Controllable Asset Registry'!$A$4:$A$554,IFERROR('Controllable Asset Registry'!$E$4:$E$554=A345,FALSE),"No Equipment in entity"))</f>
        <v>DX_B21</v>
      </c>
      <c r="E345" t="str">
        <v>DX_B24</v>
      </c>
      <c r="F345" t="str">
        <v>EF_RP02</v>
      </c>
      <c r="G345" t="str">
        <v>SEF_RP07</v>
      </c>
      <c r="H345" t="str">
        <v>SEF_RP08</v>
      </c>
      <c r="I345" t="str">
        <v>SEF_RP09</v>
      </c>
      <c r="J345" t="str">
        <v>SEF_ZoneB</v>
      </c>
    </row>
    <row r="346" spans="1:10" x14ac:dyDescent="0.3">
      <c r="A346" t="str">
        <f t="shared" si="6"/>
        <v>entity:QNL_B_055_DIGITIZATION_CENTER</v>
      </c>
      <c r="B346" s="24" t="s">
        <v>6778</v>
      </c>
      <c r="C346" t="s">
        <v>6779</v>
      </c>
      <c r="D346" t="str" cm="1">
        <f t="array" ref="D346">TRANSPOSE(_xlfn._xlws.FILTER('Controllable Asset Registry'!$A$4:$A$554,IFERROR('Controllable Asset Registry'!$E$4:$E$554=A346,FALSE),"No Equipment in entity"))</f>
        <v>EF_B06</v>
      </c>
    </row>
    <row r="347" spans="1:10" x14ac:dyDescent="0.3">
      <c r="A347" t="str">
        <f t="shared" si="6"/>
        <v>entity:QNL_B_214_IDF_ROOM</v>
      </c>
      <c r="B347" s="24" t="s">
        <v>6780</v>
      </c>
      <c r="C347" t="s">
        <v>4206</v>
      </c>
      <c r="D347" t="str" cm="1">
        <f t="array" ref="D347">TRANSPOSE(_xlfn._xlws.FILTER('Controllable Asset Registry'!$A$4:$A$554,IFERROR('Controllable Asset Registry'!$E$4:$E$554=A347,FALSE),"No Equipment in entity"))</f>
        <v>EF_B12</v>
      </c>
    </row>
    <row r="348" spans="1:10" x14ac:dyDescent="0.3">
      <c r="A348" t="str">
        <f t="shared" si="6"/>
        <v>entity:QNL_P_002_PLANT_ZONE</v>
      </c>
      <c r="B348" s="24" t="s">
        <v>6781</v>
      </c>
      <c r="C348" t="s">
        <v>6777</v>
      </c>
      <c r="D348" t="str" cm="1">
        <f t="array" ref="D348:H348">TRANSPOSE(_xlfn._xlws.FILTER('Controllable Asset Registry'!$A$4:$A$554,IFERROR('Controllable Asset Registry'!$E$4:$E$554=A348,FALSE),"No Equipment in entity"))</f>
        <v>EF_RP01</v>
      </c>
      <c r="E348" t="str">
        <v>SEF_RP04</v>
      </c>
      <c r="F348" t="str">
        <v>SEF_RP05</v>
      </c>
      <c r="G348" t="str">
        <v>SEF_RP06</v>
      </c>
      <c r="H348" t="str">
        <v>SEF_ZoneA</v>
      </c>
    </row>
    <row r="349" spans="1:10" x14ac:dyDescent="0.3">
      <c r="A349" t="str">
        <f t="shared" si="6"/>
        <v>entity:QNL_P_007_PLANT_ZONE</v>
      </c>
      <c r="B349" s="24" t="s">
        <v>6782</v>
      </c>
      <c r="C349" t="s">
        <v>6777</v>
      </c>
      <c r="D349" t="str" cm="1">
        <f t="array" ref="D349:F349">TRANSPOSE(_xlfn._xlws.FILTER('Controllable Asset Registry'!$A$4:$A$554,IFERROR('Controllable Asset Registry'!$E$4:$E$554=A349,FALSE),"No Equipment in entity"))</f>
        <v>EF_RP03</v>
      </c>
      <c r="E349" t="str">
        <v>SEF_RP10</v>
      </c>
      <c r="F349" t="str">
        <v>SEF_ZoneC</v>
      </c>
    </row>
    <row r="350" spans="1:10" x14ac:dyDescent="0.3">
      <c r="A350" t="str">
        <f t="shared" si="6"/>
        <v>entity:QNL_L1_067_RESTAURANT</v>
      </c>
      <c r="B350" s="24" t="s">
        <v>6783</v>
      </c>
      <c r="C350" t="s">
        <v>6399</v>
      </c>
      <c r="D350" t="str" cm="1">
        <f t="array" ref="D350">TRANSPOSE(_xlfn._xlws.FILTER('Controllable Asset Registry'!$A$4:$A$554,IFERROR('Controllable Asset Registry'!$E$4:$E$554=A350,FALSE),"No Equipment in entity"))</f>
        <v>KEF_101</v>
      </c>
    </row>
    <row r="351" spans="1:10" x14ac:dyDescent="0.3">
      <c r="A351" t="str">
        <f t="shared" si="6"/>
        <v>entity:QNL_P_006_PLANT_ZONE</v>
      </c>
      <c r="B351" s="24" t="s">
        <v>6784</v>
      </c>
      <c r="C351" t="s">
        <v>6777</v>
      </c>
      <c r="D351" t="str" cm="1">
        <f t="array" ref="D351:E351">TRANSPOSE(_xlfn._xlws.FILTER('Controllable Asset Registry'!$A$4:$A$554,IFERROR('Controllable Asset Registry'!$E$4:$E$554=A351,FALSE),"No Equipment in entity"))</f>
        <v>SEF_RP11</v>
      </c>
      <c r="E351" t="str">
        <v>SEF_RP12</v>
      </c>
    </row>
    <row r="352" spans="1:10" x14ac:dyDescent="0.3">
      <c r="A352" t="str">
        <f t="shared" si="6"/>
        <v>entity:QNL_L1-E2_ELEC_SHAFT</v>
      </c>
      <c r="B352" s="24" t="s">
        <v>6785</v>
      </c>
      <c r="C352" t="s">
        <v>6786</v>
      </c>
      <c r="D352" t="str" cm="1">
        <f t="array" ref="D352">TRANSPOSE(_xlfn._xlws.FILTER('Controllable Asset Registry'!$A$4:$A$554,IFERROR('Controllable Asset Registry'!$E$4:$E$554=A352,FALSE),"No Equipment in entity"))</f>
        <v>TEF_101C</v>
      </c>
    </row>
    <row r="353" spans="1:4" x14ac:dyDescent="0.3">
      <c r="A353" t="str">
        <f t="shared" si="6"/>
        <v>entity:QNL_L1-E1_ELEC_SHAFT</v>
      </c>
      <c r="B353" s="24" t="s">
        <v>6787</v>
      </c>
      <c r="C353" t="s">
        <v>6786</v>
      </c>
      <c r="D353" t="str" cm="1">
        <f t="array" ref="D353">TRANSPOSE(_xlfn._xlws.FILTER('Controllable Asset Registry'!$A$4:$A$554,IFERROR('Controllable Asset Registry'!$E$4:$E$554=A353,FALSE),"No Equipment in entity"))</f>
        <v>TEF_102C</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cb4b79b-439c-444a-b500-5bf636d4983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1AB3269EF62CF4DB6D42F7A0EAAB317" ma:contentTypeVersion="11" ma:contentTypeDescription="Create a new document." ma:contentTypeScope="" ma:versionID="870beaa49515d60df3cc91932dd2f396">
  <xsd:schema xmlns:xsd="http://www.w3.org/2001/XMLSchema" xmlns:xs="http://www.w3.org/2001/XMLSchema" xmlns:p="http://schemas.microsoft.com/office/2006/metadata/properties" xmlns:ns3="dcb4b79b-439c-444a-b500-5bf636d4983e" targetNamespace="http://schemas.microsoft.com/office/2006/metadata/properties" ma:root="true" ma:fieldsID="1373e2df3daab62917bc319af76ccf92" ns3:_="">
    <xsd:import namespace="dcb4b79b-439c-444a-b500-5bf636d4983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b4b79b-439c-444a-b500-5bf636d4983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75CF60-1C76-497B-8393-4332F8FF61F1}">
  <ds:schemaRefs>
    <ds:schemaRef ds:uri="http://schemas.microsoft.com/office/2006/documentManagement/types"/>
    <ds:schemaRef ds:uri="http://purl.org/dc/dcmitype/"/>
    <ds:schemaRef ds:uri="http://purl.org/dc/elements/1.1/"/>
    <ds:schemaRef ds:uri="http://purl.org/dc/terms/"/>
    <ds:schemaRef ds:uri="dcb4b79b-439c-444a-b500-5bf636d4983e"/>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AD6DDF89-0D09-4457-8566-8C67C764B12A}">
  <ds:schemaRefs>
    <ds:schemaRef ds:uri="http://schemas.microsoft.com/sharepoint/v3/contenttype/forms"/>
  </ds:schemaRefs>
</ds:datastoreItem>
</file>

<file path=customXml/itemProps3.xml><?xml version="1.0" encoding="utf-8"?>
<ds:datastoreItem xmlns:ds="http://schemas.openxmlformats.org/officeDocument/2006/customXml" ds:itemID="{DF721408-09EC-4E64-93AB-4145A7E951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b4b79b-439c-444a-b500-5bf636d498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Claude Log</vt:lpstr>
      <vt:lpstr>HQ Asset Register</vt:lpstr>
      <vt:lpstr>QNL Asset Register</vt:lpstr>
      <vt:lpstr>SSC Asset Register</vt:lpstr>
      <vt:lpstr>RDC Asset Register</vt:lpstr>
      <vt:lpstr>Controllable Asset Registry</vt:lpstr>
      <vt:lpstr>SSC Room Names with Equip.</vt:lpstr>
      <vt:lpstr>HQ Room Names with Equip.</vt:lpstr>
      <vt:lpstr>QNL Room Names with Equip.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 Sharaf Al Masri</cp:lastModifiedBy>
  <cp:revision>0</cp:revision>
  <dcterms:created xsi:type="dcterms:W3CDTF">2026-06-09T11:52:24Z</dcterms:created>
  <dcterms:modified xsi:type="dcterms:W3CDTF">2026-09-03T05:27:38Z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0x01010061AB3269EF62CF4DB6D42F7A0EAAB317</vt:lpwstr>
  </property>
</Properties>
</file>