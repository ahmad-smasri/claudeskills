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BMS Final verification\"/>
    </mc:Choice>
  </mc:AlternateContent>
  <xr:revisionPtr revIDLastSave="0" documentId="8_{07D21FFE-9764-43B9-92E8-25D06F0898FC}" xr6:coauthVersionLast="47" xr6:coauthVersionMax="47" xr10:uidLastSave="{00000000-0000-0000-0000-000000000000}"/>
  <bookViews>
    <workbookView xWindow="22932" yWindow="-2916" windowWidth="30936" windowHeight="16776" firstSheet="4" activeTab="5" xr2:uid="{00000000-000D-0000-FFFF-FFFF00000000}"/>
  </bookViews>
  <sheets>
    <sheet name="Claude Log" sheetId="1" r:id="rId1"/>
    <sheet name="HQ Asset Register" sheetId="2" r:id="rId2"/>
    <sheet name="QNL Asset Register" sheetId="3" r:id="rId3"/>
    <sheet name="SSC Asset Register" sheetId="4" r:id="rId4"/>
    <sheet name="RDC Asset Register" sheetId="5" r:id="rId5"/>
    <sheet name="Controllable Asset Registry" sheetId="6" r:id="rId6"/>
    <sheet name="SSC Room Names with Equip." sheetId="7" r:id="rId7"/>
    <sheet name="HQ Room Names with Equip." sheetId="9" r:id="rId8"/>
    <sheet name="QNL Room Names with Equip." sheetId="10" r:id="rId9"/>
  </sheets>
  <definedNames>
    <definedName name="_xlnm._FilterDatabase" localSheetId="5" hidden="1">'Controllable Asset Registry'!$A$2:$C$764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a="1"/>
  <c r="D3" i="10" s="1"/>
  <c r="D4" i="10" a="1"/>
  <c r="D4" i="10" s="1"/>
  <c r="D5" i="10" a="1"/>
  <c r="D5" i="10" s="1"/>
  <c r="D6" i="10" a="1"/>
  <c r="D6" i="10" s="1"/>
  <c r="D7" i="10" a="1"/>
  <c r="D7" i="10" s="1"/>
  <c r="D8" i="10" a="1"/>
  <c r="D8" i="10" s="1"/>
  <c r="D9" i="10" a="1"/>
  <c r="D9" i="10" s="1"/>
  <c r="D10" i="10" a="1"/>
  <c r="D10" i="10" s="1"/>
  <c r="D11" i="10" a="1"/>
  <c r="D11" i="10" s="1"/>
  <c r="D12" i="10" a="1"/>
  <c r="D12" i="10" s="1"/>
  <c r="D13" i="10" a="1"/>
  <c r="D13" i="10" s="1"/>
  <c r="D14" i="10" a="1"/>
  <c r="D14" i="10" s="1"/>
  <c r="D15" i="10" a="1"/>
  <c r="D15" i="10" s="1"/>
  <c r="D16" i="10" a="1"/>
  <c r="D16" i="10" s="1"/>
  <c r="D17" i="10" a="1"/>
  <c r="D17" i="10" s="1"/>
  <c r="D18" i="10" a="1"/>
  <c r="D18" i="10" s="1"/>
  <c r="D19" i="10" a="1"/>
  <c r="D19" i="10" s="1"/>
  <c r="D20" i="10" a="1"/>
  <c r="D20" i="10" s="1"/>
  <c r="D21" i="10" a="1"/>
  <c r="D21" i="10" s="1"/>
  <c r="D22" i="10" a="1"/>
  <c r="D22" i="10" s="1"/>
  <c r="D23" i="10" a="1"/>
  <c r="D23" i="10" s="1"/>
  <c r="D24" i="10" a="1"/>
  <c r="D24" i="10" s="1"/>
  <c r="D25" i="10" a="1"/>
  <c r="D25" i="10" s="1"/>
  <c r="D26" i="10" a="1"/>
  <c r="D26" i="10" s="1"/>
  <c r="D27" i="10" a="1"/>
  <c r="D27" i="10" s="1"/>
  <c r="D28" i="10" a="1"/>
  <c r="D28" i="10" s="1"/>
  <c r="D29" i="10" a="1"/>
  <c r="D29" i="10" s="1"/>
  <c r="D30" i="10" a="1"/>
  <c r="D30" i="10"/>
  <c r="D31" i="10" a="1"/>
  <c r="D31" i="10" s="1"/>
  <c r="D32" i="10" a="1"/>
  <c r="D32" i="10" s="1"/>
  <c r="D33" i="10" a="1"/>
  <c r="D33" i="10" s="1"/>
  <c r="D34" i="10" a="1"/>
  <c r="D34" i="10" s="1"/>
  <c r="D35" i="10" a="1"/>
  <c r="D35" i="10" s="1"/>
  <c r="D36" i="10" a="1"/>
  <c r="D36" i="10" s="1"/>
  <c r="D37" i="10" a="1"/>
  <c r="D37" i="10" s="1"/>
  <c r="D38" i="10" a="1"/>
  <c r="D38" i="10" s="1"/>
  <c r="D39" i="10" a="1"/>
  <c r="D39" i="10" s="1"/>
  <c r="D40" i="10" a="1"/>
  <c r="D40" i="10" s="1"/>
  <c r="D41" i="10" a="1"/>
  <c r="D41" i="10" s="1"/>
  <c r="D42" i="10" a="1"/>
  <c r="D42" i="10" s="1"/>
  <c r="D43" i="10" a="1"/>
  <c r="D43" i="10" s="1"/>
  <c r="D44" i="10" a="1"/>
  <c r="D44" i="10" s="1"/>
  <c r="D45" i="10" a="1"/>
  <c r="D45" i="10" s="1"/>
  <c r="D46" i="10" a="1"/>
  <c r="D46" i="10" s="1"/>
  <c r="D47" i="10" a="1"/>
  <c r="D47" i="10" s="1"/>
  <c r="D48" i="10" a="1"/>
  <c r="D48" i="10" s="1"/>
  <c r="D49" i="10" a="1"/>
  <c r="D49" i="10" s="1"/>
  <c r="D50" i="10" a="1"/>
  <c r="D50" i="10" s="1"/>
  <c r="D51" i="10" a="1"/>
  <c r="D51" i="10" s="1"/>
  <c r="D52" i="10" a="1"/>
  <c r="D52" i="10" s="1"/>
  <c r="D53" i="10" a="1"/>
  <c r="D53" i="10" s="1"/>
  <c r="D54" i="10" a="1"/>
  <c r="D54" i="10" s="1"/>
  <c r="D55" i="10" a="1"/>
  <c r="D55" i="10" s="1"/>
  <c r="D56" i="10" a="1"/>
  <c r="D56" i="10" s="1"/>
  <c r="D57" i="10" a="1"/>
  <c r="D57" i="10" s="1"/>
  <c r="D58" i="10" a="1"/>
  <c r="D58" i="10" s="1"/>
  <c r="D59" i="10" a="1"/>
  <c r="D59" i="10" s="1"/>
  <c r="D60" i="10" a="1"/>
  <c r="D60" i="10" s="1"/>
  <c r="D61" i="10" a="1"/>
  <c r="D61" i="10" s="1"/>
  <c r="D62" i="10" a="1"/>
  <c r="D62" i="10" s="1"/>
  <c r="D63" i="10" a="1"/>
  <c r="D63" i="10" s="1"/>
  <c r="D64" i="10" a="1"/>
  <c r="D64" i="10" s="1"/>
  <c r="D65" i="10" a="1"/>
  <c r="D65" i="10" s="1"/>
  <c r="D66" i="10" a="1"/>
  <c r="D66" i="10" s="1"/>
  <c r="D67" i="10" a="1"/>
  <c r="D67" i="10" s="1"/>
  <c r="D68" i="10" a="1"/>
  <c r="D68" i="10" s="1"/>
  <c r="D69" i="10" a="1"/>
  <c r="D69" i="10" s="1"/>
  <c r="D70" i="10" a="1"/>
  <c r="D70" i="10" s="1"/>
  <c r="D71" i="10" a="1"/>
  <c r="D71" i="10" s="1"/>
  <c r="D72" i="10" a="1"/>
  <c r="D72" i="10" s="1"/>
  <c r="D73" i="10" a="1"/>
  <c r="D73" i="10" s="1"/>
  <c r="D74" i="10" a="1"/>
  <c r="D74" i="10" s="1"/>
  <c r="D75" i="10" a="1"/>
  <c r="D75" i="10" s="1"/>
  <c r="D76" i="10" a="1"/>
  <c r="D76" i="10" s="1"/>
  <c r="D77" i="10" a="1"/>
  <c r="D77" i="10" s="1"/>
  <c r="D78" i="10" a="1"/>
  <c r="D78" i="10" s="1"/>
  <c r="D79" i="10" a="1"/>
  <c r="D79" i="10" s="1"/>
  <c r="D80" i="10" a="1"/>
  <c r="D80" i="10" s="1"/>
  <c r="D81" i="10" a="1"/>
  <c r="D81" i="10" s="1"/>
  <c r="D82" i="10" a="1"/>
  <c r="D82" i="10" s="1"/>
  <c r="D83" i="10" a="1"/>
  <c r="D83" i="10" s="1"/>
  <c r="D84" i="10" a="1"/>
  <c r="D84" i="10" s="1"/>
  <c r="D85" i="10" a="1"/>
  <c r="D85" i="10" s="1"/>
  <c r="D86" i="10" a="1"/>
  <c r="D86" i="10" s="1"/>
  <c r="D87" i="10" a="1"/>
  <c r="D87" i="10" s="1"/>
  <c r="D88" i="10" a="1"/>
  <c r="D88" i="10"/>
  <c r="D89" i="10" a="1"/>
  <c r="D89" i="10" s="1"/>
  <c r="D90" i="10" a="1"/>
  <c r="D90" i="10" s="1"/>
  <c r="D91" i="10" a="1"/>
  <c r="D91" i="10" s="1"/>
  <c r="D92" i="10" a="1"/>
  <c r="D92" i="10" s="1"/>
  <c r="D93" i="10" a="1"/>
  <c r="D93" i="10" s="1"/>
  <c r="D94" i="10" a="1"/>
  <c r="D94" i="10" s="1"/>
  <c r="D95" i="10" a="1"/>
  <c r="D95" i="10" s="1"/>
  <c r="D96" i="10" a="1"/>
  <c r="D96" i="10" s="1"/>
  <c r="D97" i="10" a="1"/>
  <c r="D97" i="10" s="1"/>
  <c r="D98" i="10" a="1"/>
  <c r="D98" i="10" s="1"/>
  <c r="D99" i="10" a="1"/>
  <c r="D99" i="10" s="1"/>
  <c r="D100" i="10" a="1"/>
  <c r="D100" i="10" s="1"/>
  <c r="D101" i="10" a="1"/>
  <c r="D101" i="10" s="1"/>
  <c r="D102" i="10" a="1"/>
  <c r="D102" i="10" s="1"/>
  <c r="D103" i="10" a="1"/>
  <c r="D103" i="10" s="1"/>
  <c r="D104" i="10" a="1"/>
  <c r="D104" i="10" s="1"/>
  <c r="D105" i="10" a="1"/>
  <c r="D105" i="10" s="1"/>
  <c r="D106" i="10" a="1"/>
  <c r="D106" i="10" s="1"/>
  <c r="D107" i="10" a="1"/>
  <c r="D107" i="10" s="1"/>
  <c r="D108" i="10" a="1"/>
  <c r="D108" i="10" s="1"/>
  <c r="D109" i="10" a="1"/>
  <c r="D109" i="10" s="1"/>
  <c r="D110" i="10" a="1"/>
  <c r="D110" i="10" s="1"/>
  <c r="D111" i="10" a="1"/>
  <c r="D111" i="10" s="1"/>
  <c r="D112" i="10" a="1"/>
  <c r="D112" i="10" s="1"/>
  <c r="D113" i="10" a="1"/>
  <c r="D113" i="10" s="1"/>
  <c r="D114" i="10" a="1"/>
  <c r="D114" i="10" s="1"/>
  <c r="D115" i="10" a="1"/>
  <c r="D115" i="10" s="1"/>
  <c r="D116" i="10" a="1"/>
  <c r="D116" i="10" s="1"/>
  <c r="D117" i="10" a="1"/>
  <c r="D117" i="10" s="1"/>
  <c r="D118" i="10" a="1"/>
  <c r="D118" i="10" s="1"/>
  <c r="D119" i="10" a="1"/>
  <c r="D119" i="10" s="1"/>
  <c r="D120" i="10" a="1"/>
  <c r="D120" i="10" s="1"/>
  <c r="D121" i="10" a="1"/>
  <c r="D121" i="10" s="1"/>
  <c r="D122" i="10" a="1"/>
  <c r="D122" i="10" s="1"/>
  <c r="D123" i="10" a="1"/>
  <c r="D123" i="10" s="1"/>
  <c r="D124" i="10" a="1"/>
  <c r="D124" i="10" s="1"/>
  <c r="D125" i="10" a="1"/>
  <c r="D125" i="10" s="1"/>
  <c r="D126" i="10" a="1"/>
  <c r="D126" i="10" s="1"/>
  <c r="D127" i="10" a="1"/>
  <c r="D127" i="10" s="1"/>
  <c r="D128" i="10" a="1"/>
  <c r="D128" i="10" s="1"/>
  <c r="D129" i="10" a="1"/>
  <c r="D129" i="10" s="1"/>
  <c r="D130" i="10" a="1"/>
  <c r="D130" i="10" s="1"/>
  <c r="D131" i="10" a="1"/>
  <c r="D131" i="10" s="1"/>
  <c r="D132" i="10" a="1"/>
  <c r="D132" i="10" s="1"/>
  <c r="D133" i="10" a="1"/>
  <c r="D133" i="10" s="1"/>
  <c r="D134" i="10" a="1"/>
  <c r="D134" i="10" s="1"/>
  <c r="D135" i="10" a="1"/>
  <c r="D135" i="10" s="1"/>
  <c r="D136" i="10" a="1"/>
  <c r="D136" i="10" s="1"/>
  <c r="D137" i="10" a="1"/>
  <c r="D137" i="10" s="1"/>
  <c r="D138" i="10" a="1"/>
  <c r="D138" i="10" s="1"/>
  <c r="D139" i="10" a="1"/>
  <c r="D139" i="10" s="1"/>
  <c r="D140" i="10" a="1"/>
  <c r="D140" i="10" s="1"/>
  <c r="D141" i="10" a="1"/>
  <c r="D141" i="10" s="1"/>
  <c r="D142" i="10" a="1"/>
  <c r="D142" i="10" s="1"/>
  <c r="D143" i="10" a="1"/>
  <c r="D143" i="10" s="1"/>
  <c r="D144" i="10" a="1"/>
  <c r="D144" i="10" s="1"/>
  <c r="D145" i="10" a="1"/>
  <c r="D145" i="10" s="1"/>
  <c r="D146" i="10" a="1"/>
  <c r="D146" i="10" s="1"/>
  <c r="D147" i="10" a="1"/>
  <c r="D147" i="10" s="1"/>
  <c r="D148" i="10" a="1"/>
  <c r="D148" i="10" s="1"/>
  <c r="D149" i="10" a="1"/>
  <c r="D149" i="10" s="1"/>
  <c r="D150" i="10" a="1"/>
  <c r="D150" i="10" s="1"/>
  <c r="D151" i="10" a="1"/>
  <c r="D151" i="10" s="1"/>
  <c r="D152" i="10" a="1"/>
  <c r="D152" i="10"/>
  <c r="D153" i="10" a="1"/>
  <c r="D153" i="10" s="1"/>
  <c r="D154" i="10" a="1"/>
  <c r="D154" i="10" s="1"/>
  <c r="D155" i="10" a="1"/>
  <c r="D155" i="10" s="1"/>
  <c r="D156" i="10" a="1"/>
  <c r="D156" i="10" s="1"/>
  <c r="D157" i="10" a="1"/>
  <c r="D157" i="10" s="1"/>
  <c r="D158" i="10" a="1"/>
  <c r="D158" i="10" s="1"/>
  <c r="D159" i="10" a="1"/>
  <c r="D159" i="10" s="1"/>
  <c r="D160" i="10" a="1"/>
  <c r="D160" i="10" s="1"/>
  <c r="D161" i="10" a="1"/>
  <c r="D161" i="10" s="1"/>
  <c r="D162" i="10" a="1"/>
  <c r="D162" i="10" s="1"/>
  <c r="D163" i="10" a="1"/>
  <c r="D163" i="10" s="1"/>
  <c r="D164" i="10" a="1"/>
  <c r="D164" i="10" s="1"/>
  <c r="D165" i="10" a="1"/>
  <c r="D165" i="10" s="1"/>
  <c r="D166" i="10" a="1"/>
  <c r="D166" i="10" s="1"/>
  <c r="D167" i="10" a="1"/>
  <c r="D167" i="10" s="1"/>
  <c r="D168" i="10" a="1"/>
  <c r="D168" i="10"/>
  <c r="D169" i="10" a="1"/>
  <c r="D169" i="10" s="1"/>
  <c r="D170" i="10" a="1"/>
  <c r="D170" i="10" s="1"/>
  <c r="D171" i="10" a="1"/>
  <c r="D171" i="10" s="1"/>
  <c r="D172" i="10" a="1"/>
  <c r="D172" i="10" s="1"/>
  <c r="D173" i="10" a="1"/>
  <c r="D173" i="10" s="1"/>
  <c r="D174" i="10" a="1"/>
  <c r="D174" i="10" s="1"/>
  <c r="D175" i="10" a="1"/>
  <c r="D175" i="10"/>
  <c r="D176" i="10" a="1"/>
  <c r="D176" i="10" s="1"/>
  <c r="D177" i="10" a="1"/>
  <c r="D177" i="10" s="1"/>
  <c r="D178" i="10" a="1"/>
  <c r="D178" i="10" s="1"/>
  <c r="D179" i="10" a="1"/>
  <c r="D179" i="10" s="1"/>
  <c r="D180" i="10" a="1"/>
  <c r="D180" i="10" s="1"/>
  <c r="D181" i="10" a="1"/>
  <c r="D181" i="10" s="1"/>
  <c r="D182" i="10" a="1"/>
  <c r="D182" i="10" s="1"/>
  <c r="D183" i="10" a="1"/>
  <c r="D183" i="10" s="1"/>
  <c r="D184" i="10" a="1"/>
  <c r="D184" i="10" s="1"/>
  <c r="D185" i="10" a="1"/>
  <c r="D185" i="10" s="1"/>
  <c r="D186" i="10" a="1"/>
  <c r="D186" i="10" s="1"/>
  <c r="D187" i="10" a="1"/>
  <c r="D187" i="10" s="1"/>
  <c r="D188" i="10" a="1"/>
  <c r="D188" i="10" s="1"/>
  <c r="D189" i="10" a="1"/>
  <c r="D189" i="10" s="1"/>
  <c r="D190" i="10" a="1"/>
  <c r="D190" i="10" s="1"/>
  <c r="D191" i="10" a="1"/>
  <c r="D191" i="10" s="1"/>
  <c r="D192" i="10" a="1"/>
  <c r="D192" i="10" s="1"/>
  <c r="D193" i="10" a="1"/>
  <c r="D193" i="10" s="1"/>
  <c r="D194" i="10" a="1"/>
  <c r="D194" i="10" s="1"/>
  <c r="D195" i="10" a="1"/>
  <c r="D195" i="10" s="1"/>
  <c r="D196" i="10" a="1"/>
  <c r="D196" i="10" s="1"/>
  <c r="D197" i="10" a="1"/>
  <c r="D197" i="10" s="1"/>
  <c r="D198" i="10" a="1"/>
  <c r="D198" i="10" s="1"/>
  <c r="D199" i="10" a="1"/>
  <c r="D199" i="10"/>
  <c r="D200" i="10" a="1"/>
  <c r="D200" i="10" s="1"/>
  <c r="D201" i="10" a="1"/>
  <c r="D201" i="10" s="1"/>
  <c r="D202" i="10" a="1"/>
  <c r="D202" i="10" s="1"/>
  <c r="D203" i="10" a="1"/>
  <c r="D203" i="10" s="1"/>
  <c r="D204" i="10" a="1"/>
  <c r="D204" i="10" s="1"/>
  <c r="D205" i="10" a="1"/>
  <c r="D205" i="10" s="1"/>
  <c r="D206" i="10" a="1"/>
  <c r="D206" i="10"/>
  <c r="D207" i="10" a="1"/>
  <c r="D207" i="10" s="1"/>
  <c r="D208" i="10" a="1"/>
  <c r="D208" i="10" s="1"/>
  <c r="D209" i="10" a="1"/>
  <c r="D209" i="10" s="1"/>
  <c r="D210" i="10" a="1"/>
  <c r="D210" i="10" s="1"/>
  <c r="D211" i="10" a="1"/>
  <c r="D211" i="10" s="1"/>
  <c r="D212" i="10" a="1"/>
  <c r="D212" i="10" s="1"/>
  <c r="D213" i="10" a="1"/>
  <c r="D213" i="10" s="1"/>
  <c r="D214" i="10" a="1"/>
  <c r="D214" i="10" s="1"/>
  <c r="D215" i="10" a="1"/>
  <c r="D215" i="10" s="1"/>
  <c r="D216" i="10" a="1"/>
  <c r="D216" i="10" s="1"/>
  <c r="D217" i="10" a="1"/>
  <c r="D217" i="10" s="1"/>
  <c r="D218" i="10" a="1"/>
  <c r="D218" i="10" s="1"/>
  <c r="D219" i="10" a="1"/>
  <c r="D219" i="10" s="1"/>
  <c r="D220" i="10" a="1"/>
  <c r="D220" i="10" s="1"/>
  <c r="D221" i="10" a="1"/>
  <c r="D221" i="10" s="1"/>
  <c r="D222" i="10" a="1"/>
  <c r="D222" i="10" s="1"/>
  <c r="D223" i="10" a="1"/>
  <c r="D223" i="10" s="1"/>
  <c r="D224" i="10" a="1"/>
  <c r="D224" i="10" s="1"/>
  <c r="D225" i="10" a="1"/>
  <c r="D225" i="10"/>
  <c r="D226" i="10" a="1"/>
  <c r="D226" i="10" s="1"/>
  <c r="D227" i="10" a="1"/>
  <c r="D227" i="10" s="1"/>
  <c r="D228" i="10" a="1"/>
  <c r="D228" i="10" s="1"/>
  <c r="D229" i="10" a="1"/>
  <c r="D229" i="10" s="1"/>
  <c r="D230" i="10" a="1"/>
  <c r="D230" i="10" s="1"/>
  <c r="D231" i="10" a="1"/>
  <c r="D231" i="10" s="1"/>
  <c r="D232" i="10" a="1"/>
  <c r="D232" i="10" s="1"/>
  <c r="D233" i="10" a="1"/>
  <c r="D233" i="10" s="1"/>
  <c r="D234" i="10" a="1"/>
  <c r="D234" i="10" s="1"/>
  <c r="D235" i="10" a="1"/>
  <c r="D235" i="10" s="1"/>
  <c r="D236" i="10" a="1"/>
  <c r="D236" i="10" s="1"/>
  <c r="D237" i="10" a="1"/>
  <c r="D237" i="10"/>
  <c r="D238" i="10" a="1"/>
  <c r="D238" i="10" s="1"/>
  <c r="D239" i="10" a="1"/>
  <c r="D239" i="10" s="1"/>
  <c r="D240" i="10" a="1"/>
  <c r="D240" i="10" s="1"/>
  <c r="D241" i="10" a="1"/>
  <c r="D241" i="10" s="1"/>
  <c r="D242" i="10" a="1"/>
  <c r="D242" i="10"/>
  <c r="D243" i="10" a="1"/>
  <c r="D243" i="10" s="1"/>
  <c r="D244" i="10" a="1"/>
  <c r="D244" i="10" s="1"/>
  <c r="D245" i="10" a="1"/>
  <c r="D245" i="10" s="1"/>
  <c r="D246" i="10" a="1"/>
  <c r="D246" i="10" s="1"/>
  <c r="D247" i="10" a="1"/>
  <c r="D247" i="10" s="1"/>
  <c r="D248" i="10" a="1"/>
  <c r="D248" i="10" s="1"/>
  <c r="D249" i="10" a="1"/>
  <c r="D249" i="10" s="1"/>
  <c r="D250" i="10" a="1"/>
  <c r="D250" i="10" s="1"/>
  <c r="D251" i="10" a="1"/>
  <c r="D251" i="10" s="1"/>
  <c r="D252" i="10" a="1"/>
  <c r="D252" i="10" s="1"/>
  <c r="D253" i="10" a="1"/>
  <c r="D253" i="10" s="1"/>
  <c r="D254" i="10" a="1"/>
  <c r="D254" i="10" s="1"/>
  <c r="D255" i="10" a="1"/>
  <c r="D255" i="10" s="1"/>
  <c r="D256" i="10" a="1"/>
  <c r="D256" i="10" s="1"/>
  <c r="D257" i="10" a="1"/>
  <c r="D257" i="10" s="1"/>
  <c r="D258" i="10" a="1"/>
  <c r="D258" i="10" s="1"/>
  <c r="D259" i="10" a="1"/>
  <c r="D259" i="10" s="1"/>
  <c r="D260" i="10" a="1"/>
  <c r="D260" i="10" s="1"/>
  <c r="D261" i="10" a="1"/>
  <c r="D261" i="10" s="1"/>
  <c r="D262" i="10" a="1"/>
  <c r="D262" i="10" s="1"/>
  <c r="D263" i="10" a="1"/>
  <c r="D263" i="10" s="1"/>
  <c r="D264" i="10" a="1"/>
  <c r="D264" i="10" s="1"/>
  <c r="D265" i="10" a="1"/>
  <c r="D265" i="10" s="1"/>
  <c r="D266" i="10" a="1"/>
  <c r="D266" i="10"/>
  <c r="D267" i="10" a="1"/>
  <c r="D267" i="10"/>
  <c r="D268" i="10" a="1"/>
  <c r="D268" i="10" s="1"/>
  <c r="D269" i="10" a="1"/>
  <c r="D269" i="10" s="1"/>
  <c r="D270" i="10" a="1"/>
  <c r="D270" i="10" s="1"/>
  <c r="D271" i="10" a="1"/>
  <c r="D271" i="10" s="1"/>
  <c r="D272" i="10" a="1"/>
  <c r="D272" i="10" s="1"/>
  <c r="D273" i="10" a="1"/>
  <c r="D273" i="10" s="1"/>
  <c r="D274" i="10" a="1"/>
  <c r="D274" i="10" s="1"/>
  <c r="D275" i="10" a="1"/>
  <c r="D275" i="10" s="1"/>
  <c r="D276" i="10" a="1"/>
  <c r="D276" i="10" s="1"/>
  <c r="D277" i="10" a="1"/>
  <c r="D277" i="10" s="1"/>
  <c r="D278" i="10" a="1"/>
  <c r="D278" i="10" s="1"/>
  <c r="D279" i="10" a="1"/>
  <c r="D279" i="10" s="1"/>
  <c r="D280" i="10" a="1"/>
  <c r="D280" i="10" s="1"/>
  <c r="D281" i="10" a="1"/>
  <c r="D281" i="10" s="1"/>
  <c r="D282" i="10" a="1"/>
  <c r="D282" i="10" s="1"/>
  <c r="D283" i="10" a="1"/>
  <c r="D283" i="10" s="1"/>
  <c r="D284" i="10" a="1"/>
  <c r="D284" i="10" s="1"/>
  <c r="D285" i="10" a="1"/>
  <c r="D285" i="10" s="1"/>
  <c r="D286" i="10" a="1"/>
  <c r="D286" i="10" s="1"/>
  <c r="D287" i="10" a="1"/>
  <c r="D287" i="10" s="1"/>
  <c r="D288" i="10" a="1"/>
  <c r="D288" i="10" s="1"/>
  <c r="D289" i="10" a="1"/>
  <c r="D289" i="10" s="1"/>
  <c r="D290" i="10" a="1"/>
  <c r="D290" i="10" s="1"/>
  <c r="D291" i="10" a="1"/>
  <c r="D291" i="10" s="1"/>
  <c r="D292" i="10" a="1"/>
  <c r="D292" i="10" s="1"/>
  <c r="D293" i="10" a="1"/>
  <c r="D293" i="10" s="1"/>
  <c r="D294" i="10" a="1"/>
  <c r="D294" i="10" s="1"/>
  <c r="D295" i="10" a="1"/>
  <c r="D295" i="10" s="1"/>
  <c r="D296" i="10" a="1"/>
  <c r="D296" i="10" s="1"/>
  <c r="D297" i="10" a="1"/>
  <c r="D297" i="10"/>
  <c r="D298" i="10" a="1"/>
  <c r="D298" i="10" s="1"/>
  <c r="D299" i="10" a="1"/>
  <c r="D299" i="10" s="1"/>
  <c r="D300" i="10" a="1"/>
  <c r="D300" i="10" s="1"/>
  <c r="D301" i="10" a="1"/>
  <c r="D301" i="10" s="1"/>
  <c r="D302" i="10" a="1"/>
  <c r="D302" i="10" s="1"/>
  <c r="D303" i="10" a="1"/>
  <c r="D303" i="10" s="1"/>
  <c r="D304" i="10" a="1"/>
  <c r="D304" i="10" s="1"/>
  <c r="D305" i="10" a="1"/>
  <c r="D305" i="10" s="1"/>
  <c r="D306" i="10" a="1"/>
  <c r="D306" i="10" s="1"/>
  <c r="D307" i="10" a="1"/>
  <c r="D307" i="10" s="1"/>
  <c r="D308" i="10" a="1"/>
  <c r="D308" i="10" s="1"/>
  <c r="D309" i="10" a="1"/>
  <c r="D309" i="10" s="1"/>
  <c r="D310" i="10" a="1"/>
  <c r="D310" i="10" s="1"/>
  <c r="D311" i="10" a="1"/>
  <c r="D311" i="10" s="1"/>
  <c r="D312" i="10" a="1"/>
  <c r="D312" i="10" s="1"/>
  <c r="D313" i="10" a="1"/>
  <c r="D313" i="10" s="1"/>
  <c r="D314" i="10" a="1"/>
  <c r="D314" i="10" s="1"/>
  <c r="D315" i="10" a="1"/>
  <c r="D315" i="10" s="1"/>
  <c r="D316" i="10" a="1"/>
  <c r="D316" i="10" s="1"/>
  <c r="D317" i="10" a="1"/>
  <c r="D317" i="10" s="1"/>
  <c r="D318" i="10" a="1"/>
  <c r="D318" i="10" s="1"/>
  <c r="D319" i="10" a="1"/>
  <c r="D319" i="10" s="1"/>
  <c r="D320" i="10" a="1"/>
  <c r="D320" i="10" s="1"/>
  <c r="D321" i="10" a="1"/>
  <c r="D321" i="10" s="1"/>
  <c r="D322" i="10" a="1"/>
  <c r="D322" i="10" s="1"/>
  <c r="D323" i="10" a="1"/>
  <c r="D323" i="10" s="1"/>
  <c r="D324" i="10" a="1"/>
  <c r="D324" i="10" s="1"/>
  <c r="D325" i="10" a="1"/>
  <c r="D325" i="10" s="1"/>
  <c r="D326" i="10" a="1"/>
  <c r="D326" i="10" s="1"/>
  <c r="D327" i="10" a="1"/>
  <c r="D327" i="10"/>
  <c r="D328" i="10" a="1"/>
  <c r="D328" i="10" s="1"/>
  <c r="D329" i="10" a="1"/>
  <c r="D329" i="10" s="1"/>
  <c r="D330" i="10" a="1"/>
  <c r="D330" i="10" s="1"/>
  <c r="D331" i="10" a="1"/>
  <c r="D331" i="10" s="1"/>
  <c r="D332" i="10" a="1"/>
  <c r="D332" i="10" s="1"/>
  <c r="D333" i="10" a="1"/>
  <c r="D333" i="10" s="1"/>
  <c r="D334" i="10" a="1"/>
  <c r="D334" i="10" s="1"/>
  <c r="D335" i="10" a="1"/>
  <c r="D335" i="10" s="1"/>
  <c r="D336" i="10" a="1"/>
  <c r="D336" i="10" s="1"/>
  <c r="D337" i="10" a="1"/>
  <c r="D337" i="10" s="1"/>
  <c r="D338" i="10" a="1"/>
  <c r="D338" i="10" s="1"/>
  <c r="D339" i="10" a="1"/>
  <c r="D339" i="10" s="1"/>
  <c r="D340" i="10" a="1"/>
  <c r="D340" i="10" s="1"/>
  <c r="D341" i="10" a="1"/>
  <c r="D341" i="10" s="1"/>
  <c r="D342" i="10" a="1"/>
  <c r="D342" i="10" s="1"/>
  <c r="D343" i="10" a="1"/>
  <c r="D343" i="10" s="1"/>
  <c r="D344" i="10" a="1"/>
  <c r="D344" i="10" s="1"/>
  <c r="D345" i="10" a="1"/>
  <c r="D345" i="10" s="1"/>
  <c r="D346" i="10" a="1"/>
  <c r="D346" i="10" s="1"/>
  <c r="D347" i="10" a="1"/>
  <c r="D347" i="10" s="1"/>
  <c r="D348" i="10" a="1"/>
  <c r="D348" i="10" s="1"/>
  <c r="D349" i="10" a="1"/>
  <c r="D349" i="10" s="1"/>
  <c r="D350" i="10" a="1"/>
  <c r="D350" i="10" s="1"/>
  <c r="D351" i="10" a="1"/>
  <c r="D351" i="10" s="1"/>
  <c r="D352" i="10" a="1"/>
  <c r="D352" i="10" s="1"/>
  <c r="D353" i="10" a="1"/>
  <c r="D353" i="10" s="1"/>
  <c r="D2" i="10" a="1"/>
  <c r="D2" i="10" s="1"/>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D1029" i="9" l="1" a="1"/>
  <c r="D1029" i="9" s="1"/>
  <c r="D1028" i="9" a="1"/>
  <c r="D1028" i="9" s="1"/>
  <c r="D1027" i="9" a="1"/>
  <c r="D1027" i="9" s="1"/>
  <c r="D1026" i="9" a="1"/>
  <c r="D1026" i="9" s="1"/>
  <c r="D1025" i="9" a="1"/>
  <c r="D1025" i="9" s="1"/>
  <c r="D1024" i="9" a="1"/>
  <c r="D1024" i="9" s="1"/>
  <c r="D1023" i="9" a="1"/>
  <c r="D1023" i="9" s="1"/>
  <c r="D1022" i="9" a="1"/>
  <c r="D1022" i="9" s="1"/>
  <c r="D1013" i="9" a="1"/>
  <c r="D1013" i="9" s="1"/>
  <c r="D1009" i="9" a="1"/>
  <c r="D1009" i="9" s="1"/>
  <c r="D1008" i="9" a="1"/>
  <c r="D1008" i="9" s="1"/>
  <c r="D1007" i="9" a="1"/>
  <c r="D1007" i="9" s="1"/>
  <c r="D1006" i="9" a="1"/>
  <c r="D1006" i="9" s="1"/>
  <c r="D1005" i="9" a="1"/>
  <c r="D1005" i="9" s="1"/>
  <c r="D1004" i="9" a="1"/>
  <c r="D1004" i="9" s="1"/>
  <c r="D1003" i="9" a="1"/>
  <c r="D1003" i="9" s="1"/>
  <c r="D1002" i="9" a="1"/>
  <c r="D1002" i="9" s="1"/>
  <c r="D993" i="9" a="1"/>
  <c r="D993" i="9" s="1"/>
  <c r="D990" i="9" a="1"/>
  <c r="D990" i="9" s="1"/>
  <c r="D989" i="9" a="1"/>
  <c r="D989" i="9" s="1"/>
  <c r="D988" i="9" a="1"/>
  <c r="D988" i="9" s="1"/>
  <c r="D987" i="9" a="1"/>
  <c r="D987" i="9" s="1"/>
  <c r="D986" i="9" a="1"/>
  <c r="D986" i="9" s="1"/>
  <c r="D985" i="9" a="1"/>
  <c r="D985" i="9" s="1"/>
  <c r="D984" i="9" a="1"/>
  <c r="D984" i="9" s="1"/>
  <c r="D983" i="9" a="1"/>
  <c r="D983" i="9" s="1"/>
  <c r="D982" i="9" a="1"/>
  <c r="D982" i="9" s="1"/>
  <c r="D975" i="9" a="1"/>
  <c r="D975" i="9" s="1"/>
  <c r="D970" i="9" a="1"/>
  <c r="D970" i="9" s="1"/>
  <c r="D969" i="9" a="1"/>
  <c r="D969" i="9" s="1"/>
  <c r="D968" i="9" a="1"/>
  <c r="D968" i="9" s="1"/>
  <c r="D967" i="9" a="1"/>
  <c r="D967" i="9" s="1"/>
  <c r="D966" i="9" a="1"/>
  <c r="D966" i="9" s="1"/>
  <c r="D965" i="9" a="1"/>
  <c r="D965" i="9" s="1"/>
  <c r="D964" i="9" a="1"/>
  <c r="D964" i="9" s="1"/>
  <c r="D963" i="9" a="1"/>
  <c r="D963" i="9" s="1"/>
  <c r="D962" i="9" a="1"/>
  <c r="D962" i="9" s="1"/>
  <c r="D953" i="9" a="1"/>
  <c r="D953" i="9" s="1"/>
  <c r="D950" i="9" a="1"/>
  <c r="D950" i="9" s="1"/>
  <c r="D949" i="9" a="1"/>
  <c r="D949" i="9" s="1"/>
  <c r="D948" i="9" a="1"/>
  <c r="D948" i="9" s="1"/>
  <c r="D947" i="9" a="1"/>
  <c r="D947" i="9" s="1"/>
  <c r="D946" i="9" a="1"/>
  <c r="D946" i="9" s="1"/>
  <c r="D945" i="9" a="1"/>
  <c r="D945" i="9" s="1"/>
  <c r="D944" i="9" a="1"/>
  <c r="D944" i="9" s="1"/>
  <c r="D943" i="9" a="1"/>
  <c r="D943" i="9" s="1"/>
  <c r="D942" i="9" a="1"/>
  <c r="D942" i="9" s="1"/>
  <c r="D934" i="9" a="1"/>
  <c r="D934" i="9" s="1"/>
  <c r="D933" i="9" a="1"/>
  <c r="D933" i="9" s="1"/>
  <c r="D930" i="9" a="1"/>
  <c r="D930" i="9" s="1"/>
  <c r="D929" i="9" a="1"/>
  <c r="D929" i="9" s="1"/>
  <c r="D928" i="9" a="1"/>
  <c r="D928" i="9" s="1"/>
  <c r="D924" i="9" a="1"/>
  <c r="D924" i="9" s="1"/>
  <c r="D922" i="9" a="1"/>
  <c r="D922" i="9" s="1"/>
  <c r="D914" i="9" a="1"/>
  <c r="D914" i="9" s="1"/>
  <c r="D913" i="9" a="1"/>
  <c r="D913" i="9" s="1"/>
  <c r="D910" i="9" a="1"/>
  <c r="D910" i="9" s="1"/>
  <c r="D909" i="9" a="1"/>
  <c r="D909" i="9" s="1"/>
  <c r="D908" i="9" a="1"/>
  <c r="D908" i="9" s="1"/>
  <c r="D907" i="9" a="1"/>
  <c r="D907" i="9" s="1"/>
  <c r="D906" i="9" a="1"/>
  <c r="D906" i="9" s="1"/>
  <c r="D905" i="9" a="1"/>
  <c r="D905" i="9" s="1"/>
  <c r="D902" i="9" a="1"/>
  <c r="D902" i="9" s="1"/>
  <c r="D895" i="9" a="1"/>
  <c r="D895" i="9" s="1"/>
  <c r="D894" i="9" a="1"/>
  <c r="D894" i="9" s="1"/>
  <c r="D893" i="9" a="1"/>
  <c r="D893" i="9" s="1"/>
  <c r="D891" i="9" a="1"/>
  <c r="D891" i="9" s="1"/>
  <c r="D888" i="9" a="1"/>
  <c r="D888" i="9" s="1"/>
  <c r="D887" i="9" a="1"/>
  <c r="D887" i="9" s="1"/>
  <c r="D886" i="9" a="1"/>
  <c r="D886" i="9" s="1"/>
  <c r="D885" i="9" a="1"/>
  <c r="D885" i="9" s="1"/>
  <c r="D884" i="9" a="1"/>
  <c r="D884" i="9" s="1"/>
  <c r="D883" i="9" a="1"/>
  <c r="D883" i="9" s="1"/>
  <c r="D882" i="9" a="1"/>
  <c r="D882" i="9" s="1"/>
  <c r="D875" i="9" a="1"/>
  <c r="D875" i="9" s="1"/>
  <c r="D874" i="9" a="1"/>
  <c r="D874" i="9" s="1"/>
  <c r="D873" i="9" a="1"/>
  <c r="D873" i="9" s="1"/>
  <c r="D869" i="9" a="1"/>
  <c r="D869" i="9" s="1"/>
  <c r="D868" i="9" a="1"/>
  <c r="D868" i="9" s="1"/>
  <c r="D867" i="9" a="1"/>
  <c r="D867" i="9" s="1"/>
  <c r="D866" i="9" a="1"/>
  <c r="D866" i="9" s="1"/>
  <c r="D865" i="9" a="1"/>
  <c r="D865" i="9" s="1"/>
  <c r="D864" i="9" a="1"/>
  <c r="D864" i="9" s="1"/>
  <c r="D863" i="9" a="1"/>
  <c r="D863" i="9" s="1"/>
  <c r="D862" i="9" a="1"/>
  <c r="D862" i="9" s="1"/>
  <c r="D854" i="9" a="1"/>
  <c r="D854" i="9" s="1"/>
  <c r="D853" i="9" a="1"/>
  <c r="D853" i="9" s="1"/>
  <c r="D848" i="9" a="1"/>
  <c r="D848" i="9" s="1"/>
  <c r="D847" i="9" a="1"/>
  <c r="D847" i="9" s="1"/>
  <c r="D846" i="9" a="1"/>
  <c r="D846" i="9" s="1"/>
  <c r="D845" i="9" a="1"/>
  <c r="D845" i="9" s="1"/>
  <c r="D844" i="9" a="1"/>
  <c r="D844" i="9" s="1"/>
  <c r="D843" i="9" a="1"/>
  <c r="D843" i="9" s="1"/>
  <c r="D842" i="9" a="1"/>
  <c r="D842" i="9" s="1"/>
  <c r="D835" i="9" a="1"/>
  <c r="D835" i="9" s="1"/>
  <c r="D834" i="9" a="1"/>
  <c r="D834" i="9" s="1"/>
  <c r="D833" i="9" a="1"/>
  <c r="D833" i="9" s="1"/>
  <c r="D826" i="9" a="1"/>
  <c r="D826" i="9" s="1"/>
  <c r="D825" i="9" a="1"/>
  <c r="D825" i="9" s="1"/>
  <c r="D824" i="9" a="1"/>
  <c r="D824" i="9" s="1"/>
  <c r="D823" i="9" a="1"/>
  <c r="D823" i="9" s="1"/>
  <c r="D822" i="9" a="1"/>
  <c r="D822" i="9" s="1"/>
  <c r="D815" i="9" a="1"/>
  <c r="D815" i="9" s="1"/>
  <c r="D814" i="9" a="1"/>
  <c r="D814" i="9" s="1"/>
  <c r="D813" i="9" a="1"/>
  <c r="D813" i="9" s="1"/>
  <c r="D809" i="9" a="1"/>
  <c r="D809" i="9" s="1"/>
  <c r="D808" i="9" a="1"/>
  <c r="D808" i="9" s="1"/>
  <c r="D804" i="9" a="1"/>
  <c r="D804" i="9" s="1"/>
  <c r="D803" i="9" a="1"/>
  <c r="D803" i="9" s="1"/>
  <c r="D802" i="9" a="1"/>
  <c r="D802" i="9" s="1"/>
  <c r="D795" i="9" a="1"/>
  <c r="D795" i="9" s="1"/>
  <c r="D793" i="9" a="1"/>
  <c r="D793" i="9" s="1"/>
  <c r="D790" i="9" a="1"/>
  <c r="D790" i="9" s="1"/>
  <c r="D789" i="9" a="1"/>
  <c r="D789" i="9" s="1"/>
  <c r="D788" i="9" a="1"/>
  <c r="D788" i="9" s="1"/>
  <c r="D787" i="9" a="1"/>
  <c r="D787" i="9" s="1"/>
  <c r="D785" i="9" a="1"/>
  <c r="D785" i="9" s="1"/>
  <c r="D784" i="9" a="1"/>
  <c r="D784" i="9" s="1"/>
  <c r="D782" i="9" a="1"/>
  <c r="D782" i="9" s="1"/>
  <c r="D775" i="9" a="1"/>
  <c r="D775" i="9" s="1"/>
  <c r="D773" i="9" a="1"/>
  <c r="D773" i="9" s="1"/>
  <c r="D769" i="9" a="1"/>
  <c r="D769" i="9" s="1"/>
  <c r="D768" i="9" a="1"/>
  <c r="D768" i="9" s="1"/>
  <c r="D767" i="9" a="1"/>
  <c r="D767" i="9" s="1"/>
  <c r="D766" i="9" a="1"/>
  <c r="D766" i="9" s="1"/>
  <c r="D765" i="9" a="1"/>
  <c r="D765" i="9" s="1"/>
  <c r="D764" i="9" a="1"/>
  <c r="D764" i="9" s="1"/>
  <c r="D763" i="9" a="1"/>
  <c r="D763" i="9" s="1"/>
  <c r="D762" i="9" a="1"/>
  <c r="D762" i="9" s="1"/>
  <c r="D753" i="9" a="1"/>
  <c r="D753" i="9" s="1"/>
  <c r="D748" i="9" a="1"/>
  <c r="D748" i="9" s="1"/>
  <c r="D747" i="9" a="1"/>
  <c r="D747" i="9" s="1"/>
  <c r="D746" i="9" a="1"/>
  <c r="D746" i="9" s="1"/>
  <c r="D745" i="9" a="1"/>
  <c r="D745" i="9" s="1"/>
  <c r="D744" i="9" a="1"/>
  <c r="D744" i="9" s="1"/>
  <c r="D743" i="9" a="1"/>
  <c r="D743" i="9" s="1"/>
  <c r="D742" i="9" a="1"/>
  <c r="D742" i="9" s="1"/>
  <c r="D729" i="9" a="1"/>
  <c r="D729" i="9" s="1"/>
  <c r="D728" i="9" a="1"/>
  <c r="D728" i="9" s="1"/>
  <c r="D727" i="9" a="1"/>
  <c r="D727" i="9" s="1"/>
  <c r="D726" i="9" a="1"/>
  <c r="D726" i="9" s="1"/>
  <c r="D725" i="9" a="1"/>
  <c r="D725" i="9" s="1"/>
  <c r="D724" i="9" a="1"/>
  <c r="D724" i="9" s="1"/>
  <c r="D723" i="9" a="1"/>
  <c r="D723" i="9" s="1"/>
  <c r="D722" i="9" a="1"/>
  <c r="D722" i="9" s="1"/>
  <c r="D709" i="9" a="1"/>
  <c r="D709" i="9" s="1"/>
  <c r="D708" i="9" a="1"/>
  <c r="D708" i="9" s="1"/>
  <c r="D706" i="9" a="1"/>
  <c r="D706" i="9" s="1"/>
  <c r="D705" i="9" a="1"/>
  <c r="D705" i="9" s="1"/>
  <c r="D704" i="9" a="1"/>
  <c r="D704" i="9" s="1"/>
  <c r="D703" i="9" a="1"/>
  <c r="D703" i="9" s="1"/>
  <c r="D702" i="9" a="1"/>
  <c r="D702" i="9" s="1"/>
  <c r="D693" i="9" a="1"/>
  <c r="D693" i="9" s="1"/>
  <c r="D690" i="9" a="1"/>
  <c r="D690" i="9" s="1"/>
  <c r="D689" i="9" a="1"/>
  <c r="D689" i="9" s="1"/>
  <c r="D688" i="9" a="1"/>
  <c r="D688" i="9" s="1"/>
  <c r="D687" i="9" a="1"/>
  <c r="D687" i="9" s="1"/>
  <c r="D686" i="9" a="1"/>
  <c r="D686" i="9" s="1"/>
  <c r="D685" i="9" a="1"/>
  <c r="D685" i="9" s="1"/>
  <c r="D684" i="9" a="1"/>
  <c r="D684" i="9" s="1"/>
  <c r="D683" i="9" a="1"/>
  <c r="D683" i="9" s="1"/>
  <c r="D682" i="9" a="1"/>
  <c r="D682" i="9" s="1"/>
  <c r="D673" i="9" a="1"/>
  <c r="D673" i="9" s="1"/>
  <c r="D670" i="9" a="1"/>
  <c r="D670" i="9" s="1"/>
  <c r="D669" i="9" a="1"/>
  <c r="D669" i="9" s="1"/>
  <c r="D668" i="9" a="1"/>
  <c r="D668" i="9" s="1"/>
  <c r="D667" i="9" a="1"/>
  <c r="D667" i="9" s="1"/>
  <c r="D666" i="9" a="1"/>
  <c r="D666" i="9" s="1"/>
  <c r="D665" i="9" a="1"/>
  <c r="D665" i="9" s="1"/>
  <c r="D664" i="9" a="1"/>
  <c r="D664" i="9" s="1"/>
  <c r="D663" i="9" a="1"/>
  <c r="D663" i="9" s="1"/>
  <c r="D662" i="9" a="1"/>
  <c r="D662" i="9" s="1"/>
  <c r="D653" i="9" a="1"/>
  <c r="D653" i="9" s="1"/>
  <c r="D649" i="9" a="1"/>
  <c r="D649" i="9" s="1"/>
  <c r="D648" i="9" a="1"/>
  <c r="D648" i="9" s="1"/>
  <c r="D647" i="9" a="1"/>
  <c r="D647" i="9" s="1"/>
  <c r="D646" i="9" a="1"/>
  <c r="D646" i="9" s="1"/>
  <c r="D645" i="9" a="1"/>
  <c r="D645" i="9" s="1"/>
  <c r="D644" i="9" a="1"/>
  <c r="D644" i="9" s="1"/>
  <c r="D642" i="9" a="1"/>
  <c r="D642" i="9" s="1"/>
  <c r="D634" i="9" a="1"/>
  <c r="D634" i="9" s="1"/>
  <c r="D633" i="9" a="1"/>
  <c r="D633" i="9" s="1"/>
  <c r="D630" i="9" a="1"/>
  <c r="D630" i="9" s="1"/>
  <c r="D629" i="9" a="1"/>
  <c r="D629" i="9" s="1"/>
  <c r="D628" i="9" a="1"/>
  <c r="D628" i="9" s="1"/>
  <c r="D627" i="9" a="1"/>
  <c r="D627" i="9" s="1"/>
  <c r="D626" i="9" a="1"/>
  <c r="D626" i="9" s="1"/>
  <c r="D625" i="9" a="1"/>
  <c r="D625" i="9" s="1"/>
  <c r="D624" i="9" a="1"/>
  <c r="D624" i="9" s="1"/>
  <c r="D623" i="9" a="1"/>
  <c r="D623" i="9" s="1"/>
  <c r="D622" i="9" a="1"/>
  <c r="D622" i="9" s="1"/>
  <c r="D614" i="9" a="1"/>
  <c r="D614" i="9" s="1"/>
  <c r="D610" i="9" a="1"/>
  <c r="D610" i="9" s="1"/>
  <c r="D609" i="9" a="1"/>
  <c r="D609" i="9" s="1"/>
  <c r="D608" i="9" a="1"/>
  <c r="D608" i="9" s="1"/>
  <c r="D607" i="9" a="1"/>
  <c r="D607" i="9" s="1"/>
  <c r="D606" i="9" a="1"/>
  <c r="D606" i="9" s="1"/>
  <c r="D605" i="9" a="1"/>
  <c r="D605" i="9" s="1"/>
  <c r="D604" i="9" a="1"/>
  <c r="D604" i="9" s="1"/>
  <c r="D603" i="9" a="1"/>
  <c r="D603" i="9" s="1"/>
  <c r="D602" i="9" a="1"/>
  <c r="D602" i="9" s="1"/>
  <c r="D594" i="9" a="1"/>
  <c r="D594" i="9" s="1"/>
  <c r="D593" i="9" a="1"/>
  <c r="D593" i="9" s="1"/>
  <c r="D590" i="9" a="1"/>
  <c r="D590" i="9" s="1"/>
  <c r="D589" i="9" a="1"/>
  <c r="D589" i="9" s="1"/>
  <c r="D588" i="9" a="1"/>
  <c r="D588" i="9" s="1"/>
  <c r="D587" i="9" a="1"/>
  <c r="D587" i="9" s="1"/>
  <c r="D586" i="9" a="1"/>
  <c r="D586" i="9" s="1"/>
  <c r="D585" i="9" a="1"/>
  <c r="D585" i="9" s="1"/>
  <c r="D584" i="9" a="1"/>
  <c r="D584" i="9" s="1"/>
  <c r="D582" i="9" a="1"/>
  <c r="D582" i="9" s="1"/>
  <c r="D574" i="9" a="1"/>
  <c r="D574" i="9" s="1"/>
  <c r="D573" i="9" a="1"/>
  <c r="D573" i="9" s="1"/>
  <c r="D570" i="9" a="1"/>
  <c r="D570" i="9" s="1"/>
  <c r="D569" i="9" a="1"/>
  <c r="D569" i="9" s="1"/>
  <c r="D568" i="9" a="1"/>
  <c r="D568" i="9" s="1"/>
  <c r="D567" i="9" a="1"/>
  <c r="D567" i="9" s="1"/>
  <c r="D562" i="9" a="1"/>
  <c r="D562" i="9" s="1"/>
  <c r="D555" i="9" a="1"/>
  <c r="D555" i="9" s="1"/>
  <c r="D554" i="9" a="1"/>
  <c r="D554" i="9" s="1"/>
  <c r="D553" i="9" a="1"/>
  <c r="D553" i="9" s="1"/>
  <c r="D551" i="9" a="1"/>
  <c r="D551" i="9" s="1"/>
  <c r="D549" i="9" a="1"/>
  <c r="D549" i="9" s="1"/>
  <c r="D548" i="9" a="1"/>
  <c r="D548" i="9" s="1"/>
  <c r="D547" i="9" a="1"/>
  <c r="D547" i="9" s="1"/>
  <c r="D546" i="9" a="1"/>
  <c r="D546" i="9" s="1"/>
  <c r="D545" i="9" a="1"/>
  <c r="D545" i="9" s="1"/>
  <c r="D544" i="9" a="1"/>
  <c r="D544" i="9" s="1"/>
  <c r="D543" i="9" a="1"/>
  <c r="D543" i="9" s="1"/>
  <c r="D535" i="9" a="1"/>
  <c r="D535" i="9" s="1"/>
  <c r="D534" i="9" a="1"/>
  <c r="D534" i="9" s="1"/>
  <c r="D533" i="9" a="1"/>
  <c r="D533" i="9" s="1"/>
  <c r="D531" i="9" a="1"/>
  <c r="D531" i="9" s="1"/>
  <c r="D529" i="9" a="1"/>
  <c r="D529" i="9" s="1"/>
  <c r="D528" i="9" a="1"/>
  <c r="D528" i="9" s="1"/>
  <c r="D527" i="9" a="1"/>
  <c r="D527" i="9" s="1"/>
  <c r="D526" i="9" a="1"/>
  <c r="D526" i="9" s="1"/>
  <c r="D525" i="9" a="1"/>
  <c r="D525" i="9" s="1"/>
  <c r="D524" i="9" a="1"/>
  <c r="D524" i="9" s="1"/>
  <c r="D523" i="9" a="1"/>
  <c r="D523" i="9" s="1"/>
  <c r="D522" i="9" a="1"/>
  <c r="D522" i="9" s="1"/>
  <c r="D515" i="9" a="1"/>
  <c r="D515" i="9" s="1"/>
  <c r="D514" i="9" a="1"/>
  <c r="D514" i="9" s="1"/>
  <c r="D513" i="9" a="1"/>
  <c r="D513" i="9" s="1"/>
  <c r="D508" i="9" a="1"/>
  <c r="D508" i="9" s="1"/>
  <c r="D507" i="9" a="1"/>
  <c r="D507" i="9" s="1"/>
  <c r="D506" i="9" a="1"/>
  <c r="D506" i="9" s="1"/>
  <c r="D505" i="9" a="1"/>
  <c r="D505" i="9" s="1"/>
  <c r="D504" i="9" a="1"/>
  <c r="D504" i="9" s="1"/>
  <c r="D503" i="9" a="1"/>
  <c r="D503" i="9" s="1"/>
  <c r="D502" i="9" a="1"/>
  <c r="D502" i="9" s="1"/>
  <c r="D495" i="9" a="1"/>
  <c r="D495" i="9" s="1"/>
  <c r="D494" i="9" a="1"/>
  <c r="D494" i="9" s="1"/>
  <c r="D487" i="9" a="1"/>
  <c r="D487" i="9" s="1"/>
  <c r="D486" i="9" a="1"/>
  <c r="D486" i="9" s="1"/>
  <c r="D485" i="9" a="1"/>
  <c r="D485" i="9" s="1"/>
  <c r="D484" i="9" a="1"/>
  <c r="D484" i="9" s="1"/>
  <c r="D483" i="9" a="1"/>
  <c r="D483" i="9" s="1"/>
  <c r="D482" i="9" a="1"/>
  <c r="D482" i="9" s="1"/>
  <c r="D475" i="9" a="1"/>
  <c r="D475" i="9" s="1"/>
  <c r="D474" i="9" a="1"/>
  <c r="D474" i="9" s="1"/>
  <c r="D473" i="9" a="1"/>
  <c r="D473" i="9" s="1"/>
  <c r="D470" i="9" a="1"/>
  <c r="D470" i="9" s="1"/>
  <c r="D465" i="9" a="1"/>
  <c r="D465" i="9" s="1"/>
  <c r="D464" i="9" a="1"/>
  <c r="D464" i="9" s="1"/>
  <c r="D463" i="9" a="1"/>
  <c r="D463" i="9" s="1"/>
  <c r="D462" i="9" a="1"/>
  <c r="D462" i="9" s="1"/>
  <c r="D456" i="9" a="1"/>
  <c r="D456" i="9" s="1"/>
  <c r="D455" i="9" a="1"/>
  <c r="D455" i="9" s="1"/>
  <c r="D453" i="9" a="1"/>
  <c r="D453" i="9" s="1"/>
  <c r="D449" i="9" a="1"/>
  <c r="D449" i="9" s="1"/>
  <c r="D448" i="9" a="1"/>
  <c r="D448" i="9" s="1"/>
  <c r="D447" i="9" a="1"/>
  <c r="D447" i="9" s="1"/>
  <c r="D446" i="9" a="1"/>
  <c r="D446" i="9" s="1"/>
  <c r="D445" i="9" a="1"/>
  <c r="D445" i="9" s="1"/>
  <c r="D444" i="9" a="1"/>
  <c r="D444" i="9" s="1"/>
  <c r="D442" i="9" a="1"/>
  <c r="D442" i="9" s="1"/>
  <c r="D436" i="9" a="1"/>
  <c r="D436" i="9" s="1"/>
  <c r="D435" i="9" a="1"/>
  <c r="D435" i="9" s="1"/>
  <c r="D433" i="9" a="1"/>
  <c r="D433" i="9" s="1"/>
  <c r="D428" i="9" a="1"/>
  <c r="D428" i="9" s="1"/>
  <c r="D427" i="9" a="1"/>
  <c r="D427" i="9" s="1"/>
  <c r="D426" i="9" a="1"/>
  <c r="D426" i="9" s="1"/>
  <c r="D425" i="9" a="1"/>
  <c r="D425" i="9" s="1"/>
  <c r="D424" i="9" a="1"/>
  <c r="D424" i="9" s="1"/>
  <c r="D423" i="9" a="1"/>
  <c r="D423" i="9" s="1"/>
  <c r="D422" i="9" a="1"/>
  <c r="D422" i="9" s="1"/>
  <c r="D410" i="9" a="1"/>
  <c r="D410" i="9" s="1"/>
  <c r="D409" i="9" a="1"/>
  <c r="D409" i="9" s="1"/>
  <c r="D407" i="9" a="1"/>
  <c r="D407" i="9" s="1"/>
  <c r="D406" i="9" a="1"/>
  <c r="D406" i="9" s="1"/>
  <c r="D405" i="9" a="1"/>
  <c r="D405" i="9" s="1"/>
  <c r="D404" i="9" a="1"/>
  <c r="D404" i="9" s="1"/>
  <c r="D403" i="9" a="1"/>
  <c r="D403" i="9" s="1"/>
  <c r="D402" i="9" a="1"/>
  <c r="D402" i="9" s="1"/>
  <c r="D388" i="9" a="1"/>
  <c r="D388" i="9" s="1"/>
  <c r="D387" i="9" a="1"/>
  <c r="D387" i="9" s="1"/>
  <c r="D386" i="9" a="1"/>
  <c r="D386" i="9" s="1"/>
  <c r="D385" i="9" a="1"/>
  <c r="D385" i="9" s="1"/>
  <c r="D384" i="9" a="1"/>
  <c r="D384" i="9" s="1"/>
  <c r="D383" i="9" a="1"/>
  <c r="D383" i="9" s="1"/>
  <c r="D382" i="9" a="1"/>
  <c r="D382" i="9" s="1"/>
  <c r="D373" i="9" a="1"/>
  <c r="D373" i="9" s="1"/>
  <c r="D368" i="9" a="1"/>
  <c r="D368" i="9" s="1"/>
  <c r="D367" i="9" a="1"/>
  <c r="D367" i="9" s="1"/>
  <c r="D366" i="9" a="1"/>
  <c r="D366" i="9" s="1"/>
  <c r="D365" i="9" a="1"/>
  <c r="D365" i="9" s="1"/>
  <c r="D364" i="9" a="1"/>
  <c r="D364" i="9" s="1"/>
  <c r="D363" i="9" a="1"/>
  <c r="D363" i="9" s="1"/>
  <c r="D362" i="9" a="1"/>
  <c r="D362" i="9" s="1"/>
  <c r="D353" i="9" a="1"/>
  <c r="D353" i="9" s="1"/>
  <c r="D350" i="9" a="1"/>
  <c r="D350" i="9" s="1"/>
  <c r="D349" i="9" a="1"/>
  <c r="D349" i="9" s="1"/>
  <c r="D348" i="9" a="1"/>
  <c r="D348" i="9" s="1"/>
  <c r="D345" i="9" a="1"/>
  <c r="D345" i="9" s="1"/>
  <c r="D344" i="9" a="1"/>
  <c r="D344" i="9" s="1"/>
  <c r="D343" i="9" a="1"/>
  <c r="D343" i="9" s="1"/>
  <c r="D342" i="9" a="1"/>
  <c r="D342" i="9" s="1"/>
  <c r="D333" i="9" a="1"/>
  <c r="D333" i="9" s="1"/>
  <c r="D329" i="9" a="1"/>
  <c r="D329" i="9" s="1"/>
  <c r="D328" i="9" a="1"/>
  <c r="D328" i="9" s="1"/>
  <c r="D327" i="9" a="1"/>
  <c r="D327" i="9" s="1"/>
  <c r="D326" i="9" a="1"/>
  <c r="D326" i="9" s="1"/>
  <c r="D325" i="9" a="1"/>
  <c r="D325" i="9" s="1"/>
  <c r="D324" i="9" a="1"/>
  <c r="D324" i="9" s="1"/>
  <c r="D323" i="9" a="1"/>
  <c r="D323" i="9" s="1"/>
  <c r="D322" i="9" a="1"/>
  <c r="D322" i="9" s="1"/>
  <c r="D309" i="9" a="1"/>
  <c r="D309" i="9" s="1"/>
  <c r="D308" i="9" a="1"/>
  <c r="D308" i="9" s="1"/>
  <c r="D307" i="9" a="1"/>
  <c r="D307" i="9" s="1"/>
  <c r="D306" i="9" a="1"/>
  <c r="D306" i="9" s="1"/>
  <c r="D305" i="9" a="1"/>
  <c r="D305" i="9" s="1"/>
  <c r="D304" i="9" a="1"/>
  <c r="D304" i="9" s="1"/>
  <c r="D303" i="9" a="1"/>
  <c r="D303" i="9" s="1"/>
  <c r="D302" i="9" a="1"/>
  <c r="D302" i="9" s="1"/>
  <c r="D293" i="9" a="1"/>
  <c r="D293" i="9" s="1"/>
  <c r="D289" i="9" a="1"/>
  <c r="D289" i="9" s="1"/>
  <c r="D288" i="9" a="1"/>
  <c r="D288" i="9" s="1"/>
  <c r="D285" i="9" a="1"/>
  <c r="D285" i="9" s="1"/>
  <c r="D284" i="9" a="1"/>
  <c r="D284" i="9" s="1"/>
  <c r="D283" i="9" a="1"/>
  <c r="D283" i="9" s="1"/>
  <c r="D282" i="9" a="1"/>
  <c r="D282" i="9" s="1"/>
  <c r="D273" i="9" a="1"/>
  <c r="D273" i="9" s="1"/>
  <c r="D270" i="9" a="1"/>
  <c r="D270" i="9" s="1"/>
  <c r="D269" i="9" a="1"/>
  <c r="D269" i="9" s="1"/>
  <c r="D268" i="9" a="1"/>
  <c r="D268" i="9" s="1"/>
  <c r="D267" i="9" a="1"/>
  <c r="D267" i="9" s="1"/>
  <c r="D266" i="9" a="1"/>
  <c r="D266" i="9" s="1"/>
  <c r="D265" i="9" a="1"/>
  <c r="D265" i="9" s="1"/>
  <c r="D264" i="9" a="1"/>
  <c r="D264" i="9" s="1"/>
  <c r="D263" i="9" a="1"/>
  <c r="D263" i="9" s="1"/>
  <c r="D262" i="9" a="1"/>
  <c r="D262" i="9" s="1"/>
  <c r="D250" i="9" a="1"/>
  <c r="D250" i="9" s="1"/>
  <c r="D249" i="9" a="1"/>
  <c r="D249" i="9" s="1"/>
  <c r="D248" i="9" a="1"/>
  <c r="D248" i="9" s="1"/>
  <c r="D247" i="9" a="1"/>
  <c r="D247" i="9" s="1"/>
  <c r="D246" i="9" a="1"/>
  <c r="D246" i="9" s="1"/>
  <c r="D245" i="9" a="1"/>
  <c r="D245" i="9" s="1"/>
  <c r="D244" i="9" a="1"/>
  <c r="D244" i="9" s="1"/>
  <c r="D243" i="9" a="1"/>
  <c r="D243" i="9" s="1"/>
  <c r="D242" i="9" a="1"/>
  <c r="D242" i="9" s="1"/>
  <c r="D233" i="9" a="1"/>
  <c r="D233" i="9" s="1"/>
  <c r="D230" i="9" a="1"/>
  <c r="D230" i="9" s="1"/>
  <c r="D227" i="9" a="1"/>
  <c r="D227" i="9" s="1"/>
  <c r="D226" i="9" a="1"/>
  <c r="D226" i="9" s="1"/>
  <c r="D225" i="9" a="1"/>
  <c r="D225" i="9" s="1"/>
  <c r="D224" i="9" a="1"/>
  <c r="D224" i="9" s="1"/>
  <c r="D223" i="9" a="1"/>
  <c r="D223" i="9" s="1"/>
  <c r="D222" i="9" a="1"/>
  <c r="D222" i="9" s="1"/>
  <c r="D213" i="9" a="1"/>
  <c r="D213" i="9" s="1"/>
  <c r="D210" i="9" a="1"/>
  <c r="D210" i="9" s="1"/>
  <c r="D209" i="9" a="1"/>
  <c r="D209" i="9" s="1"/>
  <c r="D208" i="9" a="1"/>
  <c r="D208" i="9" s="1"/>
  <c r="D207" i="9" a="1"/>
  <c r="D207" i="9" s="1"/>
  <c r="D206" i="9" a="1"/>
  <c r="D206" i="9" s="1"/>
  <c r="D205" i="9" a="1"/>
  <c r="D205" i="9" s="1"/>
  <c r="D204" i="9" a="1"/>
  <c r="D204" i="9" s="1"/>
  <c r="D203" i="9" a="1"/>
  <c r="D203" i="9" s="1"/>
  <c r="D202" i="9" a="1"/>
  <c r="D202" i="9" s="1"/>
  <c r="D190" i="9" a="1"/>
  <c r="D190" i="9" s="1"/>
  <c r="D189" i="9" a="1"/>
  <c r="D189" i="9" s="1"/>
  <c r="D188" i="9" a="1"/>
  <c r="D188" i="9" s="1"/>
  <c r="D187" i="9" a="1"/>
  <c r="D187" i="9" s="1"/>
  <c r="D186" i="9" a="1"/>
  <c r="D186" i="9" s="1"/>
  <c r="D185" i="9" a="1"/>
  <c r="D185" i="9" s="1"/>
  <c r="D184" i="9" a="1"/>
  <c r="D184" i="9" s="1"/>
  <c r="D183" i="9" a="1"/>
  <c r="D183" i="9" s="1"/>
  <c r="D182" i="9" a="1"/>
  <c r="D182" i="9" s="1"/>
  <c r="D173" i="9" a="1"/>
  <c r="D173" i="9" s="1"/>
  <c r="D170" i="9" a="1"/>
  <c r="D170" i="9" s="1"/>
  <c r="D168" i="9" a="1"/>
  <c r="D168" i="9" s="1"/>
  <c r="D167" i="9" a="1"/>
  <c r="D167" i="9" s="1"/>
  <c r="D166" i="9" a="1"/>
  <c r="D166" i="9" s="1"/>
  <c r="D165" i="9" a="1"/>
  <c r="D165" i="9" s="1"/>
  <c r="D164" i="9" a="1"/>
  <c r="D164" i="9" s="1"/>
  <c r="D163" i="9" a="1"/>
  <c r="D163" i="9" s="1"/>
  <c r="D162" i="9" a="1"/>
  <c r="D162" i="9" s="1"/>
  <c r="D151" i="9" a="1"/>
  <c r="D151" i="9" s="1"/>
  <c r="D149" i="9" a="1"/>
  <c r="D149" i="9" s="1"/>
  <c r="D148" i="9" a="1"/>
  <c r="D148" i="9" s="1"/>
  <c r="D147" i="9" a="1"/>
  <c r="D147" i="9" s="1"/>
  <c r="D146" i="9" a="1"/>
  <c r="D146" i="9" s="1"/>
  <c r="D145" i="9" a="1"/>
  <c r="D145" i="9" s="1"/>
  <c r="D144" i="9" a="1"/>
  <c r="D144" i="9" s="1"/>
  <c r="D143" i="9" a="1"/>
  <c r="D143" i="9" s="1"/>
  <c r="D142" i="9" a="1"/>
  <c r="D142" i="9" s="1"/>
  <c r="D131" i="9" a="1"/>
  <c r="D131" i="9" s="1"/>
  <c r="D129" i="9" a="1"/>
  <c r="D129" i="9" s="1"/>
  <c r="D128" i="9" a="1"/>
  <c r="D128" i="9" s="1"/>
  <c r="D127" i="9" a="1"/>
  <c r="D127" i="9" s="1"/>
  <c r="D126" i="9" a="1"/>
  <c r="D126" i="9" s="1"/>
  <c r="D125" i="9" a="1"/>
  <c r="D125" i="9" s="1"/>
  <c r="D124" i="9" a="1"/>
  <c r="D124" i="9" s="1"/>
  <c r="D123" i="9" a="1"/>
  <c r="D123" i="9" s="1"/>
  <c r="D122" i="9" a="1"/>
  <c r="D122" i="9" s="1"/>
  <c r="D113" i="9" a="1"/>
  <c r="D113" i="9" s="1"/>
  <c r="D110" i="9" a="1"/>
  <c r="D110" i="9" s="1"/>
  <c r="D109" i="9" a="1"/>
  <c r="D109" i="9" s="1"/>
  <c r="D108" i="9" a="1"/>
  <c r="D108" i="9" s="1"/>
  <c r="D107" i="9" a="1"/>
  <c r="D107" i="9" s="1"/>
  <c r="D106" i="9" a="1"/>
  <c r="D106" i="9" s="1"/>
  <c r="D105" i="9" a="1"/>
  <c r="D105" i="9" s="1"/>
  <c r="D104" i="9" a="1"/>
  <c r="D104" i="9" s="1"/>
  <c r="D103" i="9" a="1"/>
  <c r="D103" i="9" s="1"/>
  <c r="D102" i="9" a="1"/>
  <c r="D102" i="9" s="1"/>
  <c r="D94" i="9" a="1"/>
  <c r="D94" i="9" s="1"/>
  <c r="D93" i="9" a="1"/>
  <c r="D93" i="9" s="1"/>
  <c r="D90" i="9" a="1"/>
  <c r="D90" i="9" s="1"/>
  <c r="D89" i="9" a="1"/>
  <c r="D89" i="9" s="1"/>
  <c r="D88" i="9" a="1"/>
  <c r="D88" i="9" s="1"/>
  <c r="D87" i="9" a="1"/>
  <c r="D87" i="9" s="1"/>
  <c r="D86" i="9" a="1"/>
  <c r="D86" i="9" s="1"/>
  <c r="D85" i="9" a="1"/>
  <c r="D85" i="9" s="1"/>
  <c r="D84" i="9" a="1"/>
  <c r="D84" i="9" s="1"/>
  <c r="D83" i="9" a="1"/>
  <c r="D83" i="9" s="1"/>
  <c r="D82" i="9" a="1"/>
  <c r="D82" i="9" s="1"/>
  <c r="D75" i="9" a="1"/>
  <c r="D75" i="9" s="1"/>
  <c r="D74" i="9" a="1"/>
  <c r="D74" i="9" s="1"/>
  <c r="D73" i="9" a="1"/>
  <c r="D73" i="9" s="1"/>
  <c r="D71" i="9" a="1"/>
  <c r="D71" i="9" s="1"/>
  <c r="D70" i="9" a="1"/>
  <c r="D70" i="9" s="1"/>
  <c r="D69" i="9" a="1"/>
  <c r="D69" i="9" s="1"/>
  <c r="D68" i="9" a="1"/>
  <c r="D68" i="9" s="1"/>
  <c r="D67" i="9" a="1"/>
  <c r="D67" i="9" s="1"/>
  <c r="D66" i="9" a="1"/>
  <c r="D66" i="9" s="1"/>
  <c r="D65" i="9" a="1"/>
  <c r="D65" i="9" s="1"/>
  <c r="D62" i="9" a="1"/>
  <c r="D62" i="9" s="1"/>
  <c r="D56" i="9" a="1"/>
  <c r="D56" i="9" s="1"/>
  <c r="D53" i="9" a="1"/>
  <c r="D53" i="9" s="1"/>
  <c r="D50" i="9" a="1"/>
  <c r="D50" i="9" s="1"/>
  <c r="D49" i="9" a="1"/>
  <c r="D49" i="9" s="1"/>
  <c r="D48" i="9" a="1"/>
  <c r="D48" i="9" s="1"/>
  <c r="D47" i="9" a="1"/>
  <c r="D47" i="9" s="1"/>
  <c r="D46" i="9" a="1"/>
  <c r="D46" i="9" s="1"/>
  <c r="D45" i="9" a="1"/>
  <c r="D45" i="9" s="1"/>
  <c r="D44" i="9" a="1"/>
  <c r="D44" i="9" s="1"/>
  <c r="D43" i="9" a="1"/>
  <c r="D43" i="9" s="1"/>
  <c r="D42" i="9" a="1"/>
  <c r="D42" i="9" s="1"/>
  <c r="D34" i="9" a="1"/>
  <c r="D34" i="9" s="1"/>
  <c r="D33" i="9" a="1"/>
  <c r="D33" i="9" s="1"/>
  <c r="D30" i="9" a="1"/>
  <c r="D30" i="9" s="1"/>
  <c r="D29" i="9" a="1"/>
  <c r="D29" i="9" s="1"/>
  <c r="D28" i="9" a="1"/>
  <c r="D28" i="9" s="1"/>
  <c r="D27" i="9" a="1"/>
  <c r="D27" i="9" s="1"/>
  <c r="D26" i="9" a="1"/>
  <c r="D26" i="9" s="1"/>
  <c r="D25" i="9" a="1"/>
  <c r="D25" i="9" s="1"/>
  <c r="D24" i="9" a="1"/>
  <c r="D24" i="9" s="1"/>
  <c r="D23" i="9" a="1"/>
  <c r="D23" i="9" s="1"/>
  <c r="D22" i="9" a="1"/>
  <c r="D22" i="9" s="1"/>
  <c r="D14" i="9" a="1"/>
  <c r="D14" i="9" s="1"/>
  <c r="D13" i="9" a="1"/>
  <c r="D13" i="9" s="1"/>
  <c r="D10" i="9" a="1"/>
  <c r="D10" i="9" s="1"/>
  <c r="D9" i="9" a="1"/>
  <c r="D9" i="9" s="1"/>
  <c r="D6" i="9" a="1"/>
  <c r="D6" i="9" s="1"/>
  <c r="D5" i="9" a="1"/>
  <c r="D5" i="9" s="1"/>
  <c r="D4" i="9" a="1"/>
  <c r="D4" i="9" s="1"/>
  <c r="D3" i="9" a="1"/>
  <c r="D3" i="9" s="1"/>
  <c r="O5" i="9"/>
  <c r="D7" i="9" a="1"/>
  <c r="D7" i="9" s="1"/>
  <c r="D8" i="9" a="1"/>
  <c r="D8" i="9" s="1"/>
  <c r="D11" i="9" a="1"/>
  <c r="D11" i="9" s="1"/>
  <c r="D12" i="9" a="1"/>
  <c r="D12" i="9" s="1"/>
  <c r="D15" i="9" a="1"/>
  <c r="D15" i="9" s="1"/>
  <c r="D16" i="9" a="1"/>
  <c r="D16" i="9" s="1"/>
  <c r="D17" i="9" a="1"/>
  <c r="D17" i="9" s="1"/>
  <c r="D18" i="9" a="1"/>
  <c r="D18" i="9" s="1"/>
  <c r="D19" i="9" a="1"/>
  <c r="D19" i="9" s="1"/>
  <c r="D20" i="9" a="1"/>
  <c r="D20" i="9" s="1"/>
  <c r="D21" i="9" a="1"/>
  <c r="D21" i="9" s="1"/>
  <c r="D31" i="9" a="1"/>
  <c r="D31" i="9" s="1"/>
  <c r="D32" i="9" a="1"/>
  <c r="D32" i="9" s="1"/>
  <c r="D35" i="9" a="1"/>
  <c r="D35" i="9" s="1"/>
  <c r="D36" i="9" a="1"/>
  <c r="D36" i="9" s="1"/>
  <c r="D37" i="9" a="1"/>
  <c r="D37" i="9" s="1"/>
  <c r="D38" i="9" a="1"/>
  <c r="D38" i="9" s="1"/>
  <c r="D39" i="9" a="1"/>
  <c r="D39" i="9" s="1"/>
  <c r="D40" i="9" a="1"/>
  <c r="D40" i="9" s="1"/>
  <c r="D41" i="9" a="1"/>
  <c r="D41" i="9" s="1"/>
  <c r="D51" i="9" a="1"/>
  <c r="D51" i="9" s="1"/>
  <c r="D52" i="9" a="1"/>
  <c r="D52" i="9" s="1"/>
  <c r="D54" i="9" a="1"/>
  <c r="D54" i="9" s="1"/>
  <c r="D55" i="9" a="1"/>
  <c r="D55" i="9" s="1"/>
  <c r="D57" i="9" a="1"/>
  <c r="D57" i="9" s="1"/>
  <c r="D58" i="9" a="1"/>
  <c r="D58" i="9" s="1"/>
  <c r="D59" i="9" a="1"/>
  <c r="D59" i="9" s="1"/>
  <c r="D60" i="9" a="1"/>
  <c r="D60" i="9" s="1"/>
  <c r="D61" i="9" a="1"/>
  <c r="D61" i="9" s="1"/>
  <c r="D63" i="9" a="1"/>
  <c r="D63" i="9" s="1"/>
  <c r="D64" i="9" a="1"/>
  <c r="D64" i="9" s="1"/>
  <c r="D72" i="9" a="1"/>
  <c r="D72" i="9" s="1"/>
  <c r="D76" i="9" a="1"/>
  <c r="D76" i="9" s="1"/>
  <c r="D77" i="9" a="1"/>
  <c r="D77" i="9" s="1"/>
  <c r="D78" i="9" a="1"/>
  <c r="D78" i="9" s="1"/>
  <c r="D79" i="9" a="1"/>
  <c r="D79" i="9" s="1"/>
  <c r="D80" i="9" a="1"/>
  <c r="D80" i="9" s="1"/>
  <c r="D81" i="9" a="1"/>
  <c r="D81" i="9" s="1"/>
  <c r="D91" i="9" a="1"/>
  <c r="D91" i="9" s="1"/>
  <c r="D92" i="9" a="1"/>
  <c r="D92" i="9" s="1"/>
  <c r="D95" i="9" a="1"/>
  <c r="D95" i="9" s="1"/>
  <c r="D96" i="9" a="1"/>
  <c r="D96" i="9" s="1"/>
  <c r="D97" i="9" a="1"/>
  <c r="D97" i="9" s="1"/>
  <c r="D98" i="9" a="1"/>
  <c r="D98" i="9" s="1"/>
  <c r="D99" i="9" a="1"/>
  <c r="D99" i="9" s="1"/>
  <c r="D100" i="9" a="1"/>
  <c r="D100" i="9" s="1"/>
  <c r="D101" i="9" a="1"/>
  <c r="D101" i="9" s="1"/>
  <c r="D111" i="9" a="1"/>
  <c r="D111" i="9" s="1"/>
  <c r="D112" i="9" a="1"/>
  <c r="D112" i="9" s="1"/>
  <c r="D114" i="9" a="1"/>
  <c r="D114" i="9" s="1"/>
  <c r="D115" i="9" a="1"/>
  <c r="D115" i="9" s="1"/>
  <c r="D116" i="9" a="1"/>
  <c r="D116" i="9" s="1"/>
  <c r="D117" i="9" a="1"/>
  <c r="D117" i="9" s="1"/>
  <c r="D118" i="9" a="1"/>
  <c r="D118" i="9" s="1"/>
  <c r="D119" i="9" a="1"/>
  <c r="D119" i="9" s="1"/>
  <c r="D120" i="9" a="1"/>
  <c r="D120" i="9" s="1"/>
  <c r="D121" i="9" a="1"/>
  <c r="D121" i="9" s="1"/>
  <c r="D130" i="9" a="1"/>
  <c r="D130" i="9" s="1"/>
  <c r="D132" i="9" a="1"/>
  <c r="D132" i="9" s="1"/>
  <c r="D133" i="9" a="1"/>
  <c r="D133" i="9" s="1"/>
  <c r="D134" i="9" a="1"/>
  <c r="D134" i="9" s="1"/>
  <c r="D135" i="9" a="1"/>
  <c r="D135" i="9" s="1"/>
  <c r="D136" i="9" a="1"/>
  <c r="D136" i="9" s="1"/>
  <c r="D137" i="9" a="1"/>
  <c r="D137" i="9" s="1"/>
  <c r="D138" i="9" a="1"/>
  <c r="D138" i="9" s="1"/>
  <c r="D139" i="9" a="1"/>
  <c r="D139" i="9" s="1"/>
  <c r="D140" i="9" a="1"/>
  <c r="D140" i="9" s="1"/>
  <c r="D141" i="9" a="1"/>
  <c r="D141" i="9" s="1"/>
  <c r="D150" i="9" a="1"/>
  <c r="D150" i="9" s="1"/>
  <c r="D152" i="9" a="1"/>
  <c r="D152" i="9" s="1"/>
  <c r="D153" i="9" a="1"/>
  <c r="D153" i="9" s="1"/>
  <c r="D154" i="9" a="1"/>
  <c r="D154" i="9" s="1"/>
  <c r="D155" i="9" a="1"/>
  <c r="D155" i="9" s="1"/>
  <c r="D156" i="9" a="1"/>
  <c r="D156" i="9" s="1"/>
  <c r="D157" i="9" a="1"/>
  <c r="D157" i="9" s="1"/>
  <c r="D158" i="9" a="1"/>
  <c r="D158" i="9" s="1"/>
  <c r="D159" i="9" a="1"/>
  <c r="D159" i="9" s="1"/>
  <c r="D160" i="9" a="1"/>
  <c r="D160" i="9" s="1"/>
  <c r="D161" i="9" a="1"/>
  <c r="D161" i="9" s="1"/>
  <c r="D169" i="9" a="1"/>
  <c r="D169" i="9" s="1"/>
  <c r="D171" i="9" a="1"/>
  <c r="D171" i="9" s="1"/>
  <c r="D172" i="9" a="1"/>
  <c r="D172" i="9" s="1"/>
  <c r="D174" i="9" a="1"/>
  <c r="D174" i="9" s="1"/>
  <c r="D175" i="9" a="1"/>
  <c r="D175" i="9" s="1"/>
  <c r="D176" i="9" a="1"/>
  <c r="D176" i="9" s="1"/>
  <c r="D177" i="9" a="1"/>
  <c r="D177" i="9" s="1"/>
  <c r="D178" i="9" a="1"/>
  <c r="D178" i="9" s="1"/>
  <c r="D179" i="9" a="1"/>
  <c r="D179" i="9" s="1"/>
  <c r="D180" i="9" a="1"/>
  <c r="D180" i="9" s="1"/>
  <c r="D181" i="9" a="1"/>
  <c r="D181" i="9" s="1"/>
  <c r="D191" i="9" a="1"/>
  <c r="D191" i="9" s="1"/>
  <c r="D192" i="9" a="1"/>
  <c r="D192" i="9" s="1"/>
  <c r="D193" i="9" a="1"/>
  <c r="D193" i="9" s="1"/>
  <c r="D194" i="9" a="1"/>
  <c r="D194" i="9" s="1"/>
  <c r="D195" i="9" a="1"/>
  <c r="D195" i="9" s="1"/>
  <c r="D196" i="9" a="1"/>
  <c r="D196" i="9" s="1"/>
  <c r="D197" i="9" a="1"/>
  <c r="D197" i="9" s="1"/>
  <c r="D198" i="9" a="1"/>
  <c r="D198" i="9" s="1"/>
  <c r="D199" i="9" a="1"/>
  <c r="D199" i="9" s="1"/>
  <c r="D200" i="9" a="1"/>
  <c r="D200" i="9" s="1"/>
  <c r="D201" i="9" a="1"/>
  <c r="D201" i="9" s="1"/>
  <c r="D211" i="9" a="1"/>
  <c r="D211" i="9" s="1"/>
  <c r="D212" i="9" a="1"/>
  <c r="D212" i="9" s="1"/>
  <c r="D214" i="9" a="1"/>
  <c r="D214" i="9" s="1"/>
  <c r="D215" i="9" a="1"/>
  <c r="D215" i="9" s="1"/>
  <c r="D216" i="9" a="1"/>
  <c r="D216" i="9" s="1"/>
  <c r="D217" i="9" a="1"/>
  <c r="D217" i="9" s="1"/>
  <c r="D218" i="9" a="1"/>
  <c r="D218" i="9" s="1"/>
  <c r="D219" i="9" a="1"/>
  <c r="D219" i="9" s="1"/>
  <c r="D220" i="9" a="1"/>
  <c r="D220" i="9" s="1"/>
  <c r="D221" i="9" a="1"/>
  <c r="D221" i="9" s="1"/>
  <c r="D228" i="9" a="1"/>
  <c r="D228" i="9" s="1"/>
  <c r="D229" i="9" a="1"/>
  <c r="D229" i="9" s="1"/>
  <c r="D231" i="9" a="1"/>
  <c r="D231" i="9" s="1"/>
  <c r="D232" i="9" a="1"/>
  <c r="D232" i="9" s="1"/>
  <c r="D234" i="9" a="1"/>
  <c r="D234" i="9" s="1"/>
  <c r="D235" i="9" a="1"/>
  <c r="D235" i="9" s="1"/>
  <c r="D236" i="9" a="1"/>
  <c r="D236" i="9" s="1"/>
  <c r="D237" i="9" a="1"/>
  <c r="D237" i="9" s="1"/>
  <c r="D238" i="9" a="1"/>
  <c r="D238" i="9" s="1"/>
  <c r="D239" i="9" a="1"/>
  <c r="D239" i="9" s="1"/>
  <c r="D240" i="9" a="1"/>
  <c r="D240" i="9" s="1"/>
  <c r="D241" i="9" a="1"/>
  <c r="D241" i="9" s="1"/>
  <c r="D251" i="9" a="1"/>
  <c r="D251" i="9" s="1"/>
  <c r="D252" i="9" a="1"/>
  <c r="D252" i="9" s="1"/>
  <c r="D253" i="9" a="1"/>
  <c r="D253" i="9" s="1"/>
  <c r="D254" i="9" a="1"/>
  <c r="D254" i="9" s="1"/>
  <c r="D255" i="9" a="1"/>
  <c r="D255" i="9" s="1"/>
  <c r="D256" i="9" a="1"/>
  <c r="D256" i="9" s="1"/>
  <c r="D257" i="9" a="1"/>
  <c r="D257" i="9" s="1"/>
  <c r="D258" i="9" a="1"/>
  <c r="D258" i="9" s="1"/>
  <c r="D259" i="9" a="1"/>
  <c r="D259" i="9" s="1"/>
  <c r="D260" i="9" a="1"/>
  <c r="D260" i="9" s="1"/>
  <c r="D261" i="9" a="1"/>
  <c r="D261" i="9" s="1"/>
  <c r="D271" i="9" a="1"/>
  <c r="D271" i="9" s="1"/>
  <c r="D272" i="9" a="1"/>
  <c r="D272" i="9" s="1"/>
  <c r="D274" i="9" a="1"/>
  <c r="D274" i="9" s="1"/>
  <c r="D275" i="9" a="1"/>
  <c r="D275" i="9" s="1"/>
  <c r="D276" i="9" a="1"/>
  <c r="D276" i="9" s="1"/>
  <c r="D277" i="9" a="1"/>
  <c r="D277" i="9" s="1"/>
  <c r="D278" i="9" a="1"/>
  <c r="D278" i="9" s="1"/>
  <c r="D279" i="9" a="1"/>
  <c r="D279" i="9" s="1"/>
  <c r="D280" i="9" a="1"/>
  <c r="D280" i="9" s="1"/>
  <c r="D281" i="9" a="1"/>
  <c r="D281" i="9" s="1"/>
  <c r="D286" i="9" a="1"/>
  <c r="D286" i="9" s="1"/>
  <c r="D287" i="9" a="1"/>
  <c r="D287" i="9" s="1"/>
  <c r="D290" i="9" a="1"/>
  <c r="D290" i="9" s="1"/>
  <c r="D291" i="9" a="1"/>
  <c r="D291" i="9" s="1"/>
  <c r="D292" i="9" a="1"/>
  <c r="D292" i="9" s="1"/>
  <c r="D294" i="9" a="1"/>
  <c r="D294" i="9" s="1"/>
  <c r="D295" i="9" a="1"/>
  <c r="D295" i="9" s="1"/>
  <c r="D296" i="9" a="1"/>
  <c r="D296" i="9" s="1"/>
  <c r="D297" i="9" a="1"/>
  <c r="D297" i="9" s="1"/>
  <c r="D298" i="9" a="1"/>
  <c r="D298" i="9" s="1"/>
  <c r="D299" i="9" a="1"/>
  <c r="D299" i="9" s="1"/>
  <c r="D300" i="9" a="1"/>
  <c r="D300" i="9" s="1"/>
  <c r="D301" i="9" a="1"/>
  <c r="D301" i="9" s="1"/>
  <c r="D310" i="9" a="1"/>
  <c r="D310" i="9" s="1"/>
  <c r="D311" i="9" a="1"/>
  <c r="D311" i="9" s="1"/>
  <c r="D312" i="9" a="1"/>
  <c r="D312" i="9" s="1"/>
  <c r="D313" i="9" a="1"/>
  <c r="D313" i="9" s="1"/>
  <c r="D314" i="9" a="1"/>
  <c r="D314" i="9" s="1"/>
  <c r="D315" i="9" a="1"/>
  <c r="D315" i="9" s="1"/>
  <c r="D316" i="9" a="1"/>
  <c r="D316" i="9" s="1"/>
  <c r="D317" i="9" a="1"/>
  <c r="D317" i="9" s="1"/>
  <c r="D318" i="9" a="1"/>
  <c r="D318" i="9" s="1"/>
  <c r="D319" i="9" a="1"/>
  <c r="D319" i="9" s="1"/>
  <c r="D320" i="9" a="1"/>
  <c r="D320" i="9" s="1"/>
  <c r="D321" i="9" a="1"/>
  <c r="D321" i="9" s="1"/>
  <c r="D330" i="9" a="1"/>
  <c r="D330" i="9" s="1"/>
  <c r="D331" i="9" a="1"/>
  <c r="D331" i="9" s="1"/>
  <c r="D332" i="9" a="1"/>
  <c r="D332" i="9" s="1"/>
  <c r="D334" i="9" a="1"/>
  <c r="D334" i="9" s="1"/>
  <c r="D335" i="9" a="1"/>
  <c r="D335" i="9" s="1"/>
  <c r="D336" i="9" a="1"/>
  <c r="D336" i="9" s="1"/>
  <c r="D337" i="9" a="1"/>
  <c r="D337" i="9" s="1"/>
  <c r="D338" i="9" a="1"/>
  <c r="D338" i="9" s="1"/>
  <c r="D339" i="9" a="1"/>
  <c r="D339" i="9" s="1"/>
  <c r="D340" i="9" a="1"/>
  <c r="D340" i="9" s="1"/>
  <c r="D341" i="9" a="1"/>
  <c r="D341" i="9" s="1"/>
  <c r="D346" i="9" a="1"/>
  <c r="D346" i="9" s="1"/>
  <c r="D347" i="9" a="1"/>
  <c r="D347" i="9" s="1"/>
  <c r="D351" i="9" a="1"/>
  <c r="D351" i="9" s="1"/>
  <c r="D352" i="9" a="1"/>
  <c r="D352" i="9" s="1"/>
  <c r="D354" i="9" a="1"/>
  <c r="D354" i="9" s="1"/>
  <c r="D355" i="9" a="1"/>
  <c r="D355" i="9" s="1"/>
  <c r="D356" i="9" a="1"/>
  <c r="D356" i="9" s="1"/>
  <c r="D357" i="9" a="1"/>
  <c r="D357" i="9" s="1"/>
  <c r="D358" i="9" a="1"/>
  <c r="D358" i="9" s="1"/>
  <c r="D359" i="9" a="1"/>
  <c r="D359" i="9" s="1"/>
  <c r="D360" i="9" a="1"/>
  <c r="D360" i="9" s="1"/>
  <c r="D361" i="9" a="1"/>
  <c r="D361" i="9" s="1"/>
  <c r="D369" i="9" a="1"/>
  <c r="D369" i="9" s="1"/>
  <c r="D370" i="9" a="1"/>
  <c r="D370" i="9" s="1"/>
  <c r="D371" i="9" a="1"/>
  <c r="D371" i="9" s="1"/>
  <c r="D372" i="9" a="1"/>
  <c r="D372" i="9" s="1"/>
  <c r="D374" i="9" a="1"/>
  <c r="D374" i="9" s="1"/>
  <c r="D375" i="9" a="1"/>
  <c r="D375" i="9" s="1"/>
  <c r="D376" i="9" a="1"/>
  <c r="D376" i="9" s="1"/>
  <c r="D377" i="9" a="1"/>
  <c r="D377" i="9" s="1"/>
  <c r="D378" i="9" a="1"/>
  <c r="D378" i="9" s="1"/>
  <c r="D379" i="9" a="1"/>
  <c r="D379" i="9" s="1"/>
  <c r="D380" i="9" a="1"/>
  <c r="D380" i="9" s="1"/>
  <c r="D381" i="9" a="1"/>
  <c r="D381" i="9" s="1"/>
  <c r="D389" i="9" a="1"/>
  <c r="D389" i="9" s="1"/>
  <c r="D390" i="9" a="1"/>
  <c r="D390" i="9" s="1"/>
  <c r="D391" i="9" a="1"/>
  <c r="D391" i="9" s="1"/>
  <c r="D392" i="9" a="1"/>
  <c r="D392" i="9" s="1"/>
  <c r="D393" i="9" a="1"/>
  <c r="D393" i="9" s="1"/>
  <c r="D394" i="9" a="1"/>
  <c r="D394" i="9" s="1"/>
  <c r="D395" i="9" a="1"/>
  <c r="D395" i="9" s="1"/>
  <c r="D396" i="9" a="1"/>
  <c r="D396" i="9" s="1"/>
  <c r="D397" i="9" a="1"/>
  <c r="D397" i="9" s="1"/>
  <c r="D398" i="9" a="1"/>
  <c r="D398" i="9" s="1"/>
  <c r="D399" i="9" a="1"/>
  <c r="D399" i="9" s="1"/>
  <c r="D400" i="9" a="1"/>
  <c r="D400" i="9" s="1"/>
  <c r="D401" i="9" a="1"/>
  <c r="D401" i="9" s="1"/>
  <c r="D408" i="9" a="1"/>
  <c r="D408" i="9" s="1"/>
  <c r="D411" i="9" a="1"/>
  <c r="D411" i="9" s="1"/>
  <c r="D412" i="9" a="1"/>
  <c r="D412" i="9" s="1"/>
  <c r="D413" i="9" a="1"/>
  <c r="D413" i="9" s="1"/>
  <c r="D414" i="9" a="1"/>
  <c r="D414" i="9" s="1"/>
  <c r="D415" i="9" a="1"/>
  <c r="D415" i="9" s="1"/>
  <c r="D416" i="9" a="1"/>
  <c r="D416" i="9" s="1"/>
  <c r="D417" i="9" a="1"/>
  <c r="D417" i="9" s="1"/>
  <c r="D418" i="9" a="1"/>
  <c r="D418" i="9" s="1"/>
  <c r="D419" i="9" a="1"/>
  <c r="D419" i="9" s="1"/>
  <c r="D420" i="9" a="1"/>
  <c r="D420" i="9" s="1"/>
  <c r="D421" i="9" a="1"/>
  <c r="D421" i="9" s="1"/>
  <c r="D429" i="9" a="1"/>
  <c r="D429" i="9" s="1"/>
  <c r="D430" i="9" a="1"/>
  <c r="D430" i="9" s="1"/>
  <c r="D431" i="9" a="1"/>
  <c r="D431" i="9" s="1"/>
  <c r="D432" i="9" a="1"/>
  <c r="D432" i="9" s="1"/>
  <c r="D434" i="9" a="1"/>
  <c r="D434" i="9" s="1"/>
  <c r="D437" i="9" a="1"/>
  <c r="D437" i="9" s="1"/>
  <c r="D438" i="9" a="1"/>
  <c r="D438" i="9" s="1"/>
  <c r="D439" i="9" a="1"/>
  <c r="D439" i="9" s="1"/>
  <c r="D440" i="9" a="1"/>
  <c r="D440" i="9" s="1"/>
  <c r="D441" i="9" a="1"/>
  <c r="D441" i="9" s="1"/>
  <c r="D443" i="9" a="1"/>
  <c r="D443" i="9" s="1"/>
  <c r="D450" i="9" a="1"/>
  <c r="D450" i="9" s="1"/>
  <c r="D451" i="9" a="1"/>
  <c r="D451" i="9" s="1"/>
  <c r="D452" i="9" a="1"/>
  <c r="D452" i="9" s="1"/>
  <c r="D454" i="9" a="1"/>
  <c r="D454" i="9" s="1"/>
  <c r="D457" i="9" a="1"/>
  <c r="D457" i="9" s="1"/>
  <c r="D458" i="9" a="1"/>
  <c r="D458" i="9" s="1"/>
  <c r="D459" i="9" a="1"/>
  <c r="D459" i="9" s="1"/>
  <c r="D460" i="9" a="1"/>
  <c r="D460" i="9" s="1"/>
  <c r="D461" i="9" a="1"/>
  <c r="D461" i="9" s="1"/>
  <c r="D466" i="9" a="1"/>
  <c r="D466" i="9" s="1"/>
  <c r="D467" i="9" a="1"/>
  <c r="D467" i="9" s="1"/>
  <c r="D468" i="9" a="1"/>
  <c r="D468" i="9" s="1"/>
  <c r="D469" i="9" a="1"/>
  <c r="D469" i="9" s="1"/>
  <c r="D471" i="9" a="1"/>
  <c r="D471" i="9" s="1"/>
  <c r="D472" i="9" a="1"/>
  <c r="D472" i="9" s="1"/>
  <c r="D476" i="9" a="1"/>
  <c r="D476" i="9" s="1"/>
  <c r="D477" i="9" a="1"/>
  <c r="D477" i="9" s="1"/>
  <c r="D478" i="9" a="1"/>
  <c r="D478" i="9" s="1"/>
  <c r="D479" i="9" a="1"/>
  <c r="D479" i="9" s="1"/>
  <c r="D480" i="9" a="1"/>
  <c r="D480" i="9" s="1"/>
  <c r="D481" i="9" a="1"/>
  <c r="D481" i="9" s="1"/>
  <c r="D488" i="9" a="1"/>
  <c r="D488" i="9" s="1"/>
  <c r="D489" i="9" a="1"/>
  <c r="D489" i="9" s="1"/>
  <c r="D490" i="9" a="1"/>
  <c r="D490" i="9" s="1"/>
  <c r="D491" i="9" a="1"/>
  <c r="D491" i="9" s="1"/>
  <c r="D492" i="9" a="1"/>
  <c r="D492" i="9" s="1"/>
  <c r="D493" i="9" a="1"/>
  <c r="D493" i="9" s="1"/>
  <c r="D496" i="9" a="1"/>
  <c r="D496" i="9" s="1"/>
  <c r="D497" i="9" a="1"/>
  <c r="D497" i="9" s="1"/>
  <c r="D498" i="9" a="1"/>
  <c r="D498" i="9" s="1"/>
  <c r="D499" i="9" a="1"/>
  <c r="D499" i="9" s="1"/>
  <c r="D500" i="9" a="1"/>
  <c r="D500" i="9" s="1"/>
  <c r="D501" i="9" a="1"/>
  <c r="D501" i="9" s="1"/>
  <c r="D509" i="9" a="1"/>
  <c r="D509" i="9" s="1"/>
  <c r="D510" i="9" a="1"/>
  <c r="D510" i="9" s="1"/>
  <c r="D511" i="9" a="1"/>
  <c r="D511" i="9" s="1"/>
  <c r="D512" i="9" a="1"/>
  <c r="D512" i="9" s="1"/>
  <c r="D516" i="9" a="1"/>
  <c r="D516" i="9" s="1"/>
  <c r="D517" i="9" a="1"/>
  <c r="D517" i="9" s="1"/>
  <c r="D518" i="9" a="1"/>
  <c r="D518" i="9" s="1"/>
  <c r="D519" i="9" a="1"/>
  <c r="D519" i="9" s="1"/>
  <c r="D520" i="9" a="1"/>
  <c r="D520" i="9" s="1"/>
  <c r="D521" i="9" a="1"/>
  <c r="D521" i="9" s="1"/>
  <c r="D530" i="9" a="1"/>
  <c r="D530" i="9" s="1"/>
  <c r="D532" i="9" a="1"/>
  <c r="D532" i="9" s="1"/>
  <c r="D536" i="9" a="1"/>
  <c r="D536" i="9" s="1"/>
  <c r="D537" i="9" a="1"/>
  <c r="D537" i="9" s="1"/>
  <c r="D538" i="9" a="1"/>
  <c r="D538" i="9" s="1"/>
  <c r="D539" i="9" a="1"/>
  <c r="D539" i="9" s="1"/>
  <c r="D540" i="9" a="1"/>
  <c r="D540" i="9" s="1"/>
  <c r="D541" i="9" a="1"/>
  <c r="D541" i="9" s="1"/>
  <c r="D542" i="9" a="1"/>
  <c r="D542" i="9" s="1"/>
  <c r="D550" i="9" a="1"/>
  <c r="D550" i="9" s="1"/>
  <c r="D552" i="9" a="1"/>
  <c r="D552" i="9" s="1"/>
  <c r="D556" i="9" a="1"/>
  <c r="D556" i="9" s="1"/>
  <c r="D557" i="9" a="1"/>
  <c r="D557" i="9" s="1"/>
  <c r="D558" i="9" a="1"/>
  <c r="D558" i="9" s="1"/>
  <c r="D559" i="9" a="1"/>
  <c r="D559" i="9" s="1"/>
  <c r="D560" i="9" a="1"/>
  <c r="D560" i="9" s="1"/>
  <c r="D561" i="9" a="1"/>
  <c r="D561" i="9" s="1"/>
  <c r="D563" i="9" a="1"/>
  <c r="D563" i="9" s="1"/>
  <c r="D564" i="9" a="1"/>
  <c r="D564" i="9" s="1"/>
  <c r="D565" i="9" a="1"/>
  <c r="D565" i="9" s="1"/>
  <c r="D566" i="9" a="1"/>
  <c r="D566" i="9" s="1"/>
  <c r="D571" i="9" a="1"/>
  <c r="D571" i="9" s="1"/>
  <c r="D572" i="9" a="1"/>
  <c r="D572" i="9" s="1"/>
  <c r="D575" i="9" a="1"/>
  <c r="D575" i="9" s="1"/>
  <c r="D576" i="9" a="1"/>
  <c r="D576" i="9" s="1"/>
  <c r="D577" i="9" a="1"/>
  <c r="D577" i="9" s="1"/>
  <c r="D578" i="9" a="1"/>
  <c r="D578" i="9" s="1"/>
  <c r="D579" i="9" a="1"/>
  <c r="D579" i="9" s="1"/>
  <c r="D580" i="9" a="1"/>
  <c r="D580" i="9" s="1"/>
  <c r="D581" i="9" a="1"/>
  <c r="D581" i="9" s="1"/>
  <c r="D583" i="9" a="1"/>
  <c r="D583" i="9" s="1"/>
  <c r="D591" i="9" a="1"/>
  <c r="D591" i="9" s="1"/>
  <c r="D592" i="9" a="1"/>
  <c r="D592" i="9" s="1"/>
  <c r="D595" i="9" a="1"/>
  <c r="D595" i="9" s="1"/>
  <c r="D596" i="9" a="1"/>
  <c r="D596" i="9" s="1"/>
  <c r="D597" i="9" a="1"/>
  <c r="D597" i="9" s="1"/>
  <c r="D598" i="9" a="1"/>
  <c r="D598" i="9" s="1"/>
  <c r="D599" i="9" a="1"/>
  <c r="D599" i="9" s="1"/>
  <c r="D600" i="9" a="1"/>
  <c r="D600" i="9" s="1"/>
  <c r="D601" i="9" a="1"/>
  <c r="D601" i="9" s="1"/>
  <c r="D611" i="9" a="1"/>
  <c r="D611" i="9" s="1"/>
  <c r="D612" i="9" a="1"/>
  <c r="D612" i="9" s="1"/>
  <c r="D613" i="9" a="1"/>
  <c r="D613" i="9" s="1"/>
  <c r="D615" i="9" a="1"/>
  <c r="D615" i="9" s="1"/>
  <c r="D616" i="9" a="1"/>
  <c r="D616" i="9" s="1"/>
  <c r="D617" i="9" a="1"/>
  <c r="D617" i="9" s="1"/>
  <c r="D618" i="9" a="1"/>
  <c r="D618" i="9" s="1"/>
  <c r="D619" i="9" a="1"/>
  <c r="D619" i="9" s="1"/>
  <c r="D620" i="9" a="1"/>
  <c r="D620" i="9" s="1"/>
  <c r="D621" i="9" a="1"/>
  <c r="D621" i="9" s="1"/>
  <c r="D631" i="9" a="1"/>
  <c r="D631" i="9" s="1"/>
  <c r="D632" i="9" a="1"/>
  <c r="D632" i="9" s="1"/>
  <c r="D635" i="9" a="1"/>
  <c r="D635" i="9" s="1"/>
  <c r="D636" i="9" a="1"/>
  <c r="D636" i="9" s="1"/>
  <c r="D637" i="9" a="1"/>
  <c r="D637" i="9" s="1"/>
  <c r="D638" i="9" a="1"/>
  <c r="D638" i="9" s="1"/>
  <c r="D639" i="9" a="1"/>
  <c r="D639" i="9" s="1"/>
  <c r="D640" i="9" a="1"/>
  <c r="D640" i="9" s="1"/>
  <c r="D641" i="9" a="1"/>
  <c r="D641" i="9" s="1"/>
  <c r="D643" i="9" a="1"/>
  <c r="D643" i="9" s="1"/>
  <c r="D650" i="9" a="1"/>
  <c r="D650" i="9" s="1"/>
  <c r="D651" i="9" a="1"/>
  <c r="D651" i="9" s="1"/>
  <c r="D652" i="9" a="1"/>
  <c r="D652" i="9" s="1"/>
  <c r="D654" i="9" a="1"/>
  <c r="D654" i="9" s="1"/>
  <c r="D655" i="9" a="1"/>
  <c r="D655" i="9" s="1"/>
  <c r="D656" i="9" a="1"/>
  <c r="D656" i="9" s="1"/>
  <c r="D657" i="9" a="1"/>
  <c r="D657" i="9" s="1"/>
  <c r="D658" i="9" a="1"/>
  <c r="D658" i="9" s="1"/>
  <c r="D659" i="9" a="1"/>
  <c r="D659" i="9" s="1"/>
  <c r="D660" i="9" a="1"/>
  <c r="D660" i="9" s="1"/>
  <c r="D661" i="9" a="1"/>
  <c r="D661" i="9" s="1"/>
  <c r="D671" i="9" a="1"/>
  <c r="D671" i="9" s="1"/>
  <c r="D672" i="9" a="1"/>
  <c r="D672" i="9" s="1"/>
  <c r="D674" i="9" a="1"/>
  <c r="D674" i="9" s="1"/>
  <c r="D675" i="9" a="1"/>
  <c r="D675" i="9" s="1"/>
  <c r="D676" i="9" a="1"/>
  <c r="D676" i="9" s="1"/>
  <c r="D677" i="9" a="1"/>
  <c r="D677" i="9" s="1"/>
  <c r="D678" i="9" a="1"/>
  <c r="D678" i="9" s="1"/>
  <c r="D679" i="9" a="1"/>
  <c r="D679" i="9" s="1"/>
  <c r="D680" i="9" a="1"/>
  <c r="D680" i="9" s="1"/>
  <c r="D681" i="9" a="1"/>
  <c r="D681" i="9" s="1"/>
  <c r="D691" i="9" a="1"/>
  <c r="D691" i="9" s="1"/>
  <c r="D692" i="9" a="1"/>
  <c r="D692" i="9" s="1"/>
  <c r="D694" i="9" a="1"/>
  <c r="D694" i="9" s="1"/>
  <c r="D695" i="9" a="1"/>
  <c r="D695" i="9" s="1"/>
  <c r="D696" i="9" a="1"/>
  <c r="D696" i="9" s="1"/>
  <c r="D697" i="9" a="1"/>
  <c r="D697" i="9" s="1"/>
  <c r="D698" i="9" a="1"/>
  <c r="D698" i="9" s="1"/>
  <c r="D699" i="9" a="1"/>
  <c r="D699" i="9" s="1"/>
  <c r="D700" i="9" a="1"/>
  <c r="D700" i="9" s="1"/>
  <c r="D701" i="9" a="1"/>
  <c r="D701" i="9" s="1"/>
  <c r="D707" i="9" a="1"/>
  <c r="D707" i="9" s="1"/>
  <c r="D710" i="9" a="1"/>
  <c r="D710" i="9" s="1"/>
  <c r="D711" i="9" a="1"/>
  <c r="D711" i="9" s="1"/>
  <c r="D712" i="9" a="1"/>
  <c r="D712" i="9" s="1"/>
  <c r="D713" i="9" a="1"/>
  <c r="D713" i="9" s="1"/>
  <c r="D714" i="9" a="1"/>
  <c r="D714" i="9" s="1"/>
  <c r="D715" i="9" a="1"/>
  <c r="D715" i="9" s="1"/>
  <c r="D716" i="9" a="1"/>
  <c r="D716" i="9" s="1"/>
  <c r="D717" i="9" a="1"/>
  <c r="D717" i="9" s="1"/>
  <c r="D718" i="9" a="1"/>
  <c r="D718" i="9" s="1"/>
  <c r="D719" i="9" a="1"/>
  <c r="D719" i="9" s="1"/>
  <c r="D720" i="9" a="1"/>
  <c r="D720" i="9" s="1"/>
  <c r="D721" i="9" a="1"/>
  <c r="D721" i="9" s="1"/>
  <c r="D730" i="9" a="1"/>
  <c r="D730" i="9" s="1"/>
  <c r="D731" i="9" a="1"/>
  <c r="D731" i="9" s="1"/>
  <c r="D732" i="9" a="1"/>
  <c r="D732" i="9" s="1"/>
  <c r="D733" i="9" a="1"/>
  <c r="D733" i="9" s="1"/>
  <c r="D734" i="9" a="1"/>
  <c r="D734" i="9" s="1"/>
  <c r="D735" i="9" a="1"/>
  <c r="D735" i="9" s="1"/>
  <c r="D736" i="9" a="1"/>
  <c r="D736" i="9" s="1"/>
  <c r="D737" i="9" a="1"/>
  <c r="D737" i="9" s="1"/>
  <c r="D738" i="9" a="1"/>
  <c r="D738" i="9" s="1"/>
  <c r="D739" i="9" a="1"/>
  <c r="D739" i="9" s="1"/>
  <c r="D740" i="9" a="1"/>
  <c r="D740" i="9" s="1"/>
  <c r="D741" i="9" a="1"/>
  <c r="D741" i="9" s="1"/>
  <c r="D749" i="9" a="1"/>
  <c r="D749" i="9" s="1"/>
  <c r="D750" i="9" a="1"/>
  <c r="D750" i="9" s="1"/>
  <c r="D751" i="9" a="1"/>
  <c r="D751" i="9" s="1"/>
  <c r="D752" i="9" a="1"/>
  <c r="D752" i="9" s="1"/>
  <c r="D754" i="9" a="1"/>
  <c r="D754" i="9" s="1"/>
  <c r="D755" i="9" a="1"/>
  <c r="D755" i="9" s="1"/>
  <c r="D756" i="9" a="1"/>
  <c r="D756" i="9" s="1"/>
  <c r="D757" i="9" a="1"/>
  <c r="D757" i="9" s="1"/>
  <c r="D758" i="9" a="1"/>
  <c r="D758" i="9" s="1"/>
  <c r="D759" i="9" a="1"/>
  <c r="D759" i="9" s="1"/>
  <c r="D760" i="9" a="1"/>
  <c r="D760" i="9" s="1"/>
  <c r="D761" i="9" a="1"/>
  <c r="D761" i="9" s="1"/>
  <c r="D770" i="9" a="1"/>
  <c r="D770" i="9" s="1"/>
  <c r="D771" i="9" a="1"/>
  <c r="D771" i="9" s="1"/>
  <c r="D772" i="9" a="1"/>
  <c r="D772" i="9" s="1"/>
  <c r="D774" i="9" a="1"/>
  <c r="D774" i="9" s="1"/>
  <c r="D776" i="9" a="1"/>
  <c r="D776" i="9" s="1"/>
  <c r="D777" i="9" a="1"/>
  <c r="D777" i="9" s="1"/>
  <c r="D778" i="9" a="1"/>
  <c r="D778" i="9" s="1"/>
  <c r="D779" i="9" a="1"/>
  <c r="D779" i="9" s="1"/>
  <c r="D780" i="9" a="1"/>
  <c r="D780" i="9" s="1"/>
  <c r="D781" i="9" a="1"/>
  <c r="D781" i="9" s="1"/>
  <c r="D783" i="9" a="1"/>
  <c r="D783" i="9" s="1"/>
  <c r="D786" i="9" a="1"/>
  <c r="D786" i="9" s="1"/>
  <c r="D791" i="9" a="1"/>
  <c r="D791" i="9" s="1"/>
  <c r="D792" i="9" a="1"/>
  <c r="D792" i="9" s="1"/>
  <c r="D794" i="9" a="1"/>
  <c r="D794" i="9" s="1"/>
  <c r="D796" i="9" a="1"/>
  <c r="D796" i="9" s="1"/>
  <c r="D797" i="9" a="1"/>
  <c r="D797" i="9" s="1"/>
  <c r="D798" i="9" a="1"/>
  <c r="D798" i="9" s="1"/>
  <c r="D799" i="9" a="1"/>
  <c r="D799" i="9" s="1"/>
  <c r="D800" i="9" a="1"/>
  <c r="D800" i="9" s="1"/>
  <c r="D801" i="9" a="1"/>
  <c r="D801" i="9" s="1"/>
  <c r="D805" i="9" a="1"/>
  <c r="D805" i="9" s="1"/>
  <c r="D806" i="9" a="1"/>
  <c r="D806" i="9" s="1"/>
  <c r="D807" i="9" a="1"/>
  <c r="D807" i="9" s="1"/>
  <c r="D810" i="9" a="1"/>
  <c r="D810" i="9" s="1"/>
  <c r="D811" i="9" a="1"/>
  <c r="D811" i="9" s="1"/>
  <c r="D812" i="9" a="1"/>
  <c r="D812" i="9" s="1"/>
  <c r="D816" i="9" a="1"/>
  <c r="D816" i="9" s="1"/>
  <c r="D817" i="9" a="1"/>
  <c r="D817" i="9" s="1"/>
  <c r="D818" i="9" a="1"/>
  <c r="D818" i="9" s="1"/>
  <c r="D819" i="9" a="1"/>
  <c r="D819" i="9" s="1"/>
  <c r="D820" i="9" a="1"/>
  <c r="D820" i="9" s="1"/>
  <c r="D821" i="9" a="1"/>
  <c r="D821" i="9" s="1"/>
  <c r="D827" i="9" a="1"/>
  <c r="D827" i="9" s="1"/>
  <c r="D828" i="9" a="1"/>
  <c r="D828" i="9" s="1"/>
  <c r="D829" i="9" a="1"/>
  <c r="D829" i="9" s="1"/>
  <c r="D830" i="9" a="1"/>
  <c r="D830" i="9" s="1"/>
  <c r="D831" i="9" a="1"/>
  <c r="D831" i="9" s="1"/>
  <c r="D832" i="9" a="1"/>
  <c r="D832" i="9" s="1"/>
  <c r="D836" i="9" a="1"/>
  <c r="D836" i="9" s="1"/>
  <c r="D837" i="9" a="1"/>
  <c r="D837" i="9" s="1"/>
  <c r="D838" i="9" a="1"/>
  <c r="D838" i="9" s="1"/>
  <c r="D839" i="9" a="1"/>
  <c r="D839" i="9" s="1"/>
  <c r="D840" i="9" a="1"/>
  <c r="D840" i="9" s="1"/>
  <c r="D841" i="9" a="1"/>
  <c r="D841" i="9" s="1"/>
  <c r="D849" i="9" a="1"/>
  <c r="D849" i="9" s="1"/>
  <c r="D850" i="9" a="1"/>
  <c r="D850" i="9" s="1"/>
  <c r="D851" i="9" a="1"/>
  <c r="D851" i="9" s="1"/>
  <c r="D852" i="9" a="1"/>
  <c r="D852" i="9" s="1"/>
  <c r="D855" i="9" a="1"/>
  <c r="D855" i="9" s="1"/>
  <c r="D856" i="9" a="1"/>
  <c r="D856" i="9" s="1"/>
  <c r="D857" i="9" a="1"/>
  <c r="D857" i="9" s="1"/>
  <c r="D858" i="9" a="1"/>
  <c r="D858" i="9" s="1"/>
  <c r="D859" i="9" a="1"/>
  <c r="D859" i="9" s="1"/>
  <c r="D860" i="9" a="1"/>
  <c r="D860" i="9" s="1"/>
  <c r="D861" i="9" a="1"/>
  <c r="D861" i="9" s="1"/>
  <c r="D870" i="9" a="1"/>
  <c r="D870" i="9" s="1"/>
  <c r="D871" i="9" a="1"/>
  <c r="D871" i="9" s="1"/>
  <c r="D872" i="9" a="1"/>
  <c r="D872" i="9" s="1"/>
  <c r="D876" i="9" a="1"/>
  <c r="D876" i="9" s="1"/>
  <c r="D877" i="9" a="1"/>
  <c r="D877" i="9" s="1"/>
  <c r="D878" i="9" a="1"/>
  <c r="D878" i="9" s="1"/>
  <c r="D879" i="9" a="1"/>
  <c r="D879" i="9" s="1"/>
  <c r="D880" i="9" a="1"/>
  <c r="D880" i="9" s="1"/>
  <c r="D881" i="9" a="1"/>
  <c r="D881" i="9" s="1"/>
  <c r="D889" i="9" a="1"/>
  <c r="D889" i="9" s="1"/>
  <c r="D890" i="9" a="1"/>
  <c r="D890" i="9" s="1"/>
  <c r="D892" i="9" a="1"/>
  <c r="D892" i="9" s="1"/>
  <c r="D896" i="9" a="1"/>
  <c r="D896" i="9" s="1"/>
  <c r="D897" i="9" a="1"/>
  <c r="D897" i="9" s="1"/>
  <c r="D898" i="9" a="1"/>
  <c r="D898" i="9" s="1"/>
  <c r="D899" i="9" a="1"/>
  <c r="D899" i="9" s="1"/>
  <c r="D900" i="9" a="1"/>
  <c r="D900" i="9" s="1"/>
  <c r="D901" i="9" a="1"/>
  <c r="D901" i="9" s="1"/>
  <c r="D903" i="9" a="1"/>
  <c r="D903" i="9" s="1"/>
  <c r="D904" i="9" a="1"/>
  <c r="D904" i="9" s="1"/>
  <c r="D911" i="9" a="1"/>
  <c r="D911" i="9" s="1"/>
  <c r="D912" i="9" a="1"/>
  <c r="D912" i="9" s="1"/>
  <c r="D915" i="9" a="1"/>
  <c r="D915" i="9" s="1"/>
  <c r="D916" i="9" a="1"/>
  <c r="D916" i="9" s="1"/>
  <c r="D917" i="9" a="1"/>
  <c r="D917" i="9" s="1"/>
  <c r="D918" i="9" a="1"/>
  <c r="D918" i="9" s="1"/>
  <c r="D919" i="9" a="1"/>
  <c r="D919" i="9" s="1"/>
  <c r="D920" i="9" a="1"/>
  <c r="D920" i="9" s="1"/>
  <c r="D921" i="9" a="1"/>
  <c r="D921" i="9" s="1"/>
  <c r="D923" i="9" a="1"/>
  <c r="D923" i="9" s="1"/>
  <c r="D925" i="9" a="1"/>
  <c r="D925" i="9" s="1"/>
  <c r="D926" i="9" a="1"/>
  <c r="D926" i="9" s="1"/>
  <c r="D927" i="9" a="1"/>
  <c r="D927" i="9" s="1"/>
  <c r="D931" i="9" a="1"/>
  <c r="D931" i="9" s="1"/>
  <c r="D932" i="9" a="1"/>
  <c r="D932" i="9" s="1"/>
  <c r="D935" i="9" a="1"/>
  <c r="D935" i="9" s="1"/>
  <c r="D936" i="9" a="1"/>
  <c r="D936" i="9" s="1"/>
  <c r="D937" i="9" a="1"/>
  <c r="D937" i="9" s="1"/>
  <c r="D938" i="9" a="1"/>
  <c r="D938" i="9" s="1"/>
  <c r="D939" i="9" a="1"/>
  <c r="D939" i="9" s="1"/>
  <c r="D940" i="9" a="1"/>
  <c r="D940" i="9" s="1"/>
  <c r="D941" i="9" a="1"/>
  <c r="D941" i="9" s="1"/>
  <c r="D951" i="9" a="1"/>
  <c r="D951" i="9" s="1"/>
  <c r="D952" i="9" a="1"/>
  <c r="D952" i="9" s="1"/>
  <c r="D954" i="9" a="1"/>
  <c r="D954" i="9" s="1"/>
  <c r="D955" i="9" a="1"/>
  <c r="D955" i="9" s="1"/>
  <c r="D956" i="9" a="1"/>
  <c r="D956" i="9" s="1"/>
  <c r="D957" i="9" a="1"/>
  <c r="D957" i="9" s="1"/>
  <c r="D958" i="9" a="1"/>
  <c r="D958" i="9" s="1"/>
  <c r="D959" i="9" a="1"/>
  <c r="D959" i="9" s="1"/>
  <c r="D960" i="9" a="1"/>
  <c r="D960" i="9" s="1"/>
  <c r="D961" i="9" a="1"/>
  <c r="D961" i="9" s="1"/>
  <c r="D971" i="9" a="1"/>
  <c r="D971" i="9" s="1"/>
  <c r="D972" i="9" a="1"/>
  <c r="D972" i="9" s="1"/>
  <c r="D973" i="9" a="1"/>
  <c r="D973" i="9" s="1"/>
  <c r="D974" i="9" a="1"/>
  <c r="D974" i="9" s="1"/>
  <c r="D976" i="9" a="1"/>
  <c r="D976" i="9" s="1"/>
  <c r="D977" i="9" a="1"/>
  <c r="D977" i="9" s="1"/>
  <c r="D978" i="9" a="1"/>
  <c r="D978" i="9" s="1"/>
  <c r="D979" i="9" a="1"/>
  <c r="D979" i="9" s="1"/>
  <c r="D980" i="9" a="1"/>
  <c r="D980" i="9" s="1"/>
  <c r="D981" i="9" a="1"/>
  <c r="D981" i="9" s="1"/>
  <c r="D991" i="9" a="1"/>
  <c r="D991" i="9" s="1"/>
  <c r="D992" i="9" a="1"/>
  <c r="D992" i="9" s="1"/>
  <c r="D994" i="9" a="1"/>
  <c r="D994" i="9" s="1"/>
  <c r="D995" i="9" a="1"/>
  <c r="D995" i="9" s="1"/>
  <c r="D996" i="9" a="1"/>
  <c r="D996" i="9" s="1"/>
  <c r="D997" i="9" a="1"/>
  <c r="D997" i="9" s="1"/>
  <c r="D998" i="9" a="1"/>
  <c r="D998" i="9" s="1"/>
  <c r="D999" i="9" a="1"/>
  <c r="D999" i="9" s="1"/>
  <c r="D1000" i="9" a="1"/>
  <c r="D1000" i="9" s="1"/>
  <c r="D1001" i="9" a="1"/>
  <c r="D1001" i="9" s="1"/>
  <c r="D1010" i="9" a="1"/>
  <c r="D1010" i="9" s="1"/>
  <c r="D1011" i="9" a="1"/>
  <c r="D1011" i="9" s="1"/>
  <c r="D1012" i="9" a="1"/>
  <c r="D1012" i="9" s="1"/>
  <c r="D1014" i="9" a="1"/>
  <c r="D1014" i="9" s="1"/>
  <c r="D1015" i="9" a="1"/>
  <c r="D1015" i="9" s="1"/>
  <c r="D1016" i="9" a="1"/>
  <c r="D1016" i="9" s="1"/>
  <c r="D1017" i="9" a="1"/>
  <c r="D1017" i="9" s="1"/>
  <c r="D1018" i="9" a="1"/>
  <c r="D1018" i="9" s="1"/>
  <c r="D1019" i="9" a="1"/>
  <c r="D1019" i="9" s="1"/>
  <c r="D1020" i="9" a="1"/>
  <c r="D1020" i="9" s="1"/>
  <c r="D1021" i="9" a="1"/>
  <c r="D1021" i="9" s="1"/>
  <c r="D1030" i="9" a="1"/>
  <c r="D1030" i="9" s="1"/>
  <c r="D1031" i="9" a="1"/>
  <c r="D1031" i="9" s="1"/>
  <c r="D1032" i="9" a="1"/>
  <c r="D1032" i="9" s="1"/>
  <c r="D1033" i="9" a="1"/>
  <c r="D1033" i="9" s="1"/>
  <c r="D1034" i="9" a="1"/>
  <c r="D1034" i="9" s="1"/>
  <c r="D1035" i="9" a="1"/>
  <c r="D1035" i="9" s="1"/>
  <c r="D1036" i="9" a="1"/>
  <c r="D1036" i="9" s="1"/>
  <c r="D1037" i="9" a="1"/>
  <c r="D1037" i="9" s="1"/>
  <c r="D1038" i="9" a="1"/>
  <c r="D1038" i="9" s="1"/>
  <c r="D1039" i="9" a="1"/>
  <c r="D1039" i="9" s="1"/>
  <c r="D1040" i="9" a="1"/>
  <c r="D1040" i="9" s="1"/>
  <c r="D1041" i="9" a="1"/>
  <c r="D1041" i="9" s="1"/>
  <c r="D160" i="7" a="1"/>
  <c r="D160" i="7" s="1"/>
  <c r="D159" i="7" a="1"/>
  <c r="D159" i="7" s="1"/>
  <c r="D158" i="7" a="1"/>
  <c r="D158" i="7" s="1"/>
  <c r="D157" i="7" a="1"/>
  <c r="D157" i="7" s="1"/>
  <c r="D156" i="7" a="1"/>
  <c r="E156" i="7" s="1"/>
  <c r="D155" i="7" a="1"/>
  <c r="G155" i="7" s="1"/>
  <c r="D154" i="7" a="1"/>
  <c r="D154" i="7" s="1"/>
  <c r="D153" i="7" a="1"/>
  <c r="D153" i="7" s="1"/>
  <c r="D152" i="7" a="1"/>
  <c r="D152" i="7" s="1"/>
  <c r="D151" i="7" a="1"/>
  <c r="D151" i="7" s="1"/>
  <c r="D150" i="7" a="1"/>
  <c r="D150" i="7" s="1"/>
  <c r="D149" i="7" a="1"/>
  <c r="D149" i="7" s="1"/>
  <c r="D148" i="7" a="1"/>
  <c r="E148" i="7" s="1"/>
  <c r="D147" i="7" a="1"/>
  <c r="F147" i="7" s="1"/>
  <c r="D146" i="7" a="1"/>
  <c r="D146" i="7" s="1"/>
  <c r="D145" i="7" a="1"/>
  <c r="D145" i="7" s="1"/>
  <c r="D144" i="7" a="1"/>
  <c r="D144" i="7" s="1"/>
  <c r="D143" i="7" a="1"/>
  <c r="D143" i="7" s="1"/>
  <c r="D142" i="7" a="1"/>
  <c r="D142" i="7" s="1"/>
  <c r="D141" i="7" a="1"/>
  <c r="E141" i="7" s="1"/>
  <c r="D140" i="7" a="1"/>
  <c r="E140" i="7" s="1"/>
  <c r="D139" i="7" a="1"/>
  <c r="D139" i="7" s="1"/>
  <c r="D138" i="7" a="1"/>
  <c r="D138" i="7" s="1"/>
  <c r="D137" i="7" a="1"/>
  <c r="D137" i="7" s="1"/>
  <c r="D136" i="7" a="1"/>
  <c r="D136" i="7" s="1"/>
  <c r="D135" i="7" a="1"/>
  <c r="D135" i="7" s="1"/>
  <c r="D134" i="7" a="1"/>
  <c r="D134" i="7" s="1"/>
  <c r="D133" i="7" a="1"/>
  <c r="D133" i="7" s="1"/>
  <c r="D132" i="7" a="1"/>
  <c r="D132" i="7" s="1"/>
  <c r="D131" i="7" a="1"/>
  <c r="D131" i="7" s="1"/>
  <c r="D130" i="7" a="1"/>
  <c r="D130" i="7" s="1"/>
  <c r="D129" i="7" a="1"/>
  <c r="E129" i="7" s="1"/>
  <c r="D128" i="7" a="1"/>
  <c r="D128" i="7" s="1"/>
  <c r="D127" i="7" a="1"/>
  <c r="D127" i="7" s="1"/>
  <c r="D126" i="7" a="1"/>
  <c r="D126" i="7" s="1"/>
  <c r="D125" i="7" a="1"/>
  <c r="D125" i="7" s="1"/>
  <c r="D124" i="7" a="1"/>
  <c r="D124" i="7" s="1"/>
  <c r="D123" i="7" a="1"/>
  <c r="D123" i="7" s="1"/>
  <c r="D122" i="7" a="1"/>
  <c r="D122" i="7" s="1"/>
  <c r="D121" i="7" a="1"/>
  <c r="D121" i="7" s="1"/>
  <c r="D120" i="7" a="1"/>
  <c r="D120" i="7" s="1"/>
  <c r="D119" i="7" a="1"/>
  <c r="D119" i="7" s="1"/>
  <c r="D118" i="7" a="1"/>
  <c r="D118" i="7" s="1"/>
  <c r="D117" i="7" a="1"/>
  <c r="E117" i="7" s="1"/>
  <c r="D116" i="7" a="1"/>
  <c r="D116" i="7" s="1"/>
  <c r="D115" i="7" a="1"/>
  <c r="D115" i="7" s="1"/>
  <c r="D114" i="7" a="1"/>
  <c r="D114" i="7" s="1"/>
  <c r="D113" i="7" a="1"/>
  <c r="D113" i="7" s="1"/>
  <c r="D112" i="7" a="1"/>
  <c r="D112" i="7" s="1"/>
  <c r="D111" i="7" a="1"/>
  <c r="D111" i="7" s="1"/>
  <c r="D110" i="7" a="1"/>
  <c r="D110" i="7" s="1"/>
  <c r="D109" i="7" a="1"/>
  <c r="D109" i="7" s="1"/>
  <c r="D108" i="7" a="1"/>
  <c r="D108" i="7" s="1"/>
  <c r="D107" i="7" a="1"/>
  <c r="D107" i="7" s="1"/>
  <c r="D106" i="7" a="1"/>
  <c r="N106" i="7" s="1"/>
  <c r="D105" i="7" a="1"/>
  <c r="D105" i="7" s="1"/>
  <c r="D104" i="7" a="1"/>
  <c r="D104" i="7" s="1"/>
  <c r="D103" i="7" a="1"/>
  <c r="D103" i="7" s="1"/>
  <c r="D102" i="7" a="1"/>
  <c r="D102" i="7" s="1"/>
  <c r="D101" i="7" a="1"/>
  <c r="D101" i="7" s="1"/>
  <c r="D100" i="7" a="1"/>
  <c r="D100" i="7" s="1"/>
  <c r="D99" i="7" a="1"/>
  <c r="D99" i="7" s="1"/>
  <c r="D98" i="7" a="1"/>
  <c r="D98" i="7" s="1"/>
  <c r="D97" i="7" a="1"/>
  <c r="D97" i="7" s="1"/>
  <c r="D96" i="7" a="1"/>
  <c r="D96" i="7" s="1"/>
  <c r="D95" i="7" a="1"/>
  <c r="D95" i="7" s="1"/>
  <c r="D94" i="7" a="1"/>
  <c r="D94" i="7" s="1"/>
  <c r="D93" i="7" a="1"/>
  <c r="D93" i="7" s="1"/>
  <c r="D92" i="7" a="1"/>
  <c r="D92" i="7" s="1"/>
  <c r="D91" i="7" a="1"/>
  <c r="D91" i="7" s="1"/>
  <c r="D90" i="7" a="1"/>
  <c r="D90" i="7" s="1"/>
  <c r="D89" i="7" a="1"/>
  <c r="D89" i="7" s="1"/>
  <c r="D88" i="7" a="1"/>
  <c r="D88" i="7" s="1"/>
  <c r="D87" i="7" a="1"/>
  <c r="D87" i="7" s="1"/>
  <c r="D86" i="7" a="1"/>
  <c r="D86" i="7" s="1"/>
  <c r="D85" i="7" a="1"/>
  <c r="D85" i="7" s="1"/>
  <c r="D84" i="7" a="1"/>
  <c r="D84" i="7" s="1"/>
  <c r="D83" i="7" a="1"/>
  <c r="D83" i="7" s="1"/>
  <c r="D82" i="7" a="1"/>
  <c r="D82" i="7" s="1"/>
  <c r="D81" i="7" a="1"/>
  <c r="E81" i="7" s="1"/>
  <c r="D80" i="7" a="1"/>
  <c r="D80" i="7" s="1"/>
  <c r="D79" i="7" a="1"/>
  <c r="D79" i="7" s="1"/>
  <c r="D78" i="7" a="1"/>
  <c r="D78" i="7" s="1"/>
  <c r="D77" i="7" a="1"/>
  <c r="D77" i="7" s="1"/>
  <c r="D76" i="7" a="1"/>
  <c r="D76" i="7" s="1"/>
  <c r="D75" i="7" a="1"/>
  <c r="D75" i="7" s="1"/>
  <c r="D74" i="7" a="1"/>
  <c r="E74" i="7" s="1"/>
  <c r="D73" i="7" a="1"/>
  <c r="D73" i="7" s="1"/>
  <c r="D72" i="7" a="1"/>
  <c r="D72" i="7" s="1"/>
  <c r="D71" i="7" a="1"/>
  <c r="D71" i="7" s="1"/>
  <c r="D70" i="7" a="1"/>
  <c r="D70" i="7" s="1"/>
  <c r="D69" i="7" a="1"/>
  <c r="D69" i="7" s="1"/>
  <c r="D68" i="7" a="1"/>
  <c r="D68" i="7" s="1"/>
  <c r="D67" i="7" a="1"/>
  <c r="D67" i="7" s="1"/>
  <c r="D66" i="7" a="1"/>
  <c r="F66" i="7" s="1"/>
  <c r="D65" i="7" a="1"/>
  <c r="F65" i="7" s="1"/>
  <c r="D64" i="7" a="1"/>
  <c r="F64" i="7" s="1"/>
  <c r="D63" i="7" a="1"/>
  <c r="I63" i="7" s="1"/>
  <c r="D62" i="7" a="1"/>
  <c r="D62" i="7" s="1"/>
  <c r="D61" i="7" a="1"/>
  <c r="D61" i="7" s="1"/>
  <c r="D60" i="7" a="1"/>
  <c r="D60" i="7" s="1"/>
  <c r="D59" i="7" a="1"/>
  <c r="E59" i="7" s="1"/>
  <c r="D58" i="7" a="1"/>
  <c r="D58" i="7" s="1"/>
  <c r="D57" i="7" a="1"/>
  <c r="D57" i="7" s="1"/>
  <c r="D56" i="7" a="1"/>
  <c r="D56" i="7" s="1"/>
  <c r="D55" i="7" a="1"/>
  <c r="D55" i="7" s="1"/>
  <c r="D54" i="7" a="1"/>
  <c r="D54" i="7" s="1"/>
  <c r="D53" i="7" a="1"/>
  <c r="F53" i="7" s="1"/>
  <c r="D52" i="7" a="1"/>
  <c r="D52" i="7" s="1"/>
  <c r="D51" i="7" a="1"/>
  <c r="D51" i="7" s="1"/>
  <c r="D50" i="7" a="1"/>
  <c r="D50" i="7" s="1"/>
  <c r="D49" i="7" a="1"/>
  <c r="D49" i="7" s="1"/>
  <c r="D48" i="7" a="1"/>
  <c r="D48" i="7" s="1"/>
  <c r="D47" i="7" a="1"/>
  <c r="F47" i="7" s="1"/>
  <c r="D46" i="7" a="1"/>
  <c r="D46" i="7" s="1"/>
  <c r="D45" i="7" a="1"/>
  <c r="E45" i="7" s="1"/>
  <c r="D44" i="7" a="1"/>
  <c r="D44" i="7" s="1"/>
  <c r="D43" i="7" a="1"/>
  <c r="D43" i="7" s="1"/>
  <c r="D42" i="7" a="1"/>
  <c r="D42" i="7" s="1"/>
  <c r="D41" i="7" a="1"/>
  <c r="D41" i="7" s="1"/>
  <c r="D40" i="7" a="1"/>
  <c r="D40" i="7" s="1"/>
  <c r="D39" i="7" a="1"/>
  <c r="D39" i="7" s="1"/>
  <c r="D38" i="7" a="1"/>
  <c r="D38" i="7" s="1"/>
  <c r="D37" i="7" a="1"/>
  <c r="D37" i="7" s="1"/>
  <c r="D36" i="7" a="1"/>
  <c r="D36" i="7" s="1"/>
  <c r="D35" i="7" a="1"/>
  <c r="D35" i="7" s="1"/>
  <c r="D34" i="7" a="1"/>
  <c r="D34" i="7" s="1"/>
  <c r="D33" i="7" a="1"/>
  <c r="D33" i="7" s="1"/>
  <c r="D32" i="7" a="1"/>
  <c r="D32" i="7" s="1"/>
  <c r="D31" i="7" a="1"/>
  <c r="D31" i="7" s="1"/>
  <c r="D30" i="7" a="1"/>
  <c r="D30" i="7" s="1"/>
  <c r="D29" i="7" a="1"/>
  <c r="D29" i="7" s="1"/>
  <c r="D28" i="7" a="1"/>
  <c r="D28" i="7" s="1"/>
  <c r="D27" i="7" a="1"/>
  <c r="D27" i="7" s="1"/>
  <c r="D26" i="7" a="1"/>
  <c r="D26" i="7" s="1"/>
  <c r="D25" i="7" a="1"/>
  <c r="D25" i="7" s="1"/>
  <c r="D24" i="7" a="1"/>
  <c r="D24" i="7" s="1"/>
  <c r="D23" i="7" a="1"/>
  <c r="D23" i="7" s="1"/>
  <c r="D22" i="7" a="1"/>
  <c r="D22" i="7" s="1"/>
  <c r="D21" i="7" a="1"/>
  <c r="D21" i="7" s="1"/>
  <c r="D20" i="7" a="1"/>
  <c r="D20" i="7" s="1"/>
  <c r="D19" i="7" a="1"/>
  <c r="D19" i="7" s="1"/>
  <c r="D18" i="7" a="1"/>
  <c r="D18" i="7" s="1"/>
  <c r="D17" i="7" a="1"/>
  <c r="D17" i="7" s="1"/>
  <c r="D16" i="7" a="1"/>
  <c r="D16" i="7" s="1"/>
  <c r="D15" i="7" a="1"/>
  <c r="D15" i="7" s="1"/>
  <c r="D14" i="7" a="1"/>
  <c r="D14" i="7" s="1"/>
  <c r="D13" i="7" a="1"/>
  <c r="D13" i="7" s="1"/>
  <c r="D12" i="7" a="1"/>
  <c r="D12" i="7" s="1"/>
  <c r="D11" i="7" a="1"/>
  <c r="D11" i="7" s="1"/>
  <c r="D10" i="7" a="1"/>
  <c r="D10" i="7" s="1"/>
  <c r="D9" i="7" a="1"/>
  <c r="D9" i="7" s="1"/>
  <c r="D8" i="7" a="1"/>
  <c r="D8" i="7" s="1"/>
  <c r="D7" i="7" a="1"/>
  <c r="D7" i="7" s="1"/>
  <c r="D6" i="7" a="1"/>
  <c r="D6" i="7" s="1"/>
  <c r="D5" i="7" a="1"/>
  <c r="D5" i="7" s="1"/>
  <c r="D4" i="7" a="1"/>
  <c r="D4" i="7" s="1"/>
  <c r="D3" i="7" a="1"/>
  <c r="E3" i="7" s="1"/>
  <c r="D2" i="7" a="1"/>
  <c r="E2" i="7" s="1"/>
  <c r="I18" i="5"/>
  <c r="I17" i="5"/>
  <c r="I16" i="5"/>
  <c r="I15" i="5"/>
  <c r="I14" i="5"/>
  <c r="I13" i="5"/>
  <c r="I12" i="5"/>
  <c r="I11" i="5"/>
  <c r="I10" i="5"/>
  <c r="I9" i="5"/>
  <c r="I8" i="5"/>
  <c r="I7" i="5"/>
  <c r="I19" i="5" s="1"/>
  <c r="G18" i="4"/>
  <c r="G17" i="4"/>
  <c r="G16" i="4"/>
  <c r="G15" i="4"/>
  <c r="G14" i="4"/>
  <c r="G13" i="4"/>
  <c r="G12" i="4"/>
  <c r="G11" i="4"/>
  <c r="G10" i="4"/>
  <c r="G9" i="4"/>
  <c r="G8" i="4"/>
  <c r="G7" i="4"/>
  <c r="G19" i="4" s="1"/>
  <c r="I19" i="3"/>
  <c r="I18" i="3"/>
  <c r="I17" i="3"/>
  <c r="I16" i="3"/>
  <c r="I15" i="3"/>
  <c r="I14" i="3"/>
  <c r="I20" i="3" s="1"/>
  <c r="I13" i="3"/>
  <c r="I12" i="3"/>
  <c r="I11" i="3"/>
  <c r="I10" i="3"/>
  <c r="I9" i="3"/>
  <c r="I8" i="3"/>
  <c r="I7" i="3"/>
  <c r="G19" i="2"/>
  <c r="G18" i="2"/>
  <c r="G17" i="2"/>
  <c r="G16" i="2"/>
  <c r="G15" i="2"/>
  <c r="G14" i="2"/>
  <c r="G13" i="2"/>
  <c r="G12" i="2"/>
  <c r="G11" i="2"/>
  <c r="G10" i="2"/>
  <c r="G9" i="2"/>
  <c r="G8" i="2"/>
  <c r="G20" i="2" s="1"/>
  <c r="G7" i="2"/>
  <c r="D2" i="7" l="1"/>
  <c r="D147" i="7"/>
  <c r="D45" i="7"/>
  <c r="D3" i="7"/>
  <c r="D81" i="7"/>
  <c r="D53" i="7"/>
  <c r="D106" i="7"/>
  <c r="D2" i="9" a="1"/>
  <c r="D2" i="9" s="1"/>
  <c r="O3" i="9" s="1"/>
  <c r="O7" i="9" a="1"/>
  <c r="O7" i="9" s="1"/>
  <c r="O2" i="9"/>
  <c r="D66" i="7"/>
  <c r="D141" i="7"/>
  <c r="F106" i="7"/>
  <c r="D117" i="7"/>
  <c r="F140" i="7"/>
  <c r="D47" i="7"/>
  <c r="D65" i="7"/>
  <c r="G65" i="7"/>
  <c r="D155" i="7"/>
  <c r="E92" i="7"/>
  <c r="H106" i="7"/>
  <c r="D129" i="7"/>
  <c r="D140" i="7"/>
  <c r="E65" i="7"/>
  <c r="G106" i="7"/>
  <c r="G140" i="7"/>
  <c r="D63" i="7"/>
  <c r="D64" i="7"/>
  <c r="D74" i="7"/>
  <c r="G53" i="7"/>
  <c r="E155" i="7"/>
  <c r="E47" i="7"/>
  <c r="F63" i="7"/>
  <c r="E147" i="7"/>
  <c r="F155" i="7"/>
  <c r="G63" i="7"/>
  <c r="E106" i="7"/>
  <c r="D148" i="7"/>
  <c r="D156" i="7"/>
  <c r="E64" i="7"/>
  <c r="D59" i="7"/>
  <c r="K106" i="7"/>
  <c r="E102" i="7"/>
  <c r="E53" i="7"/>
  <c r="F117" i="7"/>
  <c r="F45" i="7"/>
  <c r="E66" i="7"/>
  <c r="H63" i="7"/>
  <c r="J106" i="7"/>
  <c r="L106" i="7"/>
  <c r="E63" i="7"/>
  <c r="M106" i="7"/>
  <c r="E60" i="7"/>
  <c r="I106" i="7"/>
  <c r="O6" i="9" l="1" a="1"/>
  <c r="O6" i="9" s="1"/>
  <c r="O9" i="9" s="1"/>
  <c r="O8" i="9" a="1"/>
  <c r="O8" i="9" s="1"/>
  <c r="O4"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<sst xmlns="http://schemas.openxmlformats.org/spreadsheetml/2006/main" count="17727" uniqueCount="7475">
  <si>
    <t>Controllable Asset Registry</t>
  </si>
  <si>
    <t>Tag No.</t>
  </si>
  <si>
    <t>Equipment Type</t>
  </si>
  <si>
    <t>Inluded/ Not Inlcuded</t>
  </si>
  <si>
    <t>ROOM NAME AS PER DRAWINGS</t>
  </si>
  <si>
    <t>HQ</t>
  </si>
  <si>
    <t>AHU12_0001</t>
  </si>
  <si>
    <t>AHU</t>
  </si>
  <si>
    <t>Not Included</t>
  </si>
  <si>
    <t>AHU12_0002</t>
  </si>
  <si>
    <t>Included</t>
  </si>
  <si>
    <t>AHU12_0003</t>
  </si>
  <si>
    <t>AHU12_0004</t>
  </si>
  <si>
    <t>AHU12_0006</t>
  </si>
  <si>
    <t>AHU12_0007</t>
  </si>
  <si>
    <t>AHU12_0008</t>
  </si>
  <si>
    <t>AHU12_0009</t>
  </si>
  <si>
    <t>AHU12_0010</t>
  </si>
  <si>
    <t>AHU2_0001</t>
  </si>
  <si>
    <t>SPA PLANT ROOM 2.302</t>
  </si>
  <si>
    <t>AHU5_0001</t>
  </si>
  <si>
    <t>PLANT ROOM 5.301</t>
  </si>
  <si>
    <t>AHU5_0002</t>
  </si>
  <si>
    <t>AHU9_0001</t>
  </si>
  <si>
    <t>PLANT ROOM 9.111</t>
  </si>
  <si>
    <t>AHU9_0002</t>
  </si>
  <si>
    <t>AHU9_0003</t>
  </si>
  <si>
    <t>AHU ROOM 9.109</t>
  </si>
  <si>
    <t>AHUB_0001</t>
  </si>
  <si>
    <t>B.001</t>
  </si>
  <si>
    <t>AHUB_0002</t>
  </si>
  <si>
    <t>AHUB_0003</t>
  </si>
  <si>
    <t>B.006</t>
  </si>
  <si>
    <t>AHUB_0004</t>
  </si>
  <si>
    <t>AHUB_0005</t>
  </si>
  <si>
    <t>B.016</t>
  </si>
  <si>
    <t>AHUB_0006</t>
  </si>
  <si>
    <t>AHUB_0007</t>
  </si>
  <si>
    <t>B.022</t>
  </si>
  <si>
    <t>AHUB_0008</t>
  </si>
  <si>
    <t>AHUB_0009</t>
  </si>
  <si>
    <t>B.019</t>
  </si>
  <si>
    <t>AHUB_0010</t>
  </si>
  <si>
    <t>AHUB_0011</t>
  </si>
  <si>
    <t>FCU0001</t>
  </si>
  <si>
    <t>FCU</t>
  </si>
  <si>
    <t>IDF ROOM B.512</t>
  </si>
  <si>
    <t>FCU0002</t>
  </si>
  <si>
    <t>SECURITY CONTROL B.003</t>
  </si>
  <si>
    <t>FCU0003</t>
  </si>
  <si>
    <t>DOCK MASTER OFFICE B.107</t>
  </si>
  <si>
    <t>FCU0004</t>
  </si>
  <si>
    <t>HH SECURITY B.113</t>
  </si>
  <si>
    <t>FCU0005</t>
  </si>
  <si>
    <t>MALE TOILET B.401</t>
  </si>
  <si>
    <t>FCU0006</t>
  </si>
  <si>
    <t>ROOM B.122</t>
  </si>
  <si>
    <t>FCU0007</t>
  </si>
  <si>
    <t>ROOM B.123</t>
  </si>
  <si>
    <t>FCU0008</t>
  </si>
  <si>
    <t>ROOM B.014</t>
  </si>
  <si>
    <t>FCU0009</t>
  </si>
  <si>
    <t>FCU0010</t>
  </si>
  <si>
    <t>ROOM B.124</t>
  </si>
  <si>
    <t>FCU0011</t>
  </si>
  <si>
    <t>CHAUFFEUR ROOM B.117</t>
  </si>
  <si>
    <t>FCU0012</t>
  </si>
  <si>
    <t>IDF ROOM G.531</t>
  </si>
  <si>
    <t>FCU0013</t>
  </si>
  <si>
    <t>FCU0014</t>
  </si>
  <si>
    <t>IDF ROOM G.512</t>
  </si>
  <si>
    <t>FCU0015</t>
  </si>
  <si>
    <t>NURSERY CONSULT. G.031</t>
  </si>
  <si>
    <t>FCU0016</t>
  </si>
  <si>
    <t>COPY PRINT G.017</t>
  </si>
  <si>
    <t>FCU0017</t>
  </si>
  <si>
    <t>CONTROL CENTER G.005</t>
  </si>
  <si>
    <t>FCU0018</t>
  </si>
  <si>
    <t>VESTIBULE G.511</t>
  </si>
  <si>
    <t>FCU0019</t>
  </si>
  <si>
    <t>IDF ROOM 1.531</t>
  </si>
  <si>
    <t>FCU0020</t>
  </si>
  <si>
    <t>FCU0021</t>
  </si>
  <si>
    <t>IDF ROOM 1.512</t>
  </si>
  <si>
    <t>FCU0022</t>
  </si>
  <si>
    <t>PRINT COPY 1.112</t>
  </si>
  <si>
    <t>FCU0023</t>
  </si>
  <si>
    <t>IDF ROOM 2.531</t>
  </si>
  <si>
    <t>FCU0024</t>
  </si>
  <si>
    <t>FCU0025</t>
  </si>
  <si>
    <t>TERRACE 2.701</t>
  </si>
  <si>
    <t>FCU0026</t>
  </si>
  <si>
    <t>FCU0027</t>
  </si>
  <si>
    <t>FCU0028</t>
  </si>
  <si>
    <t>PRINT COPY 2.103</t>
  </si>
  <si>
    <t>FCU0029</t>
  </si>
  <si>
    <t>SPA LOUNGE BAR 2.207</t>
  </si>
  <si>
    <t>FCU0030</t>
  </si>
  <si>
    <t>FCU0031</t>
  </si>
  <si>
    <t>SPA FITNESS STUDIO 2.208</t>
  </si>
  <si>
    <t>FCU0032</t>
  </si>
  <si>
    <t>FCU0033</t>
  </si>
  <si>
    <t>FCU0034</t>
  </si>
  <si>
    <t>SPA OFFICE 2.209</t>
  </si>
  <si>
    <t>FCU0035</t>
  </si>
  <si>
    <t>STAFF FEMALE WC 2.210</t>
  </si>
  <si>
    <t>FCU0036</t>
  </si>
  <si>
    <t>SPA. FM BEAUTY SALON 2.211</t>
  </si>
  <si>
    <t>FCU0037</t>
  </si>
  <si>
    <t>FCU0038</t>
  </si>
  <si>
    <t>SPA FM TREATMENT 2.212</t>
  </si>
  <si>
    <t>FCU0039</t>
  </si>
  <si>
    <t>SPA CHANGING ROOM 2.213</t>
  </si>
  <si>
    <t>FCU0040</t>
  </si>
  <si>
    <t>FCU0041</t>
  </si>
  <si>
    <t>SPA FM TREATMENT 2.214</t>
  </si>
  <si>
    <t>FCU0042</t>
  </si>
  <si>
    <t>SPA FM TREATMENT 2.215</t>
  </si>
  <si>
    <t>FCU0043</t>
  </si>
  <si>
    <t>SPA FM RELAXATION 2.216</t>
  </si>
  <si>
    <t>FCU0044</t>
  </si>
  <si>
    <t>FCU0045</t>
  </si>
  <si>
    <t>SPA MALE RELAXATION 2.201</t>
  </si>
  <si>
    <t>FCU0046</t>
  </si>
  <si>
    <t>FCU0047</t>
  </si>
  <si>
    <t>FCU0048</t>
  </si>
  <si>
    <t>SPA MALE TREATMENT 3 2.202</t>
  </si>
  <si>
    <t>FCU0049</t>
  </si>
  <si>
    <t>SPA MALE TREATMENT 2 2.203</t>
  </si>
  <si>
    <t>FCU0050</t>
  </si>
  <si>
    <t>SPA MALE TREATMENT 1 2.204</t>
  </si>
  <si>
    <t>FCU0051</t>
  </si>
  <si>
    <t>MALE CHANGING ROOM 2.205</t>
  </si>
  <si>
    <t>FCU0052</t>
  </si>
  <si>
    <t>FCU0053</t>
  </si>
  <si>
    <t>SPA ENTRANCE 2.206</t>
  </si>
  <si>
    <t>FCU0054</t>
  </si>
  <si>
    <t>SPA LOBBY 2.603</t>
  </si>
  <si>
    <t>FCU0055</t>
  </si>
  <si>
    <t>FCU0056</t>
  </si>
  <si>
    <t>IDF ROOM 2.512</t>
  </si>
  <si>
    <t>FCU0057</t>
  </si>
  <si>
    <t>FCU0058</t>
  </si>
  <si>
    <t>FCU0059</t>
  </si>
  <si>
    <t>IDF ROOM 3.531</t>
  </si>
  <si>
    <t>FCU0060</t>
  </si>
  <si>
    <t>FCU0061</t>
  </si>
  <si>
    <t>IDF ROOM 3.512</t>
  </si>
  <si>
    <t>FCU0062</t>
  </si>
  <si>
    <t>COPY/PRINT 3.203</t>
  </si>
  <si>
    <t>FCU0063</t>
  </si>
  <si>
    <t>PRINT COPY 3.103</t>
  </si>
  <si>
    <t>FCU0064</t>
  </si>
  <si>
    <t>CORRIDOR BRIDGE 3.63</t>
  </si>
  <si>
    <t>FCU0065</t>
  </si>
  <si>
    <t>FCU0066</t>
  </si>
  <si>
    <t>FCU0067</t>
  </si>
  <si>
    <t>NORTH EAST ZONE</t>
  </si>
  <si>
    <t>FCU0068</t>
  </si>
  <si>
    <t>FCU0069</t>
  </si>
  <si>
    <t>FCU0070</t>
  </si>
  <si>
    <t>FCU0071</t>
  </si>
  <si>
    <t>IDF ROOM 04.531</t>
  </si>
  <si>
    <t>FCU0072</t>
  </si>
  <si>
    <t>FCU0073</t>
  </si>
  <si>
    <t>IDF ROOM 04.512</t>
  </si>
  <si>
    <t>FCU0074</t>
  </si>
  <si>
    <t>PRINT COPY 05.202</t>
  </si>
  <si>
    <t>FCU0075</t>
  </si>
  <si>
    <t>GSM ROOM 05.214</t>
  </si>
  <si>
    <t>FCU0076</t>
  </si>
  <si>
    <t>FCU0077</t>
  </si>
  <si>
    <t>FCU0078</t>
  </si>
  <si>
    <t>FCU0079</t>
  </si>
  <si>
    <t>FCU0080</t>
  </si>
  <si>
    <t>FCU0081</t>
  </si>
  <si>
    <t>TERRACE 04.702</t>
  </si>
  <si>
    <t>FCU0082</t>
  </si>
  <si>
    <t>TERRACE 04.703</t>
  </si>
  <si>
    <t>FCU0083</t>
  </si>
  <si>
    <t>FCU0084</t>
  </si>
  <si>
    <t>PRINT COPY 04.110</t>
  </si>
  <si>
    <t>FCU0085</t>
  </si>
  <si>
    <t>IDF ROOM 5.531</t>
  </si>
  <si>
    <t>FCU0086</t>
  </si>
  <si>
    <t>FCU0087</t>
  </si>
  <si>
    <t>IDF ROOM 5.512</t>
  </si>
  <si>
    <t>FCU0088</t>
  </si>
  <si>
    <t>PRINT COPY 5.103</t>
  </si>
  <si>
    <t>FCU0089</t>
  </si>
  <si>
    <t>BRIDGE 06.604</t>
  </si>
  <si>
    <t>FCU0090</t>
  </si>
  <si>
    <t>FCU0091</t>
  </si>
  <si>
    <t>FCU0092</t>
  </si>
  <si>
    <t>BRIDGE 5.602</t>
  </si>
  <si>
    <t>FCU0093</t>
  </si>
  <si>
    <t>FCU0094</t>
  </si>
  <si>
    <t>FCU0095</t>
  </si>
  <si>
    <t>FCU0096</t>
  </si>
  <si>
    <t>IDF ROOM 06.531</t>
  </si>
  <si>
    <t>FCU0097</t>
  </si>
  <si>
    <t>NOT FOUND ON THE DRAWING OR SCHEDULE</t>
  </si>
  <si>
    <t>FCU0098</t>
  </si>
  <si>
    <t>IDF ROOM 06.512</t>
  </si>
  <si>
    <t>FCU0099</t>
  </si>
  <si>
    <t>BRIDGE 07.602</t>
  </si>
  <si>
    <t>FCU0100</t>
  </si>
  <si>
    <t>FCU0101</t>
  </si>
  <si>
    <t>FCU0102</t>
  </si>
  <si>
    <t>PRINT COPY 06.104</t>
  </si>
  <si>
    <t>FCU0103</t>
  </si>
  <si>
    <t>PRINT COPY 06.208</t>
  </si>
  <si>
    <t>FCU0104</t>
  </si>
  <si>
    <t>IDF ROOM 7.531</t>
  </si>
  <si>
    <t>FCU0105</t>
  </si>
  <si>
    <t>FCU0106</t>
  </si>
  <si>
    <t>IDF ROOM 7.512</t>
  </si>
  <si>
    <t>FCU0107</t>
  </si>
  <si>
    <t>PRINT COPY 7.101</t>
  </si>
  <si>
    <t>FCU0108</t>
  </si>
  <si>
    <t>PRINT COPY 7.104</t>
  </si>
  <si>
    <t>FCU0109</t>
  </si>
  <si>
    <t>IDF ROOM 8.512</t>
  </si>
  <si>
    <t>FCU0110</t>
  </si>
  <si>
    <t>IDF ROOM 9.531</t>
  </si>
  <si>
    <t>FCU0111</t>
  </si>
  <si>
    <t>FCU0112</t>
  </si>
  <si>
    <t>IDF ROOM 9.512</t>
  </si>
  <si>
    <t>FCU0113</t>
  </si>
  <si>
    <t>IDF ROOM 10.531</t>
  </si>
  <si>
    <t>FCU0114</t>
  </si>
  <si>
    <t>STAFF LOUNGE STORAGE 1.114</t>
  </si>
  <si>
    <t>FCU0115</t>
  </si>
  <si>
    <t>IDF ROOM 10.512</t>
  </si>
  <si>
    <t>FCU0116</t>
  </si>
  <si>
    <t>PRINT COPY 10.038</t>
  </si>
  <si>
    <t>FCU0117</t>
  </si>
  <si>
    <t>PRINT COPY 10.014</t>
  </si>
  <si>
    <t>FCU0118</t>
  </si>
  <si>
    <t>TRANSLATOR ROOM 10.111</t>
  </si>
  <si>
    <t>FCU0119</t>
  </si>
  <si>
    <t>IDF ROOM 11.531</t>
  </si>
  <si>
    <t>FCU0120</t>
  </si>
  <si>
    <t>FCU0121</t>
  </si>
  <si>
    <t>ELECT. CLOSET 11.110</t>
  </si>
  <si>
    <t>FCU0122</t>
  </si>
  <si>
    <t>MCC/ELEC ROOM 11.106</t>
  </si>
  <si>
    <t>FCU0123</t>
  </si>
  <si>
    <t>PRINT COPY ROOM 11.108</t>
  </si>
  <si>
    <t>FCU0124</t>
  </si>
  <si>
    <t>AV ROOM 11.107</t>
  </si>
  <si>
    <t>FCU0125</t>
  </si>
  <si>
    <t>IDF ROOM 11.512</t>
  </si>
  <si>
    <t>FCU0126</t>
  </si>
  <si>
    <t>12.002 MCC CLOSET</t>
  </si>
  <si>
    <t>FCU0127</t>
  </si>
  <si>
    <t>FCU0128</t>
  </si>
  <si>
    <t>12.003 MCC CLOSET</t>
  </si>
  <si>
    <t>FCU0129</t>
  </si>
  <si>
    <t>FCU0130</t>
  </si>
  <si>
    <t>12.004 MCC CLOSET</t>
  </si>
  <si>
    <t>FCU0131</t>
  </si>
  <si>
    <t>ROOF PLANT / WALKWAY (NEAR CSRR-0008)</t>
  </si>
  <si>
    <t>FCU0132</t>
  </si>
  <si>
    <t>VISITOR CENTER 9.101</t>
  </si>
  <si>
    <t>VAV0001</t>
  </si>
  <si>
    <t>VAV</t>
  </si>
  <si>
    <t>STAFF ENTRANCE B.004</t>
  </si>
  <si>
    <t>VAV0002</t>
  </si>
  <si>
    <t>STAFF LOBBY B.103</t>
  </si>
  <si>
    <t>VAV0003</t>
  </si>
  <si>
    <t>VAV0004</t>
  </si>
  <si>
    <t>SPORT SPACE B.110</t>
  </si>
  <si>
    <t>VAV0005</t>
  </si>
  <si>
    <t>LOBBY B.116</t>
  </si>
  <si>
    <t>VAV0006</t>
  </si>
  <si>
    <t>VAV0007</t>
  </si>
  <si>
    <t>CONTROL ROOM G.008</t>
  </si>
  <si>
    <t>VAV0008</t>
  </si>
  <si>
    <t>PR &amp; MARKET MANAGER G.009</t>
  </si>
  <si>
    <t>VAV0009</t>
  </si>
  <si>
    <t>PR &amp; MARKET STAFF G.010</t>
  </si>
  <si>
    <t>VAV0011</t>
  </si>
  <si>
    <t>PR &amp; MARK. MANA. G.011</t>
  </si>
  <si>
    <t>VAV0012</t>
  </si>
  <si>
    <t>PR &amp; MARKET STAFF G.012</t>
  </si>
  <si>
    <t>VAV0013</t>
  </si>
  <si>
    <t>VISITOR OFF. G.014</t>
  </si>
  <si>
    <t>VAV0014</t>
  </si>
  <si>
    <t>PR &amp; MARKET STAFF G.015</t>
  </si>
  <si>
    <t>VAV0015</t>
  </si>
  <si>
    <t>PR &amp; MAR. STAFF G.018</t>
  </si>
  <si>
    <t>VAV0016</t>
  </si>
  <si>
    <t>PR &amp; MAR. STAFF G.019</t>
  </si>
  <si>
    <t>VAV0017</t>
  </si>
  <si>
    <t>PR &amp; MAR. STAFF G.020</t>
  </si>
  <si>
    <t>VAV0018</t>
  </si>
  <si>
    <t>PR &amp; MAR. STAFF G.021</t>
  </si>
  <si>
    <t>VAV0019</t>
  </si>
  <si>
    <t>PR &amp; MARKET SEC. G.022</t>
  </si>
  <si>
    <t>VAV0020</t>
  </si>
  <si>
    <t>PR &amp; MARKET STAFF G.023</t>
  </si>
  <si>
    <t>VAV0021</t>
  </si>
  <si>
    <t>CORRIDOR G.601</t>
  </si>
  <si>
    <t>VAV0022</t>
  </si>
  <si>
    <t>VAV0023</t>
  </si>
  <si>
    <t>SHOP G.105</t>
  </si>
  <si>
    <t>VAV0024</t>
  </si>
  <si>
    <t>LOBBY G.104</t>
  </si>
  <si>
    <t>VAV0025</t>
  </si>
  <si>
    <t>VAV0026</t>
  </si>
  <si>
    <t>BMS ROOM G.103</t>
  </si>
  <si>
    <t>VAV0027</t>
  </si>
  <si>
    <t>PR &amp; MARKET MANAGER G.004</t>
  </si>
  <si>
    <t>VAV0028</t>
  </si>
  <si>
    <t>PR &amp; MARKET MANAGER G.003</t>
  </si>
  <si>
    <t>VAV0029</t>
  </si>
  <si>
    <t>PR &amp; MARKET MANAGER G.002</t>
  </si>
  <si>
    <t>VAV0030</t>
  </si>
  <si>
    <t>G.CORIDOR</t>
  </si>
  <si>
    <t>VAV0031</t>
  </si>
  <si>
    <t>PR &amp; MARKET STAFF G.001</t>
  </si>
  <si>
    <t>VAV0032</t>
  </si>
  <si>
    <t>PR &amp; MARKET STAFF G.038</t>
  </si>
  <si>
    <t>VAV0033</t>
  </si>
  <si>
    <t>PR &amp; MARKET STAFF G.037</t>
  </si>
  <si>
    <t>VAV0034</t>
  </si>
  <si>
    <t>PR &amp; MARKET STAFF G.036</t>
  </si>
  <si>
    <t>VAV0035</t>
  </si>
  <si>
    <t>PR &amp; MARKET STAFF G.035</t>
  </si>
  <si>
    <t>VAV0036</t>
  </si>
  <si>
    <t>PR &amp; MARKET STAFF G.034</t>
  </si>
  <si>
    <t>VAV0037</t>
  </si>
  <si>
    <t>PR &amp; MARKET STAFF G.033</t>
  </si>
  <si>
    <t>VAV0038</t>
  </si>
  <si>
    <t>PR &amp; MARKET STAFF G.032</t>
  </si>
  <si>
    <t>VAV0039</t>
  </si>
  <si>
    <t>VAV0040</t>
  </si>
  <si>
    <t>VAV0041</t>
  </si>
  <si>
    <t>VAV0042</t>
  </si>
  <si>
    <t>PR&amp; MARKET DIRECTOR ENSUIT G.028</t>
  </si>
  <si>
    <t>VAV0043</t>
  </si>
  <si>
    <t>FINANCE CASHIER G.026</t>
  </si>
  <si>
    <t>VAV0044</t>
  </si>
  <si>
    <t>VIP LOUNGE G.025</t>
  </si>
  <si>
    <t>VAV0045</t>
  </si>
  <si>
    <t>E-TOWER LOBBY G.107</t>
  </si>
  <si>
    <t>VAV0046</t>
  </si>
  <si>
    <t>CORRIDOR (SOUTH EAST) G.602</t>
  </si>
  <si>
    <t>VAV0047</t>
  </si>
  <si>
    <t>CORRIDOR (SOUTH EAST) G.603</t>
  </si>
  <si>
    <t>VAV0048</t>
  </si>
  <si>
    <t>CONFERENCE ROOM G.101</t>
  </si>
  <si>
    <t>VAV0049</t>
  </si>
  <si>
    <t>VAV0050</t>
  </si>
  <si>
    <t>VAV0051</t>
  </si>
  <si>
    <t>VAV0052</t>
  </si>
  <si>
    <t>VAV0053</t>
  </si>
  <si>
    <t>VAV0054</t>
  </si>
  <si>
    <t>FINANCE MANAGER 1.011</t>
  </si>
  <si>
    <t>VAV0055</t>
  </si>
  <si>
    <t>FINANCE MANAGER 1.012</t>
  </si>
  <si>
    <t>VAV0056</t>
  </si>
  <si>
    <t>FINANCE MANAGER 1.013</t>
  </si>
  <si>
    <t>VAV0057</t>
  </si>
  <si>
    <t>FINANCE STAFF 1.014</t>
  </si>
  <si>
    <t>VAV0058</t>
  </si>
  <si>
    <t>FINANCE STAFF 1.015</t>
  </si>
  <si>
    <t>VAV0059</t>
  </si>
  <si>
    <t>FINANCE SECRETARY 1.016</t>
  </si>
  <si>
    <t>VAV0060</t>
  </si>
  <si>
    <t>FINANCE DIRECTOR 1.017</t>
  </si>
  <si>
    <t>VAV0061</t>
  </si>
  <si>
    <t>FINANCE MANAGER 1.018</t>
  </si>
  <si>
    <t>VAV0062</t>
  </si>
  <si>
    <t>FINANCE MANAGER 1.019</t>
  </si>
  <si>
    <t>VAV0063</t>
  </si>
  <si>
    <t>FINANCE MANAGER 1.020</t>
  </si>
  <si>
    <t>VAV0064</t>
  </si>
  <si>
    <t>FINANCE SEC 1.021</t>
  </si>
  <si>
    <t>VAV0065</t>
  </si>
  <si>
    <t>FINANCE SEC 1.022</t>
  </si>
  <si>
    <t>VAV0066</t>
  </si>
  <si>
    <t>FINANCE AUDIT 1.023</t>
  </si>
  <si>
    <t>VAV0067</t>
  </si>
  <si>
    <t>FINANCE AUDIT 1.024</t>
  </si>
  <si>
    <t>VAV0068</t>
  </si>
  <si>
    <t>FINANCE STAFF 1.025</t>
  </si>
  <si>
    <t>VAV0069</t>
  </si>
  <si>
    <t>FINANCE STAFF 1.026</t>
  </si>
  <si>
    <t>VAV0070</t>
  </si>
  <si>
    <t>FINANCE MANAGER 1.027</t>
  </si>
  <si>
    <t>VAV0071</t>
  </si>
  <si>
    <t>FINANCE MANAGER 1.028</t>
  </si>
  <si>
    <t>VAV0072</t>
  </si>
  <si>
    <t>FINANCE MANAGER 1.029</t>
  </si>
  <si>
    <t>VAV0073</t>
  </si>
  <si>
    <t>FINANCE SECRETARY 1.001</t>
  </si>
  <si>
    <t>VAV0074</t>
  </si>
  <si>
    <t>FINANCE MANAGER 1.002</t>
  </si>
  <si>
    <t>VAV0075</t>
  </si>
  <si>
    <t>FINANCE MANAGER 1.003</t>
  </si>
  <si>
    <t>VAV0076</t>
  </si>
  <si>
    <t>FINANCE MANAGER 1.004</t>
  </si>
  <si>
    <t>VAV0077</t>
  </si>
  <si>
    <t>FINANCE SECRETARY 1.005</t>
  </si>
  <si>
    <t>VAV0078</t>
  </si>
  <si>
    <t>FINANCE STAFF 1.006</t>
  </si>
  <si>
    <t>VAV0079</t>
  </si>
  <si>
    <t>FINANCE STAFF 1.007</t>
  </si>
  <si>
    <t>VAV0080</t>
  </si>
  <si>
    <t>GROUND FLOOR VIP ENTRANCE 1.401</t>
  </si>
  <si>
    <t>VAV0081</t>
  </si>
  <si>
    <t>VAV0082</t>
  </si>
  <si>
    <t>VAV0083</t>
  </si>
  <si>
    <t>STAFF LOUNGE 1.101</t>
  </si>
  <si>
    <t>VAV0084</t>
  </si>
  <si>
    <t>VAV0085</t>
  </si>
  <si>
    <t>VAV0086</t>
  </si>
  <si>
    <t>VAV0087</t>
  </si>
  <si>
    <t>FINANCE MEETING ROOM 1.108</t>
  </si>
  <si>
    <t>VAV0088</t>
  </si>
  <si>
    <t>CONSULTANT SPACE 1.109</t>
  </si>
  <si>
    <t>VAV0089</t>
  </si>
  <si>
    <t>VAV0090</t>
  </si>
  <si>
    <t>VAV0091</t>
  </si>
  <si>
    <t>PRAYER ROOM 1.105</t>
  </si>
  <si>
    <t>VAV0092</t>
  </si>
  <si>
    <t>VAV0093</t>
  </si>
  <si>
    <t>VAV0094</t>
  </si>
  <si>
    <t>FINANCE AUDITOR 1.117</t>
  </si>
  <si>
    <t>VAV0095</t>
  </si>
  <si>
    <t>FINANCE AUDITOR 1.115</t>
  </si>
  <si>
    <t>VAV0096</t>
  </si>
  <si>
    <t>VAV0097</t>
  </si>
  <si>
    <t>CORRIDOR 1.602</t>
  </si>
  <si>
    <t>VAV0098</t>
  </si>
  <si>
    <t>VAV0099</t>
  </si>
  <si>
    <t>SOUTH EAST ZONE</t>
  </si>
  <si>
    <t>VAV0100</t>
  </si>
  <si>
    <t>FINANCE RECORD STORAGE 1.111</t>
  </si>
  <si>
    <t>VAV0101</t>
  </si>
  <si>
    <t>FOOD HEAT UP 1.702</t>
  </si>
  <si>
    <t>VAV0102</t>
  </si>
  <si>
    <t>WASHING AREA 1.706</t>
  </si>
  <si>
    <t>VAV0103</t>
  </si>
  <si>
    <t>LOBBY (GROUND FLOOR)</t>
  </si>
  <si>
    <t>VAV0104</t>
  </si>
  <si>
    <t>VAV0105</t>
  </si>
  <si>
    <t>VAV0106</t>
  </si>
  <si>
    <t>VAV0107</t>
  </si>
  <si>
    <t>STAFF CAFETERIA 1.701</t>
  </si>
  <si>
    <t>VAV0108</t>
  </si>
  <si>
    <t>VAV0109</t>
  </si>
  <si>
    <t>DIRECTOR ENSUIT 2.018</t>
  </si>
  <si>
    <t>VAV0110</t>
  </si>
  <si>
    <t>SUPP. SER. ADMIN 2.019</t>
  </si>
  <si>
    <t>VAV0111</t>
  </si>
  <si>
    <t>SUPP. SER. ADMIN 2.020</t>
  </si>
  <si>
    <t>VAV0112</t>
  </si>
  <si>
    <t>SUPP. SER. ADMIN 2.021</t>
  </si>
  <si>
    <t>VAV0113</t>
  </si>
  <si>
    <t>SUPP. SER. SECRETARY 2.022</t>
  </si>
  <si>
    <t>VAV0114</t>
  </si>
  <si>
    <t>SUPP. SER. ADMIN 2.023</t>
  </si>
  <si>
    <t>VAV0115</t>
  </si>
  <si>
    <t>SUPP. SER. ADMIN 2.024</t>
  </si>
  <si>
    <t>VAV0116</t>
  </si>
  <si>
    <t>SUPP. SER. ADMIN 2.025</t>
  </si>
  <si>
    <t>VAV0117</t>
  </si>
  <si>
    <t>SUPP. SER. SECRETARY 2.026</t>
  </si>
  <si>
    <t>VAV0118</t>
  </si>
  <si>
    <t>SUPP. SER. ADMIN 2.027</t>
  </si>
  <si>
    <t>VAV0119</t>
  </si>
  <si>
    <t>SUPP. SER. ADMIN 2.028</t>
  </si>
  <si>
    <t>VAV0120</t>
  </si>
  <si>
    <t>SUPP. SER. ADMIN 2.029</t>
  </si>
  <si>
    <t>VAV0121</t>
  </si>
  <si>
    <t>SUPP. SER. SECRETARY 2.030</t>
  </si>
  <si>
    <t>VAV0122</t>
  </si>
  <si>
    <t>SUPP. SER. ADMIN 2.031</t>
  </si>
  <si>
    <t>VAV0123</t>
  </si>
  <si>
    <t>SUPP. SER. ADMIN 2.032</t>
  </si>
  <si>
    <t>VAV0124</t>
  </si>
  <si>
    <t>SUPP. SER. ADMIN 2.033</t>
  </si>
  <si>
    <t>VAV0125</t>
  </si>
  <si>
    <t>SUPP. SER. SECRETARY 2.034</t>
  </si>
  <si>
    <t>VAV0126</t>
  </si>
  <si>
    <t>SUPP. SER. ADMIN 2.035</t>
  </si>
  <si>
    <t>VAV0127</t>
  </si>
  <si>
    <t>SUPP. SER. ADMIN 2.036</t>
  </si>
  <si>
    <t>VAV0128</t>
  </si>
  <si>
    <t>OFFICE SPACE 2.110A</t>
  </si>
  <si>
    <t>VAV0129</t>
  </si>
  <si>
    <t>02.CORIDOR</t>
  </si>
  <si>
    <t>VAV0130</t>
  </si>
  <si>
    <t>VAV0131</t>
  </si>
  <si>
    <t>FEMALE PRAYER ROOM 2.109</t>
  </si>
  <si>
    <t>VAV0132</t>
  </si>
  <si>
    <t>MEETING ROOM 2.108</t>
  </si>
  <si>
    <t>VAV0133</t>
  </si>
  <si>
    <t>VAV0134</t>
  </si>
  <si>
    <t>LOUNGE 2.105</t>
  </si>
  <si>
    <t>VAV0135</t>
  </si>
  <si>
    <t>CONSULTANT SPACE 2.104</t>
  </si>
  <si>
    <t>VAV0136</t>
  </si>
  <si>
    <t>VAV0137</t>
  </si>
  <si>
    <t>CONSULTANT SPACE 2.102</t>
  </si>
  <si>
    <t>VAV0138</t>
  </si>
  <si>
    <t>SUPP. SER. SECRETARY 2.017</t>
  </si>
  <si>
    <t>VAV0139</t>
  </si>
  <si>
    <t>SUPP. SER. ADMIN 2.016</t>
  </si>
  <si>
    <t>VAV0140</t>
  </si>
  <si>
    <t>SUPP. SER. ADMIN 2.015</t>
  </si>
  <si>
    <t>VAV0141</t>
  </si>
  <si>
    <t>SUPP. SER. ADMIN 2.014</t>
  </si>
  <si>
    <t>VAV0142</t>
  </si>
  <si>
    <t>SUPP. SER. SECRETARY 2.013</t>
  </si>
  <si>
    <t>VAV0143</t>
  </si>
  <si>
    <t>SUPP. SER. ADMIN 2.012</t>
  </si>
  <si>
    <t>VAV0144</t>
  </si>
  <si>
    <t>SUPP. SER. ADMIN 2.011</t>
  </si>
  <si>
    <t>VAV0145</t>
  </si>
  <si>
    <t>SUPP. SER. ADMIN 2.010</t>
  </si>
  <si>
    <t>VAV0146</t>
  </si>
  <si>
    <t>SUPP. SER. SECRETARY 2.009</t>
  </si>
  <si>
    <t>VAV0147</t>
  </si>
  <si>
    <t>DEBATE EXECUTIVE 2.008</t>
  </si>
  <si>
    <t>VAV0148</t>
  </si>
  <si>
    <t>DEBATE EXECUTIVE 2.007</t>
  </si>
  <si>
    <t>VAV0149</t>
  </si>
  <si>
    <t>DEBATE EXECUTIVE 2.006</t>
  </si>
  <si>
    <t>VAV0150</t>
  </si>
  <si>
    <t>DEBATE EXECUTIVE 2.005</t>
  </si>
  <si>
    <t>VAV0151</t>
  </si>
  <si>
    <t>DEBATE SECRETARY 2.004</t>
  </si>
  <si>
    <t>VAV0152</t>
  </si>
  <si>
    <t>DEBATE EXECUTIVE 2.003</t>
  </si>
  <si>
    <t>VAV0153</t>
  </si>
  <si>
    <t>DEBATE EXECUTIVE 2.002</t>
  </si>
  <si>
    <t>VAV0154</t>
  </si>
  <si>
    <t>STORAGE ROOM 2.001</t>
  </si>
  <si>
    <t>VAV0155</t>
  </si>
  <si>
    <t>OFFICE SPACE 2.101A</t>
  </si>
  <si>
    <t>VAV0156</t>
  </si>
  <si>
    <t>VAV0157</t>
  </si>
  <si>
    <t>HR IMMIG STAFF 3.017</t>
  </si>
  <si>
    <t>VAV0158</t>
  </si>
  <si>
    <t>HR IMMIG STAFF 3.018</t>
  </si>
  <si>
    <t>VAV0159</t>
  </si>
  <si>
    <t>HR IMMIG STAFF 3.019</t>
  </si>
  <si>
    <t>VAV0160</t>
  </si>
  <si>
    <t>HR IMMIG STAFF 3.020</t>
  </si>
  <si>
    <t>VAV0161</t>
  </si>
  <si>
    <t>HR IMMIG STAFF 3.021</t>
  </si>
  <si>
    <t>VAV0162</t>
  </si>
  <si>
    <t>HR IMMIG STAFF 3.022</t>
  </si>
  <si>
    <t>VAV0163</t>
  </si>
  <si>
    <t>HR IMMIG STAFF 3.023</t>
  </si>
  <si>
    <t>VAV0164</t>
  </si>
  <si>
    <t>HR IMMIG STAFF 3.024</t>
  </si>
  <si>
    <t>VAV0165</t>
  </si>
  <si>
    <t>HR IMMIG STAFF 3.025</t>
  </si>
  <si>
    <t>VAV0166</t>
  </si>
  <si>
    <t>HR IMMIG STAFF 3.026</t>
  </si>
  <si>
    <t>VAV0167</t>
  </si>
  <si>
    <t>HR IMMIG STAFF 3.027</t>
  </si>
  <si>
    <t>VAV0168</t>
  </si>
  <si>
    <t>HR IMMIG STAFF 3.028</t>
  </si>
  <si>
    <t>VAV0169</t>
  </si>
  <si>
    <t>HR IMMIG STAFF 3.029</t>
  </si>
  <si>
    <t>VAV0170</t>
  </si>
  <si>
    <t>HR IMMIG STAFF 3.030</t>
  </si>
  <si>
    <t>VAV0171</t>
  </si>
  <si>
    <t>HR IMMIG STAFF 3.031</t>
  </si>
  <si>
    <t>VAV0172</t>
  </si>
  <si>
    <t>HR IMMIG STAFF 3.032</t>
  </si>
  <si>
    <t>VAV0173</t>
  </si>
  <si>
    <t>MEETING ROOM 3.033</t>
  </si>
  <si>
    <t>VAV0174</t>
  </si>
  <si>
    <t>VAV0175</t>
  </si>
  <si>
    <t>OFFICE SPACE 3.105B</t>
  </si>
  <si>
    <t>VAV0176</t>
  </si>
  <si>
    <t>03.CORIDOR</t>
  </si>
  <si>
    <t>VAV0177</t>
  </si>
  <si>
    <t>ABLUTION ROOM 3.36</t>
  </si>
  <si>
    <t>VAV0178</t>
  </si>
  <si>
    <t>FEMALE PRAYER ROOM 3.105A</t>
  </si>
  <si>
    <t>VAV0179</t>
  </si>
  <si>
    <t>VAV0180</t>
  </si>
  <si>
    <t>LOUNGE 3.001</t>
  </si>
  <si>
    <t>VAV0181</t>
  </si>
  <si>
    <t>CONSULTANT SPACE TRAINEES 3.102</t>
  </si>
  <si>
    <t>VAV0182</t>
  </si>
  <si>
    <t>VAV0183</t>
  </si>
  <si>
    <t>VAV0184</t>
  </si>
  <si>
    <t>HR IMMG SECRETARY 3.104</t>
  </si>
  <si>
    <t>VAV0185</t>
  </si>
  <si>
    <t>HR IMMIG STAFF 3.012</t>
  </si>
  <si>
    <t>VAV0186</t>
  </si>
  <si>
    <t>HR IMMIG STAFF 3.013</t>
  </si>
  <si>
    <t>VAV0187</t>
  </si>
  <si>
    <t>HR IMMIG STAFF 3.014</t>
  </si>
  <si>
    <t>VAV0188</t>
  </si>
  <si>
    <t>HR IMMIG STAFF 3.015</t>
  </si>
  <si>
    <t>VAV0189</t>
  </si>
  <si>
    <t>HR IMMIG STAFF 3.016</t>
  </si>
  <si>
    <t>VAV0190</t>
  </si>
  <si>
    <t>HR IMMIG STAFF 3.003</t>
  </si>
  <si>
    <t>VAV0191</t>
  </si>
  <si>
    <t>HR IMMIG STAFF 3.004</t>
  </si>
  <si>
    <t>VAV0192</t>
  </si>
  <si>
    <t>HR IMMIG STAFF 3.005</t>
  </si>
  <si>
    <t>VAV0193</t>
  </si>
  <si>
    <t>HR IMMIG STAFF 3.006</t>
  </si>
  <si>
    <t>VAV0194</t>
  </si>
  <si>
    <t>HR IMMIG STAFF 3.007</t>
  </si>
  <si>
    <t>VAV0195</t>
  </si>
  <si>
    <t>HR IMMIG STAFF 3.008</t>
  </si>
  <si>
    <t>VAV0196</t>
  </si>
  <si>
    <t>HR IMMIG STAFF 3.009</t>
  </si>
  <si>
    <t>VAV0197</t>
  </si>
  <si>
    <t>HR IMMIG STAFF 3.010</t>
  </si>
  <si>
    <t>VAV0198</t>
  </si>
  <si>
    <t>HR IMMIG STAFF 3.011</t>
  </si>
  <si>
    <t>VAV0199</t>
  </si>
  <si>
    <t>OFFICE SPACE 3.101</t>
  </si>
  <si>
    <t>VAV0200</t>
  </si>
  <si>
    <t>HR IMMIG STAFF 3.002</t>
  </si>
  <si>
    <t>VAV0201</t>
  </si>
  <si>
    <t>VAV0202</t>
  </si>
  <si>
    <t>OFFICE SPACE 3.202A</t>
  </si>
  <si>
    <t>VAV0203</t>
  </si>
  <si>
    <t>OFFICE SPACE 3.202B</t>
  </si>
  <si>
    <t>VAV0204</t>
  </si>
  <si>
    <t>HR IMMIGRATION 3.205</t>
  </si>
  <si>
    <t>VAV0205</t>
  </si>
  <si>
    <t>HR IMMIG MANAGER 3.206</t>
  </si>
  <si>
    <t>VAV0206</t>
  </si>
  <si>
    <t>HR IMMIG MANAGER 3.207</t>
  </si>
  <si>
    <t>VAV0207</t>
  </si>
  <si>
    <t>HR IMMIG MANAGER 3.208</t>
  </si>
  <si>
    <t>VAV0208</t>
  </si>
  <si>
    <t>HR IMMIG MANAGER 3.209</t>
  </si>
  <si>
    <t>VAV0209</t>
  </si>
  <si>
    <t>HR IMMIG OFFICER 3.210</t>
  </si>
  <si>
    <t>VAV0210</t>
  </si>
  <si>
    <t>VAV0211</t>
  </si>
  <si>
    <t>HR IMMIG MANAGER 3.211</t>
  </si>
  <si>
    <t>VAV0212</t>
  </si>
  <si>
    <t>HR IMMIG SEC. 3.212</t>
  </si>
  <si>
    <t>VAV0213</t>
  </si>
  <si>
    <t>HR IMMIG DIR. ENSUIT 3.213</t>
  </si>
  <si>
    <t>VAV0214</t>
  </si>
  <si>
    <t>IT DIR. ENSUIT 3.214</t>
  </si>
  <si>
    <t>VAV0215</t>
  </si>
  <si>
    <t>IT DIR. ENSUIT 3.215</t>
  </si>
  <si>
    <t>VAV0216</t>
  </si>
  <si>
    <t>PROC. CONTR. SECRETARY 3.216</t>
  </si>
  <si>
    <t>VAV0217</t>
  </si>
  <si>
    <t>PROC. &amp; CONTR. DIR. E 3.201</t>
  </si>
  <si>
    <t>VAV0218</t>
  </si>
  <si>
    <t>PROC. &amp; CONTR. MEETING ROOM 3.301</t>
  </si>
  <si>
    <t>VAV0219</t>
  </si>
  <si>
    <t>VAV0220</t>
  </si>
  <si>
    <t>HR IMMG. MEETING ROOM 3.302</t>
  </si>
  <si>
    <t>VAV0221</t>
  </si>
  <si>
    <t>SOUTH EAST CORRIDOR 3.602</t>
  </si>
  <si>
    <t>VAV0222</t>
  </si>
  <si>
    <t>STR. PL. DIR. ENSUIT 04.004</t>
  </si>
  <si>
    <t>VAV0223</t>
  </si>
  <si>
    <t>STR. PL. DIR. MEETING ROOM 04.005</t>
  </si>
  <si>
    <t>VAV0224</t>
  </si>
  <si>
    <t>STR. PL. DIR. MANAGER 04.006</t>
  </si>
  <si>
    <t>VAV0225</t>
  </si>
  <si>
    <t>STR. PL. DIR. MANAGER 04.007</t>
  </si>
  <si>
    <t>VAV0226</t>
  </si>
  <si>
    <t>STR. PL. DIR. MANAGER 04.008</t>
  </si>
  <si>
    <t>VAV0227</t>
  </si>
  <si>
    <t>STR. PL. DIR. HEAD OF PL. 04.009</t>
  </si>
  <si>
    <t>VAV0228</t>
  </si>
  <si>
    <t>STR. PL. DIR. HEAD OF PL. 04.010</t>
  </si>
  <si>
    <t>VAV0229</t>
  </si>
  <si>
    <t>STR. PL. DIR. HEAD OF PL. 04.011</t>
  </si>
  <si>
    <t>VAV0230</t>
  </si>
  <si>
    <t>STR. PL. DIR. HEAD OF PL. 04.012</t>
  </si>
  <si>
    <t>VAV0231</t>
  </si>
  <si>
    <t>STR. PL. DIR. HEAD OF PL. 04.013</t>
  </si>
  <si>
    <t>VAV0232</t>
  </si>
  <si>
    <t>STR. PL. DIR. MANAGER 04.014</t>
  </si>
  <si>
    <t>VAV0233</t>
  </si>
  <si>
    <t>OFFICE SPACE 04.015C</t>
  </si>
  <si>
    <t>VAV0234</t>
  </si>
  <si>
    <t>OFFICE SPACE 04.015A</t>
  </si>
  <si>
    <t>VAV0235</t>
  </si>
  <si>
    <t>VAV0236</t>
  </si>
  <si>
    <t>VP EDU STORAGE 04.109</t>
  </si>
  <si>
    <t>VAV0237</t>
  </si>
  <si>
    <t>VAV0238</t>
  </si>
  <si>
    <t>STR. PL. DIR. TECH. STAFF 04.108</t>
  </si>
  <si>
    <t>VAV0239</t>
  </si>
  <si>
    <t>STR. PL. DIR. TECH. STAFF 04.107</t>
  </si>
  <si>
    <t>VAV0240</t>
  </si>
  <si>
    <t>WAITING LOUNGE 04.104</t>
  </si>
  <si>
    <t>VAV0241</t>
  </si>
  <si>
    <t>VAV0242</t>
  </si>
  <si>
    <t>STR. PL. DIR. MANAGER 04.002</t>
  </si>
  <si>
    <t>VAV0243</t>
  </si>
  <si>
    <t>STR. PL. DIR. EXEC. SECRE. 04.003</t>
  </si>
  <si>
    <t>VAV0244</t>
  </si>
  <si>
    <t>OFFICE SPACE 04.001B</t>
  </si>
  <si>
    <t>VAV0245</t>
  </si>
  <si>
    <t>OFFICE SPACE 04.001D</t>
  </si>
  <si>
    <t>VAV0246</t>
  </si>
  <si>
    <t>OFFICE SPACE 04.001F</t>
  </si>
  <si>
    <t>VAV0247</t>
  </si>
  <si>
    <t>OFFICE SPACE 04.001G</t>
  </si>
  <si>
    <t>VAV0248</t>
  </si>
  <si>
    <t>STORAGE SPACE 04.103</t>
  </si>
  <si>
    <t>VAV0249</t>
  </si>
  <si>
    <t>OFFICE SPACE 04.102</t>
  </si>
  <si>
    <t>VAV0250</t>
  </si>
  <si>
    <t>OFFICE SPACE 04.101</t>
  </si>
  <si>
    <t>VAV0251</t>
  </si>
  <si>
    <t>VAV0252</t>
  </si>
  <si>
    <t>OFFICE SPACE 04.201</t>
  </si>
  <si>
    <t>VAV0253</t>
  </si>
  <si>
    <t>OFFICE SPACE 04.204</t>
  </si>
  <si>
    <t>VAV0254</t>
  </si>
  <si>
    <t>VP ADM MANAGER 04.205</t>
  </si>
  <si>
    <t>VAV0255</t>
  </si>
  <si>
    <t>VP ADM MANAGER 04.206</t>
  </si>
  <si>
    <t>VAV0256</t>
  </si>
  <si>
    <t>VP ADM SEC. 04.208</t>
  </si>
  <si>
    <t>VAV0257</t>
  </si>
  <si>
    <t>VAV0258</t>
  </si>
  <si>
    <t>VP ADM MANAGER 04.209</t>
  </si>
  <si>
    <t>VAV0259</t>
  </si>
  <si>
    <t>VP ADM MANAGER 04.210</t>
  </si>
  <si>
    <t>VAV0260</t>
  </si>
  <si>
    <t>VP ADM MANAGER 04.211</t>
  </si>
  <si>
    <t>VAV0261</t>
  </si>
  <si>
    <t>VP ADM PERS. ASS. 04.212</t>
  </si>
  <si>
    <t>VAV0262</t>
  </si>
  <si>
    <t>VP ADM ENSUIT 04.213</t>
  </si>
  <si>
    <t>VAV0263</t>
  </si>
  <si>
    <t>VP ADM MEETING ROOM 04.301</t>
  </si>
  <si>
    <t>VAV0264</t>
  </si>
  <si>
    <t>VAV0265</t>
  </si>
  <si>
    <t>VAV0266</t>
  </si>
  <si>
    <t>VAV0267</t>
  </si>
  <si>
    <t>VP EDU DIR ENSUIT 5.012</t>
  </si>
  <si>
    <t>VAV0268</t>
  </si>
  <si>
    <t>VP EDU SECR. 5.013</t>
  </si>
  <si>
    <t>VAV0269</t>
  </si>
  <si>
    <t>VP EDU ASSIS. 5.014</t>
  </si>
  <si>
    <t>VAV0270</t>
  </si>
  <si>
    <t>VP EDU ASSIS. 5.015</t>
  </si>
  <si>
    <t>VAV0271</t>
  </si>
  <si>
    <t>VP EDU ASSIS. 5.016</t>
  </si>
  <si>
    <t>VAV0272</t>
  </si>
  <si>
    <t>VP EDU ASSIS. 5.017</t>
  </si>
  <si>
    <t>VAV0273</t>
  </si>
  <si>
    <t>VP EDU OFF. 5.018</t>
  </si>
  <si>
    <t>VAV0274</t>
  </si>
  <si>
    <t>VP EDU OFF. 5.019</t>
  </si>
  <si>
    <t>VAV0275</t>
  </si>
  <si>
    <t>VP EDU OFF. 5.020</t>
  </si>
  <si>
    <t>VAV0276</t>
  </si>
  <si>
    <t>VP EDU OFF. 5.021</t>
  </si>
  <si>
    <t>VAV0277</t>
  </si>
  <si>
    <t>VP EDU OFF. 5.022</t>
  </si>
  <si>
    <t>VAV0278</t>
  </si>
  <si>
    <t>VP EDU OFF. 5.023</t>
  </si>
  <si>
    <t>VAV0279</t>
  </si>
  <si>
    <t>VP EDU SEC. 5.024</t>
  </si>
  <si>
    <t>VAV0280</t>
  </si>
  <si>
    <t>VP EDU DIR ENSUIT 5.025</t>
  </si>
  <si>
    <t>VAV0281</t>
  </si>
  <si>
    <t>VP EDU ASS. 5.026</t>
  </si>
  <si>
    <t>VAV0282</t>
  </si>
  <si>
    <t>05.CORIDOR</t>
  </si>
  <si>
    <t>VAV0283</t>
  </si>
  <si>
    <t>VP EDU OFF. 5.110</t>
  </si>
  <si>
    <t>VAV0284</t>
  </si>
  <si>
    <t>VP EDU ASS. 5.109</t>
  </si>
  <si>
    <t>VAV0285</t>
  </si>
  <si>
    <t>VP EDU SEC. 5.108</t>
  </si>
  <si>
    <t>VAV0286</t>
  </si>
  <si>
    <t>VP EDU SEC. 5.107</t>
  </si>
  <si>
    <t>VAV0287</t>
  </si>
  <si>
    <t>VAV0288</t>
  </si>
  <si>
    <t>VP EDU LOUNGE WAITING 5.104</t>
  </si>
  <si>
    <t>VAV0289</t>
  </si>
  <si>
    <t>VAV0290</t>
  </si>
  <si>
    <t>VP EDU OFFICERS 5.009</t>
  </si>
  <si>
    <t>VAV0291</t>
  </si>
  <si>
    <t>VP EDU OFFICERS 5.010</t>
  </si>
  <si>
    <t>VAV0292</t>
  </si>
  <si>
    <t>VP EDU ASSISTANT 5.011</t>
  </si>
  <si>
    <t>VAV0293</t>
  </si>
  <si>
    <t>VP EDU OFF. DIR ENSUIT 5.002</t>
  </si>
  <si>
    <t>VAV0294</t>
  </si>
  <si>
    <t>VP EDU SECRE. 5.003</t>
  </si>
  <si>
    <t>VAV0295</t>
  </si>
  <si>
    <t>VP EDU ASSISTANT 5.004</t>
  </si>
  <si>
    <t>VAV0296</t>
  </si>
  <si>
    <t>VP EDU OFFICERS 5.005</t>
  </si>
  <si>
    <t>VAV0297</t>
  </si>
  <si>
    <t>VP EDU OFFICERS 5.006</t>
  </si>
  <si>
    <t>VAV0298</t>
  </si>
  <si>
    <t>VP EDU ASSISTANT 5.007</t>
  </si>
  <si>
    <t>VAV0299</t>
  </si>
  <si>
    <t>VP EDU ASSISTANT 5.008</t>
  </si>
  <si>
    <t>VAV0300</t>
  </si>
  <si>
    <t>MEETING ROOM 5.102</t>
  </si>
  <si>
    <t>VAV0301</t>
  </si>
  <si>
    <t>VAV0302</t>
  </si>
  <si>
    <t>VP EDU SECRETARY 5.101</t>
  </si>
  <si>
    <t>VAV0303</t>
  </si>
  <si>
    <t>VP EDU ASSISTANT 5.001</t>
  </si>
  <si>
    <t>VAV0304</t>
  </si>
  <si>
    <t>VAV0305</t>
  </si>
  <si>
    <t>VP EDU MEMB. 5.201</t>
  </si>
  <si>
    <t>VAV0306</t>
  </si>
  <si>
    <t>VP EDU MEMB. 5.202</t>
  </si>
  <si>
    <t>VAV0307</t>
  </si>
  <si>
    <t>VP EDU MEMB. 5.203</t>
  </si>
  <si>
    <t>VAV0308</t>
  </si>
  <si>
    <t>VP EDU MEMB. 5.205</t>
  </si>
  <si>
    <t>VAV0309</t>
  </si>
  <si>
    <t>VAV0310</t>
  </si>
  <si>
    <t>VP EDU MEMB. 5.206</t>
  </si>
  <si>
    <t>VAV0311</t>
  </si>
  <si>
    <t>VP EDU MEMB. 5.207</t>
  </si>
  <si>
    <t>VAV0312</t>
  </si>
  <si>
    <t>VP EDU MEMB. 5.208</t>
  </si>
  <si>
    <t>VAV0313</t>
  </si>
  <si>
    <t>VP EDU MEMB. 5.209</t>
  </si>
  <si>
    <t>VAV0314</t>
  </si>
  <si>
    <t>VP EDU ENSUIT 5.210</t>
  </si>
  <si>
    <t>VAV0315</t>
  </si>
  <si>
    <t>VP EDU SEC. 5.211</t>
  </si>
  <si>
    <t>VAV0316</t>
  </si>
  <si>
    <t>VP EDU MEMB. 5.212</t>
  </si>
  <si>
    <t>VAV0317</t>
  </si>
  <si>
    <t>VP EDU DIR. ENSUIT 5.213</t>
  </si>
  <si>
    <t>VAV0318</t>
  </si>
  <si>
    <t>VAV0319</t>
  </si>
  <si>
    <t>VAV0320</t>
  </si>
  <si>
    <t>VAV0321</t>
  </si>
  <si>
    <t>VAV0322</t>
  </si>
  <si>
    <t>VP EDU OFF. 5.027</t>
  </si>
  <si>
    <t>VAV0323</t>
  </si>
  <si>
    <t>INT. AUDIT 06.012</t>
  </si>
  <si>
    <t>VAV0324</t>
  </si>
  <si>
    <t>INT. AUDIT SEC. 06.013</t>
  </si>
  <si>
    <t>VAV0325</t>
  </si>
  <si>
    <t>ACA. AUDIT 06.014</t>
  </si>
  <si>
    <t>VAV0326</t>
  </si>
  <si>
    <t>ACA. AUDIT 06.015</t>
  </si>
  <si>
    <t>VAV0327</t>
  </si>
  <si>
    <t>ACA. AUDIT 06.016</t>
  </si>
  <si>
    <t>VAV0328</t>
  </si>
  <si>
    <t>ACA. AUDIT 06.017</t>
  </si>
  <si>
    <t>VAV0329</t>
  </si>
  <si>
    <t>ACA. AUDIT 06.018</t>
  </si>
  <si>
    <t>VAV0330</t>
  </si>
  <si>
    <t>ACA. AUDIT 06.019</t>
  </si>
  <si>
    <t>VAV0331</t>
  </si>
  <si>
    <t>ACA. AUDIT 06.020</t>
  </si>
  <si>
    <t>VAV0332</t>
  </si>
  <si>
    <t>ACA. AUDIT SEC. 06.021</t>
  </si>
  <si>
    <t>VAV0333</t>
  </si>
  <si>
    <t>ACA. AUDIT SEC. 06.022</t>
  </si>
  <si>
    <t>VAV0334</t>
  </si>
  <si>
    <t>ACA. SEN. AUDIT 06.023</t>
  </si>
  <si>
    <t>VAV0335</t>
  </si>
  <si>
    <t>ACA. SEN. AUDIT 06.024</t>
  </si>
  <si>
    <t>VAV0336</t>
  </si>
  <si>
    <t>FACI. MANA. SEC. 06.025</t>
  </si>
  <si>
    <t>VAV0337</t>
  </si>
  <si>
    <t>FACILITY MANAG. DIR. ENSUIT 06.026</t>
  </si>
  <si>
    <t>VAV0338</t>
  </si>
  <si>
    <t>VP CAPITAL CONSUL. 06.027</t>
  </si>
  <si>
    <t>VAV0339</t>
  </si>
  <si>
    <t>VP CAPITAL CONSUL. 06.028</t>
  </si>
  <si>
    <t>VAV0340</t>
  </si>
  <si>
    <t>VAV0341</t>
  </si>
  <si>
    <t>VP CAPITAL WORK ASSIST 06.109</t>
  </si>
  <si>
    <t>VAV0342</t>
  </si>
  <si>
    <t>VP CAPITAL PROJ. COORD 06.108</t>
  </si>
  <si>
    <t>VAV0343</t>
  </si>
  <si>
    <t>VAV0344</t>
  </si>
  <si>
    <t>LOUNGE 06.105</t>
  </si>
  <si>
    <t>VAV0345</t>
  </si>
  <si>
    <t>VAV0346</t>
  </si>
  <si>
    <t>INT. AUDIT SUPP. AUDIT 06.009</t>
  </si>
  <si>
    <t>VAV0347</t>
  </si>
  <si>
    <t>INT. AUDIT SEC. 06.010</t>
  </si>
  <si>
    <t>VAV0348</t>
  </si>
  <si>
    <t>INT. AUDIT 06.011</t>
  </si>
  <si>
    <t>VAV0349</t>
  </si>
  <si>
    <t>INT. AUDIT ARCHIVE ROOM 06.002</t>
  </si>
  <si>
    <t>VAV0350</t>
  </si>
  <si>
    <t>INT. AUDIT SUPP. AUDIT 06.003</t>
  </si>
  <si>
    <t>VAV0351</t>
  </si>
  <si>
    <t>INT. AUDIT SUPP. AUDIT 06.004</t>
  </si>
  <si>
    <t>VAV0352</t>
  </si>
  <si>
    <t>INT. AUDIT SUPP. AUDIT 06.005</t>
  </si>
  <si>
    <t>VAV0353</t>
  </si>
  <si>
    <t>INT. AUDIT SUPP. AUDIT 06.006</t>
  </si>
  <si>
    <t>VAV0354</t>
  </si>
  <si>
    <t>INT. AUDIT SUPP. AUDIT 06.007</t>
  </si>
  <si>
    <t>VAV0355</t>
  </si>
  <si>
    <t>INT. AUDIT SUPP. AUDIT 06.008</t>
  </si>
  <si>
    <t>VAV0356</t>
  </si>
  <si>
    <t>OFFICE SPACE 06.103</t>
  </si>
  <si>
    <t>VAV0357</t>
  </si>
  <si>
    <t>OFFICE SPACE 06.102</t>
  </si>
  <si>
    <t>VAV0358</t>
  </si>
  <si>
    <t>OFFICE SPACE 06.101</t>
  </si>
  <si>
    <t>VAV0359</t>
  </si>
  <si>
    <t>AUDIT ARCHIVE 06.001</t>
  </si>
  <si>
    <t>VAV0360</t>
  </si>
  <si>
    <t>VAV0361</t>
  </si>
  <si>
    <t>VP CAPITAL PROJ. MANAGER 06.201</t>
  </si>
  <si>
    <t>VAV0362</t>
  </si>
  <si>
    <t>VP CAPITAL PROJ. MANAGER 06.202</t>
  </si>
  <si>
    <t>VAV0363</t>
  </si>
  <si>
    <t>VP CAPITAL PROJ. MANAGER 06.204</t>
  </si>
  <si>
    <t>VAV0364</t>
  </si>
  <si>
    <t>VP CAPITAL CONSU. 06.205</t>
  </si>
  <si>
    <t>VAV0365</t>
  </si>
  <si>
    <t>VP CAPITAL STORAGE 06.206</t>
  </si>
  <si>
    <t>VAV0366</t>
  </si>
  <si>
    <t>VP CAPITAL SEC. 06.207</t>
  </si>
  <si>
    <t>VAV0367</t>
  </si>
  <si>
    <t>VP CAPITAL ENSUIT 06.209</t>
  </si>
  <si>
    <t>VAV0368</t>
  </si>
  <si>
    <t>VP CAPITAL SEC. 06.210</t>
  </si>
  <si>
    <t>VAV0369</t>
  </si>
  <si>
    <t>VP CAPITAL SEC. 06.211</t>
  </si>
  <si>
    <t>VAV0370</t>
  </si>
  <si>
    <t>VP CAPITAL DIR. ENSUIT 06.212</t>
  </si>
  <si>
    <t>VAV0371</t>
  </si>
  <si>
    <t>VAV0372</t>
  </si>
  <si>
    <t>VAV0373</t>
  </si>
  <si>
    <t>CA ENSUIT 7.017</t>
  </si>
  <si>
    <t>VAV0374</t>
  </si>
  <si>
    <t>CA SEC. 7.018</t>
  </si>
  <si>
    <t>VAV0375</t>
  </si>
  <si>
    <t>BD UNIT SEC. 7.019</t>
  </si>
  <si>
    <t>VAV0376</t>
  </si>
  <si>
    <t>BD UNIT EXECU. 7.020</t>
  </si>
  <si>
    <t>VAV0377</t>
  </si>
  <si>
    <t>BD UNIT EXECU. 7.021</t>
  </si>
  <si>
    <t>VAV0378</t>
  </si>
  <si>
    <t>BD UNIT EXECU. 7.022</t>
  </si>
  <si>
    <t>VAV0379</t>
  </si>
  <si>
    <t>BD UNIT EXECU. 7.023</t>
  </si>
  <si>
    <t>VAV0380</t>
  </si>
  <si>
    <t>BD UNIT EXECU. 7.024</t>
  </si>
  <si>
    <t>VAV0381</t>
  </si>
  <si>
    <t>BD UNIT EXECU. 7.025</t>
  </si>
  <si>
    <t>VAV0382</t>
  </si>
  <si>
    <t>BD UNIT EXECU. 7.026</t>
  </si>
  <si>
    <t>VAV0383</t>
  </si>
  <si>
    <t>BD UNIT EXECU. 7.027</t>
  </si>
  <si>
    <t>VAV0384</t>
  </si>
  <si>
    <t>BD UNIT EXECU. 7.028</t>
  </si>
  <si>
    <t>VAV0385</t>
  </si>
  <si>
    <t>MEETING ROOM 7.029</t>
  </si>
  <si>
    <t>VAV0386</t>
  </si>
  <si>
    <t>VAV0387</t>
  </si>
  <si>
    <t>OFFICE SPACE 7.030</t>
  </si>
  <si>
    <t>VAV0388</t>
  </si>
  <si>
    <t>OFFICE SPACE 7.031A</t>
  </si>
  <si>
    <t>VAV0389</t>
  </si>
  <si>
    <t>VAV0390</t>
  </si>
  <si>
    <t>VAV0391</t>
  </si>
  <si>
    <t>OFFICE SPACE 7.032</t>
  </si>
  <si>
    <t>VAV0392</t>
  </si>
  <si>
    <t>VAV0393</t>
  </si>
  <si>
    <t>LOUNGE 7.106</t>
  </si>
  <si>
    <t>VAV0394</t>
  </si>
  <si>
    <t>CA SECRETARY 7.105</t>
  </si>
  <si>
    <t>VAV0395</t>
  </si>
  <si>
    <t>CA SECRETARY 7.103</t>
  </si>
  <si>
    <t>VAV0396</t>
  </si>
  <si>
    <t>CA SECRETARY 7.102</t>
  </si>
  <si>
    <t>VAV0397</t>
  </si>
  <si>
    <t>DOC. UNIT EMPLOYEE 07.001</t>
  </si>
  <si>
    <t>VAV0398</t>
  </si>
  <si>
    <t>DOC. UNIT MULTIMEDIA STUDIO 07.002</t>
  </si>
  <si>
    <t>VAV0399</t>
  </si>
  <si>
    <t>VAV0400</t>
  </si>
  <si>
    <t>VAV0401</t>
  </si>
  <si>
    <t>DOC. UNIT EMPLOYEE 7.003</t>
  </si>
  <si>
    <t>VAV0402</t>
  </si>
  <si>
    <t>DOC. UNIT EMPLOYEE 7.004</t>
  </si>
  <si>
    <t>VAV0403</t>
  </si>
  <si>
    <t>DOC. UNIT EMPLOYEE 7.005</t>
  </si>
  <si>
    <t>VAV0404</t>
  </si>
  <si>
    <t>DOC. UNIT EMPLOYEE 7.006</t>
  </si>
  <si>
    <t>VAV0405</t>
  </si>
  <si>
    <t>CA COORD 7.007</t>
  </si>
  <si>
    <t>VAV0406</t>
  </si>
  <si>
    <t>CA COORD 7.008</t>
  </si>
  <si>
    <t>VAV0407</t>
  </si>
  <si>
    <t>CA COORD 7.009</t>
  </si>
  <si>
    <t>VAV0408</t>
  </si>
  <si>
    <t>CA COORD 7.010</t>
  </si>
  <si>
    <t>VAV0409</t>
  </si>
  <si>
    <t>CA COORD 7.011</t>
  </si>
  <si>
    <t>VAV0410</t>
  </si>
  <si>
    <t>CA COORD 7.012</t>
  </si>
  <si>
    <t>VAV0411</t>
  </si>
  <si>
    <t>CA COORD 7.013</t>
  </si>
  <si>
    <t>VAV0412</t>
  </si>
  <si>
    <t>CA COORD 7.014</t>
  </si>
  <si>
    <t>VAV0413</t>
  </si>
  <si>
    <t>CA COORD 7.015</t>
  </si>
  <si>
    <t>VAV0414</t>
  </si>
  <si>
    <t>CA COORD 7.016</t>
  </si>
  <si>
    <t>VAV0415</t>
  </si>
  <si>
    <t>CONSULTANT SPACE 7.201</t>
  </si>
  <si>
    <t>VAV0416</t>
  </si>
  <si>
    <t>PRE. EXEC. OFFICE 7.202</t>
  </si>
  <si>
    <t>VAV0417</t>
  </si>
  <si>
    <t>PRE. EXEC. OFFICE 7.204</t>
  </si>
  <si>
    <t>VAV0418</t>
  </si>
  <si>
    <t>VAV0419</t>
  </si>
  <si>
    <t>PRE. EXEC. OFFICE 7.205</t>
  </si>
  <si>
    <t>VAV0420</t>
  </si>
  <si>
    <t>VAV0421</t>
  </si>
  <si>
    <t>PRESIDENT SUPP. SEC. 7.208</t>
  </si>
  <si>
    <t>VAV0422</t>
  </si>
  <si>
    <t>E-TOWER CORRIDOR 7.603</t>
  </si>
  <si>
    <t>VAV0423</t>
  </si>
  <si>
    <t>PRESIDENT EXEC. SEC. 7.209</t>
  </si>
  <si>
    <t>VAV0424</t>
  </si>
  <si>
    <t>PRESIDENT EXEC. SEC. 7.210</t>
  </si>
  <si>
    <t>VAV0425</t>
  </si>
  <si>
    <t>PRESIDENT ENSUIT 7.211</t>
  </si>
  <si>
    <t>VAV0426</t>
  </si>
  <si>
    <t>PRESIDENT MEETING ROOM 7.212</t>
  </si>
  <si>
    <t>VAV0427</t>
  </si>
  <si>
    <t>VICE CHAIRPERSON ENSULT 7.213</t>
  </si>
  <si>
    <t>VAV0428</t>
  </si>
  <si>
    <t>VICE CHAIRPERSON SEC. 7.214</t>
  </si>
  <si>
    <t>VAV0429</t>
  </si>
  <si>
    <t>MEETING ROOM 7.215</t>
  </si>
  <si>
    <t>VAV0430</t>
  </si>
  <si>
    <t>MEETING ROOM 7.301</t>
  </si>
  <si>
    <t>VAV0431</t>
  </si>
  <si>
    <t>VAV0432</t>
  </si>
  <si>
    <t>VAV0433</t>
  </si>
  <si>
    <t>OBSERVATION SPACE 8.001</t>
  </si>
  <si>
    <t>VAV0434</t>
  </si>
  <si>
    <t>VAV0435</t>
  </si>
  <si>
    <t>VAV0436</t>
  </si>
  <si>
    <t>VAV0437</t>
  </si>
  <si>
    <t>VAV0438</t>
  </si>
  <si>
    <t>VISITORS CENTER OFFICE 8.002</t>
  </si>
  <si>
    <t>VAV0439</t>
  </si>
  <si>
    <t>VISITORS CENTER CORRIDOR 8.602</t>
  </si>
  <si>
    <t>VAV0440</t>
  </si>
  <si>
    <t>VAV0441</t>
  </si>
  <si>
    <t>VAV0442</t>
  </si>
  <si>
    <t>VAV0443</t>
  </si>
  <si>
    <t>VAV0444</t>
  </si>
  <si>
    <t>BMO EXEC. ASSIST. 9.011</t>
  </si>
  <si>
    <t>VAV0445</t>
  </si>
  <si>
    <t>BMO EXEC. ASSIST. 9.012</t>
  </si>
  <si>
    <t>VAV0446</t>
  </si>
  <si>
    <t>BMO EXEC. ASSIST. 9.013</t>
  </si>
  <si>
    <t>VAV0447</t>
  </si>
  <si>
    <t>BMO EXEC. ASSIST. 9.014</t>
  </si>
  <si>
    <t>VAV0448</t>
  </si>
  <si>
    <t>BMO EXEC. ASSIST. 9.015</t>
  </si>
  <si>
    <t>VAV0449</t>
  </si>
  <si>
    <t>BMO EXEC. ASSIST. 9.016</t>
  </si>
  <si>
    <t>VAV0450</t>
  </si>
  <si>
    <t>BMO EXEC. ASSIST. 9.017</t>
  </si>
  <si>
    <t>VAV0451</t>
  </si>
  <si>
    <t>BMO EXEC. SEC. 9.018</t>
  </si>
  <si>
    <t>VAV0452</t>
  </si>
  <si>
    <t>BMO EXEC. SEC. 9.019</t>
  </si>
  <si>
    <t>VAV0453</t>
  </si>
  <si>
    <t>BMO EXEC. SEC. 9.020</t>
  </si>
  <si>
    <t>VAV0454</t>
  </si>
  <si>
    <t>BMO OPER. DIR. ENSUIT 9.021</t>
  </si>
  <si>
    <t>VAV0455</t>
  </si>
  <si>
    <t>BMO EXEC. ASSIST. 9.022</t>
  </si>
  <si>
    <t>VAV0456</t>
  </si>
  <si>
    <t>BMO EXEC. SEC. 9.023</t>
  </si>
  <si>
    <t>VAV0457</t>
  </si>
  <si>
    <t>BMO EXEC. SEC. 9.024</t>
  </si>
  <si>
    <t>VAV0458</t>
  </si>
  <si>
    <t>BMO EXEC. SEC. 9.025</t>
  </si>
  <si>
    <t>VAV0459</t>
  </si>
  <si>
    <t>VAV0460</t>
  </si>
  <si>
    <t>BMO SUPP. SEC. 9.026</t>
  </si>
  <si>
    <t>VAV0461</t>
  </si>
  <si>
    <t>BMO SUPP. SEC. 9.027</t>
  </si>
  <si>
    <t>VAV0462</t>
  </si>
  <si>
    <t>BMO SUPP. SEC. 9.028</t>
  </si>
  <si>
    <t>VAV0463</t>
  </si>
  <si>
    <t>BMO SUPP. SEC. 9.029</t>
  </si>
  <si>
    <t>VAV0464</t>
  </si>
  <si>
    <t>BMO SUPP. SEC. 9.030</t>
  </si>
  <si>
    <t>VAV0465</t>
  </si>
  <si>
    <t>BMO PRINT COPY 9.031</t>
  </si>
  <si>
    <t>VAV0466</t>
  </si>
  <si>
    <t>BMO STORAGE 9.032</t>
  </si>
  <si>
    <t>VAV0467</t>
  </si>
  <si>
    <t>HR EDU. ADV. ENSUIT 9.033</t>
  </si>
  <si>
    <t>VAV0468</t>
  </si>
  <si>
    <t>HR EDU. ADV. ENSUIT 9.034</t>
  </si>
  <si>
    <t>VAV0469</t>
  </si>
  <si>
    <t>HR EDU. ADV. ENSUIT 9.035</t>
  </si>
  <si>
    <t>VAV0470</t>
  </si>
  <si>
    <t>BOD EXECUTIVE 9.036</t>
  </si>
  <si>
    <t>VAV0471</t>
  </si>
  <si>
    <t>BOD SEC. 9.037</t>
  </si>
  <si>
    <t>VAV0472</t>
  </si>
  <si>
    <t>BOD EXECUTIVE 9.038</t>
  </si>
  <si>
    <t>VAV0473</t>
  </si>
  <si>
    <t>VAV0474</t>
  </si>
  <si>
    <t>VAV0475</t>
  </si>
  <si>
    <t>MEETING ROOM 9.039</t>
  </si>
  <si>
    <t>VAV0476</t>
  </si>
  <si>
    <t>BMO SAFE 9.040</t>
  </si>
  <si>
    <t>VAV0477</t>
  </si>
  <si>
    <t>BMO ARCHIVE ROOM 9.041</t>
  </si>
  <si>
    <t>VAV0478</t>
  </si>
  <si>
    <t>VAV0479</t>
  </si>
  <si>
    <t>LEGAL ARCHIVE 9.001</t>
  </si>
  <si>
    <t>VAV0480</t>
  </si>
  <si>
    <t>LEGAL CONSULE 9.002</t>
  </si>
  <si>
    <t>VAV0481</t>
  </si>
  <si>
    <t>LEGAL CONSULE 9.003</t>
  </si>
  <si>
    <t>VAV0482</t>
  </si>
  <si>
    <t>LEGAL CONSULE 9.004</t>
  </si>
  <si>
    <t>VAV0483</t>
  </si>
  <si>
    <t>LEGAL CONSULE 9.005</t>
  </si>
  <si>
    <t>VAV0484</t>
  </si>
  <si>
    <t>LEGAL CONSULE 9.006</t>
  </si>
  <si>
    <t>VAV0485</t>
  </si>
  <si>
    <t>LEGAL CONSULE 9.007</t>
  </si>
  <si>
    <t>VAV0486</t>
  </si>
  <si>
    <t>LEGAL SUP. SEC. 9.008</t>
  </si>
  <si>
    <t>VAV0487</t>
  </si>
  <si>
    <t>LEGAL SUP. SEC. 9.009</t>
  </si>
  <si>
    <t>VAV0488</t>
  </si>
  <si>
    <t>LEGAL ADV. ENSUIT 9.010</t>
  </si>
  <si>
    <t>VAV0489</t>
  </si>
  <si>
    <t>LOUNGE 9.105</t>
  </si>
  <si>
    <t>VAV0490</t>
  </si>
  <si>
    <t>BMO WAITING AREA 9.104</t>
  </si>
  <si>
    <t>VAV0491</t>
  </si>
  <si>
    <t>NORTH WEST TOILETS 9.403</t>
  </si>
  <si>
    <t>VAV0492</t>
  </si>
  <si>
    <t>VAV0493</t>
  </si>
  <si>
    <t>SHEIKA WING DINING AREA 9.110</t>
  </si>
  <si>
    <t>VAV0494</t>
  </si>
  <si>
    <t>VAV0495</t>
  </si>
  <si>
    <t>SOUTH EAST CORRIDOR 9.11</t>
  </si>
  <si>
    <t>VAV0496</t>
  </si>
  <si>
    <t>KITCHEN 9.108</t>
  </si>
  <si>
    <t>VAV0497</t>
  </si>
  <si>
    <t>VAV0498</t>
  </si>
  <si>
    <t>ARCHIVE 10.005</t>
  </si>
  <si>
    <t>VAV0499</t>
  </si>
  <si>
    <t>EXEC. DIR. ARCH. COORD 10.006</t>
  </si>
  <si>
    <t>VAV0500</t>
  </si>
  <si>
    <t>EXEC. DIR. PROT. ASSIS. 10.007</t>
  </si>
  <si>
    <t>VAV0501</t>
  </si>
  <si>
    <t>SCHED OFFICER 10.008</t>
  </si>
  <si>
    <t>VAV0502</t>
  </si>
  <si>
    <t>CEREM. OFFICER 10.009</t>
  </si>
  <si>
    <t>VAV0503</t>
  </si>
  <si>
    <t>CEREM. OFFICER 10.010</t>
  </si>
  <si>
    <t>VAV0504</t>
  </si>
  <si>
    <t>CEREM. OFFICER 10.011</t>
  </si>
  <si>
    <t>VAV0505</t>
  </si>
  <si>
    <t>TR. &amp; VIS. OFFICER 10.012</t>
  </si>
  <si>
    <t>VAV0506</t>
  </si>
  <si>
    <t>TR. &amp; VIS. OFFICER 10.013</t>
  </si>
  <si>
    <t>VAV0507</t>
  </si>
  <si>
    <t>SCHED OFFICER 10.015</t>
  </si>
  <si>
    <t>VAV0508</t>
  </si>
  <si>
    <t>PLANNING ANALYST 10.016</t>
  </si>
  <si>
    <t>VAV0509</t>
  </si>
  <si>
    <t>STRAT. PLANNER 10.017</t>
  </si>
  <si>
    <t>VAV0510</t>
  </si>
  <si>
    <t>PLANNING DIR. EXT. COORD 10.018</t>
  </si>
  <si>
    <t>VAV0511</t>
  </si>
  <si>
    <t>SEN. POLICY ANALYST 10.019</t>
  </si>
  <si>
    <t>VAV0512</t>
  </si>
  <si>
    <t>SEN. RESEARCH ANALYST 10.020</t>
  </si>
  <si>
    <t>VAV0513</t>
  </si>
  <si>
    <t>RESEARCH ANALYST 10.021</t>
  </si>
  <si>
    <t>VAV0514</t>
  </si>
  <si>
    <t>RESEARCH ANALYST 10.022</t>
  </si>
  <si>
    <t>VAV0515</t>
  </si>
  <si>
    <t>HR OFFICER 10.023</t>
  </si>
  <si>
    <t>VAV0516</t>
  </si>
  <si>
    <t>HR ASSISTANT 10.024</t>
  </si>
  <si>
    <t>VAV0517</t>
  </si>
  <si>
    <t>PROCUR. REPRESENT 10.025</t>
  </si>
  <si>
    <t>VAV0518</t>
  </si>
  <si>
    <t>SERVICE COORD 10.026</t>
  </si>
  <si>
    <t>VAV0519</t>
  </si>
  <si>
    <t>SERV. SUPERVISOR 10.027</t>
  </si>
  <si>
    <t>VAV0520</t>
  </si>
  <si>
    <t>FINANCE CONTROL 10.028</t>
  </si>
  <si>
    <t>VAV0521</t>
  </si>
  <si>
    <t>SERV. DIR. TR. &amp; GU. SERV. 10.029</t>
  </si>
  <si>
    <t>VAV0522</t>
  </si>
  <si>
    <t>VAV0523</t>
  </si>
  <si>
    <t>COMM. DIR. DESIG. 10.031</t>
  </si>
  <si>
    <t>VAV0524</t>
  </si>
  <si>
    <t>COMM. DIR. EDITOR 10.032</t>
  </si>
  <si>
    <t>VAV0525</t>
  </si>
  <si>
    <t>COMM. DIR. TRANSLTOR 10.033</t>
  </si>
  <si>
    <t>VAV0526</t>
  </si>
  <si>
    <t>COMM. DIR. COORD 10.034</t>
  </si>
  <si>
    <t>VAV0527</t>
  </si>
  <si>
    <t>SUPP. OFFICER 10.035</t>
  </si>
  <si>
    <t>VAV0528</t>
  </si>
  <si>
    <t>SH. SERV. DIR. ACCOUNUT. 10.036</t>
  </si>
  <si>
    <t>VAV0529</t>
  </si>
  <si>
    <t>SH. SERV. DIR. SR. ACCOUNT. 10.037</t>
  </si>
  <si>
    <t>VAV0530</t>
  </si>
  <si>
    <t>SHEIKHA WING STORAGE 10.001</t>
  </si>
  <si>
    <t>VAV0531</t>
  </si>
  <si>
    <t>VAV0532</t>
  </si>
  <si>
    <t>VAV0533</t>
  </si>
  <si>
    <t>BOARD ROOM WAITING 10.003</t>
  </si>
  <si>
    <t>VAV0534</t>
  </si>
  <si>
    <t>VAV0535</t>
  </si>
  <si>
    <t>ARCHIVE COORD 10.004</t>
  </si>
  <si>
    <t>VAV0536</t>
  </si>
  <si>
    <t>LOUNGE 10.106</t>
  </si>
  <si>
    <t>VAV0537</t>
  </si>
  <si>
    <t>NW LOUNGE 10.106</t>
  </si>
  <si>
    <t>VAV0538</t>
  </si>
  <si>
    <t>BOARD PREP. ROOM 10.109</t>
  </si>
  <si>
    <t>VAV0539</t>
  </si>
  <si>
    <t>CONSULTANT SPACE 10.101</t>
  </si>
  <si>
    <t>VAV0540</t>
  </si>
  <si>
    <t>VAV0541</t>
  </si>
  <si>
    <t>AV ROOM 10.112</t>
  </si>
  <si>
    <t>VAV0542</t>
  </si>
  <si>
    <t>VAV0543</t>
  </si>
  <si>
    <t>VAV0544</t>
  </si>
  <si>
    <t>VAV0545</t>
  </si>
  <si>
    <t>VAV0546</t>
  </si>
  <si>
    <t>VAV0547</t>
  </si>
  <si>
    <t>SHEIKHA WING MULTIPURPOSE ROOM 10.102</t>
  </si>
  <si>
    <t>VAV0548</t>
  </si>
  <si>
    <t>OFFICE SPACE 10.002E</t>
  </si>
  <si>
    <t>VAV0549</t>
  </si>
  <si>
    <t>OFFICE SPACE 10.002D</t>
  </si>
  <si>
    <t>VAV0550</t>
  </si>
  <si>
    <t>OFFICE SPACE 10.002C</t>
  </si>
  <si>
    <t>VAV0551</t>
  </si>
  <si>
    <t>OFFICE SPACE 10.002A</t>
  </si>
  <si>
    <t>VAV0552</t>
  </si>
  <si>
    <t>PLANNING DIR. 11.012</t>
  </si>
  <si>
    <t>VAV0553</t>
  </si>
  <si>
    <t>EXEC. DIR. CORR. 11.013</t>
  </si>
  <si>
    <t>VAV0554</t>
  </si>
  <si>
    <t>EXEC. DIR. CORR. MANAGER 11.014</t>
  </si>
  <si>
    <t>VAV0555</t>
  </si>
  <si>
    <t>EXEC. DIR. CORR. 11.015</t>
  </si>
  <si>
    <t>VAV0556</t>
  </si>
  <si>
    <t>LEGAL ASSIST. 11.016</t>
  </si>
  <si>
    <t>VAV0557</t>
  </si>
  <si>
    <t>LEGAL ADVISOR 11.017</t>
  </si>
  <si>
    <t>VAV0558</t>
  </si>
  <si>
    <t>VAV0559</t>
  </si>
  <si>
    <t>LEGAL ADVISOR 11.018</t>
  </si>
  <si>
    <t>VAV0560</t>
  </si>
  <si>
    <t>DEP. EXEC. DIRECTOR 11.019</t>
  </si>
  <si>
    <t>VAV0561</t>
  </si>
  <si>
    <t>EXEC. ASSI. 11.020</t>
  </si>
  <si>
    <t>VAV0562</t>
  </si>
  <si>
    <t>EXEC. DIRECTOR 11.021</t>
  </si>
  <si>
    <t>VAV0564</t>
  </si>
  <si>
    <t>SHEIKHA WING WAITING ROOM 11.022</t>
  </si>
  <si>
    <t>VAV0565</t>
  </si>
  <si>
    <t>VAV0567</t>
  </si>
  <si>
    <t>SECURITY ROOM 11.023</t>
  </si>
  <si>
    <t>VAV0568</t>
  </si>
  <si>
    <t>COMMUNICATION DIR. 11.001</t>
  </si>
  <si>
    <t>VAV0570</t>
  </si>
  <si>
    <t>MED. REL. OFFICER 11.002</t>
  </si>
  <si>
    <t>VAV0571</t>
  </si>
  <si>
    <t>DIR. SHARED SERVICES 11.003</t>
  </si>
  <si>
    <t>VAV0573</t>
  </si>
  <si>
    <t>ADM. ASSI. 11.004</t>
  </si>
  <si>
    <t>VAV0574</t>
  </si>
  <si>
    <t>PROTOCOL DIR. 11.005</t>
  </si>
  <si>
    <t>VAV0575</t>
  </si>
  <si>
    <t>GIFT DIR. 11.006</t>
  </si>
  <si>
    <t>VAV0576</t>
  </si>
  <si>
    <t>EXEC. DIR. CONSULTANT 11.008</t>
  </si>
  <si>
    <t>VAV0577</t>
  </si>
  <si>
    <t>SEC. 11.009</t>
  </si>
  <si>
    <t>VAV0578</t>
  </si>
  <si>
    <t>DIR. OF POL. &amp; RES. 11.010</t>
  </si>
  <si>
    <t>VAV0579</t>
  </si>
  <si>
    <t>SECRETARY 11.011</t>
  </si>
  <si>
    <t>VAV0580</t>
  </si>
  <si>
    <t>SHEIKHA WING BUSINESS LOUNGE 11.103</t>
  </si>
  <si>
    <t>VAV0581</t>
  </si>
  <si>
    <t>VAV0582</t>
  </si>
  <si>
    <t>SHEIKHA WING LOBBY 11.201</t>
  </si>
  <si>
    <t>VAV0583</t>
  </si>
  <si>
    <t>VAV0584</t>
  </si>
  <si>
    <t>SHEIKHA WING SHEIKHA ENSUIT 11.202</t>
  </si>
  <si>
    <t>VAV0585</t>
  </si>
  <si>
    <t>VAV0586</t>
  </si>
  <si>
    <t>VAV0587</t>
  </si>
  <si>
    <t>VAV0588</t>
  </si>
  <si>
    <t>SHEIKHA WING RELAX AREA 11.203</t>
  </si>
  <si>
    <t>VAV0589</t>
  </si>
  <si>
    <t>VAV0590</t>
  </si>
  <si>
    <t>SHEIKHA WING MEETING ROOM 11.204</t>
  </si>
  <si>
    <t>VAV0591</t>
  </si>
  <si>
    <t>VAV0592</t>
  </si>
  <si>
    <t>VISITORS CENTER 08</t>
  </si>
  <si>
    <t>VAV0593</t>
  </si>
  <si>
    <t>VAV0594</t>
  </si>
  <si>
    <t>VAV0595</t>
  </si>
  <si>
    <t>ROOM B.109</t>
  </si>
  <si>
    <t>VAV0596</t>
  </si>
  <si>
    <t>OFFICE SPACE 04.015B</t>
  </si>
  <si>
    <t>VAV0597</t>
  </si>
  <si>
    <t>OFFICE SPACE 04.001A</t>
  </si>
  <si>
    <t>VAV0598</t>
  </si>
  <si>
    <t>OFFICE SPACE 04.001E</t>
  </si>
  <si>
    <t>VAV0599</t>
  </si>
  <si>
    <t>OFFICE SPACE 04.001C</t>
  </si>
  <si>
    <t>VAV0600</t>
  </si>
  <si>
    <t>OFFICE SPACE 04.001H</t>
  </si>
  <si>
    <t>VAV0601</t>
  </si>
  <si>
    <t>OFFICE SPACE 10.002B</t>
  </si>
  <si>
    <t>VAV0602</t>
  </si>
  <si>
    <t>EXEC. DIR. CONSULTANT 11.007</t>
  </si>
  <si>
    <t>VAV0603</t>
  </si>
  <si>
    <t>VAV0604</t>
  </si>
  <si>
    <t>VAV0605</t>
  </si>
  <si>
    <t>HH WING BUSINESS LOUNGE 11.102</t>
  </si>
  <si>
    <t>VAV0606</t>
  </si>
  <si>
    <t>VAV0607</t>
  </si>
  <si>
    <t>PR &amp; MARKET STAFF G.013</t>
  </si>
  <si>
    <t>VAV0608</t>
  </si>
  <si>
    <t>TOILET G.405</t>
  </si>
  <si>
    <t>AHUB001</t>
  </si>
  <si>
    <t>AHUB002</t>
  </si>
  <si>
    <t>AHUB003</t>
  </si>
  <si>
    <t>AHUB004</t>
  </si>
  <si>
    <t>AHUB005</t>
  </si>
  <si>
    <t>AHUB006</t>
  </si>
  <si>
    <t>AHUB007</t>
  </si>
  <si>
    <t>AHUB008</t>
  </si>
  <si>
    <t>AHUB009</t>
  </si>
  <si>
    <t>AHUB010</t>
  </si>
  <si>
    <t>AHUB011</t>
  </si>
  <si>
    <t>AHUB012</t>
  </si>
  <si>
    <t>AHUB013</t>
  </si>
  <si>
    <t>AHUB014</t>
  </si>
  <si>
    <t>AHUB015</t>
  </si>
  <si>
    <t>FCU_1F_001</t>
  </si>
  <si>
    <t>FCU_1F_002</t>
  </si>
  <si>
    <t>FCU_1F_003</t>
  </si>
  <si>
    <t>FCU_1F_004</t>
  </si>
  <si>
    <t>FCU_1F_005</t>
  </si>
  <si>
    <t>FCU_1F_006</t>
  </si>
  <si>
    <t>FCU_1F_007</t>
  </si>
  <si>
    <t>FCU_1F_008</t>
  </si>
  <si>
    <t>FCU_1F_009</t>
  </si>
  <si>
    <t>FCU_1F_010</t>
  </si>
  <si>
    <t>FCU_1F_011</t>
  </si>
  <si>
    <t>FCU_1F_012</t>
  </si>
  <si>
    <t>FCU_1F_013</t>
  </si>
  <si>
    <t>FCU_1F_014</t>
  </si>
  <si>
    <t>FCU_1F_015</t>
  </si>
  <si>
    <t>FCU_1F_016</t>
  </si>
  <si>
    <t>FCU_1F_017</t>
  </si>
  <si>
    <t>FCU_1F_018</t>
  </si>
  <si>
    <t>FCU_1F_019</t>
  </si>
  <si>
    <t>FCU_1F_020</t>
  </si>
  <si>
    <t>FCU_1F_021</t>
  </si>
  <si>
    <t>FCU_1F_022</t>
  </si>
  <si>
    <t>FCU_1F_023</t>
  </si>
  <si>
    <t>FCU_1F_024</t>
  </si>
  <si>
    <t>FCU_1F_025</t>
  </si>
  <si>
    <t>FCU_1F_026</t>
  </si>
  <si>
    <t>FCU_1F_027</t>
  </si>
  <si>
    <t>FCU_1F_028</t>
  </si>
  <si>
    <t>FCU_1F_029</t>
  </si>
  <si>
    <t>FCU_1F_030</t>
  </si>
  <si>
    <t>FCU_1F_031</t>
  </si>
  <si>
    <t>FCU_1F_032</t>
  </si>
  <si>
    <t>FCU_1F_033</t>
  </si>
  <si>
    <t>FCU_1F_034</t>
  </si>
  <si>
    <t>FCU_1F_035</t>
  </si>
  <si>
    <t>FCU_1F_036</t>
  </si>
  <si>
    <t>FCU_1F_037</t>
  </si>
  <si>
    <t>FCU_1F_038</t>
  </si>
  <si>
    <t>FCU_1F_039</t>
  </si>
  <si>
    <t>FCU_1F_040</t>
  </si>
  <si>
    <t>FCU_1F_041</t>
  </si>
  <si>
    <t>FCU_1F_042</t>
  </si>
  <si>
    <t>FCU_1F_043</t>
  </si>
  <si>
    <t>FCU_1F_044</t>
  </si>
  <si>
    <t>FCU_1F_045</t>
  </si>
  <si>
    <t>FCU_1F_046</t>
  </si>
  <si>
    <t>FCU_1F_047</t>
  </si>
  <si>
    <t>FCU_1F_048</t>
  </si>
  <si>
    <t>FCU_1F_049</t>
  </si>
  <si>
    <t>FCU_1F_050</t>
  </si>
  <si>
    <t>FCU_1F_051</t>
  </si>
  <si>
    <t>FCU_1F_052</t>
  </si>
  <si>
    <t>FCU_1F_053</t>
  </si>
  <si>
    <t>FCU_1F_054</t>
  </si>
  <si>
    <t>FCU_1F_055</t>
  </si>
  <si>
    <t>FCU_1F_056</t>
  </si>
  <si>
    <t>FCU_1F_057</t>
  </si>
  <si>
    <t>FCU_1F_058</t>
  </si>
  <si>
    <t>FCU_1F_059</t>
  </si>
  <si>
    <t>FCU_1F_060</t>
  </si>
  <si>
    <t>FCU_1F_061</t>
  </si>
  <si>
    <t>FCU_1F_062</t>
  </si>
  <si>
    <t>FCU_1F_063</t>
  </si>
  <si>
    <t>FCU_1F_064</t>
  </si>
  <si>
    <t>FCU_1F_065</t>
  </si>
  <si>
    <t>FCU_2F_001</t>
  </si>
  <si>
    <t>FCU_2F_002</t>
  </si>
  <si>
    <t>FCU_2F_003</t>
  </si>
  <si>
    <t>FCU_2F_004</t>
  </si>
  <si>
    <t>FCU_2F_005</t>
  </si>
  <si>
    <t>FCU_2F_034</t>
  </si>
  <si>
    <t>FCU_2F_035</t>
  </si>
  <si>
    <t>FCU_2F_036</t>
  </si>
  <si>
    <t>FCU_2F_037</t>
  </si>
  <si>
    <t>FCU_2F_038</t>
  </si>
  <si>
    <t>FCU_2F_039</t>
  </si>
  <si>
    <t>FCU_2F_040</t>
  </si>
  <si>
    <t>FCU_2F_041</t>
  </si>
  <si>
    <t>FCU_2F_042</t>
  </si>
  <si>
    <t>FCU_2F_043</t>
  </si>
  <si>
    <t>FCU_2F_044</t>
  </si>
  <si>
    <t>FCU_2F_045</t>
  </si>
  <si>
    <t>FCU_2F_046</t>
  </si>
  <si>
    <t>FCU_2F_047</t>
  </si>
  <si>
    <t>FCU_2F_048</t>
  </si>
  <si>
    <t>FCU_2F_049</t>
  </si>
  <si>
    <t>FCU_2F_050</t>
  </si>
  <si>
    <t>FCU_2F_051</t>
  </si>
  <si>
    <t>FCU_2F_052</t>
  </si>
  <si>
    <t>FCU_2F_053</t>
  </si>
  <si>
    <t>FCU_2F_054</t>
  </si>
  <si>
    <t>FCU_2F_055</t>
  </si>
  <si>
    <t>FCU_2F_056</t>
  </si>
  <si>
    <t>FCU_2F_057</t>
  </si>
  <si>
    <t>FCU_2F_058</t>
  </si>
  <si>
    <t>FCU_2F_059</t>
  </si>
  <si>
    <t>FCU_2F_060</t>
  </si>
  <si>
    <t>FCU_2F_061</t>
  </si>
  <si>
    <t>FCU_2F_062</t>
  </si>
  <si>
    <t>FCU_B_001</t>
  </si>
  <si>
    <t>FCU_B_002</t>
  </si>
  <si>
    <t>FCU_B_003</t>
  </si>
  <si>
    <t>FCU_B_004</t>
  </si>
  <si>
    <t>FCU_B_005</t>
  </si>
  <si>
    <t>FCU_B_006</t>
  </si>
  <si>
    <t>FCU_B_007</t>
  </si>
  <si>
    <t>FCU_B_008</t>
  </si>
  <si>
    <t>FCU_B_009</t>
  </si>
  <si>
    <t>FCU_B_010</t>
  </si>
  <si>
    <t>FCU_B_011</t>
  </si>
  <si>
    <t>FCU_B_012</t>
  </si>
  <si>
    <t>FCU_B_013</t>
  </si>
  <si>
    <t>FCU_B_014</t>
  </si>
  <si>
    <t>FCU_B_015</t>
  </si>
  <si>
    <t>FCU_B_016</t>
  </si>
  <si>
    <t>FCU_B_017</t>
  </si>
  <si>
    <t>FCU_B_018</t>
  </si>
  <si>
    <t>FCU_B_019</t>
  </si>
  <si>
    <t>FCU_B_020</t>
  </si>
  <si>
    <t>FCU_B_021</t>
  </si>
  <si>
    <t>FCU_B_022</t>
  </si>
  <si>
    <t>FCU_B_023</t>
  </si>
  <si>
    <t>FCU_B_024</t>
  </si>
  <si>
    <t>FCU_B_025</t>
  </si>
  <si>
    <t>FCU_B_026</t>
  </si>
  <si>
    <t>FCU_B_027</t>
  </si>
  <si>
    <t>FCU_B_028</t>
  </si>
  <si>
    <t>FCU_B_029</t>
  </si>
  <si>
    <t>FCU_B_030</t>
  </si>
  <si>
    <t>FCU_B_031</t>
  </si>
  <si>
    <t>FCU_B_032</t>
  </si>
  <si>
    <t>FCU_B_033</t>
  </si>
  <si>
    <t>FCU_B_034</t>
  </si>
  <si>
    <t>FCU_B_035</t>
  </si>
  <si>
    <t>FCU_B_036</t>
  </si>
  <si>
    <t>FCU_B_037</t>
  </si>
  <si>
    <t>FCU_B_038</t>
  </si>
  <si>
    <t>VAV_1F_S11_001</t>
  </si>
  <si>
    <t>VAV_1F_S11_002</t>
  </si>
  <si>
    <t>VAV_1F_S11_003</t>
  </si>
  <si>
    <t>VAV_1F_S11_004</t>
  </si>
  <si>
    <t>VAV_1F_S11_005</t>
  </si>
  <si>
    <t>VAV_1F_S11_006</t>
  </si>
  <si>
    <t>VAV_1F_S11_007</t>
  </si>
  <si>
    <t>VAV_1F_S11_008</t>
  </si>
  <si>
    <t>VAV_1F_S11_009</t>
  </si>
  <si>
    <t>VAV_1F_S11_010</t>
  </si>
  <si>
    <t>VAV_1F_S11_011</t>
  </si>
  <si>
    <t>VAV_1F_S11_012</t>
  </si>
  <si>
    <t>VAV_1F_S11_013</t>
  </si>
  <si>
    <t>VAV_1F_S11_014</t>
  </si>
  <si>
    <t>VAV_1F_S11_015</t>
  </si>
  <si>
    <t>VAV_1F_S11_016</t>
  </si>
  <si>
    <t>VAV_1F_S11_017</t>
  </si>
  <si>
    <t>VAV_1F_S11_018</t>
  </si>
  <si>
    <t>VAV_1F_S11_019</t>
  </si>
  <si>
    <t>VAV_1F_S11_020</t>
  </si>
  <si>
    <t>VAV_1F_S11_021</t>
  </si>
  <si>
    <t>VAV_1F_S11_022</t>
  </si>
  <si>
    <t>VAV_1F_S11_087</t>
  </si>
  <si>
    <t>VAV_1F_S11_088</t>
  </si>
  <si>
    <t>VAV_1F_S11_089</t>
  </si>
  <si>
    <t>VAV_1F_S11_090</t>
  </si>
  <si>
    <t>VAV_1F_S15_001</t>
  </si>
  <si>
    <t>VAV_1F_S15_002</t>
  </si>
  <si>
    <t>VAV_1F_S15_003</t>
  </si>
  <si>
    <t>VAV_1F_S15_004</t>
  </si>
  <si>
    <t>VAV_1F_S15_005</t>
  </si>
  <si>
    <t>VAV_1F_S15_006</t>
  </si>
  <si>
    <t>VAV_1F_S15_007</t>
  </si>
  <si>
    <t>VAV_1F_S15_008</t>
  </si>
  <si>
    <t>VAV_1F_S15_009</t>
  </si>
  <si>
    <t>VAV_1F_S15_010</t>
  </si>
  <si>
    <t>VAV_1F_S15_011</t>
  </si>
  <si>
    <t>VAV_1F_S15_012</t>
  </si>
  <si>
    <t>VAV_1F_S15_021</t>
  </si>
  <si>
    <t>VAV_1F_S15_022</t>
  </si>
  <si>
    <t>VAV_1F_S15_023</t>
  </si>
  <si>
    <t>VAV_1F_S15_024</t>
  </si>
  <si>
    <t>VAV_1F_S15_025</t>
  </si>
  <si>
    <t>VAV_1F_S15_038</t>
  </si>
  <si>
    <t>VAV_1F_S15_039</t>
  </si>
  <si>
    <t>VAV_1F_S15_039S</t>
  </si>
  <si>
    <t>VAV_1F_S15_040</t>
  </si>
  <si>
    <t>VAV_1F_S15_096</t>
  </si>
  <si>
    <t>VAV_1F_S15_097</t>
  </si>
  <si>
    <t>VAV_1F_S15_098</t>
  </si>
  <si>
    <t>VAV_2F_S10_001</t>
  </si>
  <si>
    <t>VAV_2F_S10_002</t>
  </si>
  <si>
    <t>VAV_2F_S10_003</t>
  </si>
  <si>
    <t>VAV_2F_S10_004</t>
  </si>
  <si>
    <t>VAV_2F_S10_005</t>
  </si>
  <si>
    <t>VAV_2F_S10_006</t>
  </si>
  <si>
    <t>VAV_2F_S12_001</t>
  </si>
  <si>
    <t>VAV_2F_S12_002</t>
  </si>
  <si>
    <t>VAV_2F_S12_003</t>
  </si>
  <si>
    <t>VAV_2F_S12_004</t>
  </si>
  <si>
    <t>VAV_2F_S12_005</t>
  </si>
  <si>
    <t>VAV_2F_S12_006</t>
  </si>
  <si>
    <t>VAV_2F_S12_007</t>
  </si>
  <si>
    <t>VAV_2F_S12_008</t>
  </si>
  <si>
    <t>VAV_2F_S12_009</t>
  </si>
  <si>
    <t>VAV_2F_S12_010</t>
  </si>
  <si>
    <t>VAV_2F_S12_011</t>
  </si>
  <si>
    <t>VAV_2F_S12_012</t>
  </si>
  <si>
    <t>VAV_2F_S12_013</t>
  </si>
  <si>
    <t>VAV_2F_S12_014</t>
  </si>
  <si>
    <t>VAV_2F_S12_015</t>
  </si>
  <si>
    <t>VAV_2F_S12_016</t>
  </si>
  <si>
    <t>VAV_2F_S12_017</t>
  </si>
  <si>
    <t>VAV_2F_S12_018</t>
  </si>
  <si>
    <t>VAV_2F_S12_019</t>
  </si>
  <si>
    <t>VAV_2F_S12_020</t>
  </si>
  <si>
    <t>VAV_2F_S12_021</t>
  </si>
  <si>
    <t>VAV_2F_S12_022</t>
  </si>
  <si>
    <t>VAV_2F_S12_023</t>
  </si>
  <si>
    <t>VAV_2F_S12_024</t>
  </si>
  <si>
    <t>VAV_2F_S12_025</t>
  </si>
  <si>
    <t>VAV_2F_S12_026</t>
  </si>
  <si>
    <t>VAV_2F_S12_027</t>
  </si>
  <si>
    <t>VAV_2F_S12_028</t>
  </si>
  <si>
    <t>VAV_2F_S12_029</t>
  </si>
  <si>
    <t>VAV_2F_S12_097</t>
  </si>
  <si>
    <t>VAV_2F_S13_001</t>
  </si>
  <si>
    <t>VAV_2F_S13_002</t>
  </si>
  <si>
    <t>VAV_2F_S13_003</t>
  </si>
  <si>
    <t>VAV_2F_S13_004</t>
  </si>
  <si>
    <t>VAV_2F_S13_005</t>
  </si>
  <si>
    <t>VAV_2F_S13_006</t>
  </si>
  <si>
    <t>VAV_2F_S13_007</t>
  </si>
  <si>
    <t>VAV_2F_S13_008</t>
  </si>
  <si>
    <t>VAV_2F_S13_009</t>
  </si>
  <si>
    <t>VAV_2F_S13_010</t>
  </si>
  <si>
    <t>VAV_2F_S13_011</t>
  </si>
  <si>
    <t>VAV_2F_S13_012</t>
  </si>
  <si>
    <t>VAV_2F_S13_013</t>
  </si>
  <si>
    <t>VAV_2F_S13_014</t>
  </si>
  <si>
    <t>VAV_2F_S13_015</t>
  </si>
  <si>
    <t>VAV_2F_S13_016</t>
  </si>
  <si>
    <t>VAV_2F_S14_001</t>
  </si>
  <si>
    <t>VAV_2F_S14_002</t>
  </si>
  <si>
    <t>VAV_2F_S14_003</t>
  </si>
  <si>
    <t>VAV_2F_S14_004</t>
  </si>
  <si>
    <t>VAV_2F_S14_005</t>
  </si>
  <si>
    <t>VAV_2F_S14_006</t>
  </si>
  <si>
    <t>VAV_2F_S14_007</t>
  </si>
  <si>
    <t>VAV_2F_S14_008</t>
  </si>
  <si>
    <t>VAV_2F_S14_009</t>
  </si>
  <si>
    <t>VAV_2F_S14_010</t>
  </si>
  <si>
    <t>VAV_2F_S14_011</t>
  </si>
  <si>
    <t>VAV_2F_S14_012</t>
  </si>
  <si>
    <t>VAV_2F_S14_013</t>
  </si>
  <si>
    <t>VAV_2F_S14_014</t>
  </si>
  <si>
    <t>VAV_2F_S14_015</t>
  </si>
  <si>
    <t>VAV_2F_S14_016</t>
  </si>
  <si>
    <t>VAV_2F_S14_017</t>
  </si>
  <si>
    <t>VAV_2F_S14_018</t>
  </si>
  <si>
    <t>VAV_2F_S14_019</t>
  </si>
  <si>
    <t>VAV_2F_S14_020</t>
  </si>
  <si>
    <t>VAV_2F_S14_021</t>
  </si>
  <si>
    <t>VAV_2F_S15_001</t>
  </si>
  <si>
    <t>VAV_2F_S15_002</t>
  </si>
  <si>
    <t>VAV_2F_S15_003</t>
  </si>
  <si>
    <t>VAV_2F_S15_004</t>
  </si>
  <si>
    <t>VAV_2F_S15_005</t>
  </si>
  <si>
    <t>VAV_B_S10_001</t>
  </si>
  <si>
    <t>VAV_B_S10_002</t>
  </si>
  <si>
    <t>VAV_B_S10_003</t>
  </si>
  <si>
    <t>VAV_B_S10_004</t>
  </si>
  <si>
    <t>VAV_B_S10_005</t>
  </si>
  <si>
    <t>VAV_B_S10_006</t>
  </si>
  <si>
    <t>VAV_B_S10_007</t>
  </si>
  <si>
    <t>VAV_B_S10_008</t>
  </si>
  <si>
    <t>VAV_B_S10_009</t>
  </si>
  <si>
    <t>VAV_B_S10_010</t>
  </si>
  <si>
    <t>VAV_B_S10_011</t>
  </si>
  <si>
    <t>VAV_B_S10_012</t>
  </si>
  <si>
    <t>VAV_B_S10_013</t>
  </si>
  <si>
    <t>VAV_B_S10_014</t>
  </si>
  <si>
    <t>VAV_B_S10_015</t>
  </si>
  <si>
    <t>VAV_B_S10_016</t>
  </si>
  <si>
    <t>VAV_B_S10_017</t>
  </si>
  <si>
    <t>VAV_B_S10_018</t>
  </si>
  <si>
    <t>VAV_B_S10_019</t>
  </si>
  <si>
    <t>VAV_B_S10_020</t>
  </si>
  <si>
    <t>VAV_B_S10_021</t>
  </si>
  <si>
    <t>VAV_B_S10_022</t>
  </si>
  <si>
    <t>VAV_B_S10_023</t>
  </si>
  <si>
    <t>VAV_B_S10_024</t>
  </si>
  <si>
    <t>VAV_B_S11_001</t>
  </si>
  <si>
    <t>VAV_B_S11_002</t>
  </si>
  <si>
    <t>VAV_B_S11_003</t>
  </si>
  <si>
    <t>VAV_B_S11_004</t>
  </si>
  <si>
    <t>VAV_B_S11_005</t>
  </si>
  <si>
    <t>VAV_B_S11_006</t>
  </si>
  <si>
    <t>VAV_B_S11_007</t>
  </si>
  <si>
    <t>VAV_B_S11_008</t>
  </si>
  <si>
    <t>VAV_B_S11_009</t>
  </si>
  <si>
    <t>VAV_B_S11_010</t>
  </si>
  <si>
    <t>VAV_B_S11_011</t>
  </si>
  <si>
    <t>VAV_B_S11_012</t>
  </si>
  <si>
    <t>VAV_B_S11_013</t>
  </si>
  <si>
    <t>VAV_B_S11_014</t>
  </si>
  <si>
    <t>VAV_B_S11_015</t>
  </si>
  <si>
    <t>VAV_B_S11_016</t>
  </si>
  <si>
    <t>VAV_B_S11_017</t>
  </si>
  <si>
    <t>VAV_B_S11_018</t>
  </si>
  <si>
    <t>VAV_B_S11_019</t>
  </si>
  <si>
    <t>VAV_B_S11_020</t>
  </si>
  <si>
    <t>VAV_B_S11_021</t>
  </si>
  <si>
    <t>VAV_B_S11_022</t>
  </si>
  <si>
    <t>VAV_B_S11_023</t>
  </si>
  <si>
    <t>VAV_B_S11_024</t>
  </si>
  <si>
    <t>VAV_B_S11_025</t>
  </si>
  <si>
    <t>VAV_B_S11_026</t>
  </si>
  <si>
    <t>VAV_B_S11_027</t>
  </si>
  <si>
    <t>VAV_B_S11_028</t>
  </si>
  <si>
    <t>VAV_B_S11_029</t>
  </si>
  <si>
    <t>VAV_B_S11_030</t>
  </si>
  <si>
    <t>VAV_B_S11_031</t>
  </si>
  <si>
    <t>VAV_B_S11_032</t>
  </si>
  <si>
    <t>VAV_B_S11_033</t>
  </si>
  <si>
    <t>VAV_B_S11_034</t>
  </si>
  <si>
    <t>VAV_B_S11_035</t>
  </si>
  <si>
    <t>VAV_B_S11_036</t>
  </si>
  <si>
    <t>VAV_B_S11_037</t>
  </si>
  <si>
    <t>VAV_B_S11_038</t>
  </si>
  <si>
    <t>VAV_B_S11_039</t>
  </si>
  <si>
    <t>VAV_B_S11_040</t>
  </si>
  <si>
    <t>VAV_B_S11_041</t>
  </si>
  <si>
    <t>VAV_B_S11_042</t>
  </si>
  <si>
    <t>VAV_B_S11_043</t>
  </si>
  <si>
    <t>VAV_B_S11_044</t>
  </si>
  <si>
    <t>VAV_B_S11_045</t>
  </si>
  <si>
    <t>VAV_B_S11_046</t>
  </si>
  <si>
    <t>VAV_B_S13_001</t>
  </si>
  <si>
    <t>VAV_B_S13_002</t>
  </si>
  <si>
    <t>VAV_B_S13_003</t>
  </si>
  <si>
    <t>VAV_B_S13_004</t>
  </si>
  <si>
    <t>VAV_B_S13_005</t>
  </si>
  <si>
    <t>VAV_B_S13_006</t>
  </si>
  <si>
    <t>VAV_B_S13_007</t>
  </si>
  <si>
    <t>VAV_B_S13_008</t>
  </si>
  <si>
    <t>VAV_B_S14_001</t>
  </si>
  <si>
    <t>VAV_B_S14_002</t>
  </si>
  <si>
    <t>VAV_B_S14_003</t>
  </si>
  <si>
    <t>VAV_B_S14_004</t>
  </si>
  <si>
    <t>VAV_B_S14_005</t>
  </si>
  <si>
    <t>VAV_B_S14_006</t>
  </si>
  <si>
    <t>VAV_B_S14_007</t>
  </si>
  <si>
    <t>VAV_B_S14_008</t>
  </si>
  <si>
    <t>VAV_B_S14_009</t>
  </si>
  <si>
    <t>VAV_B_S14_010</t>
  </si>
  <si>
    <t>VAV_B_S14_011</t>
  </si>
  <si>
    <t>VAV_B_S14_012</t>
  </si>
  <si>
    <t>VAV_B_S14_013</t>
  </si>
  <si>
    <t>VAV_B_S14_014</t>
  </si>
  <si>
    <t>VAV_B_S14_015</t>
  </si>
  <si>
    <t>VAV_B_S14_016</t>
  </si>
  <si>
    <t>VAV_B_S14_040</t>
  </si>
  <si>
    <t>VAV_B_S14_041</t>
  </si>
  <si>
    <t>VAV_B_S14_042</t>
  </si>
  <si>
    <t>VAV_B_S14_043</t>
  </si>
  <si>
    <t>VAV_B_S14_044</t>
  </si>
  <si>
    <t>VAV_B_S14_045</t>
  </si>
  <si>
    <t>VAV_B_S14_046</t>
  </si>
  <si>
    <t>VAV_B_S14_047</t>
  </si>
  <si>
    <t>VAV_B_S14_048</t>
  </si>
  <si>
    <t>VAV_B_S14_049</t>
  </si>
  <si>
    <t>VAV_B_S14_050</t>
  </si>
  <si>
    <t>VAV_B_S14_051</t>
  </si>
  <si>
    <t>VAV_B_S15_001</t>
  </si>
  <si>
    <t>VAV_B_S15_002</t>
  </si>
  <si>
    <t>VAV_B_S15_003</t>
  </si>
  <si>
    <t>VAV_B_S15_004</t>
  </si>
  <si>
    <t>VAV_B_S15_005</t>
  </si>
  <si>
    <t>VAV_B_S15_006</t>
  </si>
  <si>
    <t>VAV_B_S15_007</t>
  </si>
  <si>
    <t>VAV_B_S15_008</t>
  </si>
  <si>
    <t>VAV_B_S15_009</t>
  </si>
  <si>
    <t>VAV_B_S15_010</t>
  </si>
  <si>
    <t>VAV_B_S15_011</t>
  </si>
  <si>
    <t>VAV_B_S15_012</t>
  </si>
  <si>
    <t>VAV_B_S15_013</t>
  </si>
  <si>
    <t>CAV_1F_S11_001</t>
  </si>
  <si>
    <t>CAV</t>
  </si>
  <si>
    <t>CAV_1F_S11_002</t>
  </si>
  <si>
    <t>CAV_1F_S11_006</t>
  </si>
  <si>
    <t>CAV_1F_S11_007</t>
  </si>
  <si>
    <t>CAV_1F_S11_008</t>
  </si>
  <si>
    <t>CAV_1F_S11_009</t>
  </si>
  <si>
    <t>CAV_1F_S15_002</t>
  </si>
  <si>
    <t>CAV_1F_S15_004</t>
  </si>
  <si>
    <t>CAV_1F_S15_005</t>
  </si>
  <si>
    <t>CAV_1F_S15_006</t>
  </si>
  <si>
    <t>CAV_1F_S15_010</t>
  </si>
  <si>
    <t>CAV_1F_S15_011</t>
  </si>
  <si>
    <t>CAV_1F_S15_012</t>
  </si>
  <si>
    <t>CAV_1F_S15_013</t>
  </si>
  <si>
    <t>CAV_1F_S15_014</t>
  </si>
  <si>
    <t>CAV_1F_S15_015</t>
  </si>
  <si>
    <t>CAV_1F_S15_016</t>
  </si>
  <si>
    <t>CAV_1F_S15_017</t>
  </si>
  <si>
    <t>CAV_1F_S15_018</t>
  </si>
  <si>
    <t>CAV_1F_S15_019</t>
  </si>
  <si>
    <t>CAV_B_S12_001</t>
  </si>
  <si>
    <t>CAV_B_S12_002</t>
  </si>
  <si>
    <t>CAV_B_S12_003</t>
  </si>
  <si>
    <t>CAV_B_S13_001</t>
  </si>
  <si>
    <t>CAV_B_S13_002</t>
  </si>
  <si>
    <t>CAV_B_S13_003</t>
  </si>
  <si>
    <t>CAV_B_S13_004</t>
  </si>
  <si>
    <t>CAV_B_S13_005</t>
  </si>
  <si>
    <t>CAV_B_S13_006</t>
  </si>
  <si>
    <t>CAV_B_S13_007</t>
  </si>
  <si>
    <t>CAV_B_S13_008</t>
  </si>
  <si>
    <t>CAV_B_S13_009</t>
  </si>
  <si>
    <t>CAV_B_S13_010</t>
  </si>
  <si>
    <t>CAV_B_S13_011</t>
  </si>
  <si>
    <t>CAV_B_S13_012</t>
  </si>
  <si>
    <t>CAV_B_S13_013</t>
  </si>
  <si>
    <t>CAV_B_S13_014</t>
  </si>
  <si>
    <t>CAV_B_S13_015</t>
  </si>
  <si>
    <t>CAV_B_S13_020</t>
  </si>
  <si>
    <t>CAV_B_S13_021</t>
  </si>
  <si>
    <t>CAV_B_S14_001</t>
  </si>
  <si>
    <t>CAV_B_S14_002</t>
  </si>
  <si>
    <t>CAV_B_S14_003</t>
  </si>
  <si>
    <t>CAV_B_S14_004</t>
  </si>
  <si>
    <t>CAV_B_S14_005</t>
  </si>
  <si>
    <t>CAV_B_S14_006</t>
  </si>
  <si>
    <t>CAV_B_S14_007</t>
  </si>
  <si>
    <t>CAV_B_S15_001</t>
  </si>
  <si>
    <t>CAV_B_S15_002</t>
  </si>
  <si>
    <t>CAV_B_S15_003</t>
  </si>
  <si>
    <t>entity:SSC_B1_013_CHILLED_WATER</t>
  </si>
  <si>
    <t>entity:SSC_B1_014_VENT_PLANT</t>
  </si>
  <si>
    <t>entity:SSC_B1_008_VENT_PLANT</t>
  </si>
  <si>
    <t>entity:SSC_B1_016_SPRINKLER_&amp;_WATER</t>
  </si>
  <si>
    <t>entity:SSC_B1_039_BMS</t>
  </si>
  <si>
    <t>entity:SSC_01_008_AV_ROOM</t>
  </si>
  <si>
    <t>entity:SSC_01_027_IDF_1</t>
  </si>
  <si>
    <t>entity:SSC_01_039_IDF_2</t>
  </si>
  <si>
    <t>entity:SSC_01_028_CORRIDOR</t>
  </si>
  <si>
    <t>entity:SSC_01_010_CORRIDOR</t>
  </si>
  <si>
    <t>entity:SSC_03_033_PRINTING</t>
  </si>
  <si>
    <t>entity:SSC_B1_015_ENTRANCE</t>
  </si>
  <si>
    <t>entity:SSC_01_014_SHELL_SPACE</t>
  </si>
  <si>
    <t>entity:SSC_01_015_SHELL_SPACE</t>
  </si>
  <si>
    <t>entity:SSC_01_024_CORRIDOR</t>
  </si>
  <si>
    <t>entity:SSC_01_019_PRAYER_ROOM</t>
  </si>
  <si>
    <t>VAV0010</t>
  </si>
  <si>
    <t>entity:SSC_01_029_ROOM_NO_42</t>
  </si>
  <si>
    <t>entity:SSC_01_013_CORRIDOR</t>
  </si>
  <si>
    <t>entity:SSC_01_003_OPEN_SPACE</t>
  </si>
  <si>
    <t>entity:SSC_01_001_CORRIDOR</t>
  </si>
  <si>
    <t>entity:SSC_01_002_SHELL_SPACE</t>
  </si>
  <si>
    <t>entity:SSC_01_016_SHELL_SPACE</t>
  </si>
  <si>
    <t>entity:SSC_01_018_CORRIDOR</t>
  </si>
  <si>
    <t>entity:SSC_01_022_ABLUTION_ROOM</t>
  </si>
  <si>
    <t>entity:SSC_01_ST-4_STAIR_4</t>
  </si>
  <si>
    <t>entity:SSC_02_006_CONFERENCE_ROOM</t>
  </si>
  <si>
    <t>entity:SSC_02_005_EXECUTIVE_CONFERENCE_ROOM</t>
  </si>
  <si>
    <t>entity:SSC_02_004_CORRIDOR</t>
  </si>
  <si>
    <t>entity:SSC_02_001_FOYER</t>
  </si>
  <si>
    <t>entity:SSC_02_002_LOBBY</t>
  </si>
  <si>
    <t>entity:SSC_02_003_CORRIDOR</t>
  </si>
  <si>
    <t>entity:SSC_03_015_RESEARCHERS_OFFICE</t>
  </si>
  <si>
    <t>entity:SSC_03_014_VISITORS_CUBICLE</t>
  </si>
  <si>
    <t>entity:SSC_03_013_RESEARCHERS_OFFICE</t>
  </si>
  <si>
    <t>entity:SSC_03_012_RESEARCHERS_OFFICE</t>
  </si>
  <si>
    <t>entity:SSC_03_011_VISITORS_CUBICLE</t>
  </si>
  <si>
    <t>entity:SSC_03_010_RESEARCHERS_OFFICE</t>
  </si>
  <si>
    <t>entity:SSC_03_009_RESEARCHERS_OFFICE</t>
  </si>
  <si>
    <t>entity:SSC_03_008_VISITORS_CUBICLE</t>
  </si>
  <si>
    <t>entity:SSC_03_007_OPERATIONS_MANAGER</t>
  </si>
  <si>
    <t>entity:SSC_03_006_MEETING_ROOM</t>
  </si>
  <si>
    <t>entity:SSC_03_005_RESEARCHERS_OFFICE</t>
  </si>
  <si>
    <t>entity:SSC_03_004_VISITORS_CUBICLE</t>
  </si>
  <si>
    <t>entity:SSC_03_003_RESEARCHERS_OFFICE</t>
  </si>
  <si>
    <t>entity:SSC_03_002_DIRECTORS_MEETING_ROOM</t>
  </si>
  <si>
    <t>entity:SSC_03_001_DIRECTORS_OFFICE</t>
  </si>
  <si>
    <t>entity:SSC_03_029_RESEARCHERS_OFFICE</t>
  </si>
  <si>
    <t>entity:SSC_03_028_VISITORS_CUBICLE</t>
  </si>
  <si>
    <t>entity:SSC_03_027_RESEARCHERS_OFFICE</t>
  </si>
  <si>
    <t>entity:SSC_03_026_MEETING_ROOM</t>
  </si>
  <si>
    <t>entity:SSC_03_025_SECRETARIAL_AREA</t>
  </si>
  <si>
    <t>entity:SSC_03_024_VISITORS_CUBICLE</t>
  </si>
  <si>
    <t>entity:SSC_03_023_RESEARCHERS_OFFICE</t>
  </si>
  <si>
    <t>entity:SSC_03_022_RESEARCHERS_OFFICE</t>
  </si>
  <si>
    <t>entity:SSC_03_021_VISITORS_CUBICLE</t>
  </si>
  <si>
    <t>entity:SSC_03_020_RESEARCHERS_OFFICE</t>
  </si>
  <si>
    <t>entity:SSC_03_019_IT_MANAGERS_OFFICE</t>
  </si>
  <si>
    <t>entity:SSC_03_018_VISITORS_CUBICLE</t>
  </si>
  <si>
    <t>entity:SSC_03_017_RESEARCHERS_OFFICE</t>
  </si>
  <si>
    <t>entity:SSC_03_016_LOUNGE</t>
  </si>
  <si>
    <t>entity:SSC_03_049_IT_OFFICE</t>
  </si>
  <si>
    <t>entity:SSC_03_042_CORRIDOR</t>
  </si>
  <si>
    <t>entity:SSC_03_041_CORRIDOR</t>
  </si>
  <si>
    <t>entity:SSC_03_044_CORRIDOR</t>
  </si>
  <si>
    <t>entity:SSC_03_034_CORRIDOR</t>
  </si>
  <si>
    <t>RDC_UB_AHU8601</t>
  </si>
  <si>
    <t>RDC_UB_AHU8602</t>
  </si>
  <si>
    <t>RDC_UB_AHU8603</t>
  </si>
  <si>
    <t>RDC_UB_AHU8604</t>
  </si>
  <si>
    <t>RDC_UB_AHU8605</t>
  </si>
  <si>
    <t>RDC_UB_AHU8606</t>
  </si>
  <si>
    <t>RDC_UB_AHU8607</t>
  </si>
  <si>
    <t>RDC_UB_AHU8608</t>
  </si>
  <si>
    <t>RDC_UB_AHU8609</t>
  </si>
  <si>
    <t>RDC_NB_GF_VAV4001</t>
  </si>
  <si>
    <t>RDC_NB_GF_VAV4005_EV4006</t>
  </si>
  <si>
    <t>RDC_NB_GF_VAV4040</t>
  </si>
  <si>
    <t>RDC_NB_GF_VAV4050_VEV4051</t>
  </si>
  <si>
    <t>RDC_NB_GF_VAV4060_VEV4061</t>
  </si>
  <si>
    <t>RDC_NB_GF_VAV4070A_VEV4073A</t>
  </si>
  <si>
    <t>RDC_NB_GF_VAV4070B_VEV4073B</t>
  </si>
  <si>
    <t>RDC_NB_GF_VAV4071A_VEV4074A</t>
  </si>
  <si>
    <t>RDC_NB_GF_VAV4071B_VEV4074B</t>
  </si>
  <si>
    <t>RDC_NB_GF_VAV4072A_VEV4075A</t>
  </si>
  <si>
    <t>RDC_NB_GF_VAV4072B_VEV4075B</t>
  </si>
  <si>
    <t>RDC_NB_GF_VAV4080A_VEV4082A</t>
  </si>
  <si>
    <t>RDC_NB_GF_VAV4080B_VEV4082B</t>
  </si>
  <si>
    <t>RDC_NB_GF_VAV4081A_VEV4083A</t>
  </si>
  <si>
    <t>RDC_NB_GF_VAV4081B_VEV4083B</t>
  </si>
  <si>
    <t>RDC_NB_GF_VAV4090_VEV4091</t>
  </si>
  <si>
    <t>RDC_NB_GF_VAV4100_EV4101</t>
  </si>
  <si>
    <t>RDC_NB_GF_VAV4105_EV4106</t>
  </si>
  <si>
    <t>RDC_NB_GF_VAV4110_EV4111</t>
  </si>
  <si>
    <t>RDC_NB_GF_VAV4115_EV4116</t>
  </si>
  <si>
    <t>RDC_NB_GF_VAV4120_EV4121</t>
  </si>
  <si>
    <t>RDC_NB_GF_VAV4125_EV4126</t>
  </si>
  <si>
    <t>RDC_NB_GF_VAV4130_EV4131</t>
  </si>
  <si>
    <t>RDC_NB_GF_VAV4135_EV4136</t>
  </si>
  <si>
    <t>RDC_NB_GF_VAV4140_EV4141</t>
  </si>
  <si>
    <t>RDC_NB_GF_VAV4145_EV4146</t>
  </si>
  <si>
    <t>RDC_NB_GF_VAV4165_EV4166</t>
  </si>
  <si>
    <t>RDC_NB_GF_VAV4180_VEV4181</t>
  </si>
  <si>
    <t>RDC_NB_GF_VAV4190_VEV4192</t>
  </si>
  <si>
    <t>RDC_NB_GF_VAV4191</t>
  </si>
  <si>
    <t>RDC_NB_GF_VAV4200_VEV4201</t>
  </si>
  <si>
    <t>RDC_NB_GF_VAV4210</t>
  </si>
  <si>
    <t>RDC_NB_GF_VAV4211</t>
  </si>
  <si>
    <t>RDC_NB_GF_VAV4212</t>
  </si>
  <si>
    <t>RDC_NB_GF_VAV4225</t>
  </si>
  <si>
    <t>RDC_NB_GF_VAV4230</t>
  </si>
  <si>
    <t>RDC_NB_GF_VAV4235</t>
  </si>
  <si>
    <t>RDC_NB_GF_VAV4240</t>
  </si>
  <si>
    <t>RDC_NB_GF_VAV4245</t>
  </si>
  <si>
    <t>RDC_NB_GF_VAV4250</t>
  </si>
  <si>
    <t>RDC_NB_GF_VAV4255</t>
  </si>
  <si>
    <t>RDC_NB_GF_VAV4260</t>
  </si>
  <si>
    <t>RDC_NB_GF_VAV4265</t>
  </si>
  <si>
    <t>RDC_NB_GF_VAV4270</t>
  </si>
  <si>
    <t>RDC_NB_GF_VAV4275</t>
  </si>
  <si>
    <t>RDC_NB_GF_VAV4280</t>
  </si>
  <si>
    <t>RDC_NB_GF_VAV4285</t>
  </si>
  <si>
    <t>RDC_NB_GF_VAV4290</t>
  </si>
  <si>
    <t>RDC_NB_GF_VAV4295</t>
  </si>
  <si>
    <t>RDC_NB_GF_VAV4300</t>
  </si>
  <si>
    <t>RDC_NB_GF_VAV4305</t>
  </si>
  <si>
    <t>RDC_NB_GF_VAV4310</t>
  </si>
  <si>
    <t>RDC_NB_GF_VAV4312</t>
  </si>
  <si>
    <t>RDC_NB_GF_VAV5000_EV5002</t>
  </si>
  <si>
    <t>RDC_NB_GF_VAV5001_EV5003</t>
  </si>
  <si>
    <t>RDC_NB_GF_VAV5010_EV5011</t>
  </si>
  <si>
    <t>RDC_NB_GF_VAV5015_EV5016</t>
  </si>
  <si>
    <t>RDC_NB_GF_VAV5025</t>
  </si>
  <si>
    <t>RDC_NB_GF_VAV5030_EV5031</t>
  </si>
  <si>
    <t>RDC_NB_GF_VAV5040_EV5041</t>
  </si>
  <si>
    <t>RDC_NB_GF_VAV5045_EV5046</t>
  </si>
  <si>
    <t>RDC_NB_GF_VAV5050</t>
  </si>
  <si>
    <t>RDC_NB_GF_VAV5051</t>
  </si>
  <si>
    <t>RDC_NB_GF_VAV5054</t>
  </si>
  <si>
    <t>RDC_NB_GF_VAV5060_CEV5061</t>
  </si>
  <si>
    <t>RDC_NB_GF_VAV5070</t>
  </si>
  <si>
    <t>RDC_NB_GF_VAV5080_VEV5081</t>
  </si>
  <si>
    <t>RDC_NB_GF_VAV5090</t>
  </si>
  <si>
    <t>RDC_NB_GF_VAV5091</t>
  </si>
  <si>
    <t>RDC_NB_GF_VAV5100_EV5101</t>
  </si>
  <si>
    <t>RDC_NB_GF_VAV5105</t>
  </si>
  <si>
    <t>RDC_NB_GF_VAV5110</t>
  </si>
  <si>
    <t>RDC_NB_GF_VAV5115</t>
  </si>
  <si>
    <t>RDC_NB_GF_VAV5120</t>
  </si>
  <si>
    <t>RDC_NB_GF_VAV5125</t>
  </si>
  <si>
    <t>RDC_NB_GF_VAV5130</t>
  </si>
  <si>
    <t>RDC_NB_GF_VAV5135</t>
  </si>
  <si>
    <t>RDC_NB_GF_VAV5140</t>
  </si>
  <si>
    <t>RDC_NB_GF_VAV5145</t>
  </si>
  <si>
    <t>RDC_NB_GF_VAV5150</t>
  </si>
  <si>
    <t>RDC_NB_GF_VAV5152</t>
  </si>
  <si>
    <t>RDC_NB_GF_VAV5155</t>
  </si>
  <si>
    <t>RDC_NB_GF_VAV5156</t>
  </si>
  <si>
    <t>RDC_NB_GF_VAV5165_EV5166</t>
  </si>
  <si>
    <t>RDC_NB_GF_VAV5180</t>
  </si>
  <si>
    <t>RDC_NB_GF_VAV5181</t>
  </si>
  <si>
    <t>RDC_NB_GF_VAV5190</t>
  </si>
  <si>
    <t>RDC_NB_GF_VAV5200</t>
  </si>
  <si>
    <t>RDC_NB_GF_VAV5210</t>
  </si>
  <si>
    <t>RDC_NB_GF_VAV5220</t>
  </si>
  <si>
    <t>RDC_NB_GF_VAV5230</t>
  </si>
  <si>
    <t>RDC_NB_GF_VAV5250_VEV5251</t>
  </si>
  <si>
    <t>RDC_NB_GF_VAV5260_VEV5261</t>
  </si>
  <si>
    <t>RDC_NB_GF_VAV5270A</t>
  </si>
  <si>
    <t>RDC_NB_GF_VAV5270B</t>
  </si>
  <si>
    <t>RDC_NB_GF_VAV5295_EV5296</t>
  </si>
  <si>
    <t>RDC_NB_GF_VAV5300</t>
  </si>
  <si>
    <t>RDC_NB_GF_VAV5305</t>
  </si>
  <si>
    <t>RDC_NB_GF_VAV5310</t>
  </si>
  <si>
    <t>RDC_NB_GF_VAV5315</t>
  </si>
  <si>
    <t>RDC_NB_GF_VAV5325</t>
  </si>
  <si>
    <t>RDC_NB_GF_VAV5330</t>
  </si>
  <si>
    <t>RDC_NB_GF_VAV5335</t>
  </si>
  <si>
    <t>RDC_NB_GF_VAV5340</t>
  </si>
  <si>
    <t>RDC_NB_GF_VAV5345</t>
  </si>
  <si>
    <t>RDC_NB_GF_VAV5355</t>
  </si>
  <si>
    <t>RDC_NB_GF_VAV5360</t>
  </si>
  <si>
    <t>RDC_NB_GF_VAV5365</t>
  </si>
  <si>
    <t>RDC_NB_GF_VAV5370</t>
  </si>
  <si>
    <t>RDC_NB_GF_VAV5380</t>
  </si>
  <si>
    <t>RDC_NB_GF_VAV5385</t>
  </si>
  <si>
    <t>RDC_NB_GF_VAV5390</t>
  </si>
  <si>
    <t>RDC_NB_GF_VAV5395</t>
  </si>
  <si>
    <t>RDC_NB_GF_VAV5400</t>
  </si>
  <si>
    <t>RDC_NB_GF_VAV5405</t>
  </si>
  <si>
    <t>RDC_NB_GF_VAV5410_EV5411</t>
  </si>
  <si>
    <t>RDC_NB_GF_VAV5415</t>
  </si>
  <si>
    <t>RDC_NB_GF_VAV6000_EV6001</t>
  </si>
  <si>
    <t>RDC_NB_GF_VAV6010_EV6011</t>
  </si>
  <si>
    <t>RDC_NB_GF_VAV6025_EV6026</t>
  </si>
  <si>
    <t>RDC_NB_GF_VAV6130_EV6131</t>
  </si>
  <si>
    <t>RDC_NB_GF_VAV6135</t>
  </si>
  <si>
    <t>RDC_NB_GF_VAV6140</t>
  </si>
  <si>
    <t>RDC_NB_GF_VAV6145</t>
  </si>
  <si>
    <t>RDC_NB_GF_VAV6150</t>
  </si>
  <si>
    <t>RDC_NB_GF_VAV6155</t>
  </si>
  <si>
    <t>RDC_NB_GF_VAV6160</t>
  </si>
  <si>
    <t>RDC_NB_GF_VAV6170</t>
  </si>
  <si>
    <t>RDC_NB_GF_VAV6175</t>
  </si>
  <si>
    <t>RDC_NB_GF_VAV6180</t>
  </si>
  <si>
    <t>RDC_NB_GF_VAV6185_EV6186</t>
  </si>
  <si>
    <t>RDC_NB_GF_VAV6190_EV6191</t>
  </si>
  <si>
    <t>RDC_NB_GF_VAV6195</t>
  </si>
  <si>
    <t>RDC_NB_GF_VAV6200_EV6201</t>
  </si>
  <si>
    <t>RDC_NB_GF_VAV6205_EV6206</t>
  </si>
  <si>
    <t>RDC_NB_GF_VAV6210</t>
  </si>
  <si>
    <t>RDC_NB_GF_VAV6220_EV6221</t>
  </si>
  <si>
    <t>RDC_NB_GF_VAV6240_EV6241</t>
  </si>
  <si>
    <t>RDC_NB_GF_VAV6285_EV6286</t>
  </si>
  <si>
    <t>RDC_NB_GF_VAV6295_EV6296</t>
  </si>
  <si>
    <t>RDC_NB_GF_VAV6300</t>
  </si>
  <si>
    <t>RDC_NB_GF_VAV6305</t>
  </si>
  <si>
    <t>RDC_NB_GF_VAV6310</t>
  </si>
  <si>
    <t>RDC_NB_GF_VAV6315_EV6316</t>
  </si>
  <si>
    <t>RDC_NB_GF_VAV6320</t>
  </si>
  <si>
    <t>RDC_NB_GF_VAV6325</t>
  </si>
  <si>
    <t>RDC_NB_GF_VAV6330</t>
  </si>
  <si>
    <t>RDC_NB_GF_VAV6335</t>
  </si>
  <si>
    <t>RDC_NB_GF_VAV6340</t>
  </si>
  <si>
    <t>RDC_NB_GF_VAV6345</t>
  </si>
  <si>
    <t>RDC_NB_GF_VAV6350</t>
  </si>
  <si>
    <t>RDC_NB_GF_VAV6355</t>
  </si>
  <si>
    <t>RDC_NB_GF_VAV6360</t>
  </si>
  <si>
    <t>RDC_NB_GF_VAV6365</t>
  </si>
  <si>
    <t>RDC_NB_GF_VAV6370</t>
  </si>
  <si>
    <t>RDC_NB_GF_VAV6375</t>
  </si>
  <si>
    <t>RDC_NB_GF_VAV6380</t>
  </si>
  <si>
    <t>RDC_NB_GF_VAV6390</t>
  </si>
  <si>
    <t>RDC_NB_GF_VAV6395</t>
  </si>
  <si>
    <t>RDC_NB_GF_VAV6400</t>
  </si>
  <si>
    <t>RDC_NB_GF_VAV6405</t>
  </si>
  <si>
    <t>RDC_NB_GF_VAV6410</t>
  </si>
  <si>
    <t>RDC_NB_GF_VAV7000</t>
  </si>
  <si>
    <t>RDC_NB_GF_VAV7020A</t>
  </si>
  <si>
    <t>RDC_NB_GF_VAV7020B</t>
  </si>
  <si>
    <t>RDC_NB_GF_VAV7021A</t>
  </si>
  <si>
    <t>RDC_NB_GF_VAV7021B</t>
  </si>
  <si>
    <t>RDC_NB_GF_VAV7030_VEV7031</t>
  </si>
  <si>
    <t>RDC_NB_GF_VAV7040</t>
  </si>
  <si>
    <t>RDC_NB_GF_VAV7050_VEV7051</t>
  </si>
  <si>
    <t>RDC_NB_GF_VAV7060_VEV7061</t>
  </si>
  <si>
    <t>RDC_NB_GF_VAV7070A</t>
  </si>
  <si>
    <t>RDC_NB_GF_VAV7070B</t>
  </si>
  <si>
    <t>RDC_NB_GF_VAV7071A</t>
  </si>
  <si>
    <t>RDC_NB_GF_VAV7071B</t>
  </si>
  <si>
    <t>RDC_NB_GF_VAV7080</t>
  </si>
  <si>
    <t>RDC_NB_GF_VAV7085</t>
  </si>
  <si>
    <t>RDC_NB_GF_VAV7090</t>
  </si>
  <si>
    <t>RDC_NB_GF_VAV7095</t>
  </si>
  <si>
    <t>RDC_NB_GF_VAV7100</t>
  </si>
  <si>
    <t>RDC_NB_GF_VAV7105</t>
  </si>
  <si>
    <t>RDC_NB_GF_VAV7110</t>
  </si>
  <si>
    <t>RDC_NB_GF_VAV7115</t>
  </si>
  <si>
    <t>RDC_NB_GF_VAV7120</t>
  </si>
  <si>
    <t>RDC_NB_GF_VAV7125_EV7126</t>
  </si>
  <si>
    <t>RDC_NB_GF_VAV7130</t>
  </si>
  <si>
    <t>RDC_NB_GF_VAV7135</t>
  </si>
  <si>
    <t>RDC_NB_GF_VAV7140_EV7141</t>
  </si>
  <si>
    <t>RDC_NB_GF_VAV7145</t>
  </si>
  <si>
    <t>RDC_NB_GF_VAV7155</t>
  </si>
  <si>
    <t>RDC_NB_GF_VAV7165</t>
  </si>
  <si>
    <t>RDC_NB_GF_VAV7175</t>
  </si>
  <si>
    <t>RDC_NB_GF_VAV7176</t>
  </si>
  <si>
    <t>RDC_NB_GF_VAV7180</t>
  </si>
  <si>
    <t>RDC_NB_GF_VAV7185_EV7186</t>
  </si>
  <si>
    <t>RDC_NB_GF_VAV7195</t>
  </si>
  <si>
    <t>RDC_NB_GF_VAV7205</t>
  </si>
  <si>
    <t>RDC_NB_GF_VAV7215_EV7216</t>
  </si>
  <si>
    <t>RDC_NB_GF_VAV7220_CEV7221</t>
  </si>
  <si>
    <t>RDC_NB_GF_VAV7230_VEV7231</t>
  </si>
  <si>
    <t>RDC_NB_GF_VAV7240_VEV7241A</t>
  </si>
  <si>
    <t>RDC_NB_GF_VAV7250_VEV7251</t>
  </si>
  <si>
    <t>RDC_NB_GF_VAV7260_VEV7261</t>
  </si>
  <si>
    <t>RDC_NB_GF_VAV7270_VEV7271</t>
  </si>
  <si>
    <t>RDC_NB_GF_VAV7280_VEV7281</t>
  </si>
  <si>
    <t>RDC_NB_GF_VAV7290_VEV7291</t>
  </si>
  <si>
    <t>RDC_NB_GF_VAV7300</t>
  </si>
  <si>
    <t>RDC_NB_GF_VAV7310_VEV7311</t>
  </si>
  <si>
    <t>RDC_NB_GF_VAV7320_VEV7321</t>
  </si>
  <si>
    <t>RDC_NB_GF_VAV7330_VEV7331</t>
  </si>
  <si>
    <t>RDC_NB_GF_VAV7340_VEV7341</t>
  </si>
  <si>
    <t>RDC_NB_GF_VAV7350_VEV7351</t>
  </si>
  <si>
    <t>RDC_NB_GF_VAV7360_VEV7361</t>
  </si>
  <si>
    <t>RDC_NB_GF_VAV7370_VEV7371</t>
  </si>
  <si>
    <t>RDC_NB_GF_VAV7385</t>
  </si>
  <si>
    <t>RDC_NB_GF_VAV7390</t>
  </si>
  <si>
    <t>RDC_NB_GF_VAV7395</t>
  </si>
  <si>
    <t>RDC_NB_GF_VAV7400</t>
  </si>
  <si>
    <t>RDC_NB_GF_VAV7405</t>
  </si>
  <si>
    <t>RDC_NB_GF_VAV7410</t>
  </si>
  <si>
    <t>RDC_NB_GF_VAV7415</t>
  </si>
  <si>
    <t>RDC_NB_GF_VAV7425</t>
  </si>
  <si>
    <t>RDC_NB_GF_VAV7430</t>
  </si>
  <si>
    <t>RDC_NB_GF_VAV7435</t>
  </si>
  <si>
    <t>RDC_NB_GF_VAV7440</t>
  </si>
  <si>
    <t>RDC_NB_GF_VAV7445</t>
  </si>
  <si>
    <t>RDC_NB_GF_VAV7460</t>
  </si>
  <si>
    <t>RDC_NB_GF_VAV7465</t>
  </si>
  <si>
    <t>RDC_NB_GF_VAV7470</t>
  </si>
  <si>
    <t>RDC_NB_GF_VAV7475</t>
  </si>
  <si>
    <t>RDC_NB_GF_VAV7480</t>
  </si>
  <si>
    <t>RDC_NB_GF_VAV7485</t>
  </si>
  <si>
    <t>RDC_NB_GF_VAV7490_EV7495</t>
  </si>
  <si>
    <t>RDC_NB_GF_VAV7496</t>
  </si>
  <si>
    <t>RDC_NB_GF_VAV7498</t>
  </si>
  <si>
    <t>RDC_NB_GF_VAV7499</t>
  </si>
  <si>
    <t>RDC_SB_1F_VAV0506</t>
  </si>
  <si>
    <t>RDC_SB_1F_VAV0507</t>
  </si>
  <si>
    <t>RDC_SB_1F_VAV0508</t>
  </si>
  <si>
    <t>RDC_SB_1F_VAV0509</t>
  </si>
  <si>
    <t>RDC_SB_1F_VAV0510</t>
  </si>
  <si>
    <t>RDC_SB_1F_VAV0511</t>
  </si>
  <si>
    <t>RDC_SB_1F_VAV0512</t>
  </si>
  <si>
    <t>RDC_SB_1F_VAV0513</t>
  </si>
  <si>
    <t>RDC_SB_1F_VAV0514</t>
  </si>
  <si>
    <t>RDC_SB_1F_VAV0518</t>
  </si>
  <si>
    <t>RDC_SB_1F_VAV0519</t>
  </si>
  <si>
    <t>RDC_SB_1F_VAV0520</t>
  </si>
  <si>
    <t>RDC_SB_1F_VAV0521</t>
  </si>
  <si>
    <t>RDC_SB_1F_VAV0522</t>
  </si>
  <si>
    <t>RDC_SB_1F_VAV0523</t>
  </si>
  <si>
    <t>RDC_SB_1F_VAV0526</t>
  </si>
  <si>
    <t>RDC_SB_1F_VAV0527</t>
  </si>
  <si>
    <t>RDC_SB_1F_VAV0528</t>
  </si>
  <si>
    <t>RDC_SB_1F_VAV0529</t>
  </si>
  <si>
    <t>RDC_SB_1F_VAV0530</t>
  </si>
  <si>
    <t>RDC_SB_1F_VAV0531</t>
  </si>
  <si>
    <t>RDC_SB_1F_VAV0532</t>
  </si>
  <si>
    <t>RDC_SB_1F_VAV0533</t>
  </si>
  <si>
    <t>RDC_SB_1F_VAV0538</t>
  </si>
  <si>
    <t>RDC_SB_1F_VAV1501</t>
  </si>
  <si>
    <t>RDC_SB_1F_VAV1502</t>
  </si>
  <si>
    <t>RDC_SB_1F_VAV1503</t>
  </si>
  <si>
    <t>RDC_SB_1F_VAV1505</t>
  </si>
  <si>
    <t>RDC_SB_1F_VAV1506</t>
  </si>
  <si>
    <t>RDC_SB_1F_VAV1507</t>
  </si>
  <si>
    <t>RDC_SB_1F_VAV1508</t>
  </si>
  <si>
    <t>RDC_SB_1F_VAV1509</t>
  </si>
  <si>
    <t>RDC_SB_1F_VAV1510</t>
  </si>
  <si>
    <t>RDC_SB_1F_VAV1511</t>
  </si>
  <si>
    <t>RDC_SB_1F_VAV1512</t>
  </si>
  <si>
    <t>RDC_SB_1F_VAV1513</t>
  </si>
  <si>
    <t>RDC_SB_1F_VAV1514</t>
  </si>
  <si>
    <t>RDC_SB_1F_VAV1515</t>
  </si>
  <si>
    <t>RDC_SB_1F_VAV1516</t>
  </si>
  <si>
    <t>RDC_SB_1F_VAV1517</t>
  </si>
  <si>
    <t>RDC_SB_1F_VAV1518</t>
  </si>
  <si>
    <t>RDC_SB_1F_VAV1519</t>
  </si>
  <si>
    <t>RDC_SB_1F_VAV1520</t>
  </si>
  <si>
    <t>RDC_SB_1F_VAV1521</t>
  </si>
  <si>
    <t>RDC_SB_1F_VAV1522</t>
  </si>
  <si>
    <t>RDC_SB_1F_VAV1523</t>
  </si>
  <si>
    <t>RDC_SB_1F_VAV1524</t>
  </si>
  <si>
    <t>RDC_SB_1F_VAV1525</t>
  </si>
  <si>
    <t>RDC_SB_1F_VAV1526</t>
  </si>
  <si>
    <t>RDC_SB_1F_VAV1527</t>
  </si>
  <si>
    <t>RDC_SB_1F_VAV1528</t>
  </si>
  <si>
    <t>RDC_SB_1F_VAV1529</t>
  </si>
  <si>
    <t>RDC_SB_1F_VAV1530</t>
  </si>
  <si>
    <t>RDC_SB_1F_VAV1531</t>
  </si>
  <si>
    <t>RDC_SB_1F_VAV1532</t>
  </si>
  <si>
    <t>RDC_SB_1F_VAV1533</t>
  </si>
  <si>
    <t>RDC_SB_1F_VAV1534</t>
  </si>
  <si>
    <t>RDC_SB_1F_VAV1536</t>
  </si>
  <si>
    <t>RDC_SB_1F_VAV1539</t>
  </si>
  <si>
    <t>RDC_SB_1F_VAV1540</t>
  </si>
  <si>
    <t>RDC_SB_1F_VAV1542</t>
  </si>
  <si>
    <t>RDC_SB_1F_VAV1543</t>
  </si>
  <si>
    <t>RDC_SB_1F_VAV1544</t>
  </si>
  <si>
    <t>RDC_SB_1F_VAV1545</t>
  </si>
  <si>
    <t>RDC_SB_1F_VAV1546</t>
  </si>
  <si>
    <t>RDC_SB_1F_VAV1547</t>
  </si>
  <si>
    <t>RDC_SB_1F_VAV1548</t>
  </si>
  <si>
    <t>RDC_SB_1F_VAV1549</t>
  </si>
  <si>
    <t>RDC_SB_1F_VAV1550</t>
  </si>
  <si>
    <t>RDC_SB_1F_VAV1551</t>
  </si>
  <si>
    <t>RDC_SB_1F_VAV1552</t>
  </si>
  <si>
    <t>RDC_SB_1F_VAV1553</t>
  </si>
  <si>
    <t>RDC_SB_1F_VAV1554</t>
  </si>
  <si>
    <t>RDC_SB_1F_VAV1555</t>
  </si>
  <si>
    <t>RDC_SB_1F_VAV1556</t>
  </si>
  <si>
    <t>RDC_SB_1F_VAV1557</t>
  </si>
  <si>
    <t>RDC_SB_1F_VAV1558</t>
  </si>
  <si>
    <t>RDC_SB_1F_VAV1559</t>
  </si>
  <si>
    <t>RDC_SB_1F_VAV1560</t>
  </si>
  <si>
    <t>RDC_SB_1F_VAV1561</t>
  </si>
  <si>
    <t>RDC_SB_1F_VAV2501</t>
  </si>
  <si>
    <t>RDC_SB_1F_VAV2502</t>
  </si>
  <si>
    <t>RDC_SB_1F_VAV2503</t>
  </si>
  <si>
    <t>RDC_SB_1F_VAV2504</t>
  </si>
  <si>
    <t>RDC_SB_1F_VAV2505</t>
  </si>
  <si>
    <t>RDC_SB_1F_VAV2506</t>
  </si>
  <si>
    <t>RDC_SB_1F_VAV2508</t>
  </si>
  <si>
    <t>RDC_SB_1F_VAV2509</t>
  </si>
  <si>
    <t>RDC_SB_1F_VAV2510</t>
  </si>
  <si>
    <t>RDC_SB_1F_VAV2511</t>
  </si>
  <si>
    <t>RDC_SB_1F_VAV2512</t>
  </si>
  <si>
    <t>RDC_SB_1F_VAV2513</t>
  </si>
  <si>
    <t>RDC_SB_1F_VAV2514</t>
  </si>
  <si>
    <t>RDC_SB_1F_VAV2515</t>
  </si>
  <si>
    <t>RDC_SB_1F_VAV2516</t>
  </si>
  <si>
    <t>RDC_SB_1F_VAV2517</t>
  </si>
  <si>
    <t>RDC_SB_1F_VAV2518</t>
  </si>
  <si>
    <t>RDC_SB_1F_VAV2519</t>
  </si>
  <si>
    <t>RDC_SB_1F_VAV2520</t>
  </si>
  <si>
    <t>RDC_SB_1F_VAV2521</t>
  </si>
  <si>
    <t>RDC_SB_1F_VAV2522</t>
  </si>
  <si>
    <t>RDC_SB_1F_VAV2523</t>
  </si>
  <si>
    <t>RDC_SB_1F_VAV2524</t>
  </si>
  <si>
    <t>RDC_SB_1F_VAV2525</t>
  </si>
  <si>
    <t>RDC_SB_1F_VAV2526</t>
  </si>
  <si>
    <t>RDC_SB_1F_VAV2527</t>
  </si>
  <si>
    <t>RDC_SB_1F_VAV2528</t>
  </si>
  <si>
    <t>RDC_SB_1F_VAV2529</t>
  </si>
  <si>
    <t>RDC_SB_1F_VAV2530</t>
  </si>
  <si>
    <t>RDC_SB_1F_VAV2531</t>
  </si>
  <si>
    <t>RDC_SB_1F_VAV2532</t>
  </si>
  <si>
    <t>RDC_SB_1F_VAV2533</t>
  </si>
  <si>
    <t>RDC_SB_1F_VAV2534</t>
  </si>
  <si>
    <t>RDC_SB_1F_VAV2535</t>
  </si>
  <si>
    <t>RDC_SB_1F_VAV2536</t>
  </si>
  <si>
    <t>RDC_SB_1F_VAV2538</t>
  </si>
  <si>
    <t>RDC_SB_1F_VAV2539</t>
  </si>
  <si>
    <t>RDC_SB_1F_VAV2540</t>
  </si>
  <si>
    <t>RDC_SB_1F_VAV2541</t>
  </si>
  <si>
    <t>RDC_SB_1F_VAV2542</t>
  </si>
  <si>
    <t>RDC_SB_1F_VAV2543</t>
  </si>
  <si>
    <t>RDC_SB_1F_VAV2544</t>
  </si>
  <si>
    <t>RDC_SB_1F_VAV2545</t>
  </si>
  <si>
    <t>RDC_SB_1F_VAV2546</t>
  </si>
  <si>
    <t>RDC_SB_1F_VAV2547</t>
  </si>
  <si>
    <t>RDC_SB_1F_VAV2548</t>
  </si>
  <si>
    <t>RDC_SB_1F_VAV2549</t>
  </si>
  <si>
    <t>RDC_SB_1F_VAV2550</t>
  </si>
  <si>
    <t>RDC_SB_1F_VAV2551</t>
  </si>
  <si>
    <t>RDC_SB_1F_VAV2552</t>
  </si>
  <si>
    <t>RDC_SB_1F_VAV2553</t>
  </si>
  <si>
    <t>RDC_SB_1F_VAV3504</t>
  </si>
  <si>
    <t>RDC_SB_1F_VAV3505</t>
  </si>
  <si>
    <t>RDC_SB_1F_VAV3506</t>
  </si>
  <si>
    <t>RDC_SB_1F_VAV3507</t>
  </si>
  <si>
    <t>RDC_SB_1F_VAV3508</t>
  </si>
  <si>
    <t>RDC_SB_1F_VAV3509</t>
  </si>
  <si>
    <t>RDC_SB_1F_VAV3510</t>
  </si>
  <si>
    <t>RDC_SB_1F_VAV3511</t>
  </si>
  <si>
    <t>RDC_SB_1F_VAV3512</t>
  </si>
  <si>
    <t>RDC_SB_1F_VAV3513</t>
  </si>
  <si>
    <t>RDC_SB_1F_VAV3514</t>
  </si>
  <si>
    <t>RDC_SB_1F_VAV3515</t>
  </si>
  <si>
    <t>RDC_SB_1F_VAV3516</t>
  </si>
  <si>
    <t>RDC_SB_1F_VAV3517</t>
  </si>
  <si>
    <t>RDC_SB_1F_VAV3518</t>
  </si>
  <si>
    <t>RDC_SB_1F_VAV3519</t>
  </si>
  <si>
    <t>RDC_SB_1F_VAV3520</t>
  </si>
  <si>
    <t>RDC_SB_1F_VAV3521</t>
  </si>
  <si>
    <t>RDC_SB_1F_VAV3522</t>
  </si>
  <si>
    <t>RDC_SB_1F_VAV3523</t>
  </si>
  <si>
    <t>RDC_SB_1F_VAV3524</t>
  </si>
  <si>
    <t>RDC_SB_GF_VAV0001</t>
  </si>
  <si>
    <t>RDC_SB_GF_VAV0002</t>
  </si>
  <si>
    <t>RDC_SB_GF_VAV0003</t>
  </si>
  <si>
    <t>RDC_SB_GF_VAV0007</t>
  </si>
  <si>
    <t>RDC_SB_GF_VAV0008</t>
  </si>
  <si>
    <t>RDC_SB_GF_VAV0009</t>
  </si>
  <si>
    <t>RDC_SB_GF_VAV0010</t>
  </si>
  <si>
    <t>RDC_SB_GF_VAV0011</t>
  </si>
  <si>
    <t>RDC_SB_GF_VAV0012</t>
  </si>
  <si>
    <t>RDC_SB_GF_VAV0013</t>
  </si>
  <si>
    <t>RDC_SB_GF_VAV0014</t>
  </si>
  <si>
    <t>RDC_SB_GF_VAV0016</t>
  </si>
  <si>
    <t>RDC_SB_GF_VAV0017</t>
  </si>
  <si>
    <t>RDC_SB_GF_VAV0018</t>
  </si>
  <si>
    <t>RDC_SB_GF_VAV0019</t>
  </si>
  <si>
    <t>RDC_SB_GF_VAV0025</t>
  </si>
  <si>
    <t>RDC_SB_GF_VAV1003_VEV1002</t>
  </si>
  <si>
    <t>RDC_SB_GF_VAV1004</t>
  </si>
  <si>
    <t>RDC_SB_GF_VAV1008</t>
  </si>
  <si>
    <t>RDC_SB_GF_VAV2002</t>
  </si>
  <si>
    <t>RDC_SB_GF_VAV2003</t>
  </si>
  <si>
    <t>RDC_SB_GF_VAV2004</t>
  </si>
  <si>
    <t>RDC_SB_GF_VAV2005</t>
  </si>
  <si>
    <t>RDC_SB_GF_VAV2006</t>
  </si>
  <si>
    <t>RDC_SB_GF_VAV2007</t>
  </si>
  <si>
    <t>RDC_SB_GF_VAV2008</t>
  </si>
  <si>
    <t>RDC_SB_GF_VAV2009</t>
  </si>
  <si>
    <t>RDC_SB_GF_VAV2010</t>
  </si>
  <si>
    <t>RDC_SB_GF_VAV2011</t>
  </si>
  <si>
    <t>RDC_SB_GF_VAV2012</t>
  </si>
  <si>
    <t>RDC_SB_GF_VAV2013</t>
  </si>
  <si>
    <t>RDC_SB_GF_VAV2014</t>
  </si>
  <si>
    <t>RDC_SB_GF_VAV2015</t>
  </si>
  <si>
    <t>RDC_SB_GF_VAV2016</t>
  </si>
  <si>
    <t>RDC_SB_GF_VAV2017</t>
  </si>
  <si>
    <t>RDC_SB_GF_VAV2018</t>
  </si>
  <si>
    <t>RDC_SB_GF_VAV2019</t>
  </si>
  <si>
    <t>RDC_SB_GF_VAV2020</t>
  </si>
  <si>
    <t>RDC_SB_GF_VAV2021</t>
  </si>
  <si>
    <t>RDC_SB_GF_VAV2022</t>
  </si>
  <si>
    <t>RDC_SB_GF_VAV2023</t>
  </si>
  <si>
    <t>RDC_SB_GF_VAV2024</t>
  </si>
  <si>
    <t>RDC_SB_GF_VAV2025</t>
  </si>
  <si>
    <t>RDC_SB_GF_VAV2026</t>
  </si>
  <si>
    <t>RDC_SB_GF_VAV2027</t>
  </si>
  <si>
    <t>RDC_SB_GF_VAV2028</t>
  </si>
  <si>
    <t>RDC_SB_GF_VAV2029</t>
  </si>
  <si>
    <t>RDC_SB_GF_VAV2030</t>
  </si>
  <si>
    <t>RDC_SB_GF_VAV2031</t>
  </si>
  <si>
    <t>RDC_SB_GF_VAV2032</t>
  </si>
  <si>
    <t>RDC_SB_GF_VAV2033</t>
  </si>
  <si>
    <t>RDC_SB_GF_VAV2034</t>
  </si>
  <si>
    <t>RDC_SB_GF_VAV2035</t>
  </si>
  <si>
    <t>RDC_SB_GF_VAV2036</t>
  </si>
  <si>
    <t>RDC_SB_GF_VAV2037</t>
  </si>
  <si>
    <t>RDC_SB_GF_VAV2038</t>
  </si>
  <si>
    <t>RDC_SB_GF_VAV2039</t>
  </si>
  <si>
    <t>RDC_SB_GF_VAV2040</t>
  </si>
  <si>
    <t>RDC_SB_GF_VAV2041</t>
  </si>
  <si>
    <t>RDC_SB_GF_VAV2042</t>
  </si>
  <si>
    <t>RDC_SB_GF_VAV2043</t>
  </si>
  <si>
    <t>RDC_SB_GF_VAV2044</t>
  </si>
  <si>
    <t>RDC_SB_GF_VAV2045</t>
  </si>
  <si>
    <t>RDC_SB_GF_VAV2046</t>
  </si>
  <si>
    <t>RDC_SB_GF_VAV2047</t>
  </si>
  <si>
    <t>RDC_SB_GF_VAV3001</t>
  </si>
  <si>
    <t>RDC_SB_GF_VAV3002</t>
  </si>
  <si>
    <t>RDC_SB_GF_VAV3003</t>
  </si>
  <si>
    <t>RDC_SB_GF_VAV3004</t>
  </si>
  <si>
    <t>RDC_SB_GF_VAV3005</t>
  </si>
  <si>
    <t>RDC_SB_GF_VAV3006</t>
  </si>
  <si>
    <t>RDC_SB_GF_VAV3007</t>
  </si>
  <si>
    <t>RDC_SB_GF_VAV3008</t>
  </si>
  <si>
    <t>RDC_SB_GF_VAV3009</t>
  </si>
  <si>
    <t>RDC_SB_GF_VAV3010</t>
  </si>
  <si>
    <t>RDC_SB_GF_VAV3011</t>
  </si>
  <si>
    <t>RDC_SB_GF_VAV3012</t>
  </si>
  <si>
    <t>RDC_SB_GF_VAV3013</t>
  </si>
  <si>
    <t>RDC_SB_GF_VAV3014</t>
  </si>
  <si>
    <t>RDC_SB_GF_VAV3015</t>
  </si>
  <si>
    <t>RDC_SB_GF_VAV3016</t>
  </si>
  <si>
    <t>RDC_SB_GF_VAV3017</t>
  </si>
  <si>
    <t>RDC_SB_GF_VAV3018</t>
  </si>
  <si>
    <t>RDC_SB_GF_VAV3019</t>
  </si>
  <si>
    <t>RDC_SB_GF_VAV3020</t>
  </si>
  <si>
    <t>RDC_SB_GF_VAV3021</t>
  </si>
  <si>
    <t>RDC_SB_GF_VAV3022</t>
  </si>
  <si>
    <t>RDC_SB_GF_VAV3023</t>
  </si>
  <si>
    <t>RDC_SB_GF_VAV3024</t>
  </si>
  <si>
    <t>RDC_SB_GF_VAV3025</t>
  </si>
  <si>
    <t>RDC_SB_GF_VAV3026</t>
  </si>
  <si>
    <t>RDC_SB_GF_VAV3027</t>
  </si>
  <si>
    <t>RDC_SB_GF_VAV3028</t>
  </si>
  <si>
    <t>RDC_SB_GF_VAV3029</t>
  </si>
  <si>
    <t>RDC_SB_GF_VAV3030</t>
  </si>
  <si>
    <t>RDC_SB_GF_VAV3031</t>
  </si>
  <si>
    <t>RDC_SB_GF_VAV3032</t>
  </si>
  <si>
    <t>RDC_SB_GF_VAV3033</t>
  </si>
  <si>
    <t>RDC_SB_GF_VAV3034</t>
  </si>
  <si>
    <t>RDC_SB_GF_VAV3035</t>
  </si>
  <si>
    <t>RDC_SB_GF_VAV3036</t>
  </si>
  <si>
    <t>RDC_SB_GF_VAV3501</t>
  </si>
  <si>
    <t>RDC_SB_GF_VAV3502</t>
  </si>
  <si>
    <t>RDC_SB_GF_VAV3503</t>
  </si>
  <si>
    <t>RDC_NB_1F_VAV4510</t>
  </si>
  <si>
    <t>RDC_NB_1F_VAV4515_EV4516</t>
  </si>
  <si>
    <t>RDC_NB_1F_VAV4520_EV4521</t>
  </si>
  <si>
    <t>RDC_NB_1F_VAV4525_EV4526</t>
  </si>
  <si>
    <t>RDC_NB_1F_VAV4530_EV4531</t>
  </si>
  <si>
    <t>RDC_NB_1F_VAV4535_EV4536</t>
  </si>
  <si>
    <t>RDC_NB_1F_VAV4540_EV4541</t>
  </si>
  <si>
    <t>RDC_NB_1F_VAV4545_EV4546</t>
  </si>
  <si>
    <t>RDC_NB_1F_VAV4550_EV4551</t>
  </si>
  <si>
    <t>RDC_NB_1F_VAV4555_EV4556</t>
  </si>
  <si>
    <t>RDC_NB_1F_VAV4560_EV4561</t>
  </si>
  <si>
    <t>RDC_NB_1F_VAV4565_EV4566</t>
  </si>
  <si>
    <t>RDC_NB_1F_VAV4570_EV4571</t>
  </si>
  <si>
    <t>RDC_NB_1F_VAV4575_EV4576</t>
  </si>
  <si>
    <t>RDC_NB_1F_VAV4580</t>
  </si>
  <si>
    <t>RDC_NB_1F_VAV4600</t>
  </si>
  <si>
    <t>RDC_NB_1F_VAV4601</t>
  </si>
  <si>
    <t>RDC_NB_1F_VAV4620_VEV4621</t>
  </si>
  <si>
    <t>RDC_NB_1F_VAV4630_VEV4631</t>
  </si>
  <si>
    <t>RDC_NB_1F_VAV4650</t>
  </si>
  <si>
    <t>RDC_NB_1F_VAV4660</t>
  </si>
  <si>
    <t>RDC_NB_1F_VAV4665</t>
  </si>
  <si>
    <t>RDC_NB_1F_VAV4670</t>
  </si>
  <si>
    <t>RDC_NB_1F_VAV4675</t>
  </si>
  <si>
    <t>RDC_NB_1F_VAV4680</t>
  </si>
  <si>
    <t>RDC_NB_1F_VAV4685</t>
  </si>
  <si>
    <t>RDC_NB_1F_VAV4690</t>
  </si>
  <si>
    <t>RDC_NB_1F_VAV4695</t>
  </si>
  <si>
    <t>RDC_NB_1F_VAV4700</t>
  </si>
  <si>
    <t>RDC_NB_1F_VAV4705</t>
  </si>
  <si>
    <t>RDC_NB_1F_VAV4710</t>
  </si>
  <si>
    <t>RDC_NB_1F_VAV4715</t>
  </si>
  <si>
    <t>RDC_NB_1F_VAV4720</t>
  </si>
  <si>
    <t>RDC_NB_1F_VAV4725</t>
  </si>
  <si>
    <t>RDC_NB_1F_VAV4730</t>
  </si>
  <si>
    <t>RDC_NB_1F_VAV4735</t>
  </si>
  <si>
    <t>RDC_NB_1F_VAV4740</t>
  </si>
  <si>
    <t>RDC_NB_1F_VAV4745</t>
  </si>
  <si>
    <t>RDC_NB_1F_VAV4900P</t>
  </si>
  <si>
    <t>RDC_NB_1F_VAV4910P</t>
  </si>
  <si>
    <t>RDC_NB_1F_VAV5500</t>
  </si>
  <si>
    <t>RDC_NB_1F_VAV5501</t>
  </si>
  <si>
    <t>RDC_NB_1F_VAV5510_EV5511</t>
  </si>
  <si>
    <t>RDC_NB_1F_VAV5515_EV5516</t>
  </si>
  <si>
    <t>RDC_NB_1F_VAV5520_EV5521</t>
  </si>
  <si>
    <t>RDC_NB_1F_VAV5525_EV5526</t>
  </si>
  <si>
    <t>RDC_NB_1F_VAV5535_EV5536</t>
  </si>
  <si>
    <t>RDC_NB_1F_VAV5540_EV5541</t>
  </si>
  <si>
    <t>RDC_NB_1F_VAV5550_VEV5551</t>
  </si>
  <si>
    <t>RDC_NB_1F_VAV5560_VEV5561</t>
  </si>
  <si>
    <t>RDC_NB_1F_VAV5570</t>
  </si>
  <si>
    <t>RDC_NB_1F_VAV5571</t>
  </si>
  <si>
    <t>RDC_NB_1F_VAV5580_VEV5581</t>
  </si>
  <si>
    <t>RDC_NB_1F_VAV5590</t>
  </si>
  <si>
    <t>RDC_NB_1F_VAV5600_VEV5601</t>
  </si>
  <si>
    <t>RDC_NB_1F_VAV5610_VEV5611</t>
  </si>
  <si>
    <t>RDC_NB_1F_VAV5620_VEV5622</t>
  </si>
  <si>
    <t>RDC_NB_1F_VAV5621_VEV5623</t>
  </si>
  <si>
    <t>RDC_NB_1F_VAV5630_VEV5631</t>
  </si>
  <si>
    <t>RDC_NB_1F_VAV5650</t>
  </si>
  <si>
    <t>RDC_NB_1F_VAV5655_EV5656</t>
  </si>
  <si>
    <t>RDC_NB_1F_VAV5660</t>
  </si>
  <si>
    <t>RDC_NB_1F_VAV5665</t>
  </si>
  <si>
    <t>RDC_NB_1F_VAV5670</t>
  </si>
  <si>
    <t>RDC_NB_1F_VAV5675</t>
  </si>
  <si>
    <t>RDC_NB_1F_VAV5680</t>
  </si>
  <si>
    <t>RDC_NB_1F_VAV5685</t>
  </si>
  <si>
    <t>RDC_NB_1F_VAV5690</t>
  </si>
  <si>
    <t>RDC_NB_1F_VAV5695</t>
  </si>
  <si>
    <t>RDC_NB_1F_VAV5700</t>
  </si>
  <si>
    <t>RDC_NB_1F_VAV5705</t>
  </si>
  <si>
    <t>RDC_NB_1F_VAV5710</t>
  </si>
  <si>
    <t>RDC_NB_1F_VAV5715_EV5716</t>
  </si>
  <si>
    <t>RDC_NB_1F_VAV5730_EV5731</t>
  </si>
  <si>
    <t>RDC_NB_1F_VAV5735_EV5736</t>
  </si>
  <si>
    <t>RDC_NB_1F_VAV5740_EV5741</t>
  </si>
  <si>
    <t>RDC_NB_1F_VAV5745</t>
  </si>
  <si>
    <t>RDC_NB_1F_VAV5760_EV5761</t>
  </si>
  <si>
    <t>RDC_NB_1F_VAV5770_VEV5771</t>
  </si>
  <si>
    <t>RDC_NB_1F_VAV5780_VEV5781</t>
  </si>
  <si>
    <t>RDC_NB_1F_VAV5790</t>
  </si>
  <si>
    <t>RDC_NB_1F_VAV5792_VEV5793</t>
  </si>
  <si>
    <t>RDC_NB_1F_VAV5794_VEV5795A</t>
  </si>
  <si>
    <t>RDC_NB_1F_VAV5800_VEV5801</t>
  </si>
  <si>
    <t>RDC_NB_1F_VAV5810</t>
  </si>
  <si>
    <t>RDC_NB_1F_VAV5814</t>
  </si>
  <si>
    <t>RDC_NB_1F_VAV5835_EV5836</t>
  </si>
  <si>
    <t>RDC_NB_1F_VAV5840</t>
  </si>
  <si>
    <t>RDC_NB_1F_VAV5845</t>
  </si>
  <si>
    <t>RDC_NB_1F_VAV5850</t>
  </si>
  <si>
    <t>RDC_NB_1F_VAV5855</t>
  </si>
  <si>
    <t>RDC_NB_1F_VAV5860</t>
  </si>
  <si>
    <t>RDC_NB_1F_VAV5865</t>
  </si>
  <si>
    <t>RDC_NB_1F_VAV5870</t>
  </si>
  <si>
    <t>RDC_NB_1F_VAV5875</t>
  </si>
  <si>
    <t>RDC_NB_1F_VAV5880</t>
  </si>
  <si>
    <t>RDC_NB_1F_VAV5885</t>
  </si>
  <si>
    <t>RDC_NB_1F_VAV5890</t>
  </si>
  <si>
    <t>RDC_NB_1F_VAV5895</t>
  </si>
  <si>
    <t>RDC_NB_1F_VAV5900</t>
  </si>
  <si>
    <t>RDC_NB_1F_VAV5905</t>
  </si>
  <si>
    <t>RDC_NB_1F_VAV5910</t>
  </si>
  <si>
    <t>RDC_NB_1F_VAV5915</t>
  </si>
  <si>
    <t>RDC_NB_1F_VAV5920</t>
  </si>
  <si>
    <t>RDC_NB_1F_VAV5925</t>
  </si>
  <si>
    <t>RDC_NB_1F_VAV5930</t>
  </si>
  <si>
    <t>RDC_NB_1F_VAV5930P</t>
  </si>
  <si>
    <t>RDC_NB_1F_VAV5935</t>
  </si>
  <si>
    <t>RDC_NB_1F_VAV5940</t>
  </si>
  <si>
    <t>RDC_NB_1F_VAV5940P</t>
  </si>
  <si>
    <t>RDC_NB_1F_VAV6505_EV6506</t>
  </si>
  <si>
    <t>RDC_NB_1F_VAV6510_EV6511</t>
  </si>
  <si>
    <t>RDC_NB_1F_VAV6525_EV6526</t>
  </si>
  <si>
    <t>RDC_NB_1F_VAV6530_VEV6531</t>
  </si>
  <si>
    <t>RDC_NB_1F_VAV6540</t>
  </si>
  <si>
    <t>RDC_NB_1F_VAV6550</t>
  </si>
  <si>
    <t>RDC_NB_1F_VAV6551</t>
  </si>
  <si>
    <t>RDC_NB_1F_VAV6560_VEV6561</t>
  </si>
  <si>
    <t>RDC_NB_1F_VAV6570_VEV6571</t>
  </si>
  <si>
    <t>RDC_NB_1F_VAV6590_VEV6591</t>
  </si>
  <si>
    <t>RDC_NB_1F_VAV6600_VEV6601</t>
  </si>
  <si>
    <t>RDC_NB_1F_VAV6610_VEV6611</t>
  </si>
  <si>
    <t>RDC_NB_1F_VAV6620_VEV6621</t>
  </si>
  <si>
    <t>RDC_NB_1F_VAV6630A</t>
  </si>
  <si>
    <t>RDC_NB_1F_VAV6630B</t>
  </si>
  <si>
    <t>RDC_NB_1F_VAV6631A</t>
  </si>
  <si>
    <t>RDC_NB_1F_VAV6631B</t>
  </si>
  <si>
    <t>RDC_NB_1F_VAV6650</t>
  </si>
  <si>
    <t>RDC_NB_1F_VAV6655</t>
  </si>
  <si>
    <t>RDC_NB_1F_VAV6660</t>
  </si>
  <si>
    <t>RDC_NB_1F_VAV6665</t>
  </si>
  <si>
    <t>RDC_NB_1F_VAV6670</t>
  </si>
  <si>
    <t>RDC_NB_1F_VAV6675</t>
  </si>
  <si>
    <t>RDC_NB_1F_VAV6680</t>
  </si>
  <si>
    <t>RDC_NB_1F_VAV6685</t>
  </si>
  <si>
    <t>RDC_NB_1F_VAV6690</t>
  </si>
  <si>
    <t>RDC_NB_1F_VAV6695</t>
  </si>
  <si>
    <t>RDC_NB_1F_VAV6700_EV6701</t>
  </si>
  <si>
    <t>RDC_NB_1F_VAV6705</t>
  </si>
  <si>
    <t>RDC_NB_1F_VAV6710</t>
  </si>
  <si>
    <t>RDC_NB_1F_VAV6715</t>
  </si>
  <si>
    <t>RDC_NB_1F_VAV6720</t>
  </si>
  <si>
    <t>RDC_NB_1F_VAV6725_EV6726</t>
  </si>
  <si>
    <t>RDC_NB_1F_VAV6750</t>
  </si>
  <si>
    <t>RDC_NB_1F_VAV6760</t>
  </si>
  <si>
    <t>RDC_NB_1F_VAV6761</t>
  </si>
  <si>
    <t>RDC_NB_1F_VAV6800_VEV6801</t>
  </si>
  <si>
    <t>RDC_NB_1F_VAV6810_VEV6811</t>
  </si>
  <si>
    <t>RDC_NB_1F_VAV6820_VEV6821</t>
  </si>
  <si>
    <t>RDC_NB_1F_VAV6830_VEV6831</t>
  </si>
  <si>
    <t>RDC_NB_1F_VAV6840_VEV6841</t>
  </si>
  <si>
    <t>RDC_NB_1F_VAV6850</t>
  </si>
  <si>
    <t>RDC_NB_1F_VAV6851</t>
  </si>
  <si>
    <t>RDC_NB_1F_VAV6870_EV6871</t>
  </si>
  <si>
    <t>RDC_NB_1F_VAV6880</t>
  </si>
  <si>
    <t>RDC_NB_1F_VAV6885</t>
  </si>
  <si>
    <t>RDC_NB_1F_VAV6890_EV6891</t>
  </si>
  <si>
    <t>RDC_NB_1F_VAV6895</t>
  </si>
  <si>
    <t>RDC_NB_1F_VAV6900</t>
  </si>
  <si>
    <t>RDC_NB_1F_VAV6905</t>
  </si>
  <si>
    <t>RDC_NB_1F_VAV6910</t>
  </si>
  <si>
    <t>RDC_NB_1F_VAV6915</t>
  </si>
  <si>
    <t>RDC_NB_1F_VAV6920</t>
  </si>
  <si>
    <t>RDC_NB_1F_VAV6925</t>
  </si>
  <si>
    <t>RDC_NB_1F_VAV6930</t>
  </si>
  <si>
    <t>RDC_NB_1F_VAV6935</t>
  </si>
  <si>
    <t>RDC_NB_1F_VAV6940</t>
  </si>
  <si>
    <t>RDC_NB_1F_VAV6945</t>
  </si>
  <si>
    <t>RDC_NB_1F_VAV6950</t>
  </si>
  <si>
    <t>RDC_NB_1F_VAV6955</t>
  </si>
  <si>
    <t>RDC_NB_1F_VAV6960</t>
  </si>
  <si>
    <t>RDC_NB_1F_VAV6965</t>
  </si>
  <si>
    <t>RDC_NB_1F_VAV6967</t>
  </si>
  <si>
    <t>RDC_NB_1F_VAV6968</t>
  </si>
  <si>
    <t>RDC_NB_1F_VAV6970_EV6971</t>
  </si>
  <si>
    <t>RDC_NB_1F_VAV6972</t>
  </si>
  <si>
    <t>RDC_NB_1F_VAV6974</t>
  </si>
  <si>
    <t>RDC_NB_1F_VAV6976</t>
  </si>
  <si>
    <t>RDC_NB_1F_VAV6978</t>
  </si>
  <si>
    <t>RDC_NB_1F_VAV6979P</t>
  </si>
  <si>
    <t>RDC_NB_1F_VAV6980P</t>
  </si>
  <si>
    <t>RDC_NB_1F_VAV7510_VEV7511</t>
  </si>
  <si>
    <t>RDC_NB_1F_VAV7530_VEV7532</t>
  </si>
  <si>
    <t>RDC_NB_1F_VAV7531_VEV7533</t>
  </si>
  <si>
    <t>RDC_NB_1F_VAV7540_VEV7541</t>
  </si>
  <si>
    <t>RDC_NB_1F_VAV7550_VEV7551</t>
  </si>
  <si>
    <t>RDC_NB_1F_VAV7560_VEV7561</t>
  </si>
  <si>
    <t>RDC_NB_1F_VAV7570_VEV7571</t>
  </si>
  <si>
    <t>RDC_NB_1F_VAV7580_VEV7581</t>
  </si>
  <si>
    <t>RDC_NB_1F_VAV7600_VEV7601</t>
  </si>
  <si>
    <t>RDC_NB_1F_VAV7620</t>
  </si>
  <si>
    <t>RDC_NB_1F_VAV7625</t>
  </si>
  <si>
    <t>RDC_NB_1F_VAV7630</t>
  </si>
  <si>
    <t>RDC_NB_1F_VAV7635</t>
  </si>
  <si>
    <t>RDC_NB_1F_VAV7640</t>
  </si>
  <si>
    <t>RDC_NB_1F_VAV7645</t>
  </si>
  <si>
    <t>RDC_NB_1F_VAV7650</t>
  </si>
  <si>
    <t>RDC_NB_1F_VAV7655</t>
  </si>
  <si>
    <t>RDC_NB_1F_VAV7660</t>
  </si>
  <si>
    <t>RDC_NB_1F_VAV7665_EV7666</t>
  </si>
  <si>
    <t>RDC_NB_1F_VAV7670</t>
  </si>
  <si>
    <t>RDC_NB_1F_VAV7675</t>
  </si>
  <si>
    <t>RDC_NB_1F_VAV7680_EV7681</t>
  </si>
  <si>
    <t>RDC_NB_1F_VAV7685</t>
  </si>
  <si>
    <t>RDC_NB_1F_VAV7690</t>
  </si>
  <si>
    <t>RDC_NB_1F_VAV7695</t>
  </si>
  <si>
    <t>RDC_NB_1F_VAV7700_EV7701</t>
  </si>
  <si>
    <t>RDC_NB_1F_VAV7705</t>
  </si>
  <si>
    <t>RDC_NB_1F_VAV7710</t>
  </si>
  <si>
    <t>RDC_NB_1F_VAV7730_VEV7731</t>
  </si>
  <si>
    <t>RDC_NB_1F_VAV7740_VEV7741</t>
  </si>
  <si>
    <t>RDC_NB_1F_VAV7750_VEV7751</t>
  </si>
  <si>
    <t>RDC_NB_1F_VAV7770_VEV7771</t>
  </si>
  <si>
    <t>RDC_NB_1F_VAV7780_VEV7781</t>
  </si>
  <si>
    <t>RDC_NB_1F_VAV7800_VEV7801</t>
  </si>
  <si>
    <t>RDC_NB_1F_VAV7810_VEV7811</t>
  </si>
  <si>
    <t>RDC_NB_1F_VAV7820_VEV7822</t>
  </si>
  <si>
    <t>RDC_NB_1F_VAV7821_VEV7823</t>
  </si>
  <si>
    <t>RDC_NB_1F_VAV7840_EV7841</t>
  </si>
  <si>
    <t>RDC_NB_1F_VAV7845_EV7846</t>
  </si>
  <si>
    <t>RDC_NB_1F_VAV7850</t>
  </si>
  <si>
    <t>RDC_NB_1F_VAV7860</t>
  </si>
  <si>
    <t>RDC_NB_1F_VAV7865</t>
  </si>
  <si>
    <t>RDC_NB_1F_VAV7870</t>
  </si>
  <si>
    <t>RDC_NB_1F_VAV7875</t>
  </si>
  <si>
    <t>RDC_NB_1F_VAV7880</t>
  </si>
  <si>
    <t>RDC_NB_1F_VAV7885</t>
  </si>
  <si>
    <t>RDC_NB_1F_VAV7890</t>
  </si>
  <si>
    <t>RDC_NB_1F_VAV7895</t>
  </si>
  <si>
    <t>RDC_NB_1F_VAV7900</t>
  </si>
  <si>
    <t>RDC_NB_1F_VAV7905</t>
  </si>
  <si>
    <t>RDC_NB_1F_VAV7910</t>
  </si>
  <si>
    <t>RDC_NB_1F_VAV7915</t>
  </si>
  <si>
    <t>RDC_NB_1F_VAV7920</t>
  </si>
  <si>
    <t>RDC_NB_1F_VAV7925</t>
  </si>
  <si>
    <t>RDC_NB_1F_VAV7930</t>
  </si>
  <si>
    <t>RDC_NB_1F_VAV7935</t>
  </si>
  <si>
    <t>RDC_NB_1F_VAV7940</t>
  </si>
  <si>
    <t>RDC_NB_1F_VAV7945</t>
  </si>
  <si>
    <t>RDC_NB_1F_VAV7950</t>
  </si>
  <si>
    <t>RDC_NB_1F_VAV7955</t>
  </si>
  <si>
    <t>RDC_NB_1F_VAV7960</t>
  </si>
  <si>
    <t>RDC_NB_1F_VAV7975P</t>
  </si>
  <si>
    <t>RDC_NB_1F_VAV7980P</t>
  </si>
  <si>
    <t>RDC_NB_1F_FCU4910</t>
  </si>
  <si>
    <t>RDC_NB_1F_FCU4914</t>
  </si>
  <si>
    <t>RDC_NB_1F_FCU4915</t>
  </si>
  <si>
    <t>RDC_NB_1F_FCU4916</t>
  </si>
  <si>
    <t>RDC_NB_1F_FCU4917</t>
  </si>
  <si>
    <t>RDC_NB_1F_FCU5983</t>
  </si>
  <si>
    <t>RDC_NB_1F_FCU5984</t>
  </si>
  <si>
    <t>RDC_NB_1F_FCU5985</t>
  </si>
  <si>
    <t>RDC_NB_1F_FCU5986</t>
  </si>
  <si>
    <t>RDC_NB_1F_FCU5987</t>
  </si>
  <si>
    <t>RDC_NB_1F_FCU5993</t>
  </si>
  <si>
    <t>RDC_NB_1F_FCU5994</t>
  </si>
  <si>
    <t>RDC_NB_1F_FCU6988</t>
  </si>
  <si>
    <t>RDC_NB_1F_FCU6989</t>
  </si>
  <si>
    <t>RDC_NB_1F_FCU6990</t>
  </si>
  <si>
    <t>RDC_NB_1F_FCU6991</t>
  </si>
  <si>
    <t>RDC_NB_1F_FCU6992</t>
  </si>
  <si>
    <t>RDC_NB_1F_FCU7790</t>
  </si>
  <si>
    <t>RDC_NB_1F_FCU7984</t>
  </si>
  <si>
    <t>RDC_NB_1F_FCU7985</t>
  </si>
  <si>
    <t>RDC_NB_1F_FCU7986</t>
  </si>
  <si>
    <t>RDC_NB_1F_FCU7987</t>
  </si>
  <si>
    <t>RDC_NB_1F_FCU7988</t>
  </si>
  <si>
    <t>RDC_NB_1F_FCU7989</t>
  </si>
  <si>
    <t>RDC_NB_2F_FCU4918</t>
  </si>
  <si>
    <t>RDC_NB_2F_FCU4919</t>
  </si>
  <si>
    <t>RDC_NB_2F_FCU5988</t>
  </si>
  <si>
    <t>RDC_NB_2F_FCU5989</t>
  </si>
  <si>
    <t>RDC_NB_2F_FCU5990</t>
  </si>
  <si>
    <t>RDC_NB_2F_FCU6993</t>
  </si>
  <si>
    <t>RDC_NB_2F_FCU6994</t>
  </si>
  <si>
    <t>RDC_NB_2F_FCU6995</t>
  </si>
  <si>
    <t>RDC_NB_2F_FCU6996</t>
  </si>
  <si>
    <t>RDC_NB_2F_FCU7991</t>
  </si>
  <si>
    <t>RDC_NB_2F_FCU7992</t>
  </si>
  <si>
    <t>RDC_NB_GF_FCU4911</t>
  </si>
  <si>
    <t>RDC_NB_GF_FCU4912</t>
  </si>
  <si>
    <t>RDC_NB_GF_FCU4913</t>
  </si>
  <si>
    <t>RDC_NB_GF_FCU4920</t>
  </si>
  <si>
    <t>RDC_NB_GF_FCU5980</t>
  </si>
  <si>
    <t>RDC_NB_GF_FCU5981</t>
  </si>
  <si>
    <t>RDC_NB_GF_FCU5982</t>
  </si>
  <si>
    <t>RDC_NB_GF_FCU5991</t>
  </si>
  <si>
    <t>RDC_NB_GF_FCU5992</t>
  </si>
  <si>
    <t>RDC_NB_GF_FCU6981</t>
  </si>
  <si>
    <t>RDC_NB_GF_FCU6982</t>
  </si>
  <si>
    <t>RDC_NB_GF_FCU6983</t>
  </si>
  <si>
    <t>RDC_NB_GF_FCU6984</t>
  </si>
  <si>
    <t>RDC_NB_GF_FCU6985</t>
  </si>
  <si>
    <t>RDC_NB_GF_FCU6986</t>
  </si>
  <si>
    <t>RDC_NB_GF_FCU6987</t>
  </si>
  <si>
    <t>RDC_NB_GF_FCU7981</t>
  </si>
  <si>
    <t>RDC_NB_GF_FCU7982</t>
  </si>
  <si>
    <t>RDC_NB_GF_FCU7983</t>
  </si>
  <si>
    <t>RDC_NB_SB_Walkway_FCU9001</t>
  </si>
  <si>
    <t>RDC_NB_SB_Walkway_FCU9002</t>
  </si>
  <si>
    <t>RDC_NB_SB_Walkway_FCU9003</t>
  </si>
  <si>
    <t>RDC_NB_SB_Walkway_FCU9004</t>
  </si>
  <si>
    <t>RDC_NB_SB_Walkway_FCU9005</t>
  </si>
  <si>
    <t>RDC_SB_1F_FCU0501</t>
  </si>
  <si>
    <t>RDC_SB_1F_FCU0502</t>
  </si>
  <si>
    <t>RDC_SB_1F_FCU0503</t>
  </si>
  <si>
    <t>RDC_SB_1F_FCU1501</t>
  </si>
  <si>
    <t>RDC_SB_1F_FCU1502</t>
  </si>
  <si>
    <t>RDC_SB_1F_FCU1503</t>
  </si>
  <si>
    <t>RDC_SB_1F_FCU2501</t>
  </si>
  <si>
    <t>RDC_SB_1F_FCU2502</t>
  </si>
  <si>
    <t>RDC_SB_1F_FCU2503</t>
  </si>
  <si>
    <t>RDC_SB_1F_FCU2504</t>
  </si>
  <si>
    <t>RDC_SB_1F_FCU2505</t>
  </si>
  <si>
    <t>RDC_SB_1F_FCU3501</t>
  </si>
  <si>
    <t>RDC_SB_2F_FCU0201</t>
  </si>
  <si>
    <t>RDC_SB_2F_FCU0202</t>
  </si>
  <si>
    <t>RDC_SB_2F_FCU0203</t>
  </si>
  <si>
    <t>RDC_SB_2F_FCU0204</t>
  </si>
  <si>
    <t>RDC_SB_2F_FCU0205</t>
  </si>
  <si>
    <t>RDC_SB_2F_FCU0206</t>
  </si>
  <si>
    <t>RDC_SB_2F_FCU0207</t>
  </si>
  <si>
    <t>RDC_SB_2F_FCU0208</t>
  </si>
  <si>
    <t>RDC_SB_2F_FCU1201</t>
  </si>
  <si>
    <t>RDC_SB_2F_FCU1202</t>
  </si>
  <si>
    <t>RDC_SB_2F_FCU2201</t>
  </si>
  <si>
    <t>RDC_SB_2F_FCU2202</t>
  </si>
  <si>
    <t>RDC_SB_2F_FCU2203</t>
  </si>
  <si>
    <t>RDC_SB_2F_FCU2204</t>
  </si>
  <si>
    <t>RDC_SB_2F_FCU2205</t>
  </si>
  <si>
    <t>RDC_SB_2F_FCU2206</t>
  </si>
  <si>
    <t>RDC_SB_2F_FCU2207</t>
  </si>
  <si>
    <t>RDC_SB_2F_FCU2208</t>
  </si>
  <si>
    <t>RDC_SB_2F_FCU2209</t>
  </si>
  <si>
    <t>RDC_SB_2F_FCU2210</t>
  </si>
  <si>
    <t>RDC_SB_GF_FCU0001</t>
  </si>
  <si>
    <t>RDC_SB_GF_FCU1001</t>
  </si>
  <si>
    <t>RDC_SB_GF_FCU1002</t>
  </si>
  <si>
    <t>RDC_SB_GF_FCU1003</t>
  </si>
  <si>
    <t>RDC_SB_GF_FCU1004</t>
  </si>
  <si>
    <t>RDC_SB_GF_FCU1005</t>
  </si>
  <si>
    <t>RDC_SB_GF_FCU1006</t>
  </si>
  <si>
    <t>RDC_SB_GF_FCU1007</t>
  </si>
  <si>
    <t>RDC_SB_GF_FCU1008</t>
  </si>
  <si>
    <t>RDC_SB_GF_FCU2001</t>
  </si>
  <si>
    <t>RDC_SB_GF_FCU2002</t>
  </si>
  <si>
    <t>RDC_SB_GF_FCU2003</t>
  </si>
  <si>
    <t>RDC_SB_GF_FCU2004</t>
  </si>
  <si>
    <t>RDC_SB_GF_FCU2005</t>
  </si>
  <si>
    <t>RDC_SB_GF_FCU3001</t>
  </si>
  <si>
    <t>RDC_UB_GF_FCU8001</t>
  </si>
  <si>
    <t>RDC_UB_GF_FCU8002</t>
  </si>
  <si>
    <t>RDC_UB_GF_FCU8003</t>
  </si>
  <si>
    <t>RDC_UB_GF_FCU8004</t>
  </si>
  <si>
    <t>RDC_UB_GF_FCU8005</t>
  </si>
  <si>
    <t>RDC_UB_GF_FCU8006</t>
  </si>
  <si>
    <t>RDC_UB_GF_FCU8007</t>
  </si>
  <si>
    <t>RDC_UB_GF_FCU8008</t>
  </si>
  <si>
    <t>RDC_UB_GF_FCU8009</t>
  </si>
  <si>
    <t>RDC_UB_GF_FCU8010</t>
  </si>
  <si>
    <t>RDC_UB_GF_FCU8011</t>
  </si>
  <si>
    <t>RDC_UB_GF_FCU8012</t>
  </si>
  <si>
    <t>RDC_UB_GF_FCU8013</t>
  </si>
  <si>
    <t>RDC_UB_GF_FCU8014</t>
  </si>
  <si>
    <t>RDC_UB_GF_FCU8502</t>
  </si>
  <si>
    <t>RDC_UB_GF_FCU8503</t>
  </si>
  <si>
    <t>RDC_UB_GF_FCU8504</t>
  </si>
  <si>
    <t>RDC_UB_GF_FCU8505</t>
  </si>
  <si>
    <t>RDC_UB_GF_FCU8512</t>
  </si>
  <si>
    <t>RDC_UB_GF_FCU8513</t>
  </si>
  <si>
    <t>RDC_UB_GF_FCU8514</t>
  </si>
  <si>
    <t>RDC_UB_GF_FCU8515</t>
  </si>
  <si>
    <t>RDC_UB_MF_FCU8501</t>
  </si>
  <si>
    <t>RDC_UB_MF_FCU8506</t>
  </si>
  <si>
    <t>RDC_UB_MF_FCU8507</t>
  </si>
  <si>
    <t>RDC_UB_MF_FCU8508</t>
  </si>
  <si>
    <t>RDC_UB_MF_FCU8509</t>
  </si>
  <si>
    <t>RDC_UB_MF_FCU8510</t>
  </si>
  <si>
    <t>RDC_UB_MF_FCU8511</t>
  </si>
  <si>
    <t>VEV</t>
  </si>
  <si>
    <t>FEV</t>
  </si>
  <si>
    <t>Turn #</t>
  </si>
  <si>
    <t>Date</t>
  </si>
  <si>
    <t>User Request</t>
  </si>
  <si>
    <t>Action Taken</t>
  </si>
  <si>
    <t>Details</t>
  </si>
  <si>
    <t>Outcome</t>
  </si>
  <si>
    <t>Provided full transcript from previous session (classifying HQ VAV/FCU tags as Included/Not Included in column D by room type across Ground Floor–Level 11). New session; selection at D1174.</t>
  </si>
  <si>
    <t>Loaded prior context; set up Claude Log sheet; inspected the registry section around D1174.</t>
  </si>
  <si>
    <t>Row 1170 = AHUB_0005; FCU numbering restarts at FCU0001 on row 1171 — this is a separate building/section where column D holds room descriptions (e.g. 'SPRINKLER AND WATER','B.M.S'), not Included/Not Included marks. AHUs (rows 4-28) still unmarked pending direction.</t>
  </si>
  <si>
    <t>Awaiting user direction on next step (new floor, AHU handling, or final excluded-room verification).</t>
  </si>
  <si>
    <t>Clarified: wants room names (rooms served by each equipment tag) filled for the HQ block, rows 3–763, in column E (keeping the Included/Not Included marks in column D).</t>
  </si>
  <si>
    <t>Confirmed target column E via question; checked E is empty apart from a legend at E3/E4. Explained I cannot view the previous session's drawing images and my prior notes are not a clean per-row room map.</t>
  </si>
  <si>
    <t>Room names must be exact; prior notes grouped multiple tags per room label. Requested the floor drawings be resent one at a time to fill column E accurately, floor by floor.</t>
  </si>
  <si>
    <t>Awaiting user to resend the first HQ floor drawing to begin populating column E.</t>
  </si>
  <si>
    <t>Said they will send the floor drawings later tonight.</t>
  </si>
  <si>
    <t>Acknowledged; no workbook changes made. Confirmed the floor-by-floor workflow to populate column E with room names once drawings arrive.</t>
  </si>
  <si>
    <t>No cells written to Controllable Asset Registry this turn.</t>
  </si>
  <si>
    <t>On hold — awaiting HQ floor drawings from user (expected tonight).</t>
  </si>
  <si>
    <t>Sent HQ Roof Top (Level 12) drawing; asked me to start filling room names in column E for that floor.</t>
  </si>
  <si>
    <t>Wrote FCU room names to E155:E160 (FCU0126/0127 → 12.002 MCC Closet; FCU0128/0129 → 12.003 MCC Closet; FCU0130 → 12.004 MCC Closet; FCU0131 → roof plant/walkway near CSRR-0008). Verified by re-reading A155:E160.</t>
  </si>
  <si>
    <t>Roof VAV/12/01-13 units are NOT in the tag list (all VAV0001-0607 already assigned to Ground-L11; HQ block ends row 763, QNL starts 764). AHU/12/01-10 (rows 4-12) left blank — parked per earlier decision and AHUs don't serve a single room.</t>
  </si>
  <si>
    <t>Level 12 FCUs done. Flagged: SE 12.001 Electrical Closet sits beside 12.002 MCC Closet — could not confirm if one FCU serves 12.001 instead; FCU0131 has no room number on the drawing.</t>
  </si>
  <si>
    <t>Sent the 3rd image pair — new: South Building L0 Section A1.3; old: North Building L0 Section A2.3. Asked me to continue the established workflow (map the new floor, extract standalone tags from the old floor).</t>
  </si>
  <si>
    <t>Filled 3 blank FCU rows (FCU6987 row 2118, SB FCU0001 row 2159, SB FCU2001 row 2168). Appended 33 new rows (2365-2397): 5 A1.3 South Building AT tags, 24 A2.3 North Building AT tags, 4 A2.3 standalone EV valves. Flagged 7 uncertain rows yellow in C:D.</t>
  </si>
  <si>
    <t>Duplicate avoidance: skipped AT-0006 (already row 2262 from B1.1) and all A2.3 numbers already embedded in existing VAV rows (5000/5002, 5001/5003, 5010/5011, 5015/5016, 5030/5031, 5040/5041, 5045/5046, 5395, 5400, 5405, 5410/5411, 6000/6001, 6010/6011, 6025/6026, 6240/6241, 6300, 6305, 6310, 6315/6316). Appended only valves with no VAV row: EV-5021, EV-5035, EV-6016, EV-6127. Equipment type = each tag's own prefix (AT/EV) per the standing rule. NB FCU5982/5991/5992/6985/6986 were already populated from an earlier session and matched A2.3, so left untouched.</t>
  </si>
  <si>
    <t>3rd pair complete and verified (rows 2118, 2159, 2168, 2365-2397 re-read; no gaps). Next append row = 2398. Flagged yellow: AT-0002, AT-0005, AT-2001, AT-5030, AT-5045, EV-5035, EV-6127. Open note: A2.3 right-hand area is labelled RECEPTION AREA N-0169, which duplicates the left-side EXP. OFFICE N-0169 label - no tag sits there so no row was written.</t>
  </si>
  <si>
    <t>Sent the 4th image pair — new: South Building L0 Section A1.2; old: North Building L0 Section B2.1. Continue the established workflow.</t>
  </si>
  <si>
    <t>Filled SB FCU2002-2005 (rows 2169-2172). Mapped 45 of 46 blank VAV rows for A1.2 (C/D 1738:1783 = VAV2002-VAV2047). Appended 112 rows (2398-2509): 45 A1.2 AT-20xx, 8 A1.2 standalone 0-series AT, 43 B2.1 AT, 15 B2.1 valves, FCU6997. Corrected AT-2001 (row 2369). Flagged 39 uncertain rows yellow, then fixed 14 misplaced flags.</t>
  </si>
  <si>
    <t>A1.2 turned out to be a map-the-rooms floor: VAV2002-VAV2047 existed but were blank, and AT numbers correspond 1:1 to VAV numbers. There is no VAV2001 row and no VAV rows for the 0115-0124 series, so those 9 tags were appended only. VAV2005 (row 1741) left blank - AT-2005 does not appear on A1.2. Self-caught error: skipping AT-2005 in the append shifted my flag row offsets by one, so 7 flags landed on confident rows (AT-2010/2014/2017/2018/2026/2034/2036) and 7 uncertain rows were unflagged; cleared and re-applied correctly. AT-2001 moved from Vestibule S-0202 (per A1.3) to High-Density Room S-0206 (per A1.2, box sits inside the room outline) - still flagged.</t>
  </si>
  <si>
    <t>4th pair complete and verified (rows 2169-2172, 2369, 1738-1783, 2398-2510 re-read; no gaps; flag colours confirmed on C:D). Next append row = 2510. DEFERRED / NEEDS USER DECISION: (1) 21 blank NB VAV rows discovered - 1468 (VAV6295), 1473-1490 (VAV6320-6410), 1543-1544 (VAV7385/7390) - not filled because two existing rows conflict with the drawing, so a bulk same-number fill is unsafe. (2) Conflict A: registry row 1465 VAV6220 = Conf N-0331 and row 1463 VAV6205 = Emergency Elec. N-0333, but B2.1 shows AT-6220 at Emergency Elec. N-0333 and AT-6205 at Conference N-0331 (appears swapped). (3) Conflict B: registry row 1485 VAV6380 = Office N-0376, but B2.1 shows AT-6370 at Office N-0376 and AT-6380 at Workstation N-0378 (possible off-by-one, same pattern as the A2.2 fix).</t>
  </si>
  <si>
    <t>Sent the 5th image pair — new: South Building L0 Section A1.1; old: North Building L0 Section B2.2. Continue the established workflow.</t>
  </si>
  <si>
    <t>A1.1: filled VAV3001-3007 (rows 1784-1790) and FCU3001 (row 2173); appended 45 tags (2510-2554) = 32 AT-30xx plus 13 of the 2301-AT-01xx BACnet points. B2.2: appended 77 rows (2555-2631) = 51 AT (incl. the AT-7090/7105/7120 multi-node sensors), 8 standalone EV, 17 lab valves, FCU7993. Flagged 34 rows yellow across both.</t>
  </si>
  <si>
    <t>B2.2's VAV rows mostly already existed with rooms, so the AT twins inherited the registry room (consistent with the A2.1/A2.2 approach) rather than my read of the drawing; the five places where the drawing disagrees were flagged instead of overwritten. Multi-node tags (AT-7090-N1/N2, AT-7105-N1/N2, AT-7120-N1..N9) have no VAV rows and were mapped from the drawing to N-0412/0412A, N-0415/0415A, N-0418/0418A and N-0430A..N-0430F - all flagged. Skipped every valve already embedded in a VAV row name (VEV7031, VEV7051, VEV7061, CEV7221, VEV7231, VEV7241A, VEV7251/7261/7271/7281/7291/7311/7321/7331/7341/7351/7361/7371, EV7126/7141/7186/7216/7495). FEV-7232 appears twice on the drawing - appended once and flagged.</t>
  </si>
  <si>
    <t>5th pair complete and verified (rows 1784-1790, 2173, 2510-2632 re-read; 122 appended rows with no gaps; flag colours spot-checked against tag names). Next append row = 2632. NEW CONFLICTS FLAGGED, NOT OVERWRITTEN: (1) FCU rows 2119/2120/2121 (FCU7981 = Stair 5 N-0STO5, FCU7982 and FCU7983 = Service Corridor N-0344) disagree with B2.2, which shows FCU-7993 at Stair 5, FCU-7981 at IDF N-0419 and FCU-7982 near Mech/FPC N-0434. (2) Row 2085 FCU7790 is tagged NB_1F but B2.2 (Level 0) shows FCU-7790 at Stair 6 N-0ST06. (3) Registry rows 1517/1518 give both VAV7145 and VAV7155 the same room (Office N-0427) - drawing suggests 7145 = N-0425. (4) Row 1519 VAV7165 = N-0428 vs drawing N-0429. (5) Row 1523 VAV7185 = Office N-0426 vs drawing Emer. Elec. Room N-0433, and row 1526 VAV7215 = Emergency Elec. N-0433 vs drawing Office N-0438. STILL OPEN from turn 7: the 21 blank NB VAV rows (1468, 1473-1490, 1543-1544) and the VAV6205/6220 and VAV6380 conflicts.</t>
  </si>
  <si>
    <t>Sent the 6th image pair — new: South Building Level 1 Section B1.2; old: North Building Level 01 Section A2.1. First pair on Level 1 rather than Level 0.</t>
  </si>
  <si>
    <t>B1.2: filled 45 blank VAV rows (C/D across 1595:1645) and FCU1503 (row 2132); appended 49 AT tags (2632-2680). A2.1 L01: appended 28 rows (2681-2708) = 8 AT twins, 19 valves, FCU2004. Flagged 5 rows yellow after correcting 2 that landed one row off.</t>
  </si>
  <si>
    <t>Both drawings are Level 1, so writes went to the SB_1F and NB_1F blocks (not GF). SB VAV15xx occupies rows 1590-1645 but the series is not contiguous - VAV1504, 1535, 1537, 1538 and 1541 have no rows, so AT-1504/1535/1537 were appended only. NB_1F registry rooms for VAV4660-4745 matched my reading of the drawing exactly (N-1227 through N-1244), so those 8 AT twins needed no flags. NB_1F FCU4910/4915/4916/4917 were already correctly populated and match A2.1, so left untouched. Skipped valves already embedded in VAV row names (VEV4621, VEV4631, VEV4051/4061/4091, the VAV4070-4083 high-bay pairs) and VEV-4041 which was already appended at row 2253.</t>
  </si>
  <si>
    <t>6th pair complete and verified (rows 1590-1645, 2132, 2632-2709 re-read; 77 appended rows with no gaps; flag cells checked against tag names). Next append row = 2709. Flagged: AT-1504 (corridor position), AT-1533 and AT-1536 (sit between an electrical room and an office), AT-1537, CEV-4502, FCU2004. Still-blank SB L1 VAV rows with no tag on this drawing: 1590-1594 (VAV1501-1503, 1505, 1506), 1624-1625 (VAV1539/1540), 1627-1629 (VAV1543-1545), 1631 (VAV1547) - likely on the B1.1 half of Level 1. STILL OPEN: the 21 blank NB GF VAV rows (1468, 1473-1490, 1543-1544) and the registry conflicts at rows 1463/1465, 1485, 1517/1518, 1519, 1523/1526, 2085, 2119-2121.</t>
  </si>
  <si>
    <t>Sent the 7th image pair — new: South Building Level 1 Section B1.1; old: North Building Level 1 Section A2.2.</t>
  </si>
  <si>
    <t>B1.1: filled 34 blank VAV rows (1566-1594, 1624-1631) + FCU1501/1502 (2130-2131); appended 46 AT tags (2709-2754). A2.2: filled FCU5986 (2076) and VAV4650 (1842); appended 67 rows (2755-2821) = 42 AT, 7 EV, 18 lab valves. Flagged 12 rows yellow.</t>
  </si>
  <si>
    <t>ERROR MADE AND CORRECTED: I wrote to FCU5983 (row 2073) and FCU5984 (row 2074) without reading them first - they already held 'Not Included / JC N-1139' and 'Included / Corridor N-1138'. I overwrote both with my own reading of the drawing (IDF N-1140 / JC N-1139), then restored the original values from the pre-write snapshot and flagged all three rows instead. Only FCU5986 was genuinely blank and kept a new value. Lesson: read FCU rows before writing, as several were populated in earlier sessions. Otherwise: NB_1F VAV5650-5940 rooms already matched the drawing closely, so those 38 AT twins inherited the registry room. Skipped valves embedded in VAV row names (VEV5601/5611/5622/5623/5631/5771/5781/5793/5795A/5801, EV5656/5716/5731/5736/5741/5761/5836). Unnumbered 'TAG 0.0' boxes on A2.2 could not be appended.</t>
  </si>
  <si>
    <t>7th pair complete and verified (rows 1566-1645, 1842, 2073-2076, 2130-2132, 2709-2822 re-read; 113 appended rows with no gaps; all 12 flag cells checked against tag names). Next append row = 2822. South Building Level 1 is now fully mapped except VAV0509 (row 1569) - no AT-0509 appears on either B1.1 or B1.2. Flagged: AT-0504, AT-0505, AT-0515, AT-0534, AT-0529, AT-5685 (registry calls N-1126 an Office, drawing calls it Corridor), AT-5840 and AT-5905 (registry gives both Office N-1163), EV-5686, VEV-5581 (label appears twice on drawing), VEV-5821, FCU1503 (row 2132 - B1.2 shows it at Stair 1, B1.1 shows it near FPC S-1108/UPS S-1107D), FCU5983/5984/5986. STILL OPEN: 21 blank NB GF VAV rows (1468, 1473-1490, 1543-1544) and conflicts at rows 1463/1465, 1485, 1517/1518, 1519, 1523/1526, 2085, 2119-2121.</t>
  </si>
  <si>
    <t>Sent the 8th image pair — new: South Building Level 1 Section A1.3; old: North Building Level 1 Section A2.3. Both are sparse core/lobby sections.</t>
  </si>
  <si>
    <t>A1.3: filled VAV2501 (row 1646, Lobby S-1201), FCU0501 (2127, Stair 2 S-1ST02) and FCU2501 (2133, Stair 3 S-1ST03); appended 2 AT tags (2822-2823 = AT-2501 Lobby S-1201, AT-2507 Female S-1204); corrected AT-0503 and AT-0505 rooms. A2.3: NO rows written - see details. Flagged 4 rows.</t>
  </si>
  <si>
    <t>Pre-read all three fill targets before writing this turn (lesson from turn 10) - all were genuinely blank. AT-0503 changed from NCIR Office S-1115 to Women S-1106B and AT-0505 from UPS S-1107D to Emergency Elec. S-1107B: A1.3 is the section that actually contains the S-1105/S-1106B/S-1107B core, AT-0502 already matched Vestibule S-1105, and 0502/0503/0505 form a clean sequence onto those three rooms. A2.3 yielded nothing appendable: every sensor box on it is an unnumbered 'TAG' with no tag ID, so there is nothing to key a registry row on. Separately, FCU-2004 appears SIX times on A2.3 (Stair 3 N-1ST03, Stair 4 N-1ST04, Normal Elec. N-1310, IDF N-1311, Mech/FPC N-1353A, Reception N-1355) all reading 25.3 C - one BMS point bound to six graphic boxes, so no new rows could be derived; flagged row 2708 instead.</t>
  </si>
  <si>
    <t>8th pair complete and verified (rows 1646, 2127, 2133, 2708, 2711-2713, 2822-2824 re-read; flag fills confirmed). Next append row = 2824. OPEN QUESTION raised: moving AT-0503 to Women S-1106B leaves NCIR Office S-1115 with no sensor and VAV0509 (row 1569) still blank - the B1.1 tag I read as AT-0503 in that office may actually be AT-0509. Needs user confirmation before writing. Flagged: AT-0503, AT-0505, AT-2501, FCU2004. STILL OPEN from earlier turns: 21 blank NB GF VAV rows (1468, 1473-1490, 1543-1544) and conflicts at rows 1463/1465, 1485, 1517/1518, 1519, 1523/1526, 2085, 2119-2121, 1889, 1910/1923, 2132, 2073/2074.</t>
  </si>
  <si>
    <t>Sent the 9th image pair — new: South Building Level 1 Section A1.2; old: North Building Level 1 Section B2.1.</t>
  </si>
  <si>
    <t>A1.2: filled 50 blank VAV rows (C/D 1647:1696 = VAV2502-VAV2553) and 4 FCU rows (2134-2137); appended 51 AT tags (2824-2874). B2.1: appended 79 rows (2875-2953) = 40 AT, 8 EV, 31 lab valves. 130 appended rows total. Flagged 22 rows yellow.</t>
  </si>
  <si>
    <t>Pre-read all 54 fill targets before writing - all confirmed blank, no overwrite. Verified fill alignment by spot-checking VAV2511=Office S-1212, VAV2536=Normal Elec. S-1251, VAV2553=Male Prayer S-1278 after the block write. B2.1 registry rooms matched the drawing throughout (VAV6650-6725 = N-1319 to N-1336, VAV6900-6970 = N-1357 to N-1371, VAV7865 = N-1461A), so those 34 AT twins inherited the registry room with no flags. VAV6630B/6631B were checked and already populated (Bio-Med Chem Lab 1 N-1316L) so were skipped, as were FCU6988/6989 which already read Service Corridor N-1337 and match the drawing. Corridor-run valves EV-6936/6961/6969 were assigned by the EV-pairs-with-VAV convention (Workstation N-1363/N-1368/N-1371) and flagged, since the dotted corridor they sit on carries no room number on this drawing.</t>
  </si>
  <si>
    <t>9th pair complete and verified (rows 1647-1696, 2080-2081, 2134-2137, 2824-2954 re-read; 130 appended rows with no gaps; all 22 flag cells checked against tag names). Next append row = 2954. Flagged: AT-2502/2503/2505/2506 and VAV2502/2503/2505/2506 (four lobby-band sensors with no room label of their own - all assigned Lobby S-1202), AT-2552/VAV2552 (label appears twice on A1.2), AT-4260 (4000-series tag on a South Building drawing, assigned Men S-1254), FCU2502-2505, AT-7500, EV-7501, EV-6936/6961/6969, CEV-6581, FEV-6731. STILL OPEN: 21 blank NB GF VAV rows (1468, 1473-1490, 1543-1544); conflicts at rows 1463/1465, 1485, 1517/1518, 1519, 1523/1526, 2085, 2119-2121, 1889, 1910/1923, 2132, 2073/2074; and the AT-0503/AT-0509 vs NCIR Office S-1115 question (row 1569 still blank).</t>
  </si>
  <si>
    <t>Sent the 10th image pair — new: South Building Level 1 Section A1.1; old: North Building Level 1 Section B2.2.</t>
  </si>
  <si>
    <t>A1.1: filled 20 blank VAV rows (C/D 1697:1717 = VAV3504-VAV3524, leaving VAV3519 blank) and FCU3501 (row 2138, Stair S-1ST104); appended 28 AT tags (2954-2981). B2.2: appended 58 rows (2982-3039) = 42 AT, 8 EV, 8 lab valves. 86 appended rows total. Flagged 15 rows yellow.</t>
  </si>
  <si>
    <t>Pre-read all 22 fill targets and aborted-on-conflict guard was in the code; all were blank so nothing was overwritten. Verified alignment after the block write (VAV3504=Open Plan S-1229, VAV3514=Office S-1294, VAV3519 blank, VAV3524=Normal Elec. S-1238). VAV3519 left blank - no AT-3519 on the drawing. There are no VAV rows for AT-3501/3502/3503 or for the 2301-AT-02xx BACnet points, so those were appended only. B2.2 registry rooms matched the drawing throughout (VAV7620-7710 = N-1415 to N-1442, VAV7840-7960 = N-1458 to N-1480, and the N-1404x / N-1450x lab series), so all 42 AT twins inherited the registry room. RESOLVED an earlier flag: row 2085 FCU7790 was flagged in turn 8 because it carries the NB_1F tag but appeared on a Level 0 drawing - B2.2 (Level 1) now shows FCU-7790 at Stair 6 N-1ST06, matching the registry, so the NB_1F assignment looks correct and the Level 0 sighting was a graphic repeat. All seven NB_1F FCU rows (2085-2091) were already populated and match B2.2, so none were touched.</t>
  </si>
  <si>
    <t>10th pair complete and verified (rows 1697-1717, 2085-2091, 2138, 2954-3040 re-read; 86 appended rows with no gaps; all 15 flag cells checked against tag names). Next append row = 3040. Flagged: AT-3501 (sits under Lobby S-0294 which is a Level 0 room number on a Level 1 drawing), AT-3502, AT-3511/VAV3511, AT-3514/VAV3514 and AT-3520/VAV3520 (drawing carries TWO rooms labelled OFFICE S-1294 - one bottom-centre, one right of the stair), AT-0207/AT-0208, AT-7705 (registry room is just 'Expansion (Office)' with no number), EV-7663, EV-7712, CEV-7761, CEV-7791. NEW pre-existing issue spotted: rows 2034 and 2036 both give Flow Cyto N-1450C (VEV7751 and VEV7781) but the drawing puts VEV-7781 in iPS-TC N-1450F. STILL OPEN: 21 blank NB GF VAV rows (1468, 1473-1490, 1543-1544); conflicts at rows 1463/1465, 1485, 1517/1518, 1519, 1523/1526, 2119-2121, 1889, 1910/1923, 2132, 2073/2074, 2034/2036; and the AT-0503/AT-0509 vs NCIR Office S-1115 question (row 1569 still blank).</t>
  </si>
  <si>
    <t>Sent the 11th and final image pair — South Building Level 2 and North Building Level 2. Both are plant / penthouse levels.</t>
  </si>
  <si>
    <t>SB L2: filled all 20 blank FCU rows (C/D 2139:2158 = FCU0201-0208, FCU1201/1202, FCU2201-2210), all Not Included. NB L2: appended 10 rows (3040-3049) = 8 AT and 2 EV tags for the electrical and IDF rooms. NB L2 FCU rows (2092-2102) already populated and matching, so untouched. Flagged 6 rows yellow.</t>
  </si>
  <si>
    <t>Pre-read the 20 SB targets with an abort-on-conflict guard; all blank. Verified alignment after the write (FCU0201=South Penthouse S-2101, FCU1201=IDF S-2102, FCU2204=Emerg. Elec. S-2105, FCU2210=IDF S-2107). AT-5930 and AT-5940 also exist as NB_1F rows with different rooms (Office N-1170 / Workstation N-1165); the NB_2F prefix keeps them distinct, and the registry's own VAV5930P (row 1929, Normal Elec. N-2105) and VAV5940P (row 1932, Emer. Elec. N-2106) confirm the Level 2 penthouse assignment is right. AHUs (8011-8026, 8512-8521), ERUs (8531-8541) and EFs (8011A, 8012A, 8041-8044, 8551-8554) were NOT written - continuing the decision made early in this project that AHU-class plant does not serve a single room. If those should be registered, they need a separate pass.</t>
  </si>
  <si>
    <t>Final pair complete and verified (rows 2092-2102, 2139-2158, 3040-3050 re-read; 10 appended rows with no gaps; row 3050 empty; all 6 flag cells checked against tag names). Next append row = 3050. Flagged: FCU0204, FCU2201, FCU2202, FCU2203, FCU2205, FCU2210 - the penthouse FCUs sit in open plant space with no room boundary, so the split between South Penthouse S-2101 and the adjacent Emerg. Elec./IDF rooms is a best-guess. ALL 11 IMAGE PAIRS NOW PROCESSED. OUTSTANDING WORK FOR NEXT SESSION: (1) 21 blank NB GF VAV rows - 1468, 1473-1490, 1543-1544; (2) registry conflicts at rows 1463/1465, 1485, 1517/1518, 1519, 1523/1526, 2119-2121, 1889, 1910/1923, 2132, 2073/2074, 2034/2036; (3) AT-0503 vs AT-0509 and NCIR Office S-1115, row 1569 still blank; (4) SB L1 VAV3519 (row 1712) blank, no AT-3519 on any drawing; (5) unnumbered TAG boxes on NB A2.3, B2.1 and B2.2 that carry no tag ID; (6) AHU/ERU/EF plant equipment unregistered.</t>
  </si>
  <si>
    <t>Re-sent all 18 drawings and asked me to tackle outstanding items 1 to 3: the blank North Building GF VAV rows, the 12 registry conflicts, and the AT-0503 / AT-0509 / NCIR Office S-1115 question.</t>
  </si>
  <si>
    <t>Item 1: filled 19 blank NB GF VAV rows (1468, 1473-1484, 1486, 1488-1490, 1543-1544). Item 2: corrected 13 conflicting rows (1463, 1465, 1485, 1517, 1519, 1523, 1526, 1889, 1910, 2036, 2074, 2119, 2120) and synced 9 dependent appended rows (2565, 2567, 2569, 2572, 2711, 2762, 2775, 2797). Item 3: filled VAV0509 (row 1569). Bonus: filled FCU0502/FCU0503 (2128-2129) from B1.1. Cleared 21 resolved flags, set 11 remaining. Added 16 cell notes recording the evidence for each change.</t>
  </si>
  <si>
    <t>Two swaps were confirmed by temperature, not just position: AT-6220 reads 18.1 C and AT-6205 reads 20.8 C, so VAV6220 is the Emergency Elec. N-0333 unit and VAV6205 the Conference N-0331 unit (rows 1463/1465 were reversed); AT-7185 reads 15.0 C, so VAV7185 is the Emer. Elec. Room N-0433 unit and VAV7215 serves Office N-0438 (rows 1523/1526). Three duplicate-room errors resolved: VAV7145 was sharing N-0427 with VAV7155 (now N-0425); VAV5840 was sharing N-1163 with VAV5905 - A2.2's bottom office band has exactly 17 tags for 17 rooms with AT-5840 left over sitting on the Corridor N-1150 run, so VAV5840 is the corridor unit; VEV7781 was sharing Flow Cyto N-1450C with VEV7751 (now iPS-TC N-1450F). Row 2132 FCU1503 needed no change at all - my turn-10 flag was a misreading of B1.1, which actually shows FCU-0502 and FCU-0503, and filling those two was the bonus. VAV0509 was resolved by elimination rather than read off a drawing, and is flagged with a note saying so.</t>
  </si>
  <si>
    <t>Items 1-3 complete and verified (all 38 changed rows re-read; NB GF rows 1468-1490 and 1543-1544 now have zero blanks; the entire South Building Level 1 block 1566-1696 now has zero blanks; flag colours spot-checked against tag names). REMAINING OPEN: (a) row 2121 FCU7983 - reads Service Corridor N-0344 but does not appear on any drawing supplied, still flagged; (b) VAV6295 (1468), VAV6320 (1473), VAV6410 (1490) - filled but flagged, positions are best-guess; (c) VAV0509 (1569) and AT-0503 (2711) - flagged, need the BMS point list to settle whether the S-1115 sensor is AT-0503 or AT-0509; (d) FCU0502/0503 (2128-2129) flagged on position; (e) SB L1 VAV3519 (row 1712) still blank, no AT-3519 on any drawing; (f) unnumbered TAG boxes on NB A2.3, B2.1, B2.2 need IDs from the mechanical drawings or point list; (g) AHU / ERU / EF plant equipment still unregistered.</t>
  </si>
  <si>
    <t>Switched to the QNL section (rows 766-1165). Sent IMG_9606.jpeg (Honeywell HMI, QNL Second Floor Zone-1 Part-1). New rules: use the Key Plan zone name + image name in parentheses when a room number is absent, mark those Included and highlight red; highlight uncertain rows yellow; only technical/executive rooms are Not Included. Follow-up: CAV/FEV/VEV tags found on drawings must be appended above the SSC section.</t>
  </si>
  <si>
    <t>Filled C/D for VAV_2F_S12_001-029, _097 (rows 975-1004), VAV_2F_S13_004 (row 1008) and FCU_2F_005 (row 850). Applied red fill to the 20 zone-named rows and yellow to the 2 uncertain/technical rows. Located the QNL/SSC boundary for future CAV/FEV/VEV inserts.</t>
  </si>
  <si>
    <t>Rows 975-994 (VAV_2F_S12_001-020) sit in the unlabelled open library floor, so all 20 got 'Second Floor Zone-1 Part-1 (IMG_9606.jpeg)' per the new Key Plan rule (Current View = Part-1), Included, red fill. Named rooms mapped left-to-right along the top office band: 021 Breakout Space, 022 Circulation Office, 023 + 024 Office Space Col., 025 Transl. Spc &amp; ED Publications Spc.; group study band: 026 Room 5, 029 Room 6, 027 Room 7, 097 Room 8; S13_004 Open Office. FCU_2F_005 = MDF Room, Not Included as a technical room, flagged yellow. VAV_2F_S12_028 sits between the two Office Space Col. cells and Transl. Spc with no clear boundary - given a dual name and flagged yellow. QNL section confirmed as rows 766-1165 with the SSC header at row 1166; QNL currently holds only AHUB, FCU and VAV prefixes (no CAV/FEV/VEV rows exist yet).</t>
  </si>
  <si>
    <t>Verified by re-reading A970:D1010 and C850:D850 - values and fill colours confirmed. NOT WRITTEN this turn (right edge of the photo is cut off, rooms not fully readable): VAV_2F_S13_005/006/009/011/012/013 and VAV_2F_S10_001/002/004/005 - awaiting a clearer or adjacent view. No CAV/FEV/VEV tags appear on IMG_9606, so no rows were appended; when they do appear they will be inserted at row 1166, immediately above the SSC header.</t>
  </si>
  <si>
    <t>Second image: IMG_9608.jpeg - QNL Honeywell HMI, 'Second Floor Zone-2-P1' (Key Plan: Second Level, Current View = Part-1). Fill in the QNL section using the same rules as the first image.</t>
  </si>
  <si>
    <t>Filled C/D for 33 rows: VAV_2F_S10_003 (971), _006 (974); VAV_2F_S13_001/002/003/008/010/015/016 (1005-1020); VAV_2F_S14_001-014 (1021-1034) and _016-020 (1036-1040); VAV_2F_S15_001-005 (1042-1046). Red fill on the 21 zone-named rows, yellow on 2 rows needing review.</t>
  </si>
  <si>
    <t>Named rooms read left-to-right off the executive/admin band: S13_010 + S13_015 = Ad. Admin &amp; Planning, S13_008 = Office Coord., S13_001 + S13_002 = Lib. Director's Room, S13_003 = Service &amp; Lounge, S13_016 = VIP Waiting, S15_001-004 = VIP Room, S15_005 = VIP Meeting. Applied the executive-room rule: Lib. Director's Room, VIP Room, VIP Waiting and VIP Meeting all set to Not Included (7 rows). Ad. Admin &amp; Planning set to Included but flagged yellow - it sits inside the same executive suite band and may be an executive office rather than a staff office, so it needs your call. The whole right-hand grid (S14_001-014, _016-020) and the two S10 units on the left have no room label on the drawing, so all 21 got 'Second Floor Zone-2 Part-1 (IMG_9608.jpeg)' per the Key Plan rule, Included, red fill.</t>
  </si>
  <si>
    <t>Verified by re-reading A971:D1046 - tags, values and fill colours all confirmed against the intended mapping. NOT WRITTEN (cropped off the right edge of the photo): VAV_2F_S14_015 (row 1035) and VAV_2F_S14_021 (row 1041) - their tags are cut off mid-label. Also still outstanding from image 1: VAV_2F_S13_005/006/009/011/012/013 and VAV_2F_S10_001/002/004/005. No CAV, FEV or VEV tags on this drawing either, so no rows appended above the SSC header (row 1166).</t>
  </si>
  <si>
    <t>Third image: IMG_9610.jpeg - QNL Honeywell HMI, 'Second Floor Zone-3-P1' (Key Plan: Second Level, Current View = Part-1). Fill in the QNL section using the same rules.</t>
  </si>
  <si>
    <t>Filled C/D for 2 rows: FCU_2F_043 (row 860) and FCU_2F_044 (row 861), both set to Included / 'Display Area'. No highlight applied.</t>
  </si>
  <si>
    <t>This view is almost empty - only two FCU tags and a single blue room label, 'Display Area', are present. Both FCUs sit inside the same wall-bounded open hall as that label (between the vertical wall runs at either side), so the real room name was used rather than the Key Plan zone fallback, meaning no red highlight was needed. Display Area is a public library space, so neither the technical-room nor the executive-room exclusion applies and both are Included. Row positions confirmed by reading A846:A880: the FCU_2F block runs 001-005 at rows 846-850 then jumps to 034-062 at rows 851-879, which puts 043 at 860 and 044 at 861.</t>
  </si>
  <si>
    <t>Verified by re-reading A860:D861 as rendered text - both rows show the correct tag, Included, and Display Area. Judgement call flagged to the user in chat rather than with a yellow fill: the 'Display Area' label sits a fair distance from the two tags in a sparse drawing, so it is worth a glance on review. Outstanding backlog unchanged: VAV_2F_S14_015 (1035), VAV_2F_S14_021 (1041), VAV_2F_S13_005/006/009/011/012/013, VAV_2F_S10_001/002/004/005. Still no CAV, FEV or VEV tags seen on any drawing so far, so nothing appended above the SSC header at row 1166.</t>
  </si>
  <si>
    <t>Fourth image: IMG_9611.jpeg - QNL Honeywell HMI, 'Second Floor Zone-3-P2' (Key Plan: Second Level, Zn-3, Current View = Part-2). Fill the QNL section using the established rules.</t>
  </si>
  <si>
    <t>Filled C/D for 18 FCU rows: FCU_2F_034-040 (851-857), _045-055 (862-872). All set Included. Yellow flag on 2 rows (866, 869). No red/zone-named rows needed - every device on this view sits in a labelled room.</t>
  </si>
  <si>
    <t>Auditorium is the large room top-centre and holds 7 units: FCU_2F_034-040 (rows 851-857). The middle block carries two 'Group Study Room' labels (one above, one below) with FCU_2F_045, _046, _047 inside - all three named Group Study Room since both labels read identically. The right block is split into a rest-room column and an individual-study column, top and bottom: FCU_2F_048 = Rest Room (Men), _051 = Rest Room (Women), _050 and _053 = Indiv. Study Room. Bottom of view: FCU_2F_054 and _055 = Lounge Area. Rest rooms, lounge, auditorium and study rooms are all public library spaces - none are technical or executive - so nothing on this drawing is Not Included.</t>
  </si>
  <si>
    <t>Verified by re-reading A851:D872 - tags, values and fill colours all confirmed. FLAGGED YELLOW for review: FCU_2F_049 (row 866) and FCU_2F_052 (row 869) sit in a middle column between the rest rooms and the individual study rooms with no label directly above them, so each was given a dual name pending your decision. NOT WRITTEN: FCU_2F_041 (858) and _042 (859) do not appear on this view. Backlog still open: VAV_2F_S14_015 (1035), _021 (1041), VAV_2F_S13_005/006/009/011/012/013, VAV_2F_S10_001/002/004/005. Still no CAV, FEV or VEV tags on any drawing so far - nothing inserted above the SSC header (row 1166).</t>
  </si>
  <si>
    <t>Fifth image: IMG_9621.jpeg - QNL Honeywell HMI, 'Terrace Floor Zone-1-P1' (Key Plan: Terrace Level, Current View = Part-1). First terrace-level drawing; only 4 tags on the view.</t>
  </si>
  <si>
    <t>Filled C/D for 4 FCU rows, all Included: FCU_2F_060/061/062 (rows 877-879) = Recreational Area; FCU_2F_003 (row 848) = 'Book Shelf (IMG_9621.jpeg)' flagged yellow. No red rows - every sensor had a nearby drawing label.</t>
  </si>
  <si>
    <t>FCU_2F_060, _061 and _062 sit clearly inside the walled box carrying the 'Recreational Area' label, so those three were straightforward. FCU_2F_003 is the judgement call: it sits at the left end of the long open strip along the top of the terrace that carries three repeated 'Book Shelf' labels. That is a furniture/zone descriptor rather than a discrete room, and because the label repeats three times it does not uniquely identify a space - so it was named 'Book Shelf (IMG_9621.jpeg)' and flagged yellow rather than red, since a real drawing label does exist and the Key Plan fallback was not strictly triggered. Note the terrace level still uses the FCU_2F_ tag prefix, so terrace assets live inside the same FCU_2F block (rows 846-879) as the second floor - no separate terrace range.</t>
  </si>
  <si>
    <t>Verified by re-reading A877:D879 and A848:D848 as rendered text - tags, values and Included flags all confirmed. Open question raised with the user: whether 'Book Shelf' should stand as the room name or be replaced with the Terrace Zone-1 Part-1 Key Plan name. Backlog still owed: VAV_2F_S14_015 (1035), _021 (1041), VAV_2F_S13_005/006/009/011/012/013 (1009/1010/1013/1015/1016/1017), VAV_2F_S10_001/002/004/005 (969/970/972/973), plus FCU_2F_041 (858) and _042 (859). Also still pending user decision: middle-column rows 866 and 869 from IMG_9611, and the Ad. Admin &amp; Planning rows 1014/1019 from IMG_9608. Still zero CAV/FEV/VEV on any drawing so far.</t>
  </si>
  <si>
    <t>Sixth image: IMG_9622.jpeg - QNL Honeywell HMI, 'Terrace Floor Zone-2-P1' (Key Plan: Terrace Level, Current View = Part-1). Fill in the QNL section using the established rules.</t>
  </si>
  <si>
    <t>Filled C/D for 5 rows, all Included: FCU_2F_056-059 (rows 873-876) = Internal Terrace; FCU_2F_004 (row 849) = zone name, red fill. Confirmed tags in column A before writing.</t>
  </si>
  <si>
    <t>The four sensors FCU_2F_056-059 sit inside the walled box carrying the blue 'Internal Terrace' label, so that room name was used directly - no highlight needed. FCU_2F_004 sits alone in the upper open band at the top right of the drawing with no room or area label anywhere near it, so the Key Plan fallback applied: 'Terrace Floor Zone-2 Part-1 (IMG_9622.jpeg)', Included, red fill. Neither the technical-room nor executive-room exclusion applies to anything on this view. Row positions confirmed against the FCU_2F block: 034=851 so 056=873 ... 059=876, and 004=849.</t>
  </si>
  <si>
    <t>Verified by re-reading A849:D849 and A873:D876 - tags, values and fill colours all confirmed. Open question still unanswered from the previous turn: how to treat terrace open-plan furniture labels (Book Shelf, Carrels, Media Station, Computer Station, Open Seating) - use the label as-is or fall back to the Key Plan zone name. Row 848 remains yellow pending that decision. Backlog owed: FCU_2F_041 (858), _042 (859), VAV_2F_S14_015 (1035), _021 (1041), VAV_2F_S13_005/006/009/011/012/013, VAV_2F_S10_001/002/004/005. Pending user decisions: rows 866/869 middle column, rows 1014/1019 Ad. Admin &amp; Planning. Still zero CAV/FEV/VEV on any drawing, so nothing appended above the SSC header (row 1166).</t>
  </si>
  <si>
    <t>Seventh image: IMG_9624.jpeg - QNL Honeywell HMI, 'Terrace Floor Zone-3-P1' (Key Plan: Terrace Level, Zn-3, Current View = Part-1). Fill in the QNL section.</t>
  </si>
  <si>
    <t>Filled C/D for a single row: FCU_1F_001 (row 781) = Included / 'Scholarly Journals (IMG_9624.jpeg)', yellow flagged pending the terrace naming decision.</t>
  </si>
  <si>
    <t>This view has only one tag on the whole drawing. Note the prefix is FCU-1F-001, not FCU-2F - the terrace level draws on both the FCU_1F and FCU_2F blocks, so row lookup was confirmed by reading A780:B782 (FCU_1F_001 = row 781, immediately after AHUB015 at row 780). The only nearby label is 'Scholarly Journals', which is a collection/furniture-area descriptor of the same kind as 'Book Shelf' on row 848 - not a discrete room. Handled it identically to row 848: used the drawing label with the image name appended and flagged yellow, so both rows can be flipped together once the user decides whether terrace furniture labels count as room names or should fall back to the Key Plan zone name. Included, as it is neither a technical nor an executive room.</t>
  </si>
  <si>
    <t>Verified by re-reading A781:D781 as rendered text - tag FCU_1F_001, Included, 'Scholarly Journals (IMG_9624.jpeg)' confirmed. No other tags on this view. Backlog still owed: FCU_2F_041 (858), _042 (859), VAV_2F_S14_015 (1035), _021 (1041), VAV_2F_S13_005/006/009/011/012/013, VAV_2F_S10_001/002/004/005. Awaiting user decisions on: terrace furniture-label policy (rows 848 and 781), rows 866/869 middle column, rows 1014/1019 Ad. Admin &amp; Planning. Still zero CAV, FEV or VEV tags across all seven drawings, so nothing appended above the SSC header (row 1166).</t>
  </si>
  <si>
    <t>Ninth image: IMG_9627.jpeg - QNL Honeywell HMI, 'Terrace Floor Zone-4-P2' (Key Plan: Terrace Level, Current View = Part-2). Fill in the QNL section.</t>
  </si>
  <si>
    <t>Filled C/D for 2 rows: FCU_2F_001 (846) and FCU_2F_002 (847), both Included with the Key Plan zone name and red fill.</t>
  </si>
  <si>
    <t>Only two tags on this view: FCU-2F-001 (39.9 C) and FCU-2F-002 (38.7 C), both sitting in the unlabelled triangular open corner at the left of the plan, inside the outer wall. The surrounding text on this floor is all repeated open-plan furniture descriptors (Carrels, Media Station, Computer Station, Open Seating) rather than room names, and none of them sits on top of either unit - the nearest, Carrels, falls between the two. Because those descriptors repeat many times across the terrace and cannot uniquely identify a location, both rows got 'Terrace Floor Zone-4 Part-2 (IMG_9627.jpeg)' per the Key Plan rule, Included, red fill. Note this differs from rows 848 and 781, where the unit did sit inside a single labelled strip so the drawing label was kept and flagged yellow instead - both approaches remain open pending the user's terrace naming decision.</t>
  </si>
  <si>
    <t>Verified by re-reading A846:D847 as rendered text - tags confirmed as FCU_2F_001 and FCU_2F_002, values and red fill correct. Backlog still owed: FCU_2F_041 (858), _042 (859), VAV_2F_S14_015 (1035), _021 (1041), VAV_2F_S13_005/006/009/011/012/013 (1009/1010/1013/1015/1016/1017), VAV_2F_S10_001/002/004/005 (969/970/972/973). Awaiting user decisions on: terrace furniture-label policy (rows 781, 848 and the approach used here), rows 866/869 middle column, rows 1014/1019 Ad. Admin &amp; Planning. No CAV, FEV or VEV tags on this drawing - none seen on any of the eight drawings so far, so nothing appended above the SSC header (row 1166).</t>
  </si>
  <si>
    <t>IMG_9587.jpeg - QNL Honeywell HMI, 'Basement Zone-1-P1' (Key Plan: Basement Level, Current View = Part-1). Largest drawing so far and the FIRST one containing CAV tags, which per the earlier instruction must be added above the SSC section.</t>
  </si>
  <si>
    <t>Filled C/D for 49 existing rows and INSERTED 2 new CAV rows. Existing: VAV_B_S11_001-046 (rows 1071-1116, minus _023 not on view), VAV_B_S13_001/002/006 (1117/1118/1122), FCU_B_002 (881). New: inserted rows 1166-1167 for CAV_B_S13_007 and CAV_B_S13_020 - the SSC section header consequently moved from row 1166 to row 1168.</t>
  </si>
  <si>
    <t>Basement row map confirmed by reading A1047:A1166: VAV_B_S10_001-024 = 1047-1070, VAV_B_S11_001-046 = 1071-1116, VAV_B_S13_001-008 = 1117-1124, VAV_B_S14 = 1125+, VAV_B_S15_013 = 1165. Small labelled offices mapped one-to-one: 024 Kitchen, 025 Storage, 026 Finance Cooridinator &amp; Business Support OFCR. (yellow leader arrow), 028 Analog Resources, 029 Digital Resources, 030+031 Budget &amp; Payment, 032+033 Ad Collection, 034 Engineering, 035 Arabic Sudies, 037 Art &amp; Humanities, 038 Procurement SPC, 039 Business Computing, 040 Social Sciences, 041 Literature Language, 042 Coordinator, 043-046 Receiving Area, 022 Corridor 1, S13_001+002 Meeting Room. VAV_B_S11_036 sits alone at the top of the drawing but has a yellow leader line running down and left to the 'Licensing Expert' label, so it was named from the leader rather than from proximity. Spellings kept exactly as drawn ('Cooridinator', 'Arabic Sudies'). Both CAVs set Not Included as technical rooms (MV Room-01 / MV Room-02) and flagged yellow. Row 1091 (VAV_B_S11_021) has no room label so it took the Key Plan name, Included, red.</t>
  </si>
  <si>
    <t>Verified by re-reading A1071:D1073, A1090:D1092, A1094:D1098, A1106:D1107, A1116:D1118, A1122:D1122, A881:D881 and A1163:D1170 - tags, values and the row insert all confirmed; SSC header now at 1168. YELLOW flagged for user review (7 rows + 2 CAV): 1071/1072/1081/1082 Break Out Area - the top open area carries TWO labels ('Break Out Area' and 'Tech, Services &amp; Collections Office') with no dividing wall between them, so the split point between VAV _002/_003 and _012/_013 is a judgement call; 1097 (VAV_B_S11_027) sits between the Finance and Budget &amp; Payment cells with no label above it; 1122 + 881 'Freeze Area' - unclear whether this counts as a technical/plant space (currently Included); 1166/1167 CAVs - inferred from proximity to the MV rooms. NOT WRITTEN: VAV_B_S11_023 (row 1093) is not shown on this view. Non-HVAC tags on the drawing (EF-B-09, GCP-01, SMDB, DX-B-xx, MV Panel-1/2/3, CPNL-0006, LCP-Z1, FWS/FWP-01) are out of scope. Future CAV/FEV/VEV inserts now go at row 1168.</t>
  </si>
  <si>
    <t>IMG_9588.jpeg - QNL Honeywell HMI, 'Basement Zone-1-P2' (Lower Level Floor Plan Zone-1 Part-2). Heavily plant-orientated view containing 15 new CAV tags plus 18 FCU_B tags and the one VAV that was missing from the previous drawing.</t>
  </si>
  <si>
    <t>Filled C/D for 19 existing rows and INSERTED 15 new CAV rows. Existing: FCU_B_003/006/007/008/009/011/012/013/014/027/028/031-037 (rows 882-916) and VAV_B_S11_023 (row 1093). New: inserted rows 1168-1182 and rewrote the whole CAV block A1166:D1182 in sorted tag order - the SSC section header moved from row 1168 to row 1183.</t>
  </si>
  <si>
    <t>FCU_B row map confirmed (FCU_B_00N = row 879+N, 001=880 ... 038=917). Plant/technical rooms set Not Included per the rule: Plant Room 1 (FCU_B_011/012 + CAV_B_S12_001/002/003), Plant Room 2 (FCU_B_013/014 + CAV_B_S13_010/011), Sprinklers Pumps (FCU_B_007 + CAV_B_S13_021), Server Room (CAV_B_S13_013/014/015), Fire Command (FCU_B_006 + CAV_B_S13_006/012), GAS Suppression (CAV_B_S13_008), IDF (FCU_B_003). Library spaces set Included: Sorting Shelving Room (FCU_B_027/028), Compact Shelving Main Collection (FCU_B_031), Shell Space-Special Collection (FCU_B_032/033/034/035), IT Office (FCU_B_036 - treated as a staff office, not a plant room), Corridor 2 (CAV_B_S13_001/002). FCU_B_003 was named from a yellow leader line running up to the IDF label rather than by proximity. The CAV block was rebuilt as a single sorted range so the two CAVs added last turn (S13_007, S13_020) now sit in tag order with the new ones; their names were kept and re-stamped with their source image (IMG_9587).</t>
  </si>
  <si>
    <t>Verified by re-reading A882:D888, A890:D893, A906:D916, A1093:D1093 and A1166:D1183 - all 36 rows, the 15-row insert and the new SSC header position at 1183 confirmed. YELLOW flagged for review (10 rows): 882 IDF and 916 Corridor (leader/proximity calls); 885 + 1172 + 1177 Fire Command - three units sit in the top strip shared by Fire Command, GAS Suppression and UPS Battery Room with no clear wall, so the split is inferred partly from leader lines; 1174 GAS Suppression (same strip); 1178 + 1179 Server Room - these two sit left of the Server Room label near MF-B-02 and may belong to a separate space; 1171 Corridor - sits between People Mover, Shell Space and the Corridor label; 1093 VAV_B_S11_023 - sits exactly on the Plant Room 1 / Plant Room 2 boundary, though both are technical so Not Included holds either way. RED (2 rows): 887 + 888 (FCU_B_008/009) are at the cropped right edge with no room label, so they took the Key Plan name. Out of scope on this drawing: AHU-B-xx, EF-B-xx, DX-B-xx, PDP, PCP, MF-B, CPNL, GWSHL, CC-B, ATS Panel, SWP, FP/JP. Future CAV/FEV/VEV inserts now go at row 1183.</t>
  </si>
  <si>
    <t>IMG_9589.jpeg - QNL Honeywell HMI, 'Basement Zone-2-P1' (Lower Level Floor Plan Zone-2 Part-1). Back-of-house / bindery view with 28 VAV_B_S14 tags and 5 new CAV tags.</t>
  </si>
  <si>
    <t>Filled C/D for 28 existing VAV rows (VAV_B_S14_001-016 = rows 1125-1140, _040-051 = rows 1141-1152) and INSERTED 5 new CAV rows at 1183-1187 (CAV_B_S14_001, _006, _007, CAV_B_S15_002, _003). SSC section header moved from row 1183 to row 1188. Everything on this drawing is Included - no technical or executive rooms carry a controllable tag here.</t>
  </si>
  <si>
    <t>Clean one-to-one mappings: S14_001 Office, _002 Office DG., _003 Office AD. For LIT, _004/_005/_006 Digitization Room, _007/_008 Shell Space, _009 Dry Store, _015 Reception &amp; Lounge. CAVs: S14_001 Loading Area, S14_006 Referigerate Store, S14_007 BOH Kitchen, S15_002 Corridor 5 (label sits directly beside it). Kept the drawing's own spelling 'Referigerate Store'. The Q-Tel Room, Telecom Room and MEP Kitchen are technical spaces but carry no VAV/CAV/FCU tag on this view, so nothing was set to Not Included. Out of scope: EF-B-xx, DX-B-17/18/19, SWP-05/06, CCU-B-01 to 04, LCP-Z2, DRS &amp; DTS, Calorifier.</t>
  </si>
  <si>
    <t>Verified by re-reading A1125:D1152 and A1180:D1190 - all 33 rows, the 5-row insert and the new SSC header position at 1188 confirmed. IMPORTANT DISCREPANCY logged as a cell note on D1129: the HMI label between VAV-B-S14-004 and VAV-B-S14-006 reads 'VAV-B-S11-005', but VAV_B_S11_005 (row 1075) was already assigned to Tech, Services &amp; Collections Office from IMG_9587.jpeg. Recorded positionally as VAV_B_S14_005 = Digitization Room and flagged yellow - user to confirm the correct tag. OTHER YELLOW FLAGS (9 rows total): 1136/1137/1144/1145/1150/1151 - 'Fine Binding' and 'Binding &amp; Preservation Space' label one large open area with no dividing wall, so the left/right split of the 16 units in that room is a judgement call and these six sit nearest the split point; 1140 (S14_016) sits below the Reception &amp; Lounge cell near the DRS &amp; DTS panel; 1141 (S14_040) is drawn outside the plan at the bottom and was named from its yellow leader line running up into the BOH Kitchen; 1187 (CAV_B_S15_003) sits well above the Corridor 5 label and may belong to the bindery instead.</t>
  </si>
  <si>
    <t>IMG_9591.jpeg - QNL Honeywell HMI, 'Basement Zone-3-P1' (Lower Level Floor Plan Zone-3 Part-1). Heritage/researcher entrance sequence. The whole plan is drawn on a 45-degree diagonal, which makes label-to-device proximity much less reliable than on the orthogonal views.</t>
  </si>
  <si>
    <t>Filled C/D for 16 existing rows, all Included: VAV_B_S10_020-023 (rows 1066-1069), VAV_B_S15_001-009 (rows 1153-1161), VAV_B_S15_013 (row 1165), FCU_B_029 (row 908), FCU_B_038 (row 917). No CAV, FEV or VEV tags on this drawing, so no rows were inserted and the SSC header stays at row 1188.</t>
  </si>
  <si>
    <t>Confident mappings: S10_020/021 Reserchers Reading Area, S10_023 Entry, S15_008 Vestibule, S15_013 Reserchers &amp; Doc. RCRDS MGMT (yellow leader lines link the tag and that label across the drawing), FCU_B_029 Heritage Collection Entrance, FCU_B_038 Pantry (named from its yellow leader, since the tag itself sits outside the room outline). Drawing spellings preserved exactly: 'Reserchers Reading Area', 'Loby and Security', 'Reserchers &amp; Doc. RCRDS MGMT'. Nothing was set to Not Included - the only technical space on the view is the IDF Room and it carries no controllable tag. FCU_B_038 displays '??????' rather than a temperature, recorded as a cell note on D917.</t>
  </si>
  <si>
    <t>Verified by re-reading A908:D908, A917:D917, A1066:D1069, A1153:D1161 and A1165:D1165 - all values and notes confirmed. YELLOW flagged (9 rows): 1153/1157/1158 Prof. Librarian and 1154/1155/1156/1159 Loby and Security - these seven S15 units sit in the diagonal entrance band where Entry, Prof. Librarian, Loby and Security, Vestibule and Pantry are packed close together and the 45-degree rotation makes nearest-label assignment unreliable, so the split between Prof. Librarian and Loby and Security needs user confirmation; 1068 (S10_022) sits below the Reserchers Reading Area label and may belong to the adjacent space; 1161 (S15_009) Asst. Head is flagged for the INCLUSION question rather than the name - it is a management office and may qualify as an executive room, currently left Included, cell note added to D1161. NOT WRITTEN: VAV_B_S15_010/011/012 (rows 1162-1164) do not appear on this view.</t>
  </si>
  <si>
    <t>IMG_9592.jpeg - QNL Honeywell HMI, 'Basement Zone-3-P2' (Lower Level Floor Plan Zone-3 Part-2). Sparse view: mostly plant equipment plus the executive suite at the top. Contains the three S15 VAVs that were left blank from the previous drawing.</t>
  </si>
  <si>
    <t>Filled C/D for 4 existing rows: VAV_B_S15_010/011/012 (rows 1162-1164) and FCU_B_001 (row 880). No CAV, FEV or VEV tags on this drawing, so no rows inserted and the SSC header stays at row 1188. The VAV_B_S15 block (rows 1153-1165) is now complete.</t>
  </si>
  <si>
    <t>Applied the executive-room rule: VAV_B_S15_010 = Director Head and VAV_B_S15_012 = VIP Majlis, both Not Included, consistent with how Lib. Director's Room / VIP Room / VIP Meeting were treated on the second floor. Room names sit just below-right of each sensor's T circle on this drawing, which is what drove the assignment. Note the 'Asst. Head' label appears on BOTH this view and Zone-3-P1 - it is the same room seen across the Part-1 / Part-2 boundary, already recorded against VAV_B_S15_009 (row 1161), so it was not duplicated here. Out of scope on this drawing: UPS Panel, EF-B-12, FWP-05/06, PHX-B-01 to 04, CHWP-1/2/3/4, PU-B-01, CPNL-0005, LCP-Z3. Plant Room 4, Ventilation, Air Shaft, Maintanance and Corridor are labelled but carry no controllable tag, so nothing else was set to Not Included.</t>
  </si>
  <si>
    <t>Verified by re-reading A880:D880 and A1161:D1165 - values, fills and notes confirmed. YELLOW (1 row): 1163 (VAV_B_S15_011) sits between the Director Head and VIP Majlis labels with no clear wall; assigned to VIP Majlis, though both candidates are executive so Not Included holds either way. RED (1 row): 880 (FCU_B_001) is drawn outside the plan outline on the left with NO leader line to any room, so it took the Key Plan name and was auto-Included per the agreed rule - however its two nearest labels are 'IDF Rooom' and 'VIP Restroom', and BOTH of those would make it Not Included (technical / executive). This is the one row on this drawing where the standing rule and the likely reality disagree, so a cell note was added to D880 asking the user to confirm. Two 'VIP Restroom' labels with upward yellow leader arrows exist on the view but neither points at a controllable tag.</t>
  </si>
  <si>
    <t>IMG_9593.jpeg - QNL Honeywell HMI, 'Basement Zone-4-P1' (Lower Level Floor Plan Zone-4 Part-1). Almost entirely empty view - the bulk of it is the Compact Shelving Main Collection stacks and the Vault / Heritage Collection block, none of which carry controllable tags.</t>
  </si>
  <si>
    <t>Filled C/D for 1 existing row: FCU_B_005 (row 884) set to Not Included / 'HL Plant Room'. No CAV, FEV or VEV tags on this drawing, so no rows inserted and the SSC header stays at row 1188.</t>
  </si>
  <si>
    <t>FCU_B_005 was named from its yellow leader line rather than by proximity: the 'HL Plant Room' label sits below-left of the tag and runs a leader right then up into the small room at the apex of the diagonal wall, and the CCU-1,2,3,4,5,6 block leaders into the same space. HL Plant Room is a plant/technical room, so the technical-room rule applies and it was set Not Included. No highlight was needed - the leader makes the assignment unambiguous. Labelled but untagged on this view: Compact Shelving Main Collection (x2), Vault, Heritage Collection. Out of scope: CCU-1,2,3,4,5,6.</t>
  </si>
  <si>
    <t>Verified by re-reading A884:D884 as rendered text - FCU_B_005 / FCU / Not Included / HL Plant Room confirmed. No yellow or red flags raised on this drawing. Outstanding backlog unchanged: FCU_2F_041 (858), FCU_2F_042 (859), VAV_2F_S14_015 (1035), VAV_2F_S14_021 (1041), VAV_2F_S13_005/006/009/011/012/013 (1009/1010/1013/1015/1016/1017), VAV_2F_S10_001/002/004/005 (969/970/972/973). Pending user decisions carried forward: terrace furniture-label policy (rows 781, 848 vs 846/847), rows 866/869 middle column, rows 1014/1019 Ad. Admin &amp; Planning, row 1129 VAV-B-S11-005 vs S14-005 tag conflict, Fine Binding / Binding &amp; Preservation split, row 1161 Asst. Head executive question, row 880 FCU_B_001.</t>
  </si>
  <si>
    <t>IMG_9594.jpeg - QNL Honeywell HMI, 'Basement Zone-4-P2' (Lower Level Floor Plan Zone-4 Part-2). Plant-heavy view: Plant Room 4, PH Plant, Pump Room, FM Storage and the misting/storage cluster off Corridor 6.</t>
  </si>
  <si>
    <t>Filled C/D for 11 existing FCU rows: FCU_B_004 (883), _018/_019/_020/_021 (897-900), _022/_023 (901-902), _024 (903), _025/_026 (904-905), _030 (909). Seven set Not Included as technical rooms, four Included. No CAV, FEV or VEV tags on this drawing, so no rows inserted and the SSC header stays at row 1188.</t>
  </si>
  <si>
    <t>Technical rooms set Not Included per the rule: Plant Room 4 (FCU_B_018/019/020/021 - the room also holds AHU-B-01/05/06/07/08, EF-B-03, GWSHL-B-05, LCP-Z4, CPNL-0004), PH Plant (FCU_B_024, room holds PPSP-01 to 06), Pump Room (FCU_B_030), Misting System (FCU_B_026). Included: FM Storage (FCU_B_004/022/023) and Storage (FCU_B_025) - storage areas are neither technical plant nor executive, so they stay in scope. FCU_B_025 and _026 are drawn BELOW the plan outline and were placed using their yellow leader lines, which run up into the two small rooms off Corridor 6 labelled 'Storage' and 'Misting System'. Out of scope on this drawing: AHU-B-xx, EF-B-03, GWSHL-B-04/05, PDS/PDP-03/05, PPSP-01 to 06, MBP-01, LCP-Z4, CPNL-0004, CC-B-10/11, SWP-11/12, ST-12.</t>
  </si>
  <si>
    <t>Verified by re-reading A883:D883 and A897:D909 as rendered text - all 11 rows confirmed. YELLOW flagged (3 rows): 883 (FCU_B_004) sits OUTSIDE the FM Storage wall on the left with no leader line, assigned to FM Storage as the nearest room but unconfirmed; 904 (FCU_B_025) and 905 (FCU_B_026) - both are drawn outside the plan and their leaders terminate very close together at the Storage / Misting System pair, with the 'Corridor 6' label sitting directly between the two leader lines, so the Storage vs Misting System vs Corridor 6 split is a judgement call. This matters for classification, not just naming: FCU_B_025 was left Included as Storage while FCU_B_026 was set Not Included as Misting System, so if the pairing is reversed the inclusion flips too. FCU_B block status: 34 of 38 rows now filled; still blank are FCU_B_010 (889), _015 (894), _016 (895) and _017 (896), none of which have appeared on any drawing yet.</t>
  </si>
  <si>
    <t>IMG_9596.jpeg - QNL Honeywell HMI, 'First Floor Zone-1-P1' (First Level Floor Plan Zone-1 Part-1). First drawing from the first floor and the first to contain CAV_1F tags. Dense teaching/study view with 26 VAV_1F_S11, 8 VAV_1F_S15, 6 CAV_1F_S11 and one FCU_1F.</t>
  </si>
  <si>
    <t>Filled C/D for 34 existing rows and INSERTED 6 new CAV rows. Existing: VAV_1F_S11_001-022 (rows 919-940), _088/_089/_090 (942-944), VAV_1F_S15_005/006/007/008 (949-952), _012 (956), _039S (964), _096/_097 (966-967), FCU_1F_002 (782). New: inserted rows 1166-1171 for CAV_1F_S11_001/002/006/007/008/009, placed AHEAD of the CAV_B block to keep the CAV section in tag order. CAV block now spans 1166-1193 and the SSC header moved from row 1188 to row 1194.</t>
  </si>
  <si>
    <t>Clean mappings: Group Study Room1/2/3/4 (S11_001/002/003/022), Computer Classroom (S11_014-021, eight units in the right-hand teaching block), Childeren Library (S15_006/007/008 + CAV_1F_S11_009), Multipurpose Room (S15_096/097), Staff Office (S15_039S), Security Room (CAV_1F_S11_001), Open Reading Area (CAV_1F_S11_006). Drawing spellings preserved: 'Infor. Lteracy Instr.1/2', 'Childeren Library'. EXECUTIVE RULE APPLIED: VAV_1F_S15_005 = Head Librarian Office set Not Included, consistent with Lib. Director's Room and Director Head. Everything else on this view is Included. FCU_1F_002 named from its yellow leader line running down to the ICT Room (Women) label. Out of scope: EF-1-02C, LCP-Z1, ST-01, ST-16, L-1, L-2.</t>
  </si>
  <si>
    <t>Verified by re-reading A782, A919:D944, A949:D952, A956, A964:D967 and A1164:D1196 - all 40 rows, the 6-row insert and the new SSC header position at 1194 confirmed. YELLOW flagged (9 rows): 922/923/924/928 - the Infor. Lteracy Instr.1 and Instr.2 labels sit one above the other over a single 2x5 grid of VAVs with no clear wall between them; split as 2 units to Instr.1 and 8 to Instr.2, which is uneven and needs confirmation; 956 (S15_012) sits below the Staff Office in an unlabelled pocket and was assigned to Childeren Library on proximity; 782 (FCU_1F_002) ICT Room (Women) - flagged for the INCLUSION question, currently Included as a public ICT space rather than a technical room; 1167 (CAV_1F_S11_002) leader points into the Rest Room / ICT block; 1169 (CAV_1F_S11_007) sits in the corridor gap between the Computer Classroom and the Head Librarian/Staff Office block, reading a notably cold 15.2; 1170 (CAV_1F_S11_008) sits exactly between the downward leader arrows for Infor. Lteracy Instr.1 and Computer Classroom, so it was given a dual name. RED (3 rows): 942/943/944 (S11_088/089/090) sit in the bottom-right run with no room label. NOT WRITTEN: VAV_1F_S11_087 (row 941) does not appear on this view.</t>
  </si>
  <si>
    <t>IMG_9598.jpeg - QNL Honeywell HMI, 'First Floor Zone-2-P1' (First Level Floor Plan Zone-2 Part-1). Restaurant / Front Kitchen / Public Service view with 12 new CAV_1F_S15 tags.</t>
  </si>
  <si>
    <t>Filled C/D for 11 existing rows and INSERTED 12 new CAV rows. Existing: FCU_1F_003 (783), FCU_1F_059-064 (839-844), VAV_1F_S15_009/010/011 (953-955), VAV_1F_S15_098 (968). New: inserted rows 1172-1183 for CAV_1F_S15_002/005/006/010/011/012/013/014/015/016/017/018, placed after the CAV_1F_S11 group. CAV block now spans 1166-1205 and the SSC header moved from row 1194 to row 1206.</t>
  </si>
  <si>
    <t>The Restaurant / Front Kitchen block was split by row: the bottom run of sensors sits level with the 'Front Kitchen' label (CAV_1F_S15_006 + FCU_1F_062/063/064) and everything above it belongs to the Restaurant (CAV_1F_S15_002/005/010/011/012/013/014/015 + FCU_1F_059/060/061). Both are Included - a kitchen is neither plant nor executive. Multipurpose Room (VAV_1F_S15_098) sits inside the circular room outline, unambiguous. FCU_1F_003 = IDF Room set Not Included as a technical room. The right-hand staff rooms on this view (Bibliographer1/2, Spec. Coll &amp; Arch, R&amp;L Services, AD. Public Service, REF. Librarian 1-12) carry NO controllable tags, so none were recorded. Out of scope: EF-2-01, EF-1-01C, L-3, L-4, ST-03.</t>
  </si>
  <si>
    <t>Verified by re-reading A783, A839:D844, A953:D955, A968 and A1170:D1207 - all 23 rows, the 12-row insert and the new SSC header position at 1206 confirmed. YELLOW flagged (3 rows): 783 (FCU_1F_003) sits between the 'Storage' label above and 'IDF Room' below; assigned IDF Room per this drawing's label-below-right convention, which also drives the Not Included call, so if it is actually Storage the classification flips; 1181 + 1182 (CAV_1F_S15_016/017) sit just outside the restaurant's right-hand wall in the circulation zone and were assigned to Public Service on proximity. RED (4 rows): 953/954/955 (VAV_1F_S15_009/010/011) sit in the unlabelled open area at top-left outside the room outline; 1183 (CAV_1F_S15_018) sits in an unlabelled pocket near the L-3/L-4 lifts, above the Media Studio / Storage strip. Cell note added to D1180: CAV_1F_S15_015 displays '??????' instead of a temperature - second sensor found showing this fault after FCU_B_038 (row 917).</t>
  </si>
  <si>
    <t>IMG_9599.jpeg - QNL Honeywell HMI, 'First Floor Zone-2-P2' (First Level Floor Plan Zone-2 Part-2). Media studios, prayer/ablution block and the lounge FCU bank. Also contains VAV_1F_S11_087, which was outstanding from IMG_9596.</t>
  </si>
  <si>
    <t>Filled C/D for 26 existing rows and INSERTED 2 new CAV rows. Existing: FCU_1F_027/029/030/031/032/033/034/035 (807-815), FCU_1F_047-050 (827-830), VAV_1F_S11_087 (941), VAV_1F_S15_001-004 (945-948), _021-025 (957-961), _038/_039/_040 (962/963/965). New: CAV_1F_S15_004 at row 1173 and CAV_1F_S15_019 at row 1185, both placed in sorted tag position. CAV block now spans 1166-1207 and the SSC header moved from row 1206 to row 1208. Everything on this drawing is Included.</t>
  </si>
  <si>
    <t>Clean mappings: Media Studio1 (S15_001/002), Storage (S15_003), Media Studio2 (S15_004), Prayer Room (Female) (S15_021/022), Prayer Room (Male) (S15_023), Lounge (FCU_1F_047/048/049/050). Prayer rooms, ablution rooms and lounges are all public spaces, so none of the exclusion rules apply. BACKLOG CLEARED: VAV_1F_S11_087 (row 941) was the tag missing from IMG_9596 and appears here in the unlabelled open area at top-left, so it took the Key Plan name for THIS drawing (Zone-2 Part-2) rather than Zone-1 Part-1. Out of scope: Structure Area, Special Events and People Mover Main Entrance are labelled but carry no controllable tags.</t>
  </si>
  <si>
    <t>Verified by re-reading A807:D815, A827:D830, A941:D948, A957:D965 and A1170:D1209 - all 28 rows, both inserts and the new SSC header position at 1208 confirmed. YELLOW flagged (14 rows): 807/809/810/811/812/813/814/815 - eight FCUs drawn OUTSIDE the building outline below the two 'Lounge' cells with no labels of their own; all given 'Lounge' since both labels read the same, but whether they serve the lounges at all needs confirming; 960 (S15_024) and 961 (S15_025) sit between Prayer Room (Male)/(Female) and the two Ablution rooms, whose labels are placed far right with long horizontal leader arrows, making the split uncertain; 962 (S15_038) assigned Ablution (Men) from the same leader cluster; 963 + 965 (S15_039/040) and 1173 (CAV_1F_S15_004) - three units surround the small 'Green Room' label from above, left and below, which is more units than a green room would normally need; 1185 (CAV_1F_S15_019) sits just below the Media Studio1 block, possibly in the corridor. RED (1 row): 941. TEMPERATURE ANOMALIES noted as cell notes: D830 FCU_1F_050 reads 41.7 C against ~17 C on its neighbours, and D947 VAV_1F_S15_003 reads 34.1 C in Storage. NOT WRITTEN: FCU_1F_028 (row 808) does not appear on this view despite sitting mid-sequence in the lounge bank.</t>
  </si>
  <si>
    <t>IMG_9600.jpeg - QNL Honeywell HMI, 'First Floor Zone-3-P1' (First Level Floor Plan Zone-3 Part-1). Unusual view: 19 FCU tags but the drawing carries only ONE piece of text, the word 'Enter' near the top - no room names anywhere.</t>
  </si>
  <si>
    <t>Filled C/D for 19 existing rows, all Included and all red: FCU_1F_014 (794), _016/_017/_018 (796-798), _020 (800), _022-_028 (802-808), _036-_040 (816-820), _051/_052 (831-832), _065 (845). No CAV, FEV or VEV tags, so no rows inserted and the SSC header stays at row 1208.</t>
  </si>
  <si>
    <t>Every one of the 19 sensors took the Key Plan name 'First Floor Zone-3 Part-1 (IMG_9600.jpeg)' and was auto-Included per the agreed rule, because the drawing contains no room labels at all. The only text on the plan is 'Enter', which marks a doorway rather than naming a room, so it was not used. The sensors are drawn as a free-floating grid over an open diagonal area with no room outlines around them, which is consistent with this being open library floor rather than cellular rooms. BACKLOG CLEARED: FCU_1F_028 (row 808) was noted last turn as missing from the lounge bank on IMG_9599 - it appears here instead.</t>
  </si>
  <si>
    <t>Verified by re-reading A794:D845 - all 19 rows carry the correct zone name, and spot-checked A794:D798, A805:D808 and A845 as rendered text. No yellow flags: with no labels present there is nothing ambiguous to flag, the whole set is red for your review. Rows deliberately left blank because those tags are not on this view: FCU_1F_015 (795), _019 (799), _021 (801). FCU_1F block status: 40 of 65 rows now filled; still blank are FCU_1F_004-013 (784-793), _015 (795), _019 (799), _021 (801), _041-046 (821-826) and _053-058 (833-838). Temperature spread on this view is wide - FCU_1F_018 reads 12.8 C and _020 reads 14.1 C against 21.2 C on _023 - but all are plausible for an open floor so no anomaly notes were added.</t>
  </si>
  <si>
    <t>IMG_9601.jpeg - QNL Honeywell HMI, 'First Floor Zone-3-P2' (First Level Floor Plan Zone-3 Part-2). Circulation / book-handling area: 23 FCU tags arranged as a free-floating grid over open floor with blue zone labels interleaved between the rows.</t>
  </si>
  <si>
    <t>Filled C/D for 23 existing FCU_1F rows: _004-_013 (784-793), _015 (795), _019 (799), _021 (801), _041-_046 (821-826), _053/_054 (833-834), _057/_058 (837-838). Seventeen Included, six Not Included as executive rooms. No CAV, FEV or VEV tags, so no rows inserted and the SSC header stays at row 1208.</t>
  </si>
  <si>
    <t>There are no room outlines on this view - the sensors sit in two column-pairs and the blue labels act as headers sitting ABOVE each group, so assignment was made by reading down from each label to the next one. Left pair: 'Access Service' heads the first two rows (FCU_1F_019/021/053/054), then 'Book Drop Off' heads the remaining four rows (FCU_1F_011/012/010/042/008/009/007/041). Right pair: 'Circulation Director' heads the first two rows (FCU_1F_015/013/045/046), then 'Book Exit Point' heads the rest (FCU_1F_006/005/044/043/004). 'ILL Director' heads the two units above everything else (FCU_1F_057/058). EXECUTIVE RULE APPLIED: ILL Director and Circulation Director both set Not Included, consistent with Head Librarian Office, Lib. Director's Room and Director Head. People Mover Main Entrance and Heritage Collection Entrance are labelled on the view but sit well away from any tag.</t>
  </si>
  <si>
    <t>Verified by re-reading A784:D795, A799:D801, A821:D826 and A833:D838 as rendered text - all 23 rows confirmed. YELLOW flagged (6 rows): 837/838 ILL Director and 793/795/825/826 Circulation Director. The flag is about GROUPING, not the executive call - assigning four sensors to a single 'Circulation Director' office and two to 'ILL Director' is a lot for cellular offices, which suggests these blue labels may mark open-plan functional zones (a director's desk area within the circulation floor) rather than enclosed rooms. If they are open zones rather than private offices, the Not Included classification on all six rows should be reversed. TEMPERATURE ANOMALY: cell note added to D837 - FCU_1F_057 reads 56.3 C, the highest reading seen on any QNL drawing so far, against 19.6 C on FCU_1F_058 directly beneath it; almost certainly a failed sensor. FCU_1F BLOCK NOW 63 of 65 FILLED - only FCU_1F_055 (835) and _056 (836) remain outstanding.</t>
  </si>
  <si>
    <t>IMG_9603.jpeg - QNL Honeywell HMI, 'First Floor Zone-4-P2' (First Level Floor Plan Zone-4 Part-2). Final image of the batch. Near-empty view with only two FCU tags. User indicated this was the last drawing, so a completeness sweep of the whole QNL section was run afterwards.</t>
  </si>
  <si>
    <t>Filled C/D for the final 2 FCU_1F rows: FCU_1F_056 (836) = Included / 'External Book Drop', and FCU_1F_055 (835) = Included / 'First Floor Zone-4 Part-2 (IMG_9603.jpeg)' in red. This completes the FCU_1F block (all 65 rows, 781-845). No CAV, FEV or VEV tags; SSC header remains at row 1208.</t>
  </si>
  <si>
    <t>FCU_1F_056 has its room name printed directly beneath the tag inside the same box outline ('External Book Drop'), which is the clearest label placement seen on any drawing so far - no ambiguity, no highlight. FCU_1F_055 sits alone in a small angled room at top-right with no label anywhere near it, so it took the Key Plan name and was auto-Included per the rule. The other two blue labels on the view, 'RP-06' and 'Main Entrance', are a ramp reference and an entrance marker rather than room names, and both sit far from either tag, so neither was used. FCU_1F_056 reads 13.4 C, which is consistent with an external book drop exposed to outside air.</t>
  </si>
  <si>
    <t>Verified by re-reading A835:D836 as rendered text. COMPLETENESS SWEEP of the full QNL section (rows 766-1207, 442 tags) found 381 filled and 61 still blank, broken down as: AHUB001-015 (766-780, 15 rows); FCU_2F_041/042 (858-859); FCU_B_010/015/016/017 (889, 894, 895, 896); VAV0001 (918); VAV_2F_S10_001/002/004/005 (969, 970, 972, 973); VAV_2F_S13_005/006/007/009/011/012/013/014 (1009-1018); VAV_2F_S14_015/021 (1035, 1041); VAV_B_S10_001-019 and _024 (1047-1065, 1070 - 20 rows); VAV_B_S13_003/004/005/007/008 (1119-1124). RAISED WITH USER: the 15 AHUB rows are a scope question, not a missing drawing - AHU-B-01 to AHU-B-13 were visible inside Plant Room 1, Plant Room 2 and Plant Room 4 on IMG_9588 and IMG_9594 but were treated as out of scope because the brief named VAV, FCU, CAV, FEV and VEV only. If AHUs are wanted they would all be Not Included as plant-room equipment. The largest genuine gap is VAV_B_S10 (20 rows) - only _020 to _023 have appeared on any drawing so far.</t>
  </si>
  <si>
    <t>New validation stream: sending Honeywell BMS screenshots to validate/correct/update QNL room names and inclusion status, noting column A tag formats differ but are distinguishable. First image IMG_9563.jpeg = VAV Summary Type-01, basement S11 units.</t>
  </si>
  <si>
    <t>Matched the 24 VAV/B/S11 units on the BMS screen to registry rows 1071-1094 and 1113-1116. Appended the BMS room codes (B001, B001A, B002, B008, B009) to column D and corrected VAV_B_S11_022/023. Changed C1093 from Not Included to Included, flagged C1093:D1093 yellow and added an explanatory note.</t>
  </si>
  <si>
    <t>Tag format maps as VAV/B/S11/nnn -&gt; VAV_B_S11_nnn. BMS location groups: 001-004 + 011-014 = Tech.Services Area B001 &amp; Break Out Area B001A (kept the registry's finer Break Out vs Tech Services split, only added the codes); 005-010 + 015-020 = Tech.Services Area B001; 024 = Kitchen B002; 043-046 = Receiving Area B008; 022 + 023 = Corridor Leading To Reception &amp; Lounge B009. The Location column in the photo is skewed progressively downward toward the bottom, so group boundaries were resolved using the registry's existing names as the cross-check (024=Kitchen and 043-046=Receiving already agreed, which anchors the alignment). Row 1091 (VAV_B_S11_021, 'Basement Zone-1 Part-1') is not on this screen and was left untouched, as were rows 1095-1112 (S11_025-042).</t>
  </si>
  <si>
    <t>Verified by re-reading A1071:D1094 and A1113:D1116 - all 24 room names and the C1093 inclusion change confirmed. ONE CONFLICT RAISED: VAV_B_S11_023 was 'Plant Room 1 / Plant Room 2 (IMG_9588.jpeg)' / Not Included from an earlier drawing; the BMS pairs it with 022 (Master/Slave) on the corridor, so it was updated to Corridor Leading To Reception &amp; Lounge B009 / Included and flagged yellow pending your confirmation. Awaiting the next BMS image.</t>
  </si>
  <si>
    <t>Asked why the TRANSPOSE(FILTER(...)) formula in 'SSC Room Names'!D45 — pulling matching Tag Nos from the Controllable Asset Registry into a horizontal list — always returns #N/A.</t>
  </si>
  <si>
    <t>Diagnosed the criteria range and rewrote D45 to wrap the comparison in IFERROR.</t>
  </si>
  <si>
    <t>Scanned 'Controllable Asset Registry'!E1214:E1332 for error values: exactly one, E1287 (#N/A), on VAV0063 whose room reads '(NOT FOUND ON DRAWING LEVEL 3)'. A single error anywhere in a FILTER include-array poisons the whole array, so FILTER returned #N/A regardless of the match. New formula: =TRANSPOSE(FILTER('Controllable Asset Registry'!$A$1214:$A$1332,IFERROR('Controllable Asset Registry'!$E$1214:$E$1332=C45,FALSE),"No Equipment in entity")). Chose IFERROR over patching E1287 so the formula is robust to future error rows; E1287 itself still needs an entity name.</t>
  </si>
  <si>
    <t>D45 now spills VAV0002, VAV0003, VAV0004 across D45:F45. Only D45 was changed — same fix should be copied to other rows in column D. Open item: E1287 in the Controllable Asset Registry is still #N/A.</t>
  </si>
  <si>
    <t>Sent IMG_9565.jpeg - Honeywell VAV Summary Type-01 (QNL). Asked me to take the VAV names from the 3rd column of the screen, find them in column A of the Controllable Asset Registry, and fill the Location text from the 1st column into column D.</t>
  </si>
  <si>
    <t>Matched all 27 VAV tags on the screen to registry rows. Filled the 5 rows whose column D was blank: D1068 (VAV_B_S10_009), D1071/D1072/D1073 (VAV_B_S10_012/013/014) and D1078 (VAV_B_S10_019). Left the other 22 rows untouched because they already held room names.</t>
  </si>
  <si>
    <t>Screen tag format VAV/B/S10/009 maps to registry format VAV_B_S10_009. Groupings read off the merged Location cells: S10/009 = CR6 Circulation; S10/012, 013, 014 = CR6 Conversation Work Area B.209; S10/019 = CR6 Prof Librarian B.208. Image name appended in parentheses per the established convention. CONFLICTS NOT OVERWRITTEN, needing your call: (1) VAV_B_S15_001 row 1166 registry says 'Prof. Librarian (IMG_9591.jpeg)' but this screen shows it under HC Lobby &amp; Vestibule B154; (2) VAV_B_S15_002/003/004 rows 1167-1169 say 'Loby and Security' vs screen 'HC Lobby &amp; Vestibule B154'; (3) VAV_B_S15_011/012 rows 1176-1177 say 'VIP Majlis' vs screen 'Basement Zone 3 HC VIP Majlis B148' - same room, different wording. Rows 1060-1067 + 1083 (Digitisation Area B.200), 1069/1070 (Technical Services B.204), 1074 (Instruction Outreach B.206), 1075-1077 (Multimedia Presentation B.205) and 1137 (Security Control Room B.105) all agree with the screen.</t>
  </si>
  <si>
    <t>5 blank cells filled and verified by re-reading A1068:D1068, A1071:D1073 and A1078:D1078. Awaiting your decision on the 7 VAV_B_S15 wording conflicts listed in Details.</t>
  </si>
  <si>
    <t>Sent IMG_9564.jpeg - Honeywell VAV Summary Type-01 page P2 (QNL). Same task as the previous screen: match the VAV names to column A of the Controllable Asset Registry and write the Location into column D, and highlight all the matched rows in blue.</t>
  </si>
  <si>
    <t>Matched all 26 VAV tags from the screen, wrote the screen Location into column D for each, and applied a blue fill (#BDD7EE) across A:D on all 26 rows. Rows touched: 1104, 1108, 1132, 1133, 1135, 1141-1143, 1146-1149, 1152-1165.</t>
  </si>
  <si>
    <t>Adopted the naming convention you applied by hand earlier this session: dropped the 'Basement Zone N' prefix and punctuated the room number as B.xxx, no image-name suffix. Screen typo 'Presrvation' corrected to 'Preservation' to match existing sheet spelling; 'Boh Kitchen' written as 'BOH Kitchen' for the same reason. Location groupings read off the merged cells, allowing for the row drift in the Honeywell page: S14_040 = BOH Kitchen B.044 (standalone) and S13_003/004 = Processing Room B.103 (slave + master). Unlike the previous image I overwrote existing column D text, because the old entries were generic placeholders without room numbers. One overwrite worth noting: D1104 (VAV_B_S11_021) previously read 'Basement Zone-1 Part-1 (IMG_9587.jpeg)' and is now 'Reception &amp; Lounge B.009' per this screen - flag if IMG_9587 was the better source.</t>
  </si>
  <si>
    <t>All 26 rows re-read after writing; tag, location text and #BDD7EE fill confirmed on every one. Prior turn's VAV_B_S15 conflicts (rows 1166-1169, 1176-1177) remain open.</t>
  </si>
  <si>
    <t>Sent IMG_9563.jpeg - Honeywell VAV Summary Type-01 page P1 (QNL). Same task: match the VAV names to column A of the Controllable Asset Registry, put the Location into column D, and highlight them in blue.</t>
  </si>
  <si>
    <t>Matched all 27 VAV_B_S11 tags from the screen. Normalised 5 column D entries that still carried the old image-suffix format (D1107 to 'Kitchen B.002'; D1126:D1129 to 'Receiving Area B.008') and applied the blue fill (#BDD7EE) across A:D on all 27 rows: 1084-1103, 1105-1107, 1126-1129.</t>
  </si>
  <si>
    <t>The other 22 rows already held correct room text from your earlier manual pass, so I left the wording alone and only added the highlight. Deliberate decision on group 1: the screen shows one merged label 'Tech.Services Area B001 &amp; Break Out Area B001A' covering S11_001/002/003/004/011/012/013/014, but the sheet already splits that group - 001, 002, 011, 012 as 'Break Out Area B.001A' and 003, 004, 013, 014 as 'Tech, Services &amp; Collections Office B.001'. The split is more precise than the merged screen label so I preserved it rather than flattening all eight rows to the combined name. Row drift on the Honeywell page handled as before: standalone S11_024 = Kitchen B.002, and S11_022/023 = Corridor Leading To Reception &amp; Lounge B.009.</t>
  </si>
  <si>
    <t>All 27 rows re-read after writing; tag, location text and #BDD7EE fill confirmed on each. Open items unchanged: VAV_B_S15 wording conflicts at rows 1166-1169 and 1176-1177, and whether D1104 should revert to the IMG_9587 value.</t>
  </si>
  <si>
    <t>Sent IMG_3029.jpeg - Siemens RDC BMS 'Utility Building FCU Summary'. Asked me to take the FCU names from the 5th column of the screen, find them in column A of the Controllable Asset Registry, and write their location (room name + room no. from the 4th and 3rd columns) into column D, matching the format of the selected cell D2240.</t>
  </si>
  <si>
    <t>Matched all 29 RDC Utility Building FCU tags on the screen to registry rows 2238-2266 and wrote the room name + room number into column D for the 28 that were blank (D2240 was already filled).</t>
  </si>
  <si>
    <t>Format followed from D2240 ('MAIL ROOM U-0128'): room name in caps followed by the room number. Ground floor (RDC_UB_GF_): FCU8001 GENERAL STORAGE ROOM U-0129, 8002 SHOP U-0135, 8004 GENERAL STORAGE U-0108, 8005 RECYCLING ROOM U-0109, 8006 CYLINDER STORAGE U-0105, 8007 LN2 DISPENSER U-0104, 8008 FLAMMABLE STORAGE U-0103, 8009 FLAMMABLE WASTE STORAGE U-0102, 8010 BMS ROOM U-0117, 8011 BREAK ROOM U-0118, 8012 OFFICE SPACE U-0119, 8013/8014/8512/8513/8514/8515 WET/MECH/FIRE ROOM U-0120, 8502-8505 SHIPPING AND RECEIVING. Mezzanine (RDC_UB_MF_): FCU8501/8506/8507/8508/8509/8510/8511 MECHANICAL ROOM U-1101. Two judgement calls: (1) FCU-8502 to 8505 sit against a merged 'SHIPPING AND RECEIVING' room-name cell with the ROOM NO. column blank on the screen, so no room number was appended - note added on D2252. (2) U-1101 is shown as a single merged room number spanning the whole Level -1 mechanical block, so it was applied to all seven mezzanine FCUs.</t>
  </si>
  <si>
    <t>Rows 2238-2266 of column D on Controllable Asset Registry are now fully populated; verified by re-reading A2238:D2266. Open item: room numbers for the four SHIPPING AND RECEIVING FCUs (8502-8505) need confirming from drawings.</t>
  </si>
  <si>
    <t>Sent IMG_3056.jpeg - Siemens RDC BMS 'South Building Fan Coil Unit' summary (Level 0 and Level -1) - and asked me to apply the same treatment as the Utility Building screen: match the FCU tags to column A of the Controllable Asset Registry and write their room location into column D.</t>
  </si>
  <si>
    <t>Located all 26 South Building FCUs from the screen (rows 2191-2202 Level -1, rows 2223-2237 Ground Floor). Column D was already populated in an older abbreviated style, so I stopped and asked before overwriting; user chose to rewrite all 26 to the BMS format. Wrote D2191:D2202 and D2223:D2237.</t>
  </si>
  <si>
    <t>Format followed from D2240: room name in caps + room number. Level -1: FCU0501/FCU3501 STAIR-04 1ST04, FCU0502/0503 UPS ROOM S-1107D, FCU1501/1502 IDF ROOM S-1156, FCU1503 STAIR-01 1ST01, FCU2501 STAIR-03 1ST03, FCU2502/2503 IDF ROOM S-1244, FCU2504/2505 UPS ROOM S-1276. Ground floor: FCU0001 STAIR-02 S-02T02, FCU1001/1002 QTEL ROOM S-0132, FCU1003/1004 IDF ROOM S-0133, FCU1005/1006 EC MDF ROOM S-0134, FCU1007 MECHANICAL ROOM S-0136, FCU1008 STAIR-01 S-01T01, FCU2001 STAIR-03 S-0ST03, FCU2002/2003 AV ROOM S-0210, FCU2004/2005 IDF ROOM S-0271, FCU3001 STAIR-04 S-0ST04. Four rows were genuine data conflicts, not just wording: FCU2502 was 'MEETING ROOM S-1247' (screen pairs 2502 and 2503 to IDF S-1244), FCU2505 was 'MEETING ROOM S-1272' (screen pairs 2504 and 2505 to UPS S-1276), FCU0501 was 'Stair 2 S-1ST02' and FCU3501 was 'Stair S-1ST104' (screen shows both as STAIR-04 1ST04). Two cosmetic calls noted in-cell: the screen labels S-0271 'IDF-S-0271' and S-0ST04 'STAIR-OST04'; both were normalised to match the other IDF and stair entries.</t>
  </si>
  <si>
    <t>D2191:D2202 and D2223:D2237 rewritten and verified by re-read. Pre-existing drawing notes on D2192 and D2193 were left intact. Not covered: the screen has a NEXT &gt;&gt; button, so any further South Building FCU pages have not been reviewed, and the 2F rows (2203-2222) were untouched.</t>
  </si>
  <si>
    <t>Uploaded RDC_HVAC_DRAWINGS_MERGED.pdf (68 A0 as-built sheets) and the register. Asked to fill blank and verify yellow column-D cells for RDC FCU/VAV/EV/VEV equipment from the drawing schedules, North Building first. Rule: if room name/number not found, put the schedule page in column D and highlight blue; if a yellow row cannot be verified, note where to look in column E.</t>
  </si>
  <si>
    <t>Extracted the AIR TERMINAL DEVICES SCHEDULES and FAN COIL UNIT SCHEDULES for all North Building parts, then matched every NB target row by tag number. Processed all 219 NB targets: 105 VERIFIED (yellow cleared), 28 verified by room number but schedule uses a different room NAME (noted in E), 53 CORRECTED, 8 blanks filled, 12 blanks flagged blue (found but no room number on the schedule), 11 yellow unverifiable, 2 tags not in any NB schedule.</t>
  </si>
  <si>
    <t>Pages 1-66 have NO text layer (raster scans; confirmed with poppler and PyMuPDF) and OCR misread reference numbers (e.g. EV-5026 as EV-5025), so all tables were read visually at native 200 DPI. Sources: Level 0 p6 (A2.1), p7 (A2.2), p8 (A2.3), p9 (B2.1 + FCU@L0), p10 (B2.2); Level 1 p21 (A2.1 + FCU@L1), p22 (A2.2), p23 (A2.3), p24 (B2.1), p25 (B2.2); Level 2 FCU p32; Pedestrian Walkway FCU p57. 860 air-terminal refs + 44 FCUs captured. The AT schedules list VAV, EV, VEV, FEV, CEV and CAV refs in one table, so EV/VEV rows resolve from the same source. Corrections were applied only where the schedule room NUMBER differed; the previous value is preserved verbatim in column E as was: "...". Saved with openpyxl only - NOT LibreOffice-recalc - to preserve the 159 TRANSPOSE(FILTER) array formulas in SSC Room Names with Equip. (verified 159/159 intact).</t>
  </si>
  <si>
    <t>North Building COMPLETE - zero blank column-D cells remain in the NB block. KEY FINDING: the 53 corrections are not random - whole blocks were shifted by one position (e.g. GF lab block VAV5180-5270A: registry had Analyt Core-1/Org Chem/Furnace/MBE-Evap where the schedule reads Analytical Core Lab 2 N-0140A, Furnace N-0140B, Prep Lab N-0140C, Sputter N-0140D, ALD N-0140F, Support N-0140H, PLD N-0140J, Organic Chem N-0140K; also VAV4210-4212 CSP Lab -&gt; Desalination Lab N-0240D; VAV7195 Conference N-0440 -&gt; Office 04 N-0436). Note there is no MBE Room anywhere in the A2.2 schedule. DISCREPANCY: FCU-5993/5994 are listed on the LEVEL 0 schedule (p9, Part A2.2, Conference Room) but are tagged NB_1F in the register. UNRESOLVED: VAV5054 (schedule jumps 5053 to 5055) and FCU2004 (not in any NB schedule - likely a South Building unit). STILL TO DO: South Building (55 blank + 33 yellow) from Level 0 p1-p5/p11, Level 1 p16-p20/p26, Level 2 p27-p30, and rooms on p59-p60. Utility Building schedules are NOT in this PDF.</t>
  </si>
  <si>
    <t>After verifying and trimming my North Building edits, asked me to do the South Building and the Utility Building if any, using the same rules (fill blanks where found; verify yellows; blue + page ref in D when the schedule has no room name/number; note where to look in column E when a yellow cannot be verified).</t>
  </si>
  <si>
    <t>UTILITY BUILDING: nothing to do - all 38 UB rows already filled with no yellow flags, and this PDF contains no UB equipment schedule (UB appears only as airflow diagrams p56/p58 and one section sheet p45). SOUTH BUILDING: processed all 88 targets - 47 blanks filled, 23 verified (yellow cleared), 3 verified by room number but the schedule uses a different name, 2 corrected, 4 blanks blue-flagged, 9 not found (notes in column E).</t>
  </si>
  <si>
    <t>KEY: every South sheet carries an AIR TERMINAL UNIT NUMBERING legend that decodes the tags - digit 1 = drawing part (0 = A1.3 and B1.1, 1 = B1.2, 2 = A1.2, 3 = A1.1), digit 2 = level (0 = Level 0, 5 = Level 1, 2 = Level 2). So AT-3511 is A1.1/Level 1 and AT-0509 is B1.1/Level 1. Sources read at native 200 DPI: A1.1 L0 p1, B1.1 L0 p4, A1.1 plus a short A1.2 table L1 p16, A1.2 L1 p17, B1.1 L1 p19, B1.2 L1 p20. FCU tags were deliberately excluded from the air-terminal lookup so that e.g. FCU2502 is not matched to AT-2502. Saved with openpyxl only (no LibreOffice recalc); 159/159 TRANSPOSE(FILTER) array formulas verified intact. The North Building block was not touched this turn.</t>
  </si>
  <si>
    <t>South corrections: VAV3511 Dressing Room S-1286 -&gt; Corridor S-1280; VAV3514 Office S-1294 -&gt; Office S-1284. VAV3519 filled as Open Plan S-1293. NOT RESOLVABLE FROM THIS PDF: (1) the A1.2 and B1.2 Level 0 schedules on p2 and p5 have NO room name/number columns at all - only airflow and duct dimensions - so VAV1003/1004/1008 and VAV2005 are blue-flagged; (2) there is NO South Building fan-coil schedule anywhere in the document, so FCU2004, FCU2502, FCU2503 and FCU2205 stay unverified; (3) VAV0001 and VAV0002 - the B1.1 schedule starts at AT-0003; (4) AT-0122 - its second digit does not fit the level legend. DATA-ENTRY ISSUE: rows 1629 and 1782 have tags RDC_SB_1F_VAV and RDC_SB_GF_VAV with no unit number at all, so they can never be matched - complete or remove them at source. Remaining across the whole RDC block: 4 blank cells (rows 1629, 1782, 1783, 1784) and 5 SB plus 2 NB yellows.</t>
  </si>
  <si>
    <t>Pointed out that the AIR FLOW DIAGRAM sheets carry schedules I had dismissed, and that they may show the VAV locations I had inferred to be AT. Asked me to (1) use the exhaust/return diagrams for the EV/VEV rows, (2) resolve the rows still unresolved, and (3) cross-check everything already written.</t>
  </si>
  <si>
    <t>Opened the airflow diagrams (previously excluded at the indexing stage - my error). Item 2 COMPLETE: resolved 6 rows that the plan-sheet schedules could not - VAV0001, VAV0002, VAV1003, VAV1004, VAV1008, VAV2005. Item 3 STARTED: spot-verified North and South rows against the diagrams; every row checked so far confirms. Item 1 NOT STARTED: the return/exhaust diagrams (p51-p55, p64-p65 South) have not been read yet.</t>
  </si>
  <si>
    <t>AT vs VAV QUESTION SETTLED. The diagrams tag each terminal AT-xxxx with a vertical label beside it giving the valve type (VAV-01, VAV-02, VAV-05, CAV-01, CAV-03). The p36/p46 EQUIPMENT legend reads: AT = Air Terminal Device (Supply), VAV = Variable Air Valve (Supply Venturi), CAV = Constant Air Valve (Supply Venturi); and the SCHEMATIC LEGEND gives AT, VAV and CAV a single shared symbol. So AT-xxxx is the device number and VAV-nn is the valve fitted to it - there is no separate parallel VAV numbering series. Registry VAVxxxx = drawing AT-xxxx is therefore correct. IMPORTANT CORRECTION to an earlier note of mine: supply-side (AT/VAV/CAV) and exhaust-side (VEV/CEV/FEV/EV) are SEPARATELY NUMBERED. AT-1002 on the supply diagram is NOT VEV-1002. Any EV/VEV/FEV/CEV room I previously inferred from a paired VAV row needs checking against the exhaust diagrams.</t>
  </si>
  <si>
    <t>VERIFIED AGAINST THE DIAGRAMS (all matched what was already written): South p48 - AT-0017 S-0119 COMP.LAB, AT-0012 S-0114, AT-0011 S-0113 CONF, AT-0009/0010 S-0111/S-0112 PHONE, AT-0007 S-0109 CONF, AT-0004 S-0104, AT-0005 S-0105, AT-0006 S-0107/S-0106, AT-0008 S-0110, AT-0020 S-0120/0120A/0120B, AT-0018/0019 S-0123 RESTAURANT. North p35 - VAV-4190/4191 + FEV-4193/4194 CSP LAB N-0240B, AT-4200/VEV-4201 TEST RM 1 N-0240C, AT-4290 OFFICE N-0261. North p36 - VAV-5250/VEV-5251 SUP RM N-0140H, VAV-5260/VEV-5261 PLD N-0140J, CAV-5240/CEV-5241 A/L N-0140G, VAV-5220/VEV-5221 EVAP N-0140E, CAV-5170 SERVICE CORR N-0136, AT-5140 N-0123, AT-5135 N-0122. These independently confirm the Level 0 lab-block corrections made from the plan schedules. STILL OPEN: VAV5054 (not yet located on p36); the full exhaust-side pass (item 1); and the remaining bulk cross-check of ~300 rows (item 3). Airflow-diagram sheet map: North p35 A2.1 L0, p36 A2.2 L0, p37 B2.1 L0, p38 B2.2 L0, p39-p43 Level 1; South supply p46 (A1.1/A1.2/A1.3 L0), p47 (A1.x L1), p48 (B1.1/B1.2 L0), p49-p50; South return p51-p55; South exhaust p64-p65; Utility p56/p58.</t>
  </si>
  <si>
    <t>Told me to go ahead using all the document's information without limiting myself to specified pages, and asked what about the FEV, VEV and EV rows.</t>
  </si>
  <si>
    <t>Ran a full cross-check of EVERY RDC row against the extracted schedules, not just the blank/yellow ones. EXHAUST SIDE (202 rows: 73 FEV, 62 EV, 51 VEV, 12 CEV, 1 CAV, 3 SB EV): 152 already correct, 39 CORRECTED, 9 flagged unverifiable. SUPPLY SIDE (AT/VAV/CAV, 1383 rows with data): 1171 already correct, 47 CORRECTED, 17 held back by guards, 155 with no schedule source.</t>
  </si>
  <si>
    <t>The air terminal schedules list EV, VEV, FEV, CEV and CAV refs in the same AT-REF column as the supply tags, so the exhaust rows could be verified from the schedules already extracted - no new drawing reading was needed for them. THREE GUARDS stopped false corrections: (1) multi-node sensors AT-7090-N1/N2, AT-7105-N1/N2 and AT-7120-N1..N9 serve several rooms each and the schedule lists only the parent tag once, so all 13 were left as-is; (2) VAV5930P and VAV5940P carry a P suffix meaning penthouse/Level 2 and are distinct devices from the Level 1 5930/5940, so they were left as-is; (3) VAV4312 and AT-4312 map to a schedule row (Breakout) that has no room number, so they were noted rather than changed. Diagram evidence used: p35 and p36 North airflow diagrams independently confirmed the Level 0 lab-block corrections (VAV-5250/VEV-5251 SUP RM N-0140H, VAV-5260/VEV-5261 PLD N-0140J, CAV-5240/CEV-5241 A/L N-0140G, VAV-5220/VEV-5221 EVAP N-0140E).</t>
  </si>
  <si>
    <t>EXHAUST PATTERN FOUND - same lazy-fill as the supply side: EV-4236/4261/4286 all read Corridor N-0246 but belong to N-0250/N-0255/N-0260; EV-6356/6381/6401 all read Corridor N-0365 but belong to N-0372/N-0378/N-0381; EV-7396/7426/7461/7486 all read Corridor N-0451 but belong to N-0446/N-0452/N-0457/N-0462; EV-4661/4686/4711/4736 all read Corridor N-1223 but belong to N-1227/N-1232/N-1237/N-1242; EV-5891/5921/5941 all read Corridor N-1150 but belong to N-1160/N-1168/N-1165. Also corrected the pre-existing AT-0003 row (was Corridor S-0117, which duplicated AT-0015; the p4 schedule gives Entrance Lobby S-0102). Supply/exhaust numbering is SEPARATE: AT-1002 feeds S-0139 Comp Lab while EV-1002 serves NOC S-0140A. RUNNING TOTAL of corrections across the whole RDC block: 53 (North supply) + 2 (South supply) + 39 (exhaust) + 47 (full supply sweep) = 141. STILL OPEN: 155 supply and 9 exhaust rows with no schedule source (mostly multi-node sensors, Level 2 units and South AT rows on parts whose schedules carry no room columns) - these need the return/exhaust airflow diagrams p51-p55 and p64-p65, plus North p37-p43, which have not been read yet. VAV5054 still not located.</t>
  </si>
  <si>
    <t>Asked me to close out the 22 rows I had held back - the 13 multi-node sensors and the 9 unverified exhaust rows.</t>
  </si>
  <si>
    <t>Read p38 (Air Flow Diagram B2.2 Level 0) and re-used p36/p48. Outcome on the 22: 6 VERIFIED as already correct, 3 corrected or normalised, 13 multi-node rows deliberately left as-is with an explanatory note, and 3 marked NOT CONFIRMED as provisional.</t>
  </si>
  <si>
    <t>MULTI-NODE FINDING: p38 shows AT-7090, AT-7105 and AT-7120 each as a SINGLE air terminal (serving N-0412, WKS N-0415 and WKS N-0418 respectively). The diagrams depict air terminals, not BMS sensor points, so they can neither confirm nor refute the -N1..-N9 sub-node rooms (N-0412A, N-0415A, N-0418A, N-0430A..N-0430F) that an earlier session read off the plan drawings. Both can be true at once: one terminal serving a zone, with several sensor nodes distributed through it. Each of the 13 rows now carries a note saying explicitly NOT to overwrite them with the parent terminal's room - this is the trap an automated sweep would fall into. OTHER VERIFICATIONS: p38 confirmed VAV-7070/7071 SURF ANALYSIS N-0404F with VEV-7072/7073 and FEV-7074 on the exhaust branch (so FEV-7075 is consistent); CAV-7220/CEV-7221/EV-7126 SERVICE CORR N-0441 and NORMAL ELEC N-0420; EV-7122 IDF N-0419, confirming an earlier correction. p48 confirmed the South exhaust series runs one behind the supply series (AT-1002 supply = S-0139, EV-1001 exhaust = S-0139), which validates EV-1001/1002/1003.</t>
  </si>
  <si>
    <t>CHANGED: FEV-7232 corrected to Inter Lab N-0442A (the p10 schedule puts the 7230 series in N-0442A and the 7240 series in Optical Lab N-0442B); FEV-5222 and FEV-5223 normalised to Evap Room N-0140E, confirmed on the p36 EVAP branch alongside VAV-5220/VEV-5221. STILL PROVISIONAL (3 rows, flagged in column E): VEV-6053, EV-4920 and EV-6981 - VEV-6053 is absent from the p9 B2.1 schedule, and the two Level 2 units cannot be resolved because the p32 Level 2 FCU schedule carries no room numbers at all. RDC block final state: 2 blank cells (rows 1629 and 1782, tags with no unit number), 142 total corrections applied across all passes.</t>
  </si>
  <si>
    <t>Approved the room corrections, then asked me to delete all of column C and redo the Included / Not Included assessment across ALL sections (not just RDC), since the inclusion status may not have been updated after the room names were corrected. Rules: HQ excludes executive, technical AND public rooms; SSC, QNL and RDC exclude executive and technical only.</t>
  </si>
  <si>
    <t>Cleared all 2,942 existing column C values across HQ, QNL, SSC and RDC, then reclassified every row from the room name in column D. Result: HQ 404 Included / 368 Not Included; QNL 368 / 81; SSC 101 / 22; RDC 1,226 / 533. 5 rows could not be classified and were left blank and highlighted yellow. Column D and all other columns were left untouched.</t>
  </si>
  <si>
    <t>Classification is keyword-based on the column D room name. EXECUTIVE: executive, exec, director, dir., manager, sheikh(a), VP, president, chairman, CEO, head of, majlis, VIP, board room. TECHNICAL: electrical, mechanical, plant, IDF, MDF, UPS, BMS, FPC, sprinkler, pump, AHU, riser, shaft, telecom, MCC, server, control room/centre, switchgear, generator, chiller, vent plant, battery, penthouse, transformer, GSM, fire command, gas suppression, misting, Q-tel, AV room, calorifier, MEP, duct, air lock, service equipment, pipe chase, security, panel, boiler. PUBLIC (HQ ONLY): lobby, corridor, toilet/WC, prayer, ablution, vestibule, foyer, atrium, stair, lift, cafe, restaurant, reception, waiting, visitor, exhibition, gallery, auditorium, entrance, walkway, bridge, mens/womens, spa, salon, fitness, treatment, relaxation, changing, nursery, lounge, terrace, dining. THREE JUDGEMENT CALLS were put to the user before applying and answered as follows: (1) LABORATORIES count as technical -&gt; Not Included (bio-med chem, NMR, nano, gene therapy, analytical core, tissue culture, clean room, high bay, desal, CSP, photovoltaic, etc.); (2) EXECUTIVE SUPPORT rooms (VP secretary, exec. assistant, director's staff, officers, members, workstations) are Included, because the occupant is staff rather than the executive; (3) CEILING VOIDS and plenums are classified by the room they serve, so Bridge Ceiling Void and Auditorium high-level void are Included.</t>
  </si>
  <si>
    <t>5 rows left BLANK and highlighted YELLOW because column D holds no usable room name: HQ r126 'NOT FOUND ON THE DRAWING OR SCHEDULE', HQ r718 (blank), QNL r931 (blank), QNL r1134 (blank), SSC r1309 '(NOT FOUND ON DRAWING LEVEL 3)'. NOTE the classification is only as good as the room name in column D - rows whose column D holds a page reference (the blue-flagged RDC rows) or a Key Plan zone name rather than a real room were classified on that text and should be re-checked once the real room name is known. Borderline calls worth a spot-check: 'Service Corridor', 'Service Dock' and 'Shop' in RDC were left Included as circulation/back-of-house rather than plant; 'Technical Open Plan S-0211' and 'Situation Room' were left Included as occupied workspaces.</t>
  </si>
  <si>
    <t>EQUIPMENT ASSET REGISTER</t>
  </si>
  <si>
    <t>Description</t>
  </si>
  <si>
    <t>Remarks</t>
  </si>
  <si>
    <t xml:space="preserve">Air Handling Unit </t>
  </si>
  <si>
    <t>EQUIPMENT COUNT SUMMARY</t>
  </si>
  <si>
    <t>CHW Pump</t>
  </si>
  <si>
    <t>Variable Air Volume</t>
  </si>
  <si>
    <t>DX Unit</t>
  </si>
  <si>
    <t>Heat Exchanger</t>
  </si>
  <si>
    <t>CCU</t>
  </si>
  <si>
    <t>EF</t>
  </si>
  <si>
    <t>GEF</t>
  </si>
  <si>
    <t>TEF</t>
  </si>
  <si>
    <t>CEF</t>
  </si>
  <si>
    <t>SF</t>
  </si>
  <si>
    <t>Generator</t>
  </si>
  <si>
    <t>TOTAL</t>
  </si>
  <si>
    <t>#</t>
  </si>
  <si>
    <t>Equipment type</t>
  </si>
  <si>
    <t>Tag(s) in IO list</t>
  </si>
  <si>
    <t>Assumption</t>
  </si>
  <si>
    <t>These two tags refer to the same physical unit</t>
  </si>
  <si>
    <t>DX_B0001</t>
  </si>
  <si>
    <t>DX Unit - Interior</t>
  </si>
  <si>
    <t>AHU12_10</t>
  </si>
  <si>
    <t>DX_B0002</t>
  </si>
  <si>
    <t>AHUB01_02</t>
  </si>
  <si>
    <t>DX_B0003</t>
  </si>
  <si>
    <t>DX_B0004</t>
  </si>
  <si>
    <t>AHUB03_04</t>
  </si>
  <si>
    <t>DX_B0005</t>
  </si>
  <si>
    <t>DX_B0006</t>
  </si>
  <si>
    <t>AHUB05_06</t>
  </si>
  <si>
    <t>DX_B0007</t>
  </si>
  <si>
    <t>DX_B0008</t>
  </si>
  <si>
    <t>AHUB07</t>
  </si>
  <si>
    <t>DX_B0009</t>
  </si>
  <si>
    <t>DX_B0010</t>
  </si>
  <si>
    <t>AHUB08</t>
  </si>
  <si>
    <t>DX_B0011</t>
  </si>
  <si>
    <t>DX_B0012</t>
  </si>
  <si>
    <t>AHUB10</t>
  </si>
  <si>
    <t>DX_B0013</t>
  </si>
  <si>
    <t>DX_B0014</t>
  </si>
  <si>
    <t>AHUB11</t>
  </si>
  <si>
    <t>DX_B0015</t>
  </si>
  <si>
    <t>DX_B0016</t>
  </si>
  <si>
    <t>DX_ODSB0101</t>
  </si>
  <si>
    <t>This DX unit was added later and not reflected in the HVAC Drawing</t>
  </si>
  <si>
    <t>DX_CP_0001</t>
  </si>
  <si>
    <t>DX_ODSB0102</t>
  </si>
  <si>
    <t>DX_G0001</t>
  </si>
  <si>
    <t>DX_ODSB0201</t>
  </si>
  <si>
    <t>DX_G0002</t>
  </si>
  <si>
    <t>DX_ODSB0202</t>
  </si>
  <si>
    <t>DX_G0003</t>
  </si>
  <si>
    <t>DX Unit - Exterior</t>
  </si>
  <si>
    <t>Fan Coil Unit</t>
  </si>
  <si>
    <t>FCU00133</t>
  </si>
  <si>
    <t>HEX01</t>
  </si>
  <si>
    <t>HEX</t>
  </si>
  <si>
    <t>HEX02</t>
  </si>
  <si>
    <t>HEX03</t>
  </si>
  <si>
    <t>HEX04</t>
  </si>
  <si>
    <t>HEX05</t>
  </si>
  <si>
    <t>CCU_B0001</t>
  </si>
  <si>
    <t>CCU_B0002</t>
  </si>
  <si>
    <t>CCU_B0003A</t>
  </si>
  <si>
    <t>CCU_B0003B</t>
  </si>
  <si>
    <t>CCU_B0004A</t>
  </si>
  <si>
    <t>CCU_B0004B</t>
  </si>
  <si>
    <t>CCU_B0005</t>
  </si>
  <si>
    <t>CCU_B0006</t>
  </si>
  <si>
    <t>CCU_B0007</t>
  </si>
  <si>
    <t>CCU_B0008</t>
  </si>
  <si>
    <t>CCU_B0009</t>
  </si>
  <si>
    <t>GEF_BF</t>
  </si>
  <si>
    <t>GEF12</t>
  </si>
  <si>
    <t>GEF12_0005</t>
  </si>
  <si>
    <t>GEF12_0006</t>
  </si>
  <si>
    <t>GEF12_0008</t>
  </si>
  <si>
    <t>GEF12_0009</t>
  </si>
  <si>
    <t>GEFB_0007</t>
  </si>
  <si>
    <t>GEFB_0010</t>
  </si>
  <si>
    <t>GEFB_0011</t>
  </si>
  <si>
    <t>GEFB_0012</t>
  </si>
  <si>
    <t>GEFB_0013</t>
  </si>
  <si>
    <t>GEFB_CP0001</t>
  </si>
  <si>
    <t>GEFB_CP0002</t>
  </si>
  <si>
    <t>EF_CommonFireAlm</t>
  </si>
  <si>
    <t>Exhaust Fan</t>
  </si>
  <si>
    <t>EF_CommonFireAlm_1</t>
  </si>
  <si>
    <t>EF_CommonFireAlm_2</t>
  </si>
  <si>
    <t>EF_CPZ1</t>
  </si>
  <si>
    <t>EF_CPZ2</t>
  </si>
  <si>
    <t>EF_CPZ3</t>
  </si>
  <si>
    <t>EF_CPZ4</t>
  </si>
  <si>
    <t>EF_CPZ5</t>
  </si>
  <si>
    <t>EF_CPZ6</t>
  </si>
  <si>
    <t>EF_CPZ7</t>
  </si>
  <si>
    <t>EF_CPZ8</t>
  </si>
  <si>
    <t>EF_CPZ9</t>
  </si>
  <si>
    <t>TEF12_0001</t>
  </si>
  <si>
    <t>TEF12_0002</t>
  </si>
  <si>
    <t>TEF12_0003</t>
  </si>
  <si>
    <t>TEF12_0004</t>
  </si>
  <si>
    <t>CEF_CPZ1_B01</t>
  </si>
  <si>
    <t>CEF_CPZ1_B02</t>
  </si>
  <si>
    <t>CEF_CPZ1_B03</t>
  </si>
  <si>
    <t>CEF_CPZ1_B04</t>
  </si>
  <si>
    <t>CEF_CPZ1_B05</t>
  </si>
  <si>
    <t>CEF_CPZ2_B06</t>
  </si>
  <si>
    <t>CEF_CPZ2_B07</t>
  </si>
  <si>
    <t>CEF_CPZ2_B08</t>
  </si>
  <si>
    <t>CEF_CPZ2_B09</t>
  </si>
  <si>
    <t>CEF_CPZ2_B10</t>
  </si>
  <si>
    <t>CEF_CPZ3_B13</t>
  </si>
  <si>
    <t>CEF_CPZ3_B14</t>
  </si>
  <si>
    <t>CEF_CPZ3_B15</t>
  </si>
  <si>
    <t>CEF_CPZ3_B19</t>
  </si>
  <si>
    <t>CEF_CPZ4_B20</t>
  </si>
  <si>
    <t>CEF_CPZ4_B22</t>
  </si>
  <si>
    <t>CEF_CPZ4_B23</t>
  </si>
  <si>
    <t>CEF_CPZ4_B24</t>
  </si>
  <si>
    <t>CEF_CPZ5_B21</t>
  </si>
  <si>
    <t>CEF_CPZ5_B25</t>
  </si>
  <si>
    <t>CEF_CPZ5_B26</t>
  </si>
  <si>
    <t>CEF_CPZ5_B27</t>
  </si>
  <si>
    <t>CEF_CPZ7_B16</t>
  </si>
  <si>
    <t>CEF_CPZ7_B17</t>
  </si>
  <si>
    <t>CEF_CPZ7_B18</t>
  </si>
  <si>
    <t>CEF_CPZ8_B11</t>
  </si>
  <si>
    <t>CEF_CPZ8_B12</t>
  </si>
  <si>
    <t>CEF_Zone1</t>
  </si>
  <si>
    <t>CEF_Zone2</t>
  </si>
  <si>
    <t>CEF_Zone3</t>
  </si>
  <si>
    <t>CEF_Zone4</t>
  </si>
  <si>
    <t>CEF_Zone5</t>
  </si>
  <si>
    <t>CEF_Zone6_9</t>
  </si>
  <si>
    <t>CPNL09_CEF_B06</t>
  </si>
  <si>
    <t>CPNL09_CEF_B07</t>
  </si>
  <si>
    <t>CPNL09_CEF_B08</t>
  </si>
  <si>
    <t>CPNL09_CEF_B09</t>
  </si>
  <si>
    <t>CPNL09_CEF_B10</t>
  </si>
  <si>
    <t>CPNL09_CEF_B11</t>
  </si>
  <si>
    <t>CPNL09_CEF_B12</t>
  </si>
  <si>
    <t>CPNL09_CEF_B13</t>
  </si>
  <si>
    <t>CPNL09_CEF_B14</t>
  </si>
  <si>
    <t>CPNL09_CEF_B15</t>
  </si>
  <si>
    <t>CPNL09_CEF_B16</t>
  </si>
  <si>
    <t>CPNL09_CEF_B17</t>
  </si>
  <si>
    <t>CPNL09_CEF_B18</t>
  </si>
  <si>
    <t>CPNL09_CEF_B19</t>
  </si>
  <si>
    <t>CSRR10_CEF_B01_INV</t>
  </si>
  <si>
    <t>CSRR10_CEF_B02_INV</t>
  </si>
  <si>
    <t>CSRR10_CEF_B03_INV</t>
  </si>
  <si>
    <t>CSRR10_CEF_B04_INV</t>
  </si>
  <si>
    <t>CSRR10_CEF_B05_INV</t>
  </si>
  <si>
    <t>CSRR9_CEF_B20_INV</t>
  </si>
  <si>
    <t>CSRR9_CEF_B21_INV</t>
  </si>
  <si>
    <t>CSRR9_CEF_B22_INV</t>
  </si>
  <si>
    <t>CSRR9_CEF_B23_INV</t>
  </si>
  <si>
    <t>CSRR9_CEF_B24_INV</t>
  </si>
  <si>
    <t>CSRR9_CEF_B25_INV</t>
  </si>
  <si>
    <t>CSRR9_CEF_B26_INV</t>
  </si>
  <si>
    <t>CSRR9_CEF_B27_INV</t>
  </si>
  <si>
    <t>CHW_CHWP01</t>
  </si>
  <si>
    <t>Chilled Water Pump</t>
  </si>
  <si>
    <t>CHW_CHWP02</t>
  </si>
  <si>
    <t>CHW_CHWP03</t>
  </si>
  <si>
    <t>CHW_CHWP04</t>
  </si>
  <si>
    <t>SF05_0001A</t>
  </si>
  <si>
    <t>Fan</t>
  </si>
  <si>
    <t>SF05_0001B</t>
  </si>
  <si>
    <t>SF05_0002A</t>
  </si>
  <si>
    <t>SF05_0002B</t>
  </si>
  <si>
    <t>SF12_0001A</t>
  </si>
  <si>
    <t>SF12_0001B</t>
  </si>
  <si>
    <t>SF12_0002A</t>
  </si>
  <si>
    <t>SF12_0002B</t>
  </si>
  <si>
    <t>SF12_0003A</t>
  </si>
  <si>
    <t>SF12_0003B</t>
  </si>
  <si>
    <t>SF12_0004A</t>
  </si>
  <si>
    <t>SF12_0004B</t>
  </si>
  <si>
    <t>SF12_0005A</t>
  </si>
  <si>
    <t>SF12_0005B</t>
  </si>
  <si>
    <t>SF12_0006A</t>
  </si>
  <si>
    <t>SF12_0006B</t>
  </si>
  <si>
    <t>ELEC_Gen2</t>
  </si>
  <si>
    <t>ELEC_Gen3</t>
  </si>
  <si>
    <t>Constant Air Volume</t>
  </si>
  <si>
    <t>SEF</t>
  </si>
  <si>
    <t>DX_B01</t>
  </si>
  <si>
    <t>KEF</t>
  </si>
  <si>
    <t>DX_B02</t>
  </si>
  <si>
    <t>DX_B03</t>
  </si>
  <si>
    <t>DX_B04</t>
  </si>
  <si>
    <t>DX_B05</t>
  </si>
  <si>
    <t>DX_B06</t>
  </si>
  <si>
    <t>DX_B07</t>
  </si>
  <si>
    <t>DX_B08</t>
  </si>
  <si>
    <t>EF_RP001</t>
  </si>
  <si>
    <t>This is the same asset as : EF_RP01</t>
  </si>
  <si>
    <t>DX_B09</t>
  </si>
  <si>
    <t>EF_RP002</t>
  </si>
  <si>
    <t>This is the same asset as : EF_RP02</t>
  </si>
  <si>
    <t>DX_B10</t>
  </si>
  <si>
    <t>EF_RP003</t>
  </si>
  <si>
    <t>This is the same asset as : EF_RP03</t>
  </si>
  <si>
    <t>DX_B11</t>
  </si>
  <si>
    <t>EF_B009</t>
  </si>
  <si>
    <t>This is the same asset as : EF_B09</t>
  </si>
  <si>
    <t>DX_B12</t>
  </si>
  <si>
    <t>EF_B011</t>
  </si>
  <si>
    <t>This is the same asset as : EF_B11</t>
  </si>
  <si>
    <t>DX_B13</t>
  </si>
  <si>
    <t>This is the same asset as : DX_B10</t>
  </si>
  <si>
    <t>DX_B14</t>
  </si>
  <si>
    <t>This is the same asset as : DX_B11</t>
  </si>
  <si>
    <t>DX_B15</t>
  </si>
  <si>
    <t>This is the same asset as : DX_B12</t>
  </si>
  <si>
    <t>DX_B16</t>
  </si>
  <si>
    <t>DX_B0020</t>
  </si>
  <si>
    <t>This is the same asset as : DX_B20</t>
  </si>
  <si>
    <t>DX_B17</t>
  </si>
  <si>
    <t>DX_B022</t>
  </si>
  <si>
    <t>This is the same asset as : DX_B21</t>
  </si>
  <si>
    <t>DX_B18</t>
  </si>
  <si>
    <t>DX_B023</t>
  </si>
  <si>
    <t>This is the same asset as : DX_B22</t>
  </si>
  <si>
    <t>DX_B19</t>
  </si>
  <si>
    <t>DX_B22</t>
  </si>
  <si>
    <t>DX_B20</t>
  </si>
  <si>
    <t>DX_B23</t>
  </si>
  <si>
    <t>DX_B21</t>
  </si>
  <si>
    <t>DX_B24</t>
  </si>
  <si>
    <t>This asset is available in the Local and SWS SCADA but not in the HVAC Drawings</t>
  </si>
  <si>
    <t>This Heat Exchanger was added later and not reflecteed in the HVAC Drawing</t>
  </si>
  <si>
    <t>CCU_AVServer_Rm</t>
  </si>
  <si>
    <t xml:space="preserve">This CCU is available in the Local SCADA but not configures in the SWS </t>
  </si>
  <si>
    <t>CAV_1F_S15_001</t>
  </si>
  <si>
    <t>EF_201</t>
  </si>
  <si>
    <t>EF_B05</t>
  </si>
  <si>
    <t>EF_B06</t>
  </si>
  <si>
    <t>EF_B07</t>
  </si>
  <si>
    <t>EF_B08</t>
  </si>
  <si>
    <t>EF_B09</t>
  </si>
  <si>
    <t>EF_B10</t>
  </si>
  <si>
    <t>EF_B11</t>
  </si>
  <si>
    <t>EF_B12</t>
  </si>
  <si>
    <t>EF_B13</t>
  </si>
  <si>
    <t>EF_B14</t>
  </si>
  <si>
    <t>EF_B15</t>
  </si>
  <si>
    <t>EF_B16</t>
  </si>
  <si>
    <t>EF_BBV01</t>
  </si>
  <si>
    <t>EF_BBV02</t>
  </si>
  <si>
    <t>EF_RP01</t>
  </si>
  <si>
    <t>EF_RP02</t>
  </si>
  <si>
    <t>EF_RP03</t>
  </si>
  <si>
    <t>KEF_101</t>
  </si>
  <si>
    <t>KEF_B019</t>
  </si>
  <si>
    <t>KEF_B020</t>
  </si>
  <si>
    <t>KEF_B04</t>
  </si>
  <si>
    <t>SEF_RP04</t>
  </si>
  <si>
    <t>SEF_RP05</t>
  </si>
  <si>
    <t>SEF_RP06</t>
  </si>
  <si>
    <t>SEF_RP07</t>
  </si>
  <si>
    <t>SEF_RP08</t>
  </si>
  <si>
    <t>SEF_RP09</t>
  </si>
  <si>
    <t>SEF_RP10</t>
  </si>
  <si>
    <t>SEF_RP11</t>
  </si>
  <si>
    <t>SEF_RP12</t>
  </si>
  <si>
    <t>SEF_ZoneA</t>
  </si>
  <si>
    <t>SEF_ZoneB</t>
  </si>
  <si>
    <t>SEF_ZoneC</t>
  </si>
  <si>
    <t>TEF_101C</t>
  </si>
  <si>
    <t>TEF_102C</t>
  </si>
  <si>
    <t>TEF_B01A</t>
  </si>
  <si>
    <t>TEF_B01B</t>
  </si>
  <si>
    <t>TEF_B02A</t>
  </si>
  <si>
    <t>TEF_B02B</t>
  </si>
  <si>
    <t>TEF_B03A</t>
  </si>
  <si>
    <t>TEF_B03B</t>
  </si>
  <si>
    <t>CCU_B01</t>
  </si>
  <si>
    <t>CCU_B02</t>
  </si>
  <si>
    <t>CCU_B03</t>
  </si>
  <si>
    <t>CCU_B04</t>
  </si>
  <si>
    <t>CCU_B05</t>
  </si>
  <si>
    <t>CCU_B06</t>
  </si>
  <si>
    <t>CCU_B07</t>
  </si>
  <si>
    <t>CCU_B08</t>
  </si>
  <si>
    <t>CCU_B09</t>
  </si>
  <si>
    <t>CCU_B10</t>
  </si>
  <si>
    <t>CCU_B11</t>
  </si>
  <si>
    <t>CCU_8081</t>
  </si>
  <si>
    <t>CCU_8082</t>
  </si>
  <si>
    <t>CCU_8083</t>
  </si>
  <si>
    <t>CCU_8084</t>
  </si>
  <si>
    <t>CCU_8085</t>
  </si>
  <si>
    <t>CCU_8086</t>
  </si>
  <si>
    <t>CCU_MDFRm</t>
  </si>
  <si>
    <t>CCU_Qtel</t>
  </si>
  <si>
    <t>CCU_Server_Rm</t>
  </si>
  <si>
    <t>This Asset is available in Local SCADA but not in SWS (Historian)</t>
  </si>
  <si>
    <t>CCU_HeritageVault</t>
  </si>
  <si>
    <t>CHW_P01</t>
  </si>
  <si>
    <t>Primary CHW Pumps</t>
  </si>
  <si>
    <t>CHW_P02</t>
  </si>
  <si>
    <t>CHW_P03</t>
  </si>
  <si>
    <t>CHW_P04</t>
  </si>
  <si>
    <t>CHWPU_P01</t>
  </si>
  <si>
    <t xml:space="preserve">Chilled Water Pressurization Unit Pump </t>
  </si>
  <si>
    <t>CHWPU_P02</t>
  </si>
  <si>
    <t>ELEC_Gen</t>
  </si>
  <si>
    <t>DX/B/11</t>
  </si>
  <si>
    <t>This DX unit is not available in I/O (Local and SWS) but available in the drawings</t>
  </si>
  <si>
    <t>DX/B/12</t>
  </si>
  <si>
    <t>DX/B/13</t>
  </si>
  <si>
    <t>DX/B/14</t>
  </si>
  <si>
    <t>DX/B/15</t>
  </si>
  <si>
    <t>DX/B/16</t>
  </si>
  <si>
    <t>DX/1/01</t>
  </si>
  <si>
    <t>DX/1/02</t>
  </si>
  <si>
    <t>DX/1/03</t>
  </si>
  <si>
    <t>CCU3F0301</t>
  </si>
  <si>
    <t>CCU3F0302</t>
  </si>
  <si>
    <t>CCUB0001A</t>
  </si>
  <si>
    <t>CCUB0001B</t>
  </si>
  <si>
    <t>CCUB0002A</t>
  </si>
  <si>
    <t>CCUB0002B</t>
  </si>
  <si>
    <t>CCUB0003</t>
  </si>
  <si>
    <t>CCUB0004</t>
  </si>
  <si>
    <t>CCUB0005A</t>
  </si>
  <si>
    <t>CCUB0005B</t>
  </si>
  <si>
    <t>CCUB0006A</t>
  </si>
  <si>
    <t>CCUB0006B</t>
  </si>
  <si>
    <t>CCUB0007</t>
  </si>
  <si>
    <t>CCUB0008</t>
  </si>
  <si>
    <t>TEF0101</t>
  </si>
  <si>
    <t>TEF0102</t>
  </si>
  <si>
    <t>TEF0301</t>
  </si>
  <si>
    <t>TEF0302</t>
  </si>
  <si>
    <t>CHW_HE01</t>
  </si>
  <si>
    <t>CHW_HE02</t>
  </si>
  <si>
    <t>CHW_HE03</t>
  </si>
  <si>
    <t>CHW_HE04</t>
  </si>
  <si>
    <t>CHW_HE05</t>
  </si>
  <si>
    <t>DXB0001</t>
  </si>
  <si>
    <t>DX Unit - Ducted Split</t>
  </si>
  <si>
    <t>DXB0002</t>
  </si>
  <si>
    <t>DXB0003</t>
  </si>
  <si>
    <t>DXB0004</t>
  </si>
  <si>
    <t>DXB0005</t>
  </si>
  <si>
    <t>DXB0006</t>
  </si>
  <si>
    <t>DX Unit - Floor Standing Units</t>
  </si>
  <si>
    <t>DXB0007</t>
  </si>
  <si>
    <t>DXB0008</t>
  </si>
  <si>
    <t>DXB0009</t>
  </si>
  <si>
    <t>DXB0010</t>
  </si>
  <si>
    <t>MV_Generator</t>
  </si>
  <si>
    <t>KEF0103</t>
  </si>
  <si>
    <t>KEF0303</t>
  </si>
  <si>
    <t>CHWP_B01</t>
  </si>
  <si>
    <t>CHWP_B02</t>
  </si>
  <si>
    <t>CHWP_B03</t>
  </si>
  <si>
    <t>CHWP_B04</t>
  </si>
  <si>
    <t>CHWP01</t>
  </si>
  <si>
    <t>CHWP02</t>
  </si>
  <si>
    <t>CHWP03</t>
  </si>
  <si>
    <t>CHWP04</t>
  </si>
  <si>
    <t>GEFB0001</t>
  </si>
  <si>
    <t>General Extract Fan</t>
  </si>
  <si>
    <t>REF0001</t>
  </si>
  <si>
    <t>Extract Fan</t>
  </si>
  <si>
    <t>NB_AHU8511</t>
  </si>
  <si>
    <t>NB_AHU8512</t>
  </si>
  <si>
    <t>NB_AHU8513</t>
  </si>
  <si>
    <t>NB_AHU8514</t>
  </si>
  <si>
    <t>NB_AHU8515</t>
  </si>
  <si>
    <t>NB_AHU8516</t>
  </si>
  <si>
    <t>ERU</t>
  </si>
  <si>
    <t>NB_AHU8517</t>
  </si>
  <si>
    <t>NB_AHU8518</t>
  </si>
  <si>
    <t>NB_AHU8519</t>
  </si>
  <si>
    <t>NB_AHU8520</t>
  </si>
  <si>
    <t>NB_AHU8521</t>
  </si>
  <si>
    <t>RDC_NB_ERU8531</t>
  </si>
  <si>
    <t>RDC_NB_ERU8532</t>
  </si>
  <si>
    <t>EAV</t>
  </si>
  <si>
    <t>RDC_NB_ERU8533</t>
  </si>
  <si>
    <t>RDC_NB_ERU8534</t>
  </si>
  <si>
    <t>RDC_NB_ERU8535</t>
  </si>
  <si>
    <t>RDC_NB_ERU8536</t>
  </si>
  <si>
    <t>RDC_NB_ERU8537</t>
  </si>
  <si>
    <t>RDC_NB_ERU8538</t>
  </si>
  <si>
    <t>RDC_NB_ERU8539</t>
  </si>
  <si>
    <t>RDC_NB_ERU8540</t>
  </si>
  <si>
    <t>RDC_NB_ERU8541</t>
  </si>
  <si>
    <t>RDC_SB_AHU8011</t>
  </si>
  <si>
    <t>RDC_SB_AHU8012</t>
  </si>
  <si>
    <t>RDC_SB_AHU8021</t>
  </si>
  <si>
    <t>RDC_SB_AHU8022</t>
  </si>
  <si>
    <t>RDC_SB_AHU8023</t>
  </si>
  <si>
    <t>RDC_SB_AHU8024</t>
  </si>
  <si>
    <t>RDC_UB_AHU8603_DXUnit</t>
  </si>
  <si>
    <t>This is the DX coil/compressor of AHU8603</t>
  </si>
  <si>
    <t>RDC_SB_AHU8025</t>
  </si>
  <si>
    <t>RDC_UB_AHU8604_DXUnit</t>
  </si>
  <si>
    <t>This is the DX coil/compressor of AHU8604</t>
  </si>
  <si>
    <t>RDC_SB_AHU8026</t>
  </si>
  <si>
    <t>RDC_UB_AHU8605_DXUnit</t>
  </si>
  <si>
    <t>This is the DX coil/compressor of AHU8605</t>
  </si>
  <si>
    <t>RDC_SB_AHU8031</t>
  </si>
  <si>
    <t>RDC_UB_AHU8606_DXUnit</t>
  </si>
  <si>
    <t>This is the DX coil/compressor of AHU8606</t>
  </si>
  <si>
    <t>RDC_SB_AHU8032</t>
  </si>
  <si>
    <t>RDC_UB_AHU8607_DXUnit</t>
  </si>
  <si>
    <t>This is the DX coil/compressor of AHU8607</t>
  </si>
  <si>
    <t>RDC_SB_AHU8033</t>
  </si>
  <si>
    <t>RDC_UB_AHU8608_DXUnit</t>
  </si>
  <si>
    <t>This is the DX coil/compressor of AHU8608</t>
  </si>
  <si>
    <t>RDC_SB_AHU8034</t>
  </si>
  <si>
    <t>RDC_UB_AHU8609_DXUnit</t>
  </si>
  <si>
    <t>This is the DX coil/compressor of AHU8609</t>
  </si>
  <si>
    <t>RDC_SB_AHU8035</t>
  </si>
  <si>
    <t>RDC_SB_BUS_EFA1</t>
  </si>
  <si>
    <t>Extract fans serving the bus station</t>
  </si>
  <si>
    <t>RDC_SB_AHU8036</t>
  </si>
  <si>
    <t>RDC_SB_BUS_EFA2</t>
  </si>
  <si>
    <t>RDC_SB_AHU8037</t>
  </si>
  <si>
    <t>RDC_SB_BUS_EFA3</t>
  </si>
  <si>
    <t>RDC_SB_AHU8041</t>
  </si>
  <si>
    <t>RDC_SB_BUS_EFA4</t>
  </si>
  <si>
    <t>RDC_SB_AHU8042</t>
  </si>
  <si>
    <t>RDC_SB_BUS_EFA5</t>
  </si>
  <si>
    <t>RDC_SB_BUS_EFA6</t>
  </si>
  <si>
    <t>RDC_SB_BUS_EFA7</t>
  </si>
  <si>
    <t>RDC_SB_BUS_EFA8</t>
  </si>
  <si>
    <t>RDC_SB_BUS_EFB1</t>
  </si>
  <si>
    <t>RDC_SB_BUS_EFB2</t>
  </si>
  <si>
    <t>RDC_SB_BUS_EFB3</t>
  </si>
  <si>
    <t>RDC_SB_BUS_EFB4</t>
  </si>
  <si>
    <t>RDC_SB_BUS_EFB5</t>
  </si>
  <si>
    <t>RDC_SB_BUS_EFB6</t>
  </si>
  <si>
    <t>RDC_NB_EF8511</t>
  </si>
  <si>
    <t>RDC_SB_BUS_EFB7</t>
  </si>
  <si>
    <t>RDC_NB_EF8512</t>
  </si>
  <si>
    <t>RDC_SB_BUS_EFB8</t>
  </si>
  <si>
    <t>RDC_NB_EF8513</t>
  </si>
  <si>
    <t>RDC_SB_BUS_EFC1</t>
  </si>
  <si>
    <t>RDC_NB_EF8514</t>
  </si>
  <si>
    <t>RDC_SB_BUS_EFC2</t>
  </si>
  <si>
    <t>RDC_NB_EF8551</t>
  </si>
  <si>
    <t>RDC_SB_BUS_EFD1</t>
  </si>
  <si>
    <t>RDC_NB_EF8552</t>
  </si>
  <si>
    <t>RDC_SB_BUS_EFD2</t>
  </si>
  <si>
    <t>RDC_NB_EF8553</t>
  </si>
  <si>
    <t>RDC_NB_EF8554</t>
  </si>
  <si>
    <t>RDC_SB_EF8041</t>
  </si>
  <si>
    <t>RDC_SB_EF8042</t>
  </si>
  <si>
    <t>RDC_SB_EF8043</t>
  </si>
  <si>
    <t>RDC_SB_EF8044</t>
  </si>
  <si>
    <t>RDC_UB_EF8641</t>
  </si>
  <si>
    <t>RDC_UB_EF8642</t>
  </si>
  <si>
    <t>RDC_UB_EF8643</t>
  </si>
  <si>
    <t>RDC_UB_EF8644</t>
  </si>
  <si>
    <t>RDC_UB_EF8645</t>
  </si>
  <si>
    <t>RDC_UB_EF8646</t>
  </si>
  <si>
    <t>RDC_SB_1F_VAV</t>
  </si>
  <si>
    <t>RDC_SB_GF_VAV</t>
  </si>
  <si>
    <t>RDC_NB_1F_VAV7830_7831</t>
  </si>
  <si>
    <t>RDC_NB_1F_CAV4501</t>
  </si>
  <si>
    <t>RDC_NB_1F_CAV4581A</t>
  </si>
  <si>
    <t>RDC_NB_1F_CAV4581B</t>
  </si>
  <si>
    <t>RDC_NB_1F_CAV4582</t>
  </si>
  <si>
    <t>RDC_NB_1F_CAV4640_EV4641</t>
  </si>
  <si>
    <t>RDC_NB_1F_CAV5530</t>
  </si>
  <si>
    <t>RDC_NB_1F_CAV5640_EV5641</t>
  </si>
  <si>
    <t>RDC_NB_1F_CAV5720_EV5721</t>
  </si>
  <si>
    <t>RDC_NB_1F_CAV5750</t>
  </si>
  <si>
    <t>RDC_NB_1F_CAV5755</t>
  </si>
  <si>
    <t>RDC_NB_1F_CAV5818</t>
  </si>
  <si>
    <t>RDC_NB_1F_CAV6500</t>
  </si>
  <si>
    <t>RDC_NB_1F_CAV6515_EV6516</t>
  </si>
  <si>
    <t>RDC_NB_1F_CAV6520</t>
  </si>
  <si>
    <t>RDC_NB_1F_CAV6580</t>
  </si>
  <si>
    <t>RDC_NB_1F_CAV6730</t>
  </si>
  <si>
    <t>RDC_NB_1F_CAV6740_EV6741</t>
  </si>
  <si>
    <t>RDC_NB_1F_CAV6790_CEV6791</t>
  </si>
  <si>
    <t>RDC_NB_1F_CAV7500_EV7501</t>
  </si>
  <si>
    <t>RDC_NB_1F_CAV7520_CEV7521</t>
  </si>
  <si>
    <t>RDC_NB_1F_CAV7590_CEV7591</t>
  </si>
  <si>
    <t>RDC_NB_1F_CAV7610_CEV7611</t>
  </si>
  <si>
    <t>RDC_NB_1F_CAV7720</t>
  </si>
  <si>
    <t>RDC_NB_1F_CAV7760_CEV7761</t>
  </si>
  <si>
    <t>RDC_NB_1F_CAV7790_CEV7791</t>
  </si>
  <si>
    <t>RDC_NB_GF_CAV4030</t>
  </si>
  <si>
    <t>RDC_NB_GF_CAV4035</t>
  </si>
  <si>
    <t>RDC_NB_GF_CAV4170</t>
  </si>
  <si>
    <t>RDC_NB_GF_CAV4315_EV4316</t>
  </si>
  <si>
    <t>RDC_NB_GF_CAV5005</t>
  </si>
  <si>
    <t>RDC_NB_GF_CAV5020_EV5021</t>
  </si>
  <si>
    <t>RDC_NB_GF_CAV5160_EV5161</t>
  </si>
  <si>
    <t>RDC_NB_GF_CAV5170</t>
  </si>
  <si>
    <t>RDC_NB_GF_CAV5240_CEV5241</t>
  </si>
  <si>
    <t>RDC_NB_GF_CAV5280</t>
  </si>
  <si>
    <t>RDC_NB_GF_CAV5290_EV5291</t>
  </si>
  <si>
    <t>RDC_NB_GF_CAV5320</t>
  </si>
  <si>
    <t>RDC_NB_GF_CAV5350</t>
  </si>
  <si>
    <t>RDC_NB_GF_CAV5375</t>
  </si>
  <si>
    <t>RDC_NB_GF_CAV6005</t>
  </si>
  <si>
    <t>RDC_NB_GF_CAV6015_EV6016</t>
  </si>
  <si>
    <t>RDC_NB_GF_CAV6020</t>
  </si>
  <si>
    <t>RDC_NB_GF_CAV6280_EV6281</t>
  </si>
  <si>
    <t>RDC_NB_GF_CAV7005_EV7006</t>
  </si>
  <si>
    <t>RDC_NB_GF_CAV7380_EV7381</t>
  </si>
  <si>
    <t>RDC_SB_1F_CAV0501</t>
  </si>
  <si>
    <t>RDC_SB_1F_CAV0502</t>
  </si>
  <si>
    <t>RDC_SB_1F_CAV0503</t>
  </si>
  <si>
    <t>RDC_SB_1F_CAV0504</t>
  </si>
  <si>
    <t>RDC_SB_1F_CAV0505</t>
  </si>
  <si>
    <t>RDC_SB_1F_CAV0515</t>
  </si>
  <si>
    <t>RDC_SB_1F_CAV0516</t>
  </si>
  <si>
    <t>RDC_SB_1F_CAV0517</t>
  </si>
  <si>
    <t>RDC_SB_1F_CAV0524</t>
  </si>
  <si>
    <t>RDC_SB_1F_CAV0525</t>
  </si>
  <si>
    <t>RDC_SB_1F_CAV0534</t>
  </si>
  <si>
    <t>RDC_SB_1F_CAV0535</t>
  </si>
  <si>
    <t>RDC_SB_1F_CAV1504</t>
  </si>
  <si>
    <t>RDC_SB_1F_CAV1535</t>
  </si>
  <si>
    <t>RDC_SB_1F_CAV1537</t>
  </si>
  <si>
    <t>RDC_SB_1F_CAV1541</t>
  </si>
  <si>
    <t>RDC_SB_1F_CAV2507</t>
  </si>
  <si>
    <t>RDC_SB_GF_CAV0004</t>
  </si>
  <si>
    <t>RDC_SB_GF_CAV0005</t>
  </si>
  <si>
    <t>RDC_SB_GF_CAV0006</t>
  </si>
  <si>
    <t>RDC_SB_GF_CAV0015</t>
  </si>
  <si>
    <t>RDC_SB_GF_CAV0020</t>
  </si>
  <si>
    <t>RDC_SB_GF_CAV0021</t>
  </si>
  <si>
    <t>RDC_SB_GF_CAV0022</t>
  </si>
  <si>
    <t>RDC_SB_GF_CAV0023</t>
  </si>
  <si>
    <t>RDC_SB_GF_CAV0024</t>
  </si>
  <si>
    <t>RDC_SB_GF_CAV1001</t>
  </si>
  <si>
    <t>RDC_SB_GF_CAV1002</t>
  </si>
  <si>
    <t>RDC_SB_GF_CAV1005</t>
  </si>
  <si>
    <t>RDC_SB_GF_CAV1006</t>
  </si>
  <si>
    <t>RDC_SB_GF_CAV1007</t>
  </si>
  <si>
    <t>RDC_SB_GF_CAV1009</t>
  </si>
  <si>
    <t>RDC_SB_GF_CAV2001</t>
  </si>
  <si>
    <t>RDC_NB_CHW_HEX01</t>
  </si>
  <si>
    <t>RDC_NB_CHW_HEX02</t>
  </si>
  <si>
    <t>RDC_SB_CHW_Hex01</t>
  </si>
  <si>
    <t>RDC_SB_CHW_Hex02</t>
  </si>
  <si>
    <t>RDC_UB_CHW_HEX01</t>
  </si>
  <si>
    <t>RDC_UB_CHW_HEX02</t>
  </si>
  <si>
    <t>RDC_UB_CHW_HEX03</t>
  </si>
  <si>
    <t>RDC_NB_CHW_P01</t>
  </si>
  <si>
    <t>RDC_NB_CHW_P02</t>
  </si>
  <si>
    <t>RDC_NB_CHW_P03</t>
  </si>
  <si>
    <t>RDC_SB_CH_Pmp01</t>
  </si>
  <si>
    <t>RDC_SB_CH_Pmp02</t>
  </si>
  <si>
    <t>RDC_SB_CHW_Pmp01</t>
  </si>
  <si>
    <t>RDC_UB_CHW_Pmp01</t>
  </si>
  <si>
    <t>RDC_UB_CHW_Pmp02</t>
  </si>
  <si>
    <t>RDC_UB_CHW_Pmp03</t>
  </si>
  <si>
    <t>UB_GEN1</t>
  </si>
  <si>
    <t>UB_GEN2</t>
  </si>
  <si>
    <t>UB_GEN3</t>
  </si>
  <si>
    <t>RDC_NB_1F_VEV5791</t>
  </si>
  <si>
    <t>RDC_NB_GF_VEV4041</t>
  </si>
  <si>
    <t>RDC_NB_1F_VEV5811A</t>
  </si>
  <si>
    <t>RDC_NB_GF_VEV4213A</t>
  </si>
  <si>
    <t>RDC_NB_1F_VEV5821</t>
  </si>
  <si>
    <t>RDC_NB_GF_VEV5052A</t>
  </si>
  <si>
    <t>RDC_NB_1F_VEV6553</t>
  </si>
  <si>
    <t>RDC_NB_GF_VEV7073</t>
  </si>
  <si>
    <t>RDC_NB_GF_VEV5071</t>
  </si>
  <si>
    <t>RDC_NB_GF_VEV7023A</t>
  </si>
  <si>
    <t>RDC_NB_GF_VEV5092</t>
  </si>
  <si>
    <t>RDC_NB_1F_VEV6751</t>
  </si>
  <si>
    <t>RDC_NB_GF_VEV7301</t>
  </si>
  <si>
    <t>RDC_NB_1F_VEV6763</t>
  </si>
  <si>
    <t>RDC_NB_1F_VEV4586A</t>
  </si>
  <si>
    <t>RDC_NB_GF_VEV5231</t>
  </si>
  <si>
    <t>RDC_NB_1F_VEV4602</t>
  </si>
  <si>
    <t>RDC_NB_GF_VEV5182A</t>
  </si>
  <si>
    <t>RDC_NB_1F_VEV5572</t>
  </si>
  <si>
    <t>RDC_NB_1F_VEV5591</t>
  </si>
  <si>
    <t>RDC_NB_1F_VEV4585A</t>
  </si>
  <si>
    <t>RDC_NB_1F_VEV4585B</t>
  </si>
  <si>
    <t>RDC_NB_1F_VEV4586B</t>
  </si>
  <si>
    <t>RDC_NB_1F_VEV5573A</t>
  </si>
  <si>
    <t>RDC_NB_1F_VEV5573B</t>
  </si>
  <si>
    <t>RDC_NB_1F_VEV5811B</t>
  </si>
  <si>
    <t>RDC_NB_1F_VEV5795B</t>
  </si>
  <si>
    <t>RDC_NB_1F_VEV6552</t>
  </si>
  <si>
    <t>RDC_NB_1F_VEV6541</t>
  </si>
  <si>
    <t>RDC_NB_1F_VEV6762</t>
  </si>
  <si>
    <t>RDC_NB_GF_VEV4213B</t>
  </si>
  <si>
    <t>RDC_NB_GF_VEV5055</t>
  </si>
  <si>
    <t>RDC_NB_GF_VEV5052B</t>
  </si>
  <si>
    <t>RDC_NB_GF_VEV5182B</t>
  </si>
  <si>
    <t>RDC_NB_GF_VEV5221</t>
  </si>
  <si>
    <t>RDC_NB_GF_VEV5211</t>
  </si>
  <si>
    <t>RDC_NB_GF_VEV7022B</t>
  </si>
  <si>
    <t>RDC_NB_GF_VEV7022A</t>
  </si>
  <si>
    <t>RDC_NB_GF_VEV7024B</t>
  </si>
  <si>
    <t>RDC_NB_GF_VEV7024A</t>
  </si>
  <si>
    <t>RDC_NB_GF_VEV7023B</t>
  </si>
  <si>
    <t>RDC_NB_GF_VEV7072B</t>
  </si>
  <si>
    <t>RDC_NB_GF_VEV7072A</t>
  </si>
  <si>
    <t>RDC_NB_GF_VEV7241B</t>
  </si>
  <si>
    <t>RDC_NB_GF_EAV4261</t>
  </si>
  <si>
    <t>RDC_NB_1F_EAV4500</t>
  </si>
  <si>
    <t>RDC_NB_1F_EAV6661</t>
  </si>
  <si>
    <t>RDC_NB_GF_EAV4286</t>
  </si>
  <si>
    <t>RDC_NB_1F_EAV4661</t>
  </si>
  <si>
    <t>RDC_NB_GF_EAV4311</t>
  </si>
  <si>
    <t>RDC_NB_1F_EAV6676</t>
  </si>
  <si>
    <t>RDC_NB_1F_EAV4686</t>
  </si>
  <si>
    <t>RDC_NB_1F_EAV6691</t>
  </si>
  <si>
    <t>RDC_NB_GF_EAV5026</t>
  </si>
  <si>
    <t>RDC_NB_1F_EAV4711</t>
  </si>
  <si>
    <t>RDC_NB_GF_EAV5163</t>
  </si>
  <si>
    <t>RDC_NB_1F_EAV6936</t>
  </si>
  <si>
    <t>RDC_NB_1F_EAV4736</t>
  </si>
  <si>
    <t>RDC_NB_GF_EAV6127</t>
  </si>
  <si>
    <t>RDC_NB_1F_EAV6961</t>
  </si>
  <si>
    <t>RDC_NB_1F_EAV5502</t>
  </si>
  <si>
    <t>RDC_NB_GF_EAV6141</t>
  </si>
  <si>
    <t>RDC_NB_1F_EAV6969</t>
  </si>
  <si>
    <t>RDC_NB_1F_EAV5503</t>
  </si>
  <si>
    <t>RDC_NB_GF_EAV6156</t>
  </si>
  <si>
    <t>RDC_NB_1F_EAV7631</t>
  </si>
  <si>
    <t>RDC_NB_1F_EAV5686</t>
  </si>
  <si>
    <t>RDC_NB_GF_EAV6176</t>
  </si>
  <si>
    <t>RDC_NB_1F_EAV7646</t>
  </si>
  <si>
    <t>RDC_NB_1F_EAV5747</t>
  </si>
  <si>
    <t>RDC_NB_GF_EAV6356</t>
  </si>
  <si>
    <t>RDC_NB_1F_EAV7661</t>
  </si>
  <si>
    <t>RDC_NB_1F_EAV5891</t>
  </si>
  <si>
    <t>RDC_NB_GF_EAV6381</t>
  </si>
  <si>
    <t>RDC_NB_1F_EAV7663</t>
  </si>
  <si>
    <t>RDC_NB_1F_EAV5921</t>
  </si>
  <si>
    <t>RDC_NB_GF_EAV6401</t>
  </si>
  <si>
    <t>RDC_NB_1F_EAV7711</t>
  </si>
  <si>
    <t>RDC_NB_1F_EAV5941</t>
  </si>
  <si>
    <t>RDC_NB_GF_EAV7091</t>
  </si>
  <si>
    <t>RDC_NB_1F_EAV7712</t>
  </si>
  <si>
    <t>RDC_NB_1F_EAV6528</t>
  </si>
  <si>
    <t>RDC_NB_1F_EAV7861</t>
  </si>
  <si>
    <t>RDC_NB_GF_EAV7106</t>
  </si>
  <si>
    <t>RDC_NB_1F_EAV7916</t>
  </si>
  <si>
    <t>RDC_NB_GF_EAV7121</t>
  </si>
  <si>
    <t>RDC_NB_2F_EAV4920</t>
  </si>
  <si>
    <t>RDC_NB_GF_EAV7122</t>
  </si>
  <si>
    <t>RDC_NB_2F_EAV6981</t>
  </si>
  <si>
    <t>RDC_NB_GF_EAV7396</t>
  </si>
  <si>
    <t>RDC_NB_GF_EAV4028</t>
  </si>
  <si>
    <t>RDC_NB_GF_EAV7426</t>
  </si>
  <si>
    <t>RDC_NB_GF_EAV4236</t>
  </si>
  <si>
    <t>RDC_NB_GF_EAV7461</t>
  </si>
  <si>
    <t>RDC_NB_GF_EAV7486</t>
  </si>
  <si>
    <t>RDC_NB_1F_FEV5772</t>
  </si>
  <si>
    <t>RDC_NB_1F_FEV4587</t>
  </si>
  <si>
    <t>RDC_NB_1F_FEV6731</t>
  </si>
  <si>
    <t>RDC_NB_1F_FEV5796</t>
  </si>
  <si>
    <t>RDC_NB_1F_FEV4588</t>
  </si>
  <si>
    <t>RDC_NB_1F_FEV5812</t>
  </si>
  <si>
    <t>RDC_NB_1F_FEV6764</t>
  </si>
  <si>
    <t>RDC_NB_1F_FEV4603</t>
  </si>
  <si>
    <t>RDC_NB_1F_FEV5813</t>
  </si>
  <si>
    <t>RDC_NB_1F_FEV6765</t>
  </si>
  <si>
    <t>RDC_NB_1F_FEV4604</t>
  </si>
  <si>
    <t>RDC_NB_1F_FEV6554</t>
  </si>
  <si>
    <t>RDC_NB_1F_FEV6766</t>
  </si>
  <si>
    <t>RDC_NB_1F_FEV4605</t>
  </si>
  <si>
    <t>RDC_NB_1F_FEV6555</t>
  </si>
  <si>
    <t>RDC_NB_1F_FEV6852</t>
  </si>
  <si>
    <t>RDC_NB_1F_FEV4606</t>
  </si>
  <si>
    <t>RDC_NB_1F_FEV6853</t>
  </si>
  <si>
    <t>RDC_NB_1F_FEV4622</t>
  </si>
  <si>
    <t>RDC_NB_1F_FEV6602</t>
  </si>
  <si>
    <t>RDC_NB_1F_FEV6854</t>
  </si>
  <si>
    <t>RDC_NB_1F_FEV5574</t>
  </si>
  <si>
    <t>RDC_NB_1F_FEV6632</t>
  </si>
  <si>
    <t>RDC_NB_1F_FEV6855</t>
  </si>
  <si>
    <t>RDC_NB_1F_FEV5575</t>
  </si>
  <si>
    <t>RDC_NB_1F_FEV6633</t>
  </si>
  <si>
    <t>RDC_NB_1F_FEV5624</t>
  </si>
  <si>
    <t>RDC_NB_1F_FEV6634</t>
  </si>
  <si>
    <t>RDC_NB_1F_FEV6856</t>
  </si>
  <si>
    <t>RDC_NB_1F_FEV6635</t>
  </si>
  <si>
    <t>RDC_NB_1F_FEV6857</t>
  </si>
  <si>
    <t>RDC_NB_1F_FEV6636</t>
  </si>
  <si>
    <t>RDC_NB_1F_FEV6858</t>
  </si>
  <si>
    <t>RDC_NB_1F_FEV6637</t>
  </si>
  <si>
    <t>RDC_NB_1F_FEV6859</t>
  </si>
  <si>
    <t>RDC_NB_1F_FEV6638</t>
  </si>
  <si>
    <t>RDC_NB_1F_FEV7522</t>
  </si>
  <si>
    <t>RDC_NB_1F_FEV6639</t>
  </si>
  <si>
    <t>RDC_NB_1F_FEV7602</t>
  </si>
  <si>
    <t>RDC_NB_1F_FEV7824</t>
  </si>
  <si>
    <t>RDC_NB_GF_FEV4193</t>
  </si>
  <si>
    <t>RDC_NB_GF_FEV5223</t>
  </si>
  <si>
    <t>RDC_NB_GF_FEV5073</t>
  </si>
  <si>
    <t>RDC_NB_GF_FEV4194</t>
  </si>
  <si>
    <t>RDC_NB_GF_FEV5271</t>
  </si>
  <si>
    <t>RDC_NB_GF_FEV5074</t>
  </si>
  <si>
    <t>RDC_NB_GF_FEV4214</t>
  </si>
  <si>
    <t>RDC_NB_GF_FEV5272</t>
  </si>
  <si>
    <t>RDC_NB_GF_FEV5082</t>
  </si>
  <si>
    <t>RDC_NB_GF_FEV4215</t>
  </si>
  <si>
    <t>RDC_NB_GF_FEV5273</t>
  </si>
  <si>
    <t>RDC_NB_GF_FEV5083</t>
  </si>
  <si>
    <t>RDC_NB_GF_FEV4216</t>
  </si>
  <si>
    <t>RDC_NB_GF_FEV5274</t>
  </si>
  <si>
    <t>RDC_NB_GF_FEV5093</t>
  </si>
  <si>
    <t>RDC_NB_GF_FEV5053</t>
  </si>
  <si>
    <t>RDC_NB_GF_FEV5275</t>
  </si>
  <si>
    <t>RDC_NB_GF_FEV5094</t>
  </si>
  <si>
    <t>RDC_NB_GF_FEV5062</t>
  </si>
  <si>
    <t>RDC_NB_GF_FEV5276</t>
  </si>
  <si>
    <t>RDC_NB_GF_FEV5072</t>
  </si>
  <si>
    <t>RDC_NB_GF_FEV5095A</t>
  </si>
  <si>
    <t>RDC_NB_GF_FEV5277</t>
  </si>
  <si>
    <t>RDC_NB_GF_FEV5095B</t>
  </si>
  <si>
    <t>RDC_NB_GF_FEV7052</t>
  </si>
  <si>
    <t>RDC_NB_GF_FEV5183</t>
  </si>
  <si>
    <t>RDC_NB_GF_FEV7053</t>
  </si>
  <si>
    <t>RDC_NB_GF_FEV5192A</t>
  </si>
  <si>
    <t>RDC_NB_GF_FEV7062</t>
  </si>
  <si>
    <t>RDC_NB_GF_FEV5192B</t>
  </si>
  <si>
    <t>RDC_NB_GF_FEV7074</t>
  </si>
  <si>
    <t>RDC_NB_GF_FEV5203</t>
  </si>
  <si>
    <t>RDC_NB_GF_FEV7075</t>
  </si>
  <si>
    <t>RDC_NB_GF_FEV5222</t>
  </si>
  <si>
    <t>RDC_NB_GF_FEV7232</t>
  </si>
  <si>
    <t>RDC_NB_GF_FEV7262</t>
  </si>
  <si>
    <t>Name</t>
  </si>
  <si>
    <t>Number</t>
  </si>
  <si>
    <t xml:space="preserve">entity to use in Ontology </t>
  </si>
  <si>
    <t>Equipment located in Entity</t>
  </si>
  <si>
    <t>VENT PLANT</t>
  </si>
  <si>
    <t>B1.014</t>
  </si>
  <si>
    <t>CHILLED WATER</t>
  </si>
  <si>
    <t>B1.013</t>
  </si>
  <si>
    <t>GENERATOR</t>
  </si>
  <si>
    <t>B1.012</t>
  </si>
  <si>
    <t>entity:SSC_B1_012_GENERATOR</t>
  </si>
  <si>
    <t>STAIR-1</t>
  </si>
  <si>
    <t>B1.ST-1</t>
  </si>
  <si>
    <t>entity:SSC_B1_ST-1_STAIR-1</t>
  </si>
  <si>
    <t>ENTRANCE</t>
  </si>
  <si>
    <t>B1.015</t>
  </si>
  <si>
    <t>LIFT</t>
  </si>
  <si>
    <t>B1.P-1</t>
  </si>
  <si>
    <t>entity:SSC_B1_P-1_P1</t>
  </si>
  <si>
    <t>B1.P-2</t>
  </si>
  <si>
    <t>entity:SSC_B1_P-2_P2</t>
  </si>
  <si>
    <t>SPRINKLER &amp; WATER</t>
  </si>
  <si>
    <t>B1.016</t>
  </si>
  <si>
    <t>SER-2</t>
  </si>
  <si>
    <t>B1.038</t>
  </si>
  <si>
    <t>entity:SSC_B1_038_SER-2</t>
  </si>
  <si>
    <t>MDF-2</t>
  </si>
  <si>
    <t>B1.017</t>
  </si>
  <si>
    <t>entity:SSC_B1_017_MDF-2</t>
  </si>
  <si>
    <t>FM STORAGE</t>
  </si>
  <si>
    <t>B1.019</t>
  </si>
  <si>
    <t>entity:SSC_B1_019_FM_STORAGE</t>
  </si>
  <si>
    <t>CONDENSER ROOM</t>
  </si>
  <si>
    <t>B1.018</t>
  </si>
  <si>
    <t>entity:SSC_B1_018_CONDENSER_ROOM</t>
  </si>
  <si>
    <t>FILE STORAGE</t>
  </si>
  <si>
    <t>B1.028</t>
  </si>
  <si>
    <t>entity:SSC_B1_028_FILE_STORAGE</t>
  </si>
  <si>
    <t>CORRIDOR</t>
  </si>
  <si>
    <t>B1.030</t>
  </si>
  <si>
    <t>entity:SSC_B1_030_CORRIDOR</t>
  </si>
  <si>
    <t>B1.031</t>
  </si>
  <si>
    <t>entity:SSC_B1_031_CORRIDOR</t>
  </si>
  <si>
    <t>B1.029</t>
  </si>
  <si>
    <t>entity:SSC_B1_029_CORRIDOR</t>
  </si>
  <si>
    <t>B1.027</t>
  </si>
  <si>
    <t>entity:SSC_B1_027_CORRIDOR</t>
  </si>
  <si>
    <t>B1.034</t>
  </si>
  <si>
    <t>entity:SSC_B1_034_CORRIDOR</t>
  </si>
  <si>
    <t>B1.035</t>
  </si>
  <si>
    <t>entity:SSC_B1_035_CORRIDOR</t>
  </si>
  <si>
    <t>B1.008</t>
  </si>
  <si>
    <t>STAIR-2</t>
  </si>
  <si>
    <t>B1.ST-2</t>
  </si>
  <si>
    <t>entity:SSC_B1_ST-2_STAIR-2</t>
  </si>
  <si>
    <t>STORAGE</t>
  </si>
  <si>
    <t>B1.036</t>
  </si>
  <si>
    <t>entity:SSC_B1_036_STORAGE</t>
  </si>
  <si>
    <t>JANITORS CLOSET</t>
  </si>
  <si>
    <t>B1.011</t>
  </si>
  <si>
    <t>entity:SSC_B1_011_JANITORS_CLOSET</t>
  </si>
  <si>
    <t>VESTIBULE</t>
  </si>
  <si>
    <t>B1.010</t>
  </si>
  <si>
    <t>entity:SSC_B1_010_VESTIBULE</t>
  </si>
  <si>
    <t>TOILET</t>
  </si>
  <si>
    <t>B1.009</t>
  </si>
  <si>
    <t>entity:SSC_B1_009_TOILET</t>
  </si>
  <si>
    <t>SERVICE DOCK</t>
  </si>
  <si>
    <t>B1.007</t>
  </si>
  <si>
    <t>entity:SSC_B1_007_SERVICE_DOCK</t>
  </si>
  <si>
    <t>UPS</t>
  </si>
  <si>
    <t>B1.005</t>
  </si>
  <si>
    <t>entity:SSC_B1_005_UPS</t>
  </si>
  <si>
    <t>SERVICE AREA</t>
  </si>
  <si>
    <t>B1.006</t>
  </si>
  <si>
    <t>entity:SSC_B1_006_SERVICE_AREA</t>
  </si>
  <si>
    <t>MAIN SEC.  CONTROL ROOM</t>
  </si>
  <si>
    <t>B1.025</t>
  </si>
  <si>
    <t>entity:SSC_B1_025_MAIN_SEC_CONTROL_ROOM</t>
  </si>
  <si>
    <t>SSP</t>
  </si>
  <si>
    <t>B1.022</t>
  </si>
  <si>
    <t>entity:SSC_B1_022_SSP</t>
  </si>
  <si>
    <t>QTEL</t>
  </si>
  <si>
    <t>B1.023</t>
  </si>
  <si>
    <t>entity:SSC_B1_023_Q_TEL</t>
  </si>
  <si>
    <t>MDF/SER-1</t>
  </si>
  <si>
    <t>B1.026</t>
  </si>
  <si>
    <t>entity:SSC_B1_026_MDF_SER-1</t>
  </si>
  <si>
    <t>BIN STORAGE</t>
  </si>
  <si>
    <t>B1.024</t>
  </si>
  <si>
    <t>entity:SSC_B1_024_BIN_STORAGE</t>
  </si>
  <si>
    <t>BMS</t>
  </si>
  <si>
    <t>B1.039</t>
  </si>
  <si>
    <t>B1.021</t>
  </si>
  <si>
    <t>entity:SSC_B1_021_FM_STORAGE</t>
  </si>
  <si>
    <t>B1.032</t>
  </si>
  <si>
    <t>entity:SSC_B1_032_CORRIDOR</t>
  </si>
  <si>
    <t>B1.020</t>
  </si>
  <si>
    <t>entity:SSC_B1_020_FM_STORAGE</t>
  </si>
  <si>
    <t>B1.001</t>
  </si>
  <si>
    <t>entity:SSC_B1_001_FM_STORAGE</t>
  </si>
  <si>
    <t>HV</t>
  </si>
  <si>
    <t>B1.002</t>
  </si>
  <si>
    <t>entity:SSC_B1_002_HV_ROOM</t>
  </si>
  <si>
    <t>TRANSFORMER</t>
  </si>
  <si>
    <t>B1.003</t>
  </si>
  <si>
    <t>entity:SSC_B1_003_TRANSFORMER</t>
  </si>
  <si>
    <t>MV SWITCH ROOM</t>
  </si>
  <si>
    <t>B1.004</t>
  </si>
  <si>
    <t>entity:SSC_B1_004_MV_SWITCH_ROOM</t>
  </si>
  <si>
    <t>STAIR-9</t>
  </si>
  <si>
    <t>01.ST-9</t>
  </si>
  <si>
    <t>entity:SSC_01_ST-9_STAIR-9</t>
  </si>
  <si>
    <t>OUTDOOR AREA</t>
  </si>
  <si>
    <t>entity:SSC_01_037_OUTDOOR_AREA</t>
  </si>
  <si>
    <t>SHELL SPACE</t>
  </si>
  <si>
    <t>STAIR-3</t>
  </si>
  <si>
    <t>01.ST-3</t>
  </si>
  <si>
    <t>entity:SSC_01_ST-3_STAIR-3</t>
  </si>
  <si>
    <t>STAIR-8</t>
  </si>
  <si>
    <t>01.ST-8</t>
  </si>
  <si>
    <t>entity:SSC_01_ST-8_STAIR-8</t>
  </si>
  <si>
    <t>entity:SSC_01_041_STORAGE_ROOM</t>
  </si>
  <si>
    <t>FEMALE TOILET</t>
  </si>
  <si>
    <t>entity:SSC_01_017_FEMALE_TOILET</t>
  </si>
  <si>
    <t>ABLUTION ROOM</t>
  </si>
  <si>
    <t>entity:SSC_01_021_ABLUTION_ROOM</t>
  </si>
  <si>
    <t>entity:SSC_01_023_CORRIDOR</t>
  </si>
  <si>
    <t>entity:SSC_01_020_CORRIDOR</t>
  </si>
  <si>
    <t>IDF - 2</t>
  </si>
  <si>
    <t>IDF - 1</t>
  </si>
  <si>
    <t>FURNITURE STORAGE</t>
  </si>
  <si>
    <t>entity:SSC_01_026_STORAGE_ROOM</t>
  </si>
  <si>
    <t>MALE TOILET</t>
  </si>
  <si>
    <t>entity:SSC_01_025_MALE_TOILET</t>
  </si>
  <si>
    <t>PRAYER ROOM</t>
  </si>
  <si>
    <t>OPEN SPACE</t>
  </si>
  <si>
    <t>entity:SSC_01_012_STORAGE</t>
  </si>
  <si>
    <t>01.P-2</t>
  </si>
  <si>
    <t>entity:SSC_01_P-2_P-2</t>
  </si>
  <si>
    <t>01.P-1</t>
  </si>
  <si>
    <t>entity:SSC_01_P-1_P-1</t>
  </si>
  <si>
    <t>01.ST-1</t>
  </si>
  <si>
    <t>entity:SSC_01_ST-1_STAIR-1</t>
  </si>
  <si>
    <t>AUDITORIUM MEETING ROOM</t>
  </si>
  <si>
    <t>entity:SSC_01_009_AUDITORIUM</t>
  </si>
  <si>
    <t>STORAGE AREA</t>
  </si>
  <si>
    <t>entity:SSC_01_038_STORAGE_AREA</t>
  </si>
  <si>
    <t>A / V ROOM</t>
  </si>
  <si>
    <t>entity:SSC_01_007_FEMALE_TOILET</t>
  </si>
  <si>
    <t>entity:SSC_01_006_MALE_TOILET</t>
  </si>
  <si>
    <t>KITCHEN</t>
  </si>
  <si>
    <t>entity:SSC_01_005_KITCHEN</t>
  </si>
  <si>
    <t>entity:SSC_01_004_CORRIDOR</t>
  </si>
  <si>
    <t>STAIR-4</t>
  </si>
  <si>
    <t>01.ST-4</t>
  </si>
  <si>
    <t>AIR LOCK</t>
  </si>
  <si>
    <t>entity:SSC_01_011_AIR_LOCK</t>
  </si>
  <si>
    <t>STAIR-5</t>
  </si>
  <si>
    <t>01.ST-5</t>
  </si>
  <si>
    <t>entity:SSC_01_ST-5_STAIR-5</t>
  </si>
  <si>
    <t>entity:SSC_01_030_STORAGE</t>
  </si>
  <si>
    <t>entity:SSC_01_031_TOILET</t>
  </si>
  <si>
    <t>entity:SSC_01_032_VESTIBULE</t>
  </si>
  <si>
    <t>entity:SSC_01_033_JANITORS_CLOSET</t>
  </si>
  <si>
    <t>entity:SSC_01_035_CORRIDOR</t>
  </si>
  <si>
    <t>entity:SSC_01_034_AIR_LOCK</t>
  </si>
  <si>
    <t>STAIR-10</t>
  </si>
  <si>
    <t>ST-10</t>
  </si>
  <si>
    <t>entity:SSC_ST-10_STAIR-10</t>
  </si>
  <si>
    <t>entity:SSC_01_036_OUTDOOR_AREA</t>
  </si>
  <si>
    <t>01.ST-2</t>
  </si>
  <si>
    <t>entity:SSC_01_ST-2_STAIR-2</t>
  </si>
  <si>
    <t>RESEARCHER'S OFFICE</t>
  </si>
  <si>
    <t>VISITOR'S CUBICLE</t>
  </si>
  <si>
    <t>OPERATIONS MANAGER</t>
  </si>
  <si>
    <t>MEETING ROOM</t>
  </si>
  <si>
    <t>DIRECTOR'S MEETING ROOM</t>
  </si>
  <si>
    <t>DIRECTOR'S OFFICE</t>
  </si>
  <si>
    <t>IT MANAGER'S OFFICE</t>
  </si>
  <si>
    <t>SECRETARIAL AREA</t>
  </si>
  <si>
    <t>ASSOC. DIRECTOR'S MEETING ROOM</t>
  </si>
  <si>
    <t>entity:SSC_03_030_ASSOC_DIRECTORS_MEETING_ROOM</t>
  </si>
  <si>
    <t>ASSOC. DIRECTOR'S OFFICE</t>
  </si>
  <si>
    <t>entity:SSC_03_031_ASSOC_DIRECTORS_OFFICE</t>
  </si>
  <si>
    <t>GENERAL OFFICE AREA</t>
  </si>
  <si>
    <t>entity:SSC_03_032_GENERAL_OFFICE_AREA</t>
  </si>
  <si>
    <t>PRINTING</t>
  </si>
  <si>
    <t>03.ST-2</t>
  </si>
  <si>
    <t>entity:SSC_03_ST-2_STAIR-2</t>
  </si>
  <si>
    <t>entity:SSC_03_046_STORAGE</t>
  </si>
  <si>
    <t>JANITOR'S CLOSET</t>
  </si>
  <si>
    <t>entity:SSC_03_045_JANITORS_CLOSET</t>
  </si>
  <si>
    <t>BALCONY</t>
  </si>
  <si>
    <t>entity:SSC_03_047_BALCONY</t>
  </si>
  <si>
    <t>LOUNGE</t>
  </si>
  <si>
    <t>IT SERVER ROOM</t>
  </si>
  <si>
    <t>entity:SSC_03_038_SERVER_ROOM</t>
  </si>
  <si>
    <t>IT OFFICE</t>
  </si>
  <si>
    <t>entity:SSC_03_039_FEMALE_TOILET</t>
  </si>
  <si>
    <t>entity:SSC_03_037_MALE_TOILET</t>
  </si>
  <si>
    <t>entity:SSC_03_036_KITCHEN</t>
  </si>
  <si>
    <t>03.ST-1</t>
  </si>
  <si>
    <t>entity:SSC_03_ST-1_STAIR-1</t>
  </si>
  <si>
    <t>03.P-2</t>
  </si>
  <si>
    <t>entity:SSC_03_P-2_LIFT</t>
  </si>
  <si>
    <t>03.P-1</t>
  </si>
  <si>
    <t>entity:SSC_03_P-1_LIFT</t>
  </si>
  <si>
    <t>entity:SSC_03_040_CORRIDOR</t>
  </si>
  <si>
    <t>STUDY LIBRARY AREA</t>
  </si>
  <si>
    <t>entity:SSC_03_035_STUDY_LIBRARY_AREA</t>
  </si>
  <si>
    <t>EXTERIOR COURTYARD</t>
  </si>
  <si>
    <t>entity:SSC_03_043_EXTERIOR_COURTYARD</t>
  </si>
  <si>
    <t>entity:SSC_03_048_BALCONY</t>
  </si>
  <si>
    <t>PODIUM</t>
  </si>
  <si>
    <t>03.F7.1</t>
  </si>
  <si>
    <t>entity:SSC_03_F7_1_PODIUM</t>
  </si>
  <si>
    <t>EXECUTIVE CONFERENCE ROOM</t>
  </si>
  <si>
    <t>CONFERENCE ROOM</t>
  </si>
  <si>
    <t>02.P-1</t>
  </si>
  <si>
    <t>entity:SSC_02_P-1_LIFT</t>
  </si>
  <si>
    <t>02.P-2</t>
  </si>
  <si>
    <t>entity:SSC_02_P-2_LIFT</t>
  </si>
  <si>
    <t>MEZZANINE</t>
  </si>
  <si>
    <t>entity:SSC_02_007_MEZZANINE</t>
  </si>
  <si>
    <t>entity:SSC_02_008_TOILET</t>
  </si>
  <si>
    <t>entity:SSC_02_010_VESTIBULE</t>
  </si>
  <si>
    <t>02.ST-2</t>
  </si>
  <si>
    <t>entity:SSC_02_ST-2_STAIR-2</t>
  </si>
  <si>
    <t>LOBBY</t>
  </si>
  <si>
    <t>FOYER</t>
  </si>
  <si>
    <t>02.ST-1</t>
  </si>
  <si>
    <t>entity:SSC_02_ST-1_STAIR-1</t>
  </si>
  <si>
    <t>02.ST-8</t>
  </si>
  <si>
    <t>entity:SSC_02_ST-8_STAIR-8</t>
  </si>
  <si>
    <t>In the RDC section of Controllable Asset Registry, column A tags like RDC_SB_GF_VAV1003_VEV1002 were typed as VAV in column B when the trailing token shows the real device type (VEV). Asked me to review all such tags in the RDC section and correct them.</t>
  </si>
  <si>
    <t>Scanned A1356:B3114 (RDC section = rows 1356-3114) for tags containing more than one type token, compared column B against the trailing token's letters, and rewrote column B where they disagreed. 153 rows corrected.</t>
  </si>
  <si>
    <t>Rule applied: the LAST type token in the tag wins (e.g. ..._VAV1003_VEV1002 -&gt; VEV). Verified the target types already exist as valid values elsewhere in the RDC block (EV 65, VEV 51, CEV 12, FEV 73), so no new type vocabulary was introduced. Corrections by type: EV 80, VEV 71, CEV 2. Affected rows span 1394-2105. Tag strings in column A were left unchanged - only the Equipment Type in column B was corrected, since renaming tags would break the links to the RDC Asset Register and the appended AT/valve rows.</t>
  </si>
  <si>
    <t>Complete and verified: re-scanned A1356:B3114 after the write and found 0 remaining mismatches; spot-checked row 1797 (RDC_SB_GF_VAV1003_VEV1002 = VEV) and row 1394 (RDC_NB_GF_VAV4005_EV4006 = EV). Open item if wanted: whether the composite tag names in column A should also be shortened to the single correct type.</t>
  </si>
  <si>
    <t>VP ADM TERRACE 04.701</t>
  </si>
  <si>
    <t>HQ RF</t>
  </si>
  <si>
    <t>S-TOWER CORRIDOR 4.601</t>
  </si>
  <si>
    <t>E-TOWER CORRIDOR 4.603</t>
  </si>
  <si>
    <t>S-TOWER CORRIDOR 5.601</t>
  </si>
  <si>
    <t>S-TOWER CORRIDOR 6.601</t>
  </si>
  <si>
    <t>E-TOWER CORRIDOR 6.603</t>
  </si>
  <si>
    <t>S-TOWER CORRIDOR 7.601</t>
  </si>
  <si>
    <t>HH-WING CORRIDOR 9.601</t>
  </si>
  <si>
    <t>HH-WING CORRIDOR 10.601</t>
  </si>
  <si>
    <t>SHEIKHA WING CORRIDOR 11.601</t>
  </si>
  <si>
    <t>entity:HQ_2.302_SPA_PLANTROOM</t>
  </si>
  <si>
    <t>entity:HQ_5.301_PLANT_ROOM</t>
  </si>
  <si>
    <t>entity:HQ_9.111_PLANT_ROOM</t>
  </si>
  <si>
    <t>entity:HQ_9.109_AHU_ROOM</t>
  </si>
  <si>
    <t>entity:HQ_B1.001_AHU_4</t>
  </si>
  <si>
    <t>entity:HQ_B1.006_AHU_1</t>
  </si>
  <si>
    <t>entity:HQ_B1.016_AHU_2</t>
  </si>
  <si>
    <t>entity:HQ_B1.022_AHU_3</t>
  </si>
  <si>
    <t>entity:HQ_B1.019_AHU</t>
  </si>
  <si>
    <t>entity:HQ_B1.512_IDF_ROOM</t>
  </si>
  <si>
    <t>entity:HQ_B1.003_CONTROL_ROOM</t>
  </si>
  <si>
    <t>entity:HQ_B1.107_DOCK_MASTER_OFFICE</t>
  </si>
  <si>
    <t>entity:HQ_B1.113_SHEIKHA_LOBBY_SECURITY_ROOM</t>
  </si>
  <si>
    <t>entity:HQ_B1.401_MALE_TOILET</t>
  </si>
  <si>
    <t>entity:HQ_B1.122_SUPPORT_SPACE_FOOD_STORAGE</t>
  </si>
  <si>
    <t>entity:HQ_B1.123_SUPPORT_SPACE_FOOD_STORAGE</t>
  </si>
  <si>
    <t>entity:HQ_B1.014_SUPPORT_SPACE_DRY_WASTE_STORAGE</t>
  </si>
  <si>
    <t>entity:HQ_B1.015_SUPPORT_SPACE_LOADING</t>
  </si>
  <si>
    <t>entity:HQ_B1.117_CHAUFFEUR_ROOM</t>
  </si>
  <si>
    <t>entity:HQ_G.531_IDF_ROOM</t>
  </si>
  <si>
    <t>entity:HQ_G.512_IDF_ROOM</t>
  </si>
  <si>
    <t>entity:HQ_G.031_PR_&amp;_MARKET_STAFF</t>
  </si>
  <si>
    <t>entity:HQ_G.017_COPY_PRINT</t>
  </si>
  <si>
    <t>entity:HQ_G.005_EMERGENCY_CONTROL_CENTER</t>
  </si>
  <si>
    <t>entity:HQ_G.511_VESTIBULE</t>
  </si>
  <si>
    <t>entity:HQ_1.531_IDF_ROOM</t>
  </si>
  <si>
    <t>entity:HQ_1.512_IDF_ROOM</t>
  </si>
  <si>
    <t>entity:HQ_1.112_PRINT_COPY</t>
  </si>
  <si>
    <t>entity:HQ_2.531_IDF_ROOM</t>
  </si>
  <si>
    <t>entity:HQ_2.701_TERRACE</t>
  </si>
  <si>
    <t>entity:HQ_2.103_PRINT_COPY</t>
  </si>
  <si>
    <t>entity:HQ_2.207_SPA_LOUNGE_BAR</t>
  </si>
  <si>
    <t>entity:HQ_2.208_SPA_FITNESS_DTUDIO</t>
  </si>
  <si>
    <t>entity:HQ_2.209_SPA_OFFICE</t>
  </si>
  <si>
    <t>entity:HQ_2.21_SPA_STAFF_WAITING_AREA</t>
  </si>
  <si>
    <t>entity:HQ_2.211_SPA_FEMALE_BEAUTY_SALON</t>
  </si>
  <si>
    <t>entity:HQ_2.212_SPA_FM_TREATMENT_1</t>
  </si>
  <si>
    <t>entity:HQ_2.213_SPA_CHANGING_ROOM</t>
  </si>
  <si>
    <t>entity:HQ_2.214_SPA_FM_TREATMENT_2</t>
  </si>
  <si>
    <t>entity:HQ_2.215_SPA_FM_TREATMENT_3</t>
  </si>
  <si>
    <t>entity:HQ_2.216_SPA_FM_RELAXATION</t>
  </si>
  <si>
    <t>entity:HQ_2.201_SPA_MALE_RELAXATION</t>
  </si>
  <si>
    <t>entity:HQ_2.202_SPA_MALE_TREATMENT_3</t>
  </si>
  <si>
    <t>entity:HQ_2.203_SPA_MALE_TREATMENT_2</t>
  </si>
  <si>
    <t>entity:HQ_2.204_SPA_MALE_TREATMENT_1</t>
  </si>
  <si>
    <t>entity:HQ_2.205_SPA_MALE_CHANGING_ROOM</t>
  </si>
  <si>
    <t>entity:HQ_2.206_SPA_ENTRANCE</t>
  </si>
  <si>
    <t>entity:HQ_2.603_SPA_LOBBY</t>
  </si>
  <si>
    <t>entity:HQ_2.512_MECHANICAL_ROOM</t>
  </si>
  <si>
    <t>entity:HQ_3.531_IDF_ROOM</t>
  </si>
  <si>
    <t>entity:HQ_3.512_IDF_ROOM</t>
  </si>
  <si>
    <t>entity:HQ_3.203_COPYPRINT</t>
  </si>
  <si>
    <t>entity:HQ_3.103_PRINT_COPY</t>
  </si>
  <si>
    <t>entity:HQ_3.603_CORRIDOR_BRIDGE</t>
  </si>
  <si>
    <t>entity:HQ_5.602_BRIDGE</t>
  </si>
  <si>
    <t>entity:HQ_4.531_IDF_ROOM</t>
  </si>
  <si>
    <t>entity:HQ_4.512_IDF_ROOM</t>
  </si>
  <si>
    <t>entity:HQ_5.202_VP_EDU_MEMBERS_OF_EDU</t>
  </si>
  <si>
    <t>entity:HQ_4.701_VP_ADM_TERRACE</t>
  </si>
  <si>
    <t>entity:HQ_4.702_TERRACE</t>
  </si>
  <si>
    <t>entity:HQ_4.703_TERRACE</t>
  </si>
  <si>
    <t>entity:HQ_5.531_IDF_ROOM</t>
  </si>
  <si>
    <t>entity:HQ_5.512_IDF_ROOM</t>
  </si>
  <si>
    <t>entity:HQ_5.103_PRINT_COPY</t>
  </si>
  <si>
    <t>entity:HQ_6.604_BRIDGE_CORRIDOR</t>
  </si>
  <si>
    <t>entity:HQ_6.531_IDF_ROOM</t>
  </si>
  <si>
    <t>entity:HQ_6.512_IDF_ROOM</t>
  </si>
  <si>
    <t>entity:HQ_7.602_BRIDGE</t>
  </si>
  <si>
    <t>entity:HQ_6.104_PRINT_COPY</t>
  </si>
  <si>
    <t>entity:HQ_6.208_PRINT_COPY</t>
  </si>
  <si>
    <t>entity:HQ_7.531_IDF_ROOM</t>
  </si>
  <si>
    <t>entity:HQ_7.512_IDF_ROOM</t>
  </si>
  <si>
    <t>entity:HQ_7.101_PRINT_COPY</t>
  </si>
  <si>
    <t>entity:HQ_7.104_PRINT_COPY</t>
  </si>
  <si>
    <t>entity:HQ_8.512_IDF_ROOM</t>
  </si>
  <si>
    <t>entity:HQ_9.531_IDF_ROOM</t>
  </si>
  <si>
    <t>entity:HQ_9.512_IDF_ROOM</t>
  </si>
  <si>
    <t>entity:HQ_10.531_IDF_ROOM</t>
  </si>
  <si>
    <t>entity:HQ_1.114_STAFF_LOUNGE_STORAGE</t>
  </si>
  <si>
    <t>entity:HQ_10.512_IDF_ROOM</t>
  </si>
  <si>
    <t>entity:HQ_10.038_PRINT_COPY</t>
  </si>
  <si>
    <t>entity:HQ_10.014_PRINT_COPY</t>
  </si>
  <si>
    <t>entity:HQ_10.111_AV_ROOM</t>
  </si>
  <si>
    <t>entity:HQ_11.531_IDF_ROOM</t>
  </si>
  <si>
    <t>entity:HQ_11.11_ELECTRICAL_CABINET</t>
  </si>
  <si>
    <t>entity:HQ_11.106_ELECTRICAL_ROOM</t>
  </si>
  <si>
    <t>entity:HQ_11.108_PRINT_COPY</t>
  </si>
  <si>
    <t>entity:HQ_11.107_AV_IT</t>
  </si>
  <si>
    <t>entity:HQ_11.512_IDF_ROOM</t>
  </si>
  <si>
    <t>entity:HQ_12.002_MCC_CLOSET</t>
  </si>
  <si>
    <t>entity:HQ_12.003_MCC_CLOSET</t>
  </si>
  <si>
    <t>entity:HQ_12.004_MCC_CLOSET</t>
  </si>
  <si>
    <t>entity:HQ_9.101_VISITORS_CENTER</t>
  </si>
  <si>
    <t>entity:HQ_B1.004_STAFF_ENTRANCE</t>
  </si>
  <si>
    <t>entity:HQ_B1.103_STAFF_LOBBY</t>
  </si>
  <si>
    <t>entity:HQ_B1.110_SUPPORT_SPACE_MAIL_ROOM</t>
  </si>
  <si>
    <t>entity:HQ_B1.116_SHEIKHA_LOBBY</t>
  </si>
  <si>
    <t>entity:HQ_G.008_CONTROL_ROOM</t>
  </si>
  <si>
    <t>entity:HQ_G.009_PR_&amp;_MARKET_MANAGER</t>
  </si>
  <si>
    <t>entity:HQ_G.010_PR_&amp;_MARKET_STAFF</t>
  </si>
  <si>
    <t>entity:HQ_G.011_PR_&amp;_MARKET_MANAGER</t>
  </si>
  <si>
    <t>entity:HQ_G.012_PR_&amp;_MARKET_STAFF</t>
  </si>
  <si>
    <t>entity:HQ_G.014_VISITOR_CENT_OFFICE</t>
  </si>
  <si>
    <t>entity:HQ_G.015_PR_&amp;_MARKET_STAFF</t>
  </si>
  <si>
    <t>entity:HQ_G.018_PR_&amp;_MARKET_STAFF</t>
  </si>
  <si>
    <t>entity:HQ_G.019_PR_&amp;_MARKET_STAFF</t>
  </si>
  <si>
    <t>entity:HQ_G.020_PR_&amp;_MARKET_STAFF</t>
  </si>
  <si>
    <t>entity:HQ_G.021_PR_&amp;_MARKET_STAFF</t>
  </si>
  <si>
    <t>entity:HQ_G.022_PR_&amp;_MARKET!_SECRETARY</t>
  </si>
  <si>
    <t>entity:HQ_G.023_PR_&amp;_MARKET_STAFF</t>
  </si>
  <si>
    <t>entity:HQ_G.601_CORRIDOR</t>
  </si>
  <si>
    <t>entity:HQ_G.105_SHOP</t>
  </si>
  <si>
    <t>entity:HQ_G.104_LOBBY</t>
  </si>
  <si>
    <t>entity:HQ_G.103_BMS</t>
  </si>
  <si>
    <t>entity:HQ_G.004_PR_&amp;_MARKET_MANAGER</t>
  </si>
  <si>
    <t>entity:HQ_G.003_PR_&amp;_MARKET_MANAGER</t>
  </si>
  <si>
    <t>entity:HQ_G.002_PR_&amp;_MARKET_MANAGER</t>
  </si>
  <si>
    <t>entity:HQ_G.001_PR_&amp;_MARKET_STAFF</t>
  </si>
  <si>
    <t>entity:HQ_G.038_PR_&amp;_MARKET_STAFF</t>
  </si>
  <si>
    <t>entity:HQ_G.037_PR_&amp;_MARKET_STAFF</t>
  </si>
  <si>
    <t>entity:HQ_G.036_PR_&amp;_MARKET_STAFF</t>
  </si>
  <si>
    <t>entity:HQ_G.035_PR_&amp;_MARKET_STAFF</t>
  </si>
  <si>
    <t>entity:HQ_G.034_PR_&amp;_MARKET_STAFF</t>
  </si>
  <si>
    <t>entity:HQ_G.033_PR_&amp;_MARKET_STAFF</t>
  </si>
  <si>
    <t>entity:HQ_G.032_PR_&amp;_MARKET_STAFF</t>
  </si>
  <si>
    <t>entity:HQ_G.030_STAFF</t>
  </si>
  <si>
    <t>entity:HQ_G.029_PR_&amp;_MARKET_STAFF</t>
  </si>
  <si>
    <t>entity:HQ_G.028_PR_&amp;_MARKET_DIRECTOR_ENSUIT</t>
  </si>
  <si>
    <t>entity:HQ_G.026_FINANCE_CASHIER</t>
  </si>
  <si>
    <t>entity:HQ_G.025_VIP_LOUNGE</t>
  </si>
  <si>
    <t>entity:HQ_G.107_E-TOWER_LOBBY</t>
  </si>
  <si>
    <t>entity:HQ_G.602_CORRIDOR_(SOUTH_EAST)</t>
  </si>
  <si>
    <t>entity:HQ_G.603_CORRIDOR_(SOUTH_EAST)</t>
  </si>
  <si>
    <t>entity:HQ_G.101_CONFERENCE_ROOM</t>
  </si>
  <si>
    <t>entity:HQ_G.108_CONSULTANT_SPACE_TRAINEES</t>
  </si>
  <si>
    <t>entity:HQ_1.011_FINANCE_MANAGER</t>
  </si>
  <si>
    <t>entity:HQ_1.012_FINANCE_MANAGER</t>
  </si>
  <si>
    <t>entity:HQ_1.013_FINANCE_MANAGER</t>
  </si>
  <si>
    <t>entity:HQ_1.014_FINANCE_PROFSTAFF</t>
  </si>
  <si>
    <t>entity:HQ_1.015_FINANCE_PROFSTAFF</t>
  </si>
  <si>
    <t>entity:HQ_1.016_FINANCE_SECRETARY</t>
  </si>
  <si>
    <t>entity:HQ_1.017_FINANCE_DIRECTOR_ENSUIT</t>
  </si>
  <si>
    <t>entity:HQ_1.018_FINANCE_MANAGER</t>
  </si>
  <si>
    <t>entity:HQ_1.019_FINANCE_MANAGER</t>
  </si>
  <si>
    <t>entity:HQ_1.02_FINANCE_MANAGER</t>
  </si>
  <si>
    <t>entity:HQ_1.021_FINANCE_SECRETARY</t>
  </si>
  <si>
    <t>entity:HQ_1.022_FINANCE_SECRETARY</t>
  </si>
  <si>
    <t>entity:HQ_1.023_FINANCE_AUDITOR</t>
  </si>
  <si>
    <t>entity:HQ_1.024_FINANCE_AUDITOR</t>
  </si>
  <si>
    <t>entity:HQ_1.025_FINANCE_PROFSTAFF</t>
  </si>
  <si>
    <t>entity:HQ_1.026_FINANCE_PROFSTAFF</t>
  </si>
  <si>
    <t>entity:HQ_1.027_FINANCE_AUDITOR</t>
  </si>
  <si>
    <t>entity:HQ_1.028_FINANCE_MANAGER</t>
  </si>
  <si>
    <t>entity:HQ_1.029_FINANCE_MANAGER</t>
  </si>
  <si>
    <t>entity:HQ_1.001_FINANCE_CLERICAL_SECRETARIES</t>
  </si>
  <si>
    <t>entity:HQ_1.002_FINANCE_MANAGERS</t>
  </si>
  <si>
    <t>entity:HQ_1.003_FINANCE_MANAGER</t>
  </si>
  <si>
    <t>entity:HQ_1.004_FINANCE_MANAGER</t>
  </si>
  <si>
    <t>entity:HQ_1.005_FINANCE_SECRETARY</t>
  </si>
  <si>
    <t>entity:HQ_1.006_FINANCE_PROFSTAFF</t>
  </si>
  <si>
    <t>entity:HQ_1.007_FINANCE_CLERICAL_PROFSTAFF</t>
  </si>
  <si>
    <t>entity:HQ_1.401_GROUND_FLOOR_VIP_ENTRANCE</t>
  </si>
  <si>
    <t>entity:HQ_1.101_STAFF_LOUNGE</t>
  </si>
  <si>
    <t>entity:HQ_1.108_FINANCE_MEETING_ROOM</t>
  </si>
  <si>
    <t>entity:HQ_1.109_CONSULTANT_SPACE_TRAINEES</t>
  </si>
  <si>
    <t>entity:HQ_1.11_CONFERENCE_ROOM</t>
  </si>
  <si>
    <t>entity:HQ_1.105_PRAYER_ROOM</t>
  </si>
  <si>
    <t>entity:HQ_1.106_FINANCE_CASHIER</t>
  </si>
  <si>
    <t>entity:HQ_1.116_FINANCE_SECURE_ROOM</t>
  </si>
  <si>
    <t>entity:HQ_1.117_FINANCE_AUDITOR</t>
  </si>
  <si>
    <t>entity:HQ_1.115_FINANCE_AUDITOR</t>
  </si>
  <si>
    <t>entity:HQ_1.602_CORRIDOR</t>
  </si>
  <si>
    <t>entity:HQ_1.601_CORRIDOR</t>
  </si>
  <si>
    <t>entity:HQ_1.111_FINANCE_RECORD_STORAGE</t>
  </si>
  <si>
    <t>entity:HQ_1.702_FOOD_HEAT_UP</t>
  </si>
  <si>
    <t>entity:HQ_1.706_WASHING_AREA</t>
  </si>
  <si>
    <t>entity:HQ_1.701_STAFF_CAFETERIA</t>
  </si>
  <si>
    <t>entity:HQ_2.018_SUPPSERVDIRECTOR_ENSUIT</t>
  </si>
  <si>
    <t>entity:HQ_2.019_SUPPSERVADMINIST</t>
  </si>
  <si>
    <t>entity:HQ_2.02_SUPPSERVADMINIST</t>
  </si>
  <si>
    <t>entity:HQ_2.021_SUPPSERVADMINIST</t>
  </si>
  <si>
    <t>entity:HQ_2.022_SUPPSERVSECRETARY</t>
  </si>
  <si>
    <t>entity:HQ_2.023_SUPPSERVADMINIST</t>
  </si>
  <si>
    <t>entity:HQ_2.024_SUPPSERVADMINIST</t>
  </si>
  <si>
    <t>entity:HQ_2.025_SUPPSERVADMINIST</t>
  </si>
  <si>
    <t>entity:HQ_2.026_SUPPSERVSECRETARY</t>
  </si>
  <si>
    <t>entity:HQ_2.027_SUPPSERVADMINIST</t>
  </si>
  <si>
    <t>entity:HQ_2.028_SUPPSERVADMINIST</t>
  </si>
  <si>
    <t>entity:HQ_2.029_SUPPSERVADMINIST</t>
  </si>
  <si>
    <t>entity:HQ_2.03_SUPPSERVSECRETARY</t>
  </si>
  <si>
    <t>entity:HQ_2.031_SUPPSERVADMINIST</t>
  </si>
  <si>
    <t>entity:HQ_2.032_SUPPSERVADMINIST</t>
  </si>
  <si>
    <t>entity:HQ_2.033_SUPPSERVADMINIST</t>
  </si>
  <si>
    <t>entity:HQ_2.034_SUPPSERVSECRETARY</t>
  </si>
  <si>
    <t>entity:HQ_2.035_SUPPSERVADMINIST</t>
  </si>
  <si>
    <t>entity:HQ_2.036_SUPPSERVADMINIST</t>
  </si>
  <si>
    <t>entity:HQ_2.110A_OFFICE_SPACE</t>
  </si>
  <si>
    <t>entity:HQ_2.601_S-TOWER_CORRIDOR</t>
  </si>
  <si>
    <t>entity:HQ_2.109_SHELL_SPACE</t>
  </si>
  <si>
    <t>entity:HQ_2.108_SUPPSERVMEETING_ROOM</t>
  </si>
  <si>
    <t>entity:HQ_2.105_LOUNGE</t>
  </si>
  <si>
    <t>entity:HQ_2.104_CONSULTANTS_SPACE-OTHERS</t>
  </si>
  <si>
    <t>entity:HQ_2.102_CONSULTANTS_SPACE-OTHERS</t>
  </si>
  <si>
    <t>entity:HQ_2.017_SUPPSERVSECRETARY</t>
  </si>
  <si>
    <t>entity:HQ_2.016_SUPPSERVADMINIST</t>
  </si>
  <si>
    <t>entity:HQ_2.015_SUPPSERVADMINIST</t>
  </si>
  <si>
    <t>entity:HQ_2.014_SUPPSERVADMINIST</t>
  </si>
  <si>
    <t>entity:HQ_2.013_SUPPSERVSECRETARY</t>
  </si>
  <si>
    <t>entity:HQ_2.012_SUPPSERVADMINIST</t>
  </si>
  <si>
    <t>entity:HQ_2.011_SUPPSERVADMINIST</t>
  </si>
  <si>
    <t>entity:HQ_2.01_SUPPSERVADMINIST</t>
  </si>
  <si>
    <t>entity:HQ_2.009_SUPPSERVSECRETARY</t>
  </si>
  <si>
    <t>entity:HQ_2.008_DOHA_DEBATE_EXECUTIVE</t>
  </si>
  <si>
    <t>entity:HQ_2.007_DOHA_DEBATE_EXECUTIVE</t>
  </si>
  <si>
    <t>entity:HQ_2.006_DOHA_DEBATE_EXECUTIVE</t>
  </si>
  <si>
    <t>entity:HQ_2.005_DOHA_DEBATE_EXECUTIVE</t>
  </si>
  <si>
    <t>entity:HQ_2.004_DOHA_DEBATE_SECRETARY</t>
  </si>
  <si>
    <t>entity:HQ_2.003_DOHA_DEBATE_EXECUTIVE</t>
  </si>
  <si>
    <t>entity:HQ_2.002_DOHA_DEBATE_EXECUTIVE</t>
  </si>
  <si>
    <t>entity:HQ_2.001_STORAGE_ROOM</t>
  </si>
  <si>
    <t>entity:HQ_2.101A_OFFICE_SPACE</t>
  </si>
  <si>
    <t>entity:HQ_3.017_HR_IMMIG_STAFF</t>
  </si>
  <si>
    <t>entity:HQ_3.018_HR_IMMIG_STAFF</t>
  </si>
  <si>
    <t>entity:HQ_3.019_HR_IMMIG_STAFF</t>
  </si>
  <si>
    <t>entity:HQ_3.02_HR_IMMIG_STAFF</t>
  </si>
  <si>
    <t>entity:HQ_3.021_HR_IMMIG_STAFF</t>
  </si>
  <si>
    <t>entity:HQ_3.022_HR_IMMIG_SECRETARY</t>
  </si>
  <si>
    <t>entity:HQ_3.023_HR_IMMIG_STAFF</t>
  </si>
  <si>
    <t>entity:HQ_3.024_HR_IMMIG_STAFF</t>
  </si>
  <si>
    <t>entity:HQ_3.025_HR_IMMIG_STAFF</t>
  </si>
  <si>
    <t>entity:HQ_3.026_HR_IMMIG_STAFF</t>
  </si>
  <si>
    <t>entity:HQ_3.027_HR_IMMIG_STAFF</t>
  </si>
  <si>
    <t>entity:HQ_3.028_HR_IMMIG_STAFF</t>
  </si>
  <si>
    <t>entity:HQ_3.029_HR_IMMIG_STAFF</t>
  </si>
  <si>
    <t>entity:HQ_3.03_HR_IMMIG_STAFF</t>
  </si>
  <si>
    <t>entity:HQ_3.031_HR_IMMIG_STAFF</t>
  </si>
  <si>
    <t>entity:HQ_3.032_HR_IMMIG_SECRETARY</t>
  </si>
  <si>
    <t>entity:HQ_3.033_MEETING_ROOM</t>
  </si>
  <si>
    <t>entity:HQ_3.105B_OFFICE_SPACE</t>
  </si>
  <si>
    <t>entity:HQ_3.601_S-TOWER_CORRIDOR</t>
  </si>
  <si>
    <t>entity:HQ_3.36_ABLUTION_ROOM</t>
  </si>
  <si>
    <t>entity:HQ_3.105A_FEMALE_PRAYER_ROOM</t>
  </si>
  <si>
    <t>entity:HQ_3.001_LOUNGE</t>
  </si>
  <si>
    <t>entity:HQ_3.102_CONSULTANT_SPACE_TRAINEES</t>
  </si>
  <si>
    <t>entity:HQ_3.104_HR_IMMIG_SECRETARY</t>
  </si>
  <si>
    <t>entity:HQ_3.012_HR_IMMIG_STAFF</t>
  </si>
  <si>
    <t>entity:HQ_3.013_HR_IMMIG_STAFF</t>
  </si>
  <si>
    <t>entity:HQ_3.014_HR_IMMIG_STAFF</t>
  </si>
  <si>
    <t>entity:HQ_3.015_HR_IMMIG_STAFF</t>
  </si>
  <si>
    <t>entity:HQ_3.016_HR_IMMIG_STAFF</t>
  </si>
  <si>
    <t>entity:HQ_3.003_HR_IMMIG_STAFF</t>
  </si>
  <si>
    <t>entity:HQ_3.004_HR_IMMIG_STAFF</t>
  </si>
  <si>
    <t>entity:HQ_3.005_HR_IMMIG_STAFF</t>
  </si>
  <si>
    <t>entity:HQ_3.006_HR_IMMIG_STAFF</t>
  </si>
  <si>
    <t>entity:HQ_3.007_HR_IMMIG_STAFF</t>
  </si>
  <si>
    <t>entity:HQ_3.008_HR_IMMIG_STAFF</t>
  </si>
  <si>
    <t>entity:HQ_3.009_HR_IMMIG_STORAGE</t>
  </si>
  <si>
    <t>entity:HQ_3.01_HR_IMMIG_STAFF</t>
  </si>
  <si>
    <t>entity:HQ_3.011_HR_IMMIG_STAFF</t>
  </si>
  <si>
    <t>entity:HQ_3.101_SHELL_SPACE</t>
  </si>
  <si>
    <t>entity:HQ_3.002_HR_IMMIG_STAFF</t>
  </si>
  <si>
    <t>entity:HQ_3.202A_OFFICE_SPACE</t>
  </si>
  <si>
    <t>entity:HQ_3.202B_OFFICE_SPACE</t>
  </si>
  <si>
    <t>entity:HQ_3.205_HR_IMMIG_IMMIGRATION</t>
  </si>
  <si>
    <t>entity:HQ_3.206_HR_IMMIG_MANAGER</t>
  </si>
  <si>
    <t>entity:HQ_3.207_HR_IMMIG_MANAGER</t>
  </si>
  <si>
    <t>entity:HQ_3.208_HR_IMMIG_MANAGER</t>
  </si>
  <si>
    <t>entity:HQ_3.209_HR_IMMIG_MANAGER</t>
  </si>
  <si>
    <t>entity:HQ_3.21_HR_IMMIG_OFFICERS</t>
  </si>
  <si>
    <t>entity:HQ_3.211_HR_IMMIG_MANAGER</t>
  </si>
  <si>
    <t>entity:HQ_3.212_HR_IMMIG_SECRETARIES</t>
  </si>
  <si>
    <t>entity:HQ_3.213_HR_IMMIG_DIRENSUIT</t>
  </si>
  <si>
    <t>entity:HQ_3.214_IT_SECRETARY</t>
  </si>
  <si>
    <t>entity:HQ_3.215_IT_DIRENSUIT</t>
  </si>
  <si>
    <t>entity:HQ_3.216_PROC&amp;CONTRSECRETARY</t>
  </si>
  <si>
    <t>entity:HQ_3.201_PROC&amp;CONTRDIRENSUIT</t>
  </si>
  <si>
    <t>entity:HQ_3.301_PROC&amp;CONTRMEETING_ROOM</t>
  </si>
  <si>
    <t>entity:HQ_3.302_HR_IMMIG_MEETING_ROOM</t>
  </si>
  <si>
    <t>entity:HQ_3.602_E-TOWER_CORRIDOR</t>
  </si>
  <si>
    <t>entity:HQ_4.005_STRPLDIRMEETING_ROOM</t>
  </si>
  <si>
    <t>entity:HQ_4.006_STRPLDIRMANAGER</t>
  </si>
  <si>
    <t>entity:HQ_4.007_STRPLDIRMANAGER</t>
  </si>
  <si>
    <t>entity:HQ_4.008_STRPLDIRMANAGER</t>
  </si>
  <si>
    <t>entity:HQ_4.009_STRPLDIRHEAD_OF_PL</t>
  </si>
  <si>
    <t>entity:HQ_4.01_STRPLDIRHEAD_OF_PL</t>
  </si>
  <si>
    <t>entity:HQ_4.011_STRPLDIRHEAD_OF_PL</t>
  </si>
  <si>
    <t>entity:HQ_4.012_STRPLDIRHEAD_OF_PL</t>
  </si>
  <si>
    <t>entity:HQ_4.013_STRPLDIRHEAD_OF_PL</t>
  </si>
  <si>
    <t>entity:HQ_4.014_STRPLDIRMANAGER</t>
  </si>
  <si>
    <t>entity:HQ_4.601_S-TOWER_CORRIDOR</t>
  </si>
  <si>
    <t>entity:HQ_4.109_VP_EDU_STORAGE</t>
  </si>
  <si>
    <t>entity:HQ_4.108_STRPLDIRARCHIVE_ROOM</t>
  </si>
  <si>
    <t>entity:HQ_4.107_STRPLDIRTECHNSTAFF</t>
  </si>
  <si>
    <t>entity:HQ_4.104_WAITING_LOUNGE</t>
  </si>
  <si>
    <t>entity:HQ_4.002_STRPLDIRMANAGER</t>
  </si>
  <si>
    <t>entity:HQ_4.102_SHELL_SPACE</t>
  </si>
  <si>
    <t>entity:HQ_4.101_SHELL_SPACE</t>
  </si>
  <si>
    <t>entity:HQ_4.201_SHELL_SPACE</t>
  </si>
  <si>
    <t>entity:HQ_4.204_SHELL_SPACE</t>
  </si>
  <si>
    <t>entity:HQ_4.205_VP_ADM_MANAGER</t>
  </si>
  <si>
    <t>entity:HQ_4.206_VP_ADM_MANAGER</t>
  </si>
  <si>
    <t>entity:HQ_4.208_VP_ADM_EXECSECRET</t>
  </si>
  <si>
    <t>entity:HQ_4.209_VP_ADM_MANAGER</t>
  </si>
  <si>
    <t>entity:HQ_4.21_VP_ADM_MANAGER</t>
  </si>
  <si>
    <t>entity:HQ_4.211_VP_ADM_MANAGER</t>
  </si>
  <si>
    <t>entity:HQ_4.212_VP_ADM_PERSASSIST</t>
  </si>
  <si>
    <t>entity:HQ_4.213_VP_ADM_ENSUIT</t>
  </si>
  <si>
    <t>entity:HQ_4.301_VP_ADM_MEETING_ROOM</t>
  </si>
  <si>
    <t>entity:HQ_4.603_E-TOWER_CORRIDOR</t>
  </si>
  <si>
    <t>entity:HQ_5.012_VP_EDU_OFFICE_DIRECTOR_ENSUIT</t>
  </si>
  <si>
    <t>entity:HQ_5.013_VP_EDU_SECRETARY</t>
  </si>
  <si>
    <t>entity:HQ_5.014_VP_EDU_ASSISTANT</t>
  </si>
  <si>
    <t>entity:HQ_5.015_VP_EDU_ASSISTANT</t>
  </si>
  <si>
    <t>entity:HQ_5.016_VP_EDU_ASSISTANT</t>
  </si>
  <si>
    <t>entity:HQ_5.017_VP_EDU_ASSISTANT</t>
  </si>
  <si>
    <t>entity:HQ_5.018_VP_EDU_OFFICERS</t>
  </si>
  <si>
    <t>entity:HQ_5.019_VP_EDU_OFFICERS</t>
  </si>
  <si>
    <t>entity:HQ_5.021_VP_EDU_OFFICERS</t>
  </si>
  <si>
    <t>entity:HQ_5.022_VP_EDU_OFFICERS</t>
  </si>
  <si>
    <t>entity:HQ_5.023_VP_EDU_OFFICERS</t>
  </si>
  <si>
    <t>entity:HQ_5.024_VP_EDU_SECRETARY</t>
  </si>
  <si>
    <t>entity:HQ_5.025_VP_EDU_OFFICE_DIRECTOR_ENSUIT</t>
  </si>
  <si>
    <t>entity:HQ_5.026_VP_EDU_ASSISTANT</t>
  </si>
  <si>
    <t>entity:HQ_5.601_S-TOWER_CORRIDOR</t>
  </si>
  <si>
    <t>entity:HQ_5.110_VP_EDU_OFFICERS</t>
  </si>
  <si>
    <t>entity:HQ_5.109_ELECTRICAL_CABINET</t>
  </si>
  <si>
    <t>entity:HQ_5.108_VP_EDU_ASSISTANT</t>
  </si>
  <si>
    <t>entity:HQ_5.107_VP_EDUCATION_SUPPSECRET</t>
  </si>
  <si>
    <t>entity:HQ_5.104_VP_EDU_LOUNGE_WAITING</t>
  </si>
  <si>
    <t>entity:HQ_5.011_VP_EDU_ASSISTANT</t>
  </si>
  <si>
    <t>entity:HQ_5.002_VP_EDU_OFFDIRENSUIT</t>
  </si>
  <si>
    <t>entity:HQ_5.003_VP_EDU_SECRETARY</t>
  </si>
  <si>
    <t>entity:HQ_5.004_VP_EDU_ASSISTANT</t>
  </si>
  <si>
    <t>entity:HQ_5.005_VP_EDU_OFFICERS</t>
  </si>
  <si>
    <t>entity:HQ_5.006_VP_EDU_OFFICERS</t>
  </si>
  <si>
    <t>entity:HQ_5.007_VP_EDU_OFFICERS</t>
  </si>
  <si>
    <t>entity:HQ_5.008_VP_EDU_ASSISTANT</t>
  </si>
  <si>
    <t>entity:HQ_5.102_MEETING_ROOM</t>
  </si>
  <si>
    <t>entity:HQ_5.101_VP_EDU_SECRET</t>
  </si>
  <si>
    <t>entity:HQ_5.001_VP_EDU_ASSISTANT</t>
  </si>
  <si>
    <t>entity:HQ_5.201_VP_EDU_MEMBERS_OF_EDU</t>
  </si>
  <si>
    <t>entity:HQ_5.203_VP_EDU_MEMBERS_OF_EDU</t>
  </si>
  <si>
    <t>entity:HQ_5.205_VP_EDU_MEETING_ROOM</t>
  </si>
  <si>
    <t>entity:HQ_5.206_VP_EDU_MEMBERS_OF_EDU</t>
  </si>
  <si>
    <t>entity:HQ_5.207_VP_EDU_MEMBERS_OF_EDU</t>
  </si>
  <si>
    <t>entity:HQ_5.208_VP_EDU_MEMBERS_OF_EDU</t>
  </si>
  <si>
    <t>entity:HQ_5.209_VP_EDU_MEMBERS_OF_EDU</t>
  </si>
  <si>
    <t>entity:HQ_5.211_VP_EDU_CHPEXECSECRET</t>
  </si>
  <si>
    <t>entity:HQ_5.212_VP_EDU_MEMBERS_OF_EDU</t>
  </si>
  <si>
    <t>entity:HQ_5.213_VP_EDU_OFFICE_DIRECTOR_ENSUIT</t>
  </si>
  <si>
    <t>entity:HQ_5.027_VP_EDU_OFFICERS</t>
  </si>
  <si>
    <t>entity:HQ_6.012_INTAUDIT_SEN_JNTAUD</t>
  </si>
  <si>
    <t>entity:HQ_6.013_INTAUDIT_SECRETARY</t>
  </si>
  <si>
    <t>entity:HQ_6.014_ACAAUDIT_SUPPAUDIT</t>
  </si>
  <si>
    <t>entity:HQ_6.015_ACAAUDIT_SUPPAUDIT</t>
  </si>
  <si>
    <t>entity:HQ_6.016_ACAAUDIT_SUPPAUDIT</t>
  </si>
  <si>
    <t>entity:HQ_6.017_ACAAUDIT_SUPPAUDIT</t>
  </si>
  <si>
    <t>entity:HQ_6.018_ACAAUDIT_SUPPAUDIT</t>
  </si>
  <si>
    <t>entity:HQ_6.019_ACAAUDIT_SUPPAUDIT</t>
  </si>
  <si>
    <t>entity:HQ_6.02_ACAAUDIT_SUPPAUDIT</t>
  </si>
  <si>
    <t>entity:HQ_6.021_ACAAUDIT_SECRETARY</t>
  </si>
  <si>
    <t>entity:HQ_6.022_ACAAUDIT_SECRETARY</t>
  </si>
  <si>
    <t>entity:HQ_6.023_ACAAUDIT_ACASENAUD</t>
  </si>
  <si>
    <t>entity:HQ_6.024_ACAAUDIT_ACASENAUD</t>
  </si>
  <si>
    <t>entity:HQ_6.025_FACILITY_MANAGSECRETARY</t>
  </si>
  <si>
    <t>entity:HQ_6.026_VACILITY_MANAGDIRENSUIT</t>
  </si>
  <si>
    <t>entity:HQ_6.027_VP_CAPITAL_CONSULTANT</t>
  </si>
  <si>
    <t>entity:HQ_6.028_VP_CAPITAL_CONSULTANT</t>
  </si>
  <si>
    <t>entity:HQ_6.601_S-TOWER_CORRIDOR</t>
  </si>
  <si>
    <t>entity:HQ_6.109_VP_CAPITAL_WORK_ASSIST</t>
  </si>
  <si>
    <t>entity:HQ_6.108_VP_CAPITAL_PROJCOORD</t>
  </si>
  <si>
    <t>entity:HQ_6.105_LOUNGE</t>
  </si>
  <si>
    <t>entity:HQ_6.009_INTAUDIT_SUPPAUDIT</t>
  </si>
  <si>
    <t>entity:HQ_6.01_INTAUDIT_SECRETARY</t>
  </si>
  <si>
    <t>entity:HQ_6.011_INTAUDIT_SEN_JNTAUD</t>
  </si>
  <si>
    <t>entity:HQ_6.002_INTAUDIT_ARCHIVE_ROOM</t>
  </si>
  <si>
    <t>entity:HQ_6.003_INTAUDIT_SUPPAUDIT</t>
  </si>
  <si>
    <t>entity:HQ_6.004_INTAUDIT_SUPPAUDIT</t>
  </si>
  <si>
    <t>entity:HQ_6.005_INTAUDIT_SUPPAUDIT</t>
  </si>
  <si>
    <t>entity:HQ_6.006_INTAUDIT_SUPPAUDIT</t>
  </si>
  <si>
    <t>entity:HQ_6.007_INTAUDIT_SUPPAUDIT</t>
  </si>
  <si>
    <t>entity:HQ_6.008_INTAUDIT_SUPPAUDIT</t>
  </si>
  <si>
    <t>entity:HQ_6.103_SHELL_SPACE</t>
  </si>
  <si>
    <t>entity:HQ_6.102_SHELL_SPACE</t>
  </si>
  <si>
    <t>entity:HQ_6.101_SHELL_SPACE</t>
  </si>
  <si>
    <t>entity:HQ_6.001_ACA_AUDIT_ARCHIVE</t>
  </si>
  <si>
    <t>entity:HQ_6.201_VP_CAPITAL_PROJMANAGER</t>
  </si>
  <si>
    <t>entity:HQ_6.202_VP_CAPITAL_PROJMANAGER</t>
  </si>
  <si>
    <t>entity:HQ_6.204_VP_CAPITAL_PROJMANAGER</t>
  </si>
  <si>
    <t>entity:HQ_6.205_VP_CAPITAL_CONSULTANT</t>
  </si>
  <si>
    <t>entity:HQ_6.206_VP_CAPITAL_STORAGE</t>
  </si>
  <si>
    <t>entity:HQ_6.207_VP_CAPITAL_SECRETARIES</t>
  </si>
  <si>
    <t>entity:HQ_6.209_VP_CAPITAL_ENSUIT</t>
  </si>
  <si>
    <t>entity:HQ_6.21_VP_CAPITAL_SECRETARIES</t>
  </si>
  <si>
    <t>entity:HQ_6.211_VP_CAPITAL_SECRETARIES</t>
  </si>
  <si>
    <t>entity:HQ_6.212_VP_CAPITAL_DIRECTOR_ENSUIT</t>
  </si>
  <si>
    <t>entity:HQ_6.603_E-TOWER_CORRIDOR</t>
  </si>
  <si>
    <t>entity:HQ_7.017_CA_ENSUIT</t>
  </si>
  <si>
    <t>entity:HQ_7.018_CA_SECRETARY</t>
  </si>
  <si>
    <t>entity:HQ_7.019_BD_UNIT_SECRETARY</t>
  </si>
  <si>
    <t>entity:HQ_7.02_BD_UNIT_EXECUTIVE</t>
  </si>
  <si>
    <t>entity:HQ_7.021_BD_UNIT_EXECUTIVE</t>
  </si>
  <si>
    <t>entity:HQ_7.022_BD_UNIT_EXECUTIVE</t>
  </si>
  <si>
    <t>entity:HQ_7.023_BD_UNIT_EXECUTIVE</t>
  </si>
  <si>
    <t>entity:HQ_7.024_BD_UNIT_EXECUTIVE</t>
  </si>
  <si>
    <t>entity:HQ_7.025_BD_UNIT_EXECUTIVE</t>
  </si>
  <si>
    <t>entity:HQ_7.026_BD_UNIT_EXECUTIVE</t>
  </si>
  <si>
    <t>entity:HQ_7.027_BD_UNIT_EXECUTIVE</t>
  </si>
  <si>
    <t>entity:HQ_7.028_BD_UNIT_EXECUTIVE</t>
  </si>
  <si>
    <t>entity:HQ_7.029_MEETING_ROOM</t>
  </si>
  <si>
    <t>entity:HQ_7.03_SHELL_SPACE</t>
  </si>
  <si>
    <t>entity:HQ_7.031A_OFFICE_SPACE</t>
  </si>
  <si>
    <t>entity:HQ_7.601_S-TOWER_CORRIDOR</t>
  </si>
  <si>
    <t>entity:HQ_7.032_SHELL_SPACE</t>
  </si>
  <si>
    <t>entity:HQ_7.106_LOUNGE</t>
  </si>
  <si>
    <t>entity:HQ_7.105_CA_SECRETARY</t>
  </si>
  <si>
    <t>entity:HQ_7.103_CA_SECRETARY</t>
  </si>
  <si>
    <t>entity:HQ_7.102_CA_SECRETARY</t>
  </si>
  <si>
    <t>entity:HQ_7.001_DOCUNIT_EMPLOYEE</t>
  </si>
  <si>
    <t>entity:HQ_7.002_DOCUNIT_MULTIMEDIA_STUDIO</t>
  </si>
  <si>
    <t>entity:HQ_7.003_DOCUNIT_EMPLOYEE</t>
  </si>
  <si>
    <t>entity:HQ_7.004_DOCUNIT_EMPLOYEE</t>
  </si>
  <si>
    <t>entity:HQ_7.005_DOCUNIT_EMPLOYEE</t>
  </si>
  <si>
    <t>entity:HQ_7.006_DOCUNIT_EMPLOYEE</t>
  </si>
  <si>
    <t>entity:HQ_7.007_CA_COORD</t>
  </si>
  <si>
    <t>entity:HQ_7.008_CA_COORD</t>
  </si>
  <si>
    <t>entity:HQ_7.009_CA_COORD</t>
  </si>
  <si>
    <t>entity:HQ_7.01_CA_COORD</t>
  </si>
  <si>
    <t>entity:HQ_7.011_CA_COORD</t>
  </si>
  <si>
    <t>entity:HQ_7.012_CA_COORD</t>
  </si>
  <si>
    <t>entity:HQ_7.013_CA_COORD</t>
  </si>
  <si>
    <t>entity:HQ_7.014_CA_COORD</t>
  </si>
  <si>
    <t>entity:HQ_7.015_CA_COORD</t>
  </si>
  <si>
    <t>entity:HQ_7.016_CA_COORD</t>
  </si>
  <si>
    <t>entity:HQ_7.201_CONSULTANTS_SPACE</t>
  </si>
  <si>
    <t>entity:HQ_7.202_PRESIDENT_EXECOFFICE</t>
  </si>
  <si>
    <t>entity:HQ_7.204_PRESIDENT_EXECOFFICE</t>
  </si>
  <si>
    <t>entity:HQ_7.205_PRESIDENT_EXECOFFICE</t>
  </si>
  <si>
    <t>entity:HQ_7.208_PRESIDENT_SUPPORT_SECRET</t>
  </si>
  <si>
    <t>entity:HQ_7.603_E-TOWER_CORRIDOR</t>
  </si>
  <si>
    <t>entity:HQ_7.209_PRESIDENT_EXECSECRET</t>
  </si>
  <si>
    <t>entity:HQ_7.21_PRESIDENT_EXECSECRET</t>
  </si>
  <si>
    <t>entity:HQ_7.211_PRESIDENT_ENSUIT</t>
  </si>
  <si>
    <t>entity:HQ_7.212_PRESIDENT_MEETING_ROOM</t>
  </si>
  <si>
    <t>entity:HQ_7.213_VICE_CHAIRPERSON_ENSUIT</t>
  </si>
  <si>
    <t>entity:HQ_7.214_VICE_CHAIRSECRETARY</t>
  </si>
  <si>
    <t>entity:HQ_7.215_VICE_CHAIRPERSON_MEETING_ROOM</t>
  </si>
  <si>
    <t>entity:HQ_7.301_MEETING_ROOM</t>
  </si>
  <si>
    <t>entity:HQ_8.001_OBSERVATION_SPACE</t>
  </si>
  <si>
    <t>entity:HQ_8.002_VISITORS_CENTER_OFFICE</t>
  </si>
  <si>
    <t>entity:HQ_8.602_VISITORS_CENTER_CORRIDOR</t>
  </si>
  <si>
    <t>entity:HQ_9.011_BMO_EXECASSIST</t>
  </si>
  <si>
    <t>entity:HQ_9.012_BMO_EXECASSIST</t>
  </si>
  <si>
    <t>entity:HQ_9.013_BMO_EXECASSIST</t>
  </si>
  <si>
    <t>entity:HQ_9.014_BMO_EXECASSIST</t>
  </si>
  <si>
    <t>entity:HQ_9.015_BMO_EXECASSIST</t>
  </si>
  <si>
    <t>entity:HQ_9.016_BMO_EXECASSIST</t>
  </si>
  <si>
    <t>entity:HQ_9.017_BMO_EXECASSIST</t>
  </si>
  <si>
    <t>entity:HQ_9.018_BMO_EXECSECRET</t>
  </si>
  <si>
    <t>entity:HQ_9.019_BMO_EXECSECRET</t>
  </si>
  <si>
    <t>entity:HQ_9.02_BMO_EXECSECRET</t>
  </si>
  <si>
    <t>entity:HQ_9.021_BMO_OPERDIRENSUIT</t>
  </si>
  <si>
    <t>entity:HQ_9.022_BMO_EXECASSIST</t>
  </si>
  <si>
    <t>entity:HQ_9.023_BMO_EXECSECRET</t>
  </si>
  <si>
    <t>entity:HQ_9.024_BMO_EXECSECRET</t>
  </si>
  <si>
    <t>entity:HQ_9.025_BMO_EXECSECRET</t>
  </si>
  <si>
    <t>entity:HQ_9.026_BMO_SUPPSECRET</t>
  </si>
  <si>
    <t>entity:HQ_9.027_BMO_SUPPSECRET</t>
  </si>
  <si>
    <t>entity:HQ_9.028_BMO_SUPPSECRET</t>
  </si>
  <si>
    <t>entity:HQ_9.029_BMO_SUPPSECRET</t>
  </si>
  <si>
    <t>entity:HQ_9.03_BMO_SUPPSECRET</t>
  </si>
  <si>
    <t>entity:HQ_9.031_BMO_PRINT_COPY</t>
  </si>
  <si>
    <t>entity:HQ_9.032_BMO_STORAGE</t>
  </si>
  <si>
    <t>entity:HQ_9.033_HR_EDUADVADVISOR_ENSUIT</t>
  </si>
  <si>
    <t>entity:HQ_9.034_HR_EDUADVADVISOR_ENSUIT</t>
  </si>
  <si>
    <t>entity:HQ_9.035_HR_EDUADVADVISOR_ENSUIT</t>
  </si>
  <si>
    <t>entity:HQ_9.036_BOD_EXECUTIVE</t>
  </si>
  <si>
    <t>entity:HQ_9.037_BOD_SECRETARY</t>
  </si>
  <si>
    <t>entity:HQ_9.038_BOD_EXECUTIVE</t>
  </si>
  <si>
    <t>entity:HQ_9.601_HH-WING_CORRIDOR</t>
  </si>
  <si>
    <t>entity:HQ_9.039_MEETING_ROOM</t>
  </si>
  <si>
    <t>entity:HQ_9.04_BMO_SAFE_ROOM</t>
  </si>
  <si>
    <t>entity:HQ_9.041_BMO_ARCHIVE_ROOM</t>
  </si>
  <si>
    <t>entity:HQ_9.001_LEGAL_ARCHIVE</t>
  </si>
  <si>
    <t>entity:HQ_9.002_LEGAL_CONSULE</t>
  </si>
  <si>
    <t>entity:HQ_9.003_LEGAL_LEGAL_CONSULE</t>
  </si>
  <si>
    <t>entity:HQ_9.004_LEGAL_LEGAL_CONSULE</t>
  </si>
  <si>
    <t>entity:HQ_9.005_LEGAL_LEGAL_CONSULE</t>
  </si>
  <si>
    <t>entity:HQ_9.006_LEGAL_LEGAL_CONSULE</t>
  </si>
  <si>
    <t>entity:HQ_9.007_LEGAL_LEGAL_CONSULE</t>
  </si>
  <si>
    <t>entity:HQ_9.008_LEGAL_LEGSUPSEC</t>
  </si>
  <si>
    <t>entity:HQ_9.009_LEGAL_LEGSUPSEC</t>
  </si>
  <si>
    <t>entity:HQ_9.01_LEGAL_LEGADVENSUIT</t>
  </si>
  <si>
    <t>entity:HQ_9.105_LOUNGE</t>
  </si>
  <si>
    <t>entity:HQ_9.104_BMO_WAITING_AREA</t>
  </si>
  <si>
    <t>entity:HQ_9.403_MALE_TOILET</t>
  </si>
  <si>
    <t>entity:HQ_9.11_SHEIKA_WING_DINING_AREA</t>
  </si>
  <si>
    <t>entity:HQ_9.108_SUPPORT_SPACE_PREPKITCHEN</t>
  </si>
  <si>
    <t>entity:HQ_10.005_SHEIKHA_WING_ARCHIVE</t>
  </si>
  <si>
    <t>entity:HQ_10.006_EXECDIRARCHCOORD</t>
  </si>
  <si>
    <t>entity:HQ_10.007_EXECDIR_PROTASSIST</t>
  </si>
  <si>
    <t>entity:HQ_10.008_PROTOCOL_DIR_SCHED_OFFICER</t>
  </si>
  <si>
    <t>entity:HQ_10.009_PROTOCOL_DIR_CEREMOFF</t>
  </si>
  <si>
    <t>entity:HQ_10.01_PROTOCOL_DIR_CEREMOFF</t>
  </si>
  <si>
    <t>entity:HQ_10.011_PROTOCOL_DIR_CEREMOFF</t>
  </si>
  <si>
    <t>entity:HQ_10.012_PROTOCOL_DIR_TR_&amp;_VIS_OFF</t>
  </si>
  <si>
    <t>entity:HQ_10.013_PROTOCOL_DIR_TR_&amp;_VIS_OFF</t>
  </si>
  <si>
    <t>entity:HQ_10.015_PROTOCOL_DIRSCHED_OFFICER</t>
  </si>
  <si>
    <t>entity:HQ_10.016_PLANNING_DIRPLANNING_ANALYST</t>
  </si>
  <si>
    <t>entity:HQ_10.017_PLANNING_DIRSTRATPLANNER</t>
  </si>
  <si>
    <t>entity:HQ_10.018_PLANNING_DIR_EXTCOORD</t>
  </si>
  <si>
    <t>entity:HQ_10.019_POLICY_DIRSENPOLANALYST</t>
  </si>
  <si>
    <t>entity:HQ_10.02_POLICY_DIR_SENRESEARCH_ANALYST</t>
  </si>
  <si>
    <t>entity:HQ_10.021_POLICY_DIRRESANALYST</t>
  </si>
  <si>
    <t>entity:HQ_10.022_POLICY_DIRRESANALYST</t>
  </si>
  <si>
    <t>entity:HQ_10.023_SHSERVDIR_HR_OFFICER</t>
  </si>
  <si>
    <t>entity:HQ_10.024_SHSERVDIRHR_ASSISTANT</t>
  </si>
  <si>
    <t>entity:HQ_10.025_SHSERVDIRPROCURREPRESENT</t>
  </si>
  <si>
    <t>entity:HQ_10.026_SHSERVDIRSERVICE_COORD</t>
  </si>
  <si>
    <t>entity:HQ_10.027_SHSERVDIRGENSERVSUPERV</t>
  </si>
  <si>
    <t>entity:HQ_10.028_SHSERVDIRFINANCCONTROL</t>
  </si>
  <si>
    <t>entity:HQ_10.029_SHSERVDIRTR&amp;_GUSERV</t>
  </si>
  <si>
    <t>entity:HQ_10.601_HH-WING_CORRIDOR</t>
  </si>
  <si>
    <t>entity:HQ_10.031_COMMUNICDIRCOMMDESIGNER</t>
  </si>
  <si>
    <t>entity:HQ_10.032_COMMUNICDIRSPEECH_EDITOR</t>
  </si>
  <si>
    <t>entity:HQ_10.033_COMMUNICDIR_TRANSLATOR</t>
  </si>
  <si>
    <t>entity:HQ_10.034_COMMUNICDIRPUBCOMMCOORD</t>
  </si>
  <si>
    <t>entity:HQ_10.035_SHSERVDIR_IT_SUPPORT_OFFICER</t>
  </si>
  <si>
    <t>entity:HQ_10.036_SHSERVDIR_ACCOUNT</t>
  </si>
  <si>
    <t>entity:HQ_10.037_SHSERVDIRSENACCOUNTANT</t>
  </si>
  <si>
    <t>entity:HQ_10.001_SHEIKHA_WING_STORAGE</t>
  </si>
  <si>
    <t>entity:HQ_10.003_BOARD_ROOM_WAITING_AREA</t>
  </si>
  <si>
    <t>entity:HQ_10.004_EXECDIRARCHCOORD</t>
  </si>
  <si>
    <t>entity:HQ_10.106_LOUNGE</t>
  </si>
  <si>
    <t>entity:HQ_10.109_BOARD_PREPROOM</t>
  </si>
  <si>
    <t>entity:HQ_10.101_CONSULTANTS_SPACE</t>
  </si>
  <si>
    <t>entity:HQ_10.112_TRANSLATOR_ROOM</t>
  </si>
  <si>
    <t>entity:HQ_10.102_SHEIKHA_WING_MULTIPURPOSE_ROOM</t>
  </si>
  <si>
    <t>entity:HQ_10.002E_OFFICE_SPACE</t>
  </si>
  <si>
    <t>entity:HQ_10.002D_OFFICE_SPACE</t>
  </si>
  <si>
    <t>entity:HQ_10.002C_OFFICE_SPACE</t>
  </si>
  <si>
    <t>entity:HQ_10.002A_OFFICE_SPACE</t>
  </si>
  <si>
    <t>entity:HQ_11.012_PLANNING_DIRDIRPLANNING</t>
  </si>
  <si>
    <t>entity:HQ_11.013_EXECDIRCORRF-UP</t>
  </si>
  <si>
    <t>entity:HQ_11.014_EXECDIRCORRMANAGER</t>
  </si>
  <si>
    <t>entity:HQ_11.015_EXECDIRCORRF-UP</t>
  </si>
  <si>
    <t>entity:HQ_11.016_EXECDIRLEGAL_ASSIST</t>
  </si>
  <si>
    <t>entity:HQ_11.017_EXECDIRLEGAL_ADVISOR</t>
  </si>
  <si>
    <t>entity:HQ_11.018_EXECDIREXECASSIST</t>
  </si>
  <si>
    <t>entity:HQ_11.019_EXECDIR_DEPEXECDIRECTOR</t>
  </si>
  <si>
    <t>entity:HQ_11.02_EXECDIREXECASSIST</t>
  </si>
  <si>
    <t>entity:HQ_11.021_EXECDIREXECDIRECTOR</t>
  </si>
  <si>
    <t>entity:HQ_11.022_SHEIKHA_WING_WAITING_ROOM</t>
  </si>
  <si>
    <t>entity:HQ_11.023_SHEIKHA_WING_SECURITY_ROOM</t>
  </si>
  <si>
    <t>entity:HQ_11.001_COMMUNICDIR_COMMUNICATION_DIRECTOR</t>
  </si>
  <si>
    <t>entity:HQ_11.002_COMMUNICDIRMEDRELOFFICER</t>
  </si>
  <si>
    <t>entity:HQ_11.003_SHSERVDIR_DIRSHARED_SERVICES</t>
  </si>
  <si>
    <t>entity:HQ_11.004_EXECDIRECTOR_ADMASSIST</t>
  </si>
  <si>
    <t>entity:HQ_11.005_PROTOCOL_DIRPROTOCOL_DIRECTOR</t>
  </si>
  <si>
    <t>entity:HQ_11.006_PROTOCOL_DIRGIFTS_DIRECTOR</t>
  </si>
  <si>
    <t>entity:HQ_11.008_EXECDIRCONSULTANT</t>
  </si>
  <si>
    <t>entity:HQ_11.009_SECRETARY</t>
  </si>
  <si>
    <t>entity:HQ_11.01_POLICY_DIRDIROF_POL&amp;_RES</t>
  </si>
  <si>
    <t>entity:HQ_11.011_SECRETARY</t>
  </si>
  <si>
    <t>entity:HQ_11.103_SHEIKHA_WING_BUSINESS_LOUNGE</t>
  </si>
  <si>
    <t>entity:HQ_11.201_SHEIKHA_WING_LOBBY</t>
  </si>
  <si>
    <t>entity:HQ_11.202_SHEIKHA_WING_SHEIKHA_ENSUIT</t>
  </si>
  <si>
    <t>entity:HQ_11.203_SHEIKHA_WING_RELAX_AREA</t>
  </si>
  <si>
    <t>entity:HQ_11.204_SHEIKHA_WING_MEETING_ROOM</t>
  </si>
  <si>
    <t>entity:HQ_B1.109_ROOM</t>
  </si>
  <si>
    <t>entity:HQ_10.002B_OFFICE_SPACE</t>
  </si>
  <si>
    <t>entity:HQ_11.007_EXECDIRCONSULTANT</t>
  </si>
  <si>
    <t>entity:HQ_11.601_SHEIKHA_WING_CORRIDOR</t>
  </si>
  <si>
    <t>entity:HQ_11.102_HH_WING_BUSINESS_LOUNGE</t>
  </si>
  <si>
    <t>entity:HQ_G.013_PR_&amp;_MARKET_STAFF</t>
  </si>
  <si>
    <t>entity:HQ_G.405_TOILET</t>
  </si>
  <si>
    <t>entity:HQ_12.201_SHEIKHA_WING_SHEIKHA_ENSUIT</t>
  </si>
  <si>
    <t>entity:HQ_12.202_SHEIKHA_WING_SHEIKHA_ENSUIT</t>
  </si>
  <si>
    <t>entity:HQ_12.203_SHEIKHA_WING_RELAX_AREA</t>
  </si>
  <si>
    <t>entity:HQ_12.204_SHEIKHA_WING_RELAX_AREA</t>
  </si>
  <si>
    <t>entity:HQ_12.001_COMMUNIC_DIR_COMMUNICATION_DIRECTOR</t>
  </si>
  <si>
    <t>entity:HQ_12.405_TOILET</t>
  </si>
  <si>
    <t>Room Entity Name</t>
  </si>
  <si>
    <t>Room Number Used</t>
  </si>
  <si>
    <t>Room Space (cleaned)</t>
  </si>
  <si>
    <t>entity:HQ_B1.606_SECURE_STORAGE</t>
  </si>
  <si>
    <t>B1.606</t>
  </si>
  <si>
    <t>SECURE_STORAGE</t>
  </si>
  <si>
    <t>AHU_4</t>
  </si>
  <si>
    <t>entity:HQ_B1.002_SECURITY_UPS_ROOM</t>
  </si>
  <si>
    <t>SECURITY_UPS_ROOM</t>
  </si>
  <si>
    <t>CONTROL_ROOM</t>
  </si>
  <si>
    <t>entity:HQ_B1.005_MDF_1_ROOM</t>
  </si>
  <si>
    <t>MDF_1_ROOM</t>
  </si>
  <si>
    <t>AHU_1</t>
  </si>
  <si>
    <t>entity:HQ_B1.007_COOLING_EQUIPMENT</t>
  </si>
  <si>
    <t>COOLING_EQUIPMENT</t>
  </si>
  <si>
    <t>entity:HQ_B1.008_FM_STORAGE</t>
  </si>
  <si>
    <t>FM_STORAGE</t>
  </si>
  <si>
    <t>entity:HQ_B1.009_MV_SWITCH_ROOM</t>
  </si>
  <si>
    <t>MV_SWITCH_ROOM</t>
  </si>
  <si>
    <t>entity:HQ_B1.010_TRANSFORMER_SUBSTATION</t>
  </si>
  <si>
    <t>TRANSFORMER_SUBSTATION</t>
  </si>
  <si>
    <t>entity:HQ_B1.011_HV_INTAKE</t>
  </si>
  <si>
    <t>HV_INTAKE</t>
  </si>
  <si>
    <t>entity:HQ_B1.012_GENERATOR</t>
  </si>
  <si>
    <t>entity:HQ_B1.013_Q-TEL_INCOMING</t>
  </si>
  <si>
    <t>Q-TEL_INCOMING</t>
  </si>
  <si>
    <t>SUPPORT_SPACE_DRY_WASTE_STORAGE</t>
  </si>
  <si>
    <t>SUPPORT_SPACE_LOADING</t>
  </si>
  <si>
    <t>AHU_2</t>
  </si>
  <si>
    <t>entity:HQ_B1.017_WATER_SERVICES</t>
  </si>
  <si>
    <t>WATER_SERVICES</t>
  </si>
  <si>
    <t>entity:HQ_B1.018_PA_ROOM</t>
  </si>
  <si>
    <t>PA_ROOM</t>
  </si>
  <si>
    <t>entity:HQ_B1.020_CHILLED_WATER</t>
  </si>
  <si>
    <t>CHILLED_WATER</t>
  </si>
  <si>
    <t>entity:HQ_B1.021_FILING_STORAGE</t>
  </si>
  <si>
    <t>FILING_STORAGE</t>
  </si>
  <si>
    <t>AHU_3</t>
  </si>
  <si>
    <t>entity:HQ_B1.023_CBS_ROOM</t>
  </si>
  <si>
    <t>CBS_ROOM</t>
  </si>
  <si>
    <t>entity:HQ_B1.024_SUPPORT_SPACE_WASTE_BIN_WASH_UP_AREA</t>
  </si>
  <si>
    <t>SUPPORT_SPACE_WASTE_BIN_WASH_UP_AREA</t>
  </si>
  <si>
    <t>entity:HQ_B1.025_COOLING_EQUIPMENT_ROOM</t>
  </si>
  <si>
    <t>COOLING_EQUIPMENT_ROOM</t>
  </si>
  <si>
    <t>entity:HQ_B1.026_UPS_ROOM</t>
  </si>
  <si>
    <t>UPS_ROOM</t>
  </si>
  <si>
    <t>entity:HQ_B1.101_AUDITORIUM_BACKSTAGE</t>
  </si>
  <si>
    <t>B1.101</t>
  </si>
  <si>
    <t>AUDITORIUM_BACKSTAGE</t>
  </si>
  <si>
    <t>entity:HQ_B1.102_SERVER_ROOM</t>
  </si>
  <si>
    <t>B1.102</t>
  </si>
  <si>
    <t>SERVER_ROOM</t>
  </si>
  <si>
    <t>B1.103</t>
  </si>
  <si>
    <t>STAFF_LOBBY</t>
  </si>
  <si>
    <t>entity:HQ_B1.106_VVIP_PARKING_6_CAR_SPOTS</t>
  </si>
  <si>
    <t>B1.106</t>
  </si>
  <si>
    <t>VVIP_PARKING_6_CAR_SPOTS</t>
  </si>
  <si>
    <t>B1.107</t>
  </si>
  <si>
    <t>DOCK_MASTER_OFFICE</t>
  </si>
  <si>
    <t>entity:HQ_B1.108_SUPPORT_SPACE_WET_WASTE_STORAGE</t>
  </si>
  <si>
    <t>B1.108</t>
  </si>
  <si>
    <t>SUPPORT_SPACE_WET_WASTE_STORAGE</t>
  </si>
  <si>
    <t>B1.110</t>
  </si>
  <si>
    <t>SUPPORT_SPACE_MAIL_ROOM</t>
  </si>
  <si>
    <t>entity:HQ_B1.111_CHANGING_ROOM</t>
  </si>
  <si>
    <t>B1.111</t>
  </si>
  <si>
    <t>CHANGING_ROOM</t>
  </si>
  <si>
    <t>entity:HQ_B1.112_CHANGING_ROOM</t>
  </si>
  <si>
    <t>B1.112</t>
  </si>
  <si>
    <t>B1.113</t>
  </si>
  <si>
    <t>SHEIKHA_LOBBY_SECURITY_ROOM</t>
  </si>
  <si>
    <t>entity:HQ_B1.114_FILING_STORAGE</t>
  </si>
  <si>
    <t>B1.114</t>
  </si>
  <si>
    <t>entity:HQ_B1.115_VVIP_PARKING_4_CAR_SPOTS</t>
  </si>
  <si>
    <t>B1.115</t>
  </si>
  <si>
    <t>VVIP_PARKING_4_CAR_SPOTS</t>
  </si>
  <si>
    <t>B1.116</t>
  </si>
  <si>
    <t>SHEIKHA_LOBBY</t>
  </si>
  <si>
    <t>B1.117</t>
  </si>
  <si>
    <t>CHAUFFEUR_ROOM</t>
  </si>
  <si>
    <t>entity:HQ_B1.118_SHEIKHA_LOBBY_PANTRYRG_LOUNGE</t>
  </si>
  <si>
    <t>B1.118</t>
  </si>
  <si>
    <t>SHEIKHA_LOBBY_PANTRYRG_LOUNGE</t>
  </si>
  <si>
    <t>entity:HQ_B1.119_ELECTRICAL_CABINET</t>
  </si>
  <si>
    <t>B1.119</t>
  </si>
  <si>
    <t>ELECTRICAL_CABINET</t>
  </si>
  <si>
    <t>entity:HQ_B1.120_MDF_2_ROOM</t>
  </si>
  <si>
    <t>B1.120</t>
  </si>
  <si>
    <t>MDF_2_ROOM</t>
  </si>
  <si>
    <t>entity:HQ_B1.121_MAINTENANCE_ROOM</t>
  </si>
  <si>
    <t>B1.121</t>
  </si>
  <si>
    <t>MAINTENANCE_ROOM</t>
  </si>
  <si>
    <t>B1.122</t>
  </si>
  <si>
    <t>SUPPORT_SPACE_FOOD_STORAGE</t>
  </si>
  <si>
    <t>B1.123</t>
  </si>
  <si>
    <t>B1.401</t>
  </si>
  <si>
    <t>MALE_TOILET</t>
  </si>
  <si>
    <t>entity:HQ_B1.402_FEMALE_TOILET</t>
  </si>
  <si>
    <t>B1.402</t>
  </si>
  <si>
    <t>FEMALE_TOILET</t>
  </si>
  <si>
    <t>entity:HQ_B1.403_TOILET</t>
  </si>
  <si>
    <t>B1.403</t>
  </si>
  <si>
    <t>entity:HQ_B1.511_VESTIBULE</t>
  </si>
  <si>
    <t>B1.511</t>
  </si>
  <si>
    <t>B1.512</t>
  </si>
  <si>
    <t>IDF_ROOM</t>
  </si>
  <si>
    <t>entity:HQ_B1.541_VESTIBULE</t>
  </si>
  <si>
    <t>B1.541</t>
  </si>
  <si>
    <t>entity:HQ_B1.542_VESTIBULE</t>
  </si>
  <si>
    <t>B1.542</t>
  </si>
  <si>
    <t>entity:HQ_B1.543_VESTIBULE</t>
  </si>
  <si>
    <t>B1.543</t>
  </si>
  <si>
    <t>entity:HQ_B1.544_SUPPORT_SPACE_STORAGE</t>
  </si>
  <si>
    <t>B1.544</t>
  </si>
  <si>
    <t>SUPPORT_SPACE_STORAGE</t>
  </si>
  <si>
    <t>entity:HQ_B1.602_CORRIDOR</t>
  </si>
  <si>
    <t>B1.602</t>
  </si>
  <si>
    <t>entity:HQ_B1.603_CORRIDOR</t>
  </si>
  <si>
    <t>B1.603</t>
  </si>
  <si>
    <t>entity:HQ_B1.604_CORRIDOR</t>
  </si>
  <si>
    <t>B1.604</t>
  </si>
  <si>
    <t>entity:HQ_B1.605_CORRIDOR</t>
  </si>
  <si>
    <t>B1.605</t>
  </si>
  <si>
    <t>entity:HQ_B1.P 1_P_1</t>
  </si>
  <si>
    <t>B1.P 1</t>
  </si>
  <si>
    <t>P_1</t>
  </si>
  <si>
    <t>entity:HQ_B1.P 2_P_2</t>
  </si>
  <si>
    <t>B1.P 2</t>
  </si>
  <si>
    <t>P_2</t>
  </si>
  <si>
    <t>entity:HQ_B1.P 3_P_3</t>
  </si>
  <si>
    <t>B1.P 3</t>
  </si>
  <si>
    <t>P_3</t>
  </si>
  <si>
    <t>entity:HQ_B1.P-4_P-4</t>
  </si>
  <si>
    <t>B1.P-4</t>
  </si>
  <si>
    <t>P-4</t>
  </si>
  <si>
    <t>entity:HQ_B1.P-5_P-5</t>
  </si>
  <si>
    <t>B1.P-5</t>
  </si>
  <si>
    <t>P-5</t>
  </si>
  <si>
    <t>entity:HQ_B1.P-6_P-6</t>
  </si>
  <si>
    <t>B1.P-6</t>
  </si>
  <si>
    <t>P-6</t>
  </si>
  <si>
    <t>entity:HQ_B1.S 1_S_1</t>
  </si>
  <si>
    <t>B1.S 1</t>
  </si>
  <si>
    <t>S_1</t>
  </si>
  <si>
    <t>entity:HQ_B1.ST-1_ST-1</t>
  </si>
  <si>
    <t>ST-1</t>
  </si>
  <si>
    <t>entity:HQ_B1.ST-2_ST-2</t>
  </si>
  <si>
    <t>ST-2</t>
  </si>
  <si>
    <t>entity:HQ_B1.ST-4_ST-4</t>
  </si>
  <si>
    <t>B1.ST-4</t>
  </si>
  <si>
    <t>ST-4</t>
  </si>
  <si>
    <t>entity:HQ_B1.ST-L6_ST-L6</t>
  </si>
  <si>
    <t>B1.ST-L6</t>
  </si>
  <si>
    <t>ST-L6</t>
  </si>
  <si>
    <t>G.002</t>
  </si>
  <si>
    <t>PR_&amp;_MARKET_MANAGER</t>
  </si>
  <si>
    <t>G.003</t>
  </si>
  <si>
    <t>G.004</t>
  </si>
  <si>
    <t>G.005</t>
  </si>
  <si>
    <t>EMERGENCY_CONTROL_CENTER</t>
  </si>
  <si>
    <t>entity:HQ_G.006_AUDITORIUM_STAIRS_LOBBY</t>
  </si>
  <si>
    <t>G.006</t>
  </si>
  <si>
    <t>AUDITORIUM_STAIRS_LOBBY</t>
  </si>
  <si>
    <t>entity:HQ_G.007_VIP_DROP_OFF_ENTRANCE</t>
  </si>
  <si>
    <t>G.007</t>
  </si>
  <si>
    <t>VIP_DROP_OFF_ENTRANCE</t>
  </si>
  <si>
    <t>G.008</t>
  </si>
  <si>
    <t>G.009</t>
  </si>
  <si>
    <t>G.010</t>
  </si>
  <si>
    <t>PR_&amp;_MARKET_STAFF</t>
  </si>
  <si>
    <t>G.011</t>
  </si>
  <si>
    <t>G.012</t>
  </si>
  <si>
    <t>G.013</t>
  </si>
  <si>
    <t>G.014</t>
  </si>
  <si>
    <t>VISITOR_CENT_OFFICE</t>
  </si>
  <si>
    <t>G.015</t>
  </si>
  <si>
    <t>entity:HQ_G.016_PANTRY</t>
  </si>
  <si>
    <t>G.016</t>
  </si>
  <si>
    <t>PANTRY</t>
  </si>
  <si>
    <t>G.017</t>
  </si>
  <si>
    <t>COPY_PRINT</t>
  </si>
  <si>
    <t>G.018</t>
  </si>
  <si>
    <t>G.019</t>
  </si>
  <si>
    <t>G.020</t>
  </si>
  <si>
    <t>G.021</t>
  </si>
  <si>
    <t>G.022</t>
  </si>
  <si>
    <t>PR_&amp;_MARKET!_SECRETARY</t>
  </si>
  <si>
    <t>G.023</t>
  </si>
  <si>
    <t>entity:HQ_G.024_PEDESTRIAN_ENTRANCE</t>
  </si>
  <si>
    <t>G.024</t>
  </si>
  <si>
    <t>PEDESTRIAN_ENTRANCE</t>
  </si>
  <si>
    <t>G.025</t>
  </si>
  <si>
    <t>VIP_LOUNGE</t>
  </si>
  <si>
    <t>G.026</t>
  </si>
  <si>
    <t>FINANCE_CASHIER</t>
  </si>
  <si>
    <t>entity:HQ_G.027_PANTRY</t>
  </si>
  <si>
    <t>G.027</t>
  </si>
  <si>
    <t>G.028</t>
  </si>
  <si>
    <t>PR_&amp;_MARKET_DIRECTOR_ENSUIT</t>
  </si>
  <si>
    <t>G.029</t>
  </si>
  <si>
    <t>entity:HQ_G.03_PR_&amp;_MARKET_STAFF</t>
  </si>
  <si>
    <t>G.03</t>
  </si>
  <si>
    <t>G.031</t>
  </si>
  <si>
    <t>G.032</t>
  </si>
  <si>
    <t>G.033</t>
  </si>
  <si>
    <t>G.034</t>
  </si>
  <si>
    <t>G.035</t>
  </si>
  <si>
    <t>G.036</t>
  </si>
  <si>
    <t>G.037</t>
  </si>
  <si>
    <t>G.038</t>
  </si>
  <si>
    <t>entity:HQ_G.039_PR_&amp;_MARKET_STAFF</t>
  </si>
  <si>
    <t>G.039</t>
  </si>
  <si>
    <t>G.101</t>
  </si>
  <si>
    <t>CONFERENCE_ROOM</t>
  </si>
  <si>
    <t>entity:HQ_G.102_AUDITORIUM</t>
  </si>
  <si>
    <t>G.102</t>
  </si>
  <si>
    <t>AUDITORIUM</t>
  </si>
  <si>
    <t>G.103</t>
  </si>
  <si>
    <t>G.104</t>
  </si>
  <si>
    <t>G.105</t>
  </si>
  <si>
    <t>SHOP</t>
  </si>
  <si>
    <t>entity:HQ_G.106_STORAGE_ROOM</t>
  </si>
  <si>
    <t>G.106</t>
  </si>
  <si>
    <t>STORAGE_ROOM</t>
  </si>
  <si>
    <t>G.107</t>
  </si>
  <si>
    <t>E-TOWER_LOBBY</t>
  </si>
  <si>
    <t>G.108</t>
  </si>
  <si>
    <t>CONSULTANT_SPACE_TRAINEES</t>
  </si>
  <si>
    <t>entity:HQ_G.11_STORAGE_ROOM</t>
  </si>
  <si>
    <t>G.11</t>
  </si>
  <si>
    <t>entity:HQ_G.401_FEMALE_TOILET</t>
  </si>
  <si>
    <t>G.401</t>
  </si>
  <si>
    <t>entity:HQ_G.402_MALE_TOILET</t>
  </si>
  <si>
    <t>G.402</t>
  </si>
  <si>
    <t>entity:HQ_G.403_FEM_FEMALE_TOILET</t>
  </si>
  <si>
    <t>G.403_FEM</t>
  </si>
  <si>
    <t>entity:HQ_G.403_MAL_MALE_TOILET</t>
  </si>
  <si>
    <t>G.403_MAL</t>
  </si>
  <si>
    <t>G.405</t>
  </si>
  <si>
    <t>G.511</t>
  </si>
  <si>
    <t>G.512</t>
  </si>
  <si>
    <t>entity:HQ_G.521_STAIR_VESTIBULE</t>
  </si>
  <si>
    <t>G.521</t>
  </si>
  <si>
    <t>STAIR_VESTIBULE</t>
  </si>
  <si>
    <t>G.531</t>
  </si>
  <si>
    <t>entity:HQ_G.532_ELECTRICAL_CLOSET_1</t>
  </si>
  <si>
    <t>G.532</t>
  </si>
  <si>
    <t>ELECTRICAL_CLOSET_1</t>
  </si>
  <si>
    <t>entity:HQ_G.533_ELECTRICAL_CLOSET_2</t>
  </si>
  <si>
    <t>G.533</t>
  </si>
  <si>
    <t>ELECTRICAL_CLOSET_2</t>
  </si>
  <si>
    <t>entity:HQ_G.541_STAIR_VESTIBULES</t>
  </si>
  <si>
    <t>G.541</t>
  </si>
  <si>
    <t>STAIR_VESTIBULES</t>
  </si>
  <si>
    <t>entity:HQ_G.542_STAIR_VESTIBULE</t>
  </si>
  <si>
    <t>G.542</t>
  </si>
  <si>
    <t>entity:HQ_G.544_VESTIBULE</t>
  </si>
  <si>
    <t>G.544</t>
  </si>
  <si>
    <t>G.601</t>
  </si>
  <si>
    <t>entity:HQ_G.FF-1_FF-1</t>
  </si>
  <si>
    <t>G.FF-1</t>
  </si>
  <si>
    <t>FF-1</t>
  </si>
  <si>
    <t>entity:HQ_G.P-1_P-1</t>
  </si>
  <si>
    <t>G.P-1</t>
  </si>
  <si>
    <t>P-1</t>
  </si>
  <si>
    <t>entity:HQ_G.P-2_P-2</t>
  </si>
  <si>
    <t>G.P-2</t>
  </si>
  <si>
    <t>P-2</t>
  </si>
  <si>
    <t>entity:HQ_G.P-3_P-3</t>
  </si>
  <si>
    <t>G.P-3</t>
  </si>
  <si>
    <t>P-3</t>
  </si>
  <si>
    <t>entity:HQ_G.P-4_P-4</t>
  </si>
  <si>
    <t>G.P-4</t>
  </si>
  <si>
    <t>entity:HQ_G.P-5_P-5</t>
  </si>
  <si>
    <t>G.P-5</t>
  </si>
  <si>
    <t>entity:HQ_G.P-6_P-6</t>
  </si>
  <si>
    <t>G.P-6</t>
  </si>
  <si>
    <t>entity:HQ_G.S-1_S-1</t>
  </si>
  <si>
    <t>G.S-1</t>
  </si>
  <si>
    <t>S-1</t>
  </si>
  <si>
    <t>entity:HQ_G.ST-1_ST-1</t>
  </si>
  <si>
    <t>G.ST-1</t>
  </si>
  <si>
    <t>entity:HQ_G.ST-2_ST-2</t>
  </si>
  <si>
    <t>G.ST-2</t>
  </si>
  <si>
    <t>entity:HQ_G.ST-3_ST-3</t>
  </si>
  <si>
    <t>G.ST-3</t>
  </si>
  <si>
    <t>ST-3</t>
  </si>
  <si>
    <t>entity:HQ_G.ST-4_ST-4</t>
  </si>
  <si>
    <t>G.ST-4</t>
  </si>
  <si>
    <t>FINANCE_CLERICAL_SECRETARIES</t>
  </si>
  <si>
    <t>FINANCE_MANAGERS</t>
  </si>
  <si>
    <t>FINANCE_MANAGER</t>
  </si>
  <si>
    <t>FINANCE_SECRETARY</t>
  </si>
  <si>
    <t>FINANCE_PROFSTAFF</t>
  </si>
  <si>
    <t>FINANCE_CLERICAL_PROFSTAFF</t>
  </si>
  <si>
    <t>entity:HQ_1.009_FINANCE_MANAGER</t>
  </si>
  <si>
    <t>FINANCE_DIRECTOR_ENSUIT</t>
  </si>
  <si>
    <t>FINANCE_AUDITOR</t>
  </si>
  <si>
    <t>STAFF_LOUNGE</t>
  </si>
  <si>
    <t>entity:HQ_1.102_PRAYER_ROOM_VESTIBULE</t>
  </si>
  <si>
    <t>PRAYER_ROOM_VESTIBULE</t>
  </si>
  <si>
    <t>entity:HQ_1.103_ABLUTION_ROOM</t>
  </si>
  <si>
    <t>ABLUTION_ROOM</t>
  </si>
  <si>
    <t>entity:HQ_1.104_ABLUTION_ROOM</t>
  </si>
  <si>
    <t>PRAYER_ROOM</t>
  </si>
  <si>
    <t>FINANCE_MEETING_ROOM</t>
  </si>
  <si>
    <t>FINANCE_RECORD_STORAGE</t>
  </si>
  <si>
    <t>PRINT_COPY</t>
  </si>
  <si>
    <t>entity:HQ_1.113_PANTRY</t>
  </si>
  <si>
    <t>STAFF_LOUNGE_STORAGE</t>
  </si>
  <si>
    <t>FINANCE_SECURE_ROOM</t>
  </si>
  <si>
    <t>entity:HQ_1.403_MALE_TOILET</t>
  </si>
  <si>
    <t>entity:HQ_1.404_FEMALE_TOILET</t>
  </si>
  <si>
    <t>entity:HQ_1.405_TOILET</t>
  </si>
  <si>
    <t>entity:HQ_1.521_VESTIBULE</t>
  </si>
  <si>
    <t>entity:HQ_1.532_ELECTRICAL_CLOSET_1</t>
  </si>
  <si>
    <t>entity:HQ_1.533_ELECTRICAL_CLOSET_2</t>
  </si>
  <si>
    <t>entity:HQ_1.541_VESTIBULE</t>
  </si>
  <si>
    <t>entity:HQ_1.603_CORRIDOR</t>
  </si>
  <si>
    <t>STAFF_CAFETERIA</t>
  </si>
  <si>
    <t>FOOD_HEAT_UP</t>
  </si>
  <si>
    <t>entity:HQ_1.703_COSHSTORE</t>
  </si>
  <si>
    <t>COSHSTORE</t>
  </si>
  <si>
    <t>entity:HQ_1.704_REFUSE_HOLDING_A</t>
  </si>
  <si>
    <t>REFUSE_HOLDING_A</t>
  </si>
  <si>
    <t>entity:HQ_1.705_PREP</t>
  </si>
  <si>
    <t>PREP</t>
  </si>
  <si>
    <t>WASHING_AREA</t>
  </si>
  <si>
    <t>DOHA_DEBATE_EXECUTIVE</t>
  </si>
  <si>
    <t>DOHA_DEBATE_SECRETARY</t>
  </si>
  <si>
    <t>SUPPSERVSECRETARY</t>
  </si>
  <si>
    <t>SUPPSERVADMINIST</t>
  </si>
  <si>
    <t>SUPPSERVDIRECTOR_ENSUIT</t>
  </si>
  <si>
    <t>CONSULTANTS_SPACE-OTHERS</t>
  </si>
  <si>
    <t>entity:HQ_2.106_PANTRY</t>
  </si>
  <si>
    <t>entity:HQ_2.107_JANITORS_CLOSET</t>
  </si>
  <si>
    <t>JANITORS_CLOSET</t>
  </si>
  <si>
    <t>SUPPSERVMEETING_ROOM</t>
  </si>
  <si>
    <t>SHELL_SPACE</t>
  </si>
  <si>
    <t>entity:HQ_2.11_SHELL_SPACE</t>
  </si>
  <si>
    <t>entity:HQ_2.111_ELECTRICAL_CABINET</t>
  </si>
  <si>
    <t>SPA_MALE_RELAXATION</t>
  </si>
  <si>
    <t>SPA_MALE_TREATMENT_3</t>
  </si>
  <si>
    <t>SPA_MALE_TREATMENT_2</t>
  </si>
  <si>
    <t>SPA_MALE_TREATMENT_1</t>
  </si>
  <si>
    <t>SPA_MALE_CHANGING_ROOM</t>
  </si>
  <si>
    <t>SPA_ENTRANCE</t>
  </si>
  <si>
    <t>SPA_LOUNGE_BAR</t>
  </si>
  <si>
    <t>SPA_FITNESS_DTUDIO</t>
  </si>
  <si>
    <t>SPA_OFFICE</t>
  </si>
  <si>
    <t>SPA_STAFF_WAITING_AREA</t>
  </si>
  <si>
    <t>SPA_FEMALE_BEAUTY_SALON</t>
  </si>
  <si>
    <t>SPA_FM_TREATMENT_1</t>
  </si>
  <si>
    <t>SPA_CHANGING_ROOM</t>
  </si>
  <si>
    <t>SPA_FM_TREATMENT_2</t>
  </si>
  <si>
    <t>SPA_FM_TREATMENT_3</t>
  </si>
  <si>
    <t>SPA_FM_RELAXATION</t>
  </si>
  <si>
    <t>entity:HQ_2.217_SPA_STORAGE</t>
  </si>
  <si>
    <t>SPA_STORAGE</t>
  </si>
  <si>
    <t>entity:HQ_2.218_SPA_STORAGE</t>
  </si>
  <si>
    <t>entity:HQ_2.219_SPA_STORAGE</t>
  </si>
  <si>
    <t>entity:HQ_2.22_SPA_STERILIZATION_ROOM</t>
  </si>
  <si>
    <t>SPA_STERILIZATION_ROOM</t>
  </si>
  <si>
    <t>entity:HQ_2.301_SPA_LAUNDRY</t>
  </si>
  <si>
    <t>SPA_LAUNDRY</t>
  </si>
  <si>
    <t>SPA_PLANTROOM</t>
  </si>
  <si>
    <t>entity:HQ_2.303_SPA_LAUNDRY</t>
  </si>
  <si>
    <t>entity:HQ_2.304_SPA_MALE_HEAT_EXP</t>
  </si>
  <si>
    <t>SPA_MALE_HEAT_EXP</t>
  </si>
  <si>
    <t>entity:HQ_2.305_SPA_JACUZZI</t>
  </si>
  <si>
    <t>SPA_JACUZZI</t>
  </si>
  <si>
    <t>entity:HQ_2.306_SPA_HAMMAM</t>
  </si>
  <si>
    <t>SPA_HAMMAM</t>
  </si>
  <si>
    <t>entity:HQ_2.307_SPA_SHOWER</t>
  </si>
  <si>
    <t>SPA_SHOWER</t>
  </si>
  <si>
    <t>entity:HQ_2.308_SPA_SCRUB</t>
  </si>
  <si>
    <t>SPA_SCRUB</t>
  </si>
  <si>
    <t>entity:HQ_2.309_SPA_SAUNA</t>
  </si>
  <si>
    <t>SPA_SAUNA</t>
  </si>
  <si>
    <t>entity:HQ_2.31_SPA_TECHNIC</t>
  </si>
  <si>
    <t>SPA_TECHNIC</t>
  </si>
  <si>
    <t>entity:HQ_2.311_SPA_FM_HEAT_EXP</t>
  </si>
  <si>
    <t>SPA_FM_HEAT_EXP</t>
  </si>
  <si>
    <t>entity:HQ_2.312_SPA_SAUNA</t>
  </si>
  <si>
    <t>entity:HQ_2.313_SPA_SCRUB</t>
  </si>
  <si>
    <t>entity:HQ_2.314_SPA_SHOWER</t>
  </si>
  <si>
    <t>entity:HQ_2.315_SPA_HAMMAM</t>
  </si>
  <si>
    <t>entity:HQ_2.316_SPA_JACUZZI</t>
  </si>
  <si>
    <t>entity:HQ_2.317_SPA_TECHNIC</t>
  </si>
  <si>
    <t>entity:HQ_2.318_SPA_TECHNIC</t>
  </si>
  <si>
    <t>entity:HQ_2.401_MALE_TOILET</t>
  </si>
  <si>
    <t>entity:HQ_2.402_FEMALE_TOILET</t>
  </si>
  <si>
    <t>entity:HQ_2.403_MALE_TOILET</t>
  </si>
  <si>
    <t>entity:HQ_2.404_FEMALE_TOILET</t>
  </si>
  <si>
    <t>entity:HQ_2.405_TOILET</t>
  </si>
  <si>
    <t>entity:HQ_2.406_SPA_STAFF_FEMALE_WC</t>
  </si>
  <si>
    <t>SPA_STAFF_FEMALE_WC</t>
  </si>
  <si>
    <t>entity:HQ_2.407_SPA_STAFF_MALE_WC</t>
  </si>
  <si>
    <t>SPA_STAFF_MALE_WC</t>
  </si>
  <si>
    <t>MECHANICAL_ROOM</t>
  </si>
  <si>
    <t>entity:HQ_2.521_VESTIBULE</t>
  </si>
  <si>
    <t>entity:HQ_2.532_ELECTRICAL_CLOSET_1</t>
  </si>
  <si>
    <t>entity:HQ_2.533_ELECTRICAL_CLOSET_2</t>
  </si>
  <si>
    <t>entity:HQ_2.541_VESTIBULE</t>
  </si>
  <si>
    <t>S-TOWER_CORRIDOR</t>
  </si>
  <si>
    <t>entity:HQ_2.602_SPA_CORRIDOR</t>
  </si>
  <si>
    <t>SPA_CORRIDOR</t>
  </si>
  <si>
    <t>SPA_LOBBY</t>
  </si>
  <si>
    <t>entity:HQ_2.604_SPA_CORRIDOR</t>
  </si>
  <si>
    <t>HR_IMMIG_STAFF</t>
  </si>
  <si>
    <t>HR_IMMIG_STORAGE</t>
  </si>
  <si>
    <t>HR_IMMIG_SECRETARY</t>
  </si>
  <si>
    <t>MEETING_ROOM</t>
  </si>
  <si>
    <t>entity:HQ_3.106_PANTRY</t>
  </si>
  <si>
    <t>entity:HQ_3.107_JANITORS_CLOSET</t>
  </si>
  <si>
    <t>entity:HQ_3.108_SHELL_SPACE</t>
  </si>
  <si>
    <t>entity:HQ_3.109_ELECTRICAL_CABINET</t>
  </si>
  <si>
    <t>PROC&amp;CONTRDIRENSUIT</t>
  </si>
  <si>
    <t>COPYPRINT</t>
  </si>
  <si>
    <t>entity:HQ_3.204_PANTRY</t>
  </si>
  <si>
    <t>HR_IMMIG_IMMIGRATION</t>
  </si>
  <si>
    <t>HR_IMMIG_MANAGER</t>
  </si>
  <si>
    <t>HR_IMMIG_OFFICERS</t>
  </si>
  <si>
    <t>HR_IMMIG_SECRETARIES</t>
  </si>
  <si>
    <t>HR_IMMIG_DIRENSUIT</t>
  </si>
  <si>
    <t>IT_SECRETARY</t>
  </si>
  <si>
    <t>IT_DIRENSUIT</t>
  </si>
  <si>
    <t>PROC&amp;CONTRSECRETARY</t>
  </si>
  <si>
    <t>PROC&amp;CONTRMEETING_ROOM</t>
  </si>
  <si>
    <t>HR_IMMIG_MEETING_ROOM</t>
  </si>
  <si>
    <t>entity:HQ_3.401_MALE_TOILET</t>
  </si>
  <si>
    <t>entity:HQ_3.402_FEMALE_TOILET</t>
  </si>
  <si>
    <t>entity:HQ_3.403_MALE_TOILET</t>
  </si>
  <si>
    <t>entity:HQ_3.404_FEMALE_TOILET</t>
  </si>
  <si>
    <t>entity:HQ_3.405_MALE_TOILET</t>
  </si>
  <si>
    <t>entity:HQ_3.406_FEMALE_TOILET</t>
  </si>
  <si>
    <t>entity:HQ_3.407_TOILET</t>
  </si>
  <si>
    <t>entity:HQ_3.408_TOILET</t>
  </si>
  <si>
    <t>entity:HQ_3.409_TOILET</t>
  </si>
  <si>
    <t>entity:HQ_3.511_VESTIBULE</t>
  </si>
  <si>
    <t>entity:HQ_3.521_VESTIBULE</t>
  </si>
  <si>
    <t>entity:HQ_3.532_ELECTRICAL_CLOSET_1</t>
  </si>
  <si>
    <t>entity:HQ_3.533_ELECTRICAL_CLOSET_12</t>
  </si>
  <si>
    <t>ELECTRICAL_CLOSET_12</t>
  </si>
  <si>
    <t>entity:HQ_3.541_VESTIBULE</t>
  </si>
  <si>
    <t>E-TOWER_CORRIDOR</t>
  </si>
  <si>
    <t>CORRIDOR_BRIDGE</t>
  </si>
  <si>
    <t>STRPLDIRMANAGER</t>
  </si>
  <si>
    <t>entity:HQ_04.004_ENS_STRPLDIRENSUIT</t>
  </si>
  <si>
    <t>04.004_ENS</t>
  </si>
  <si>
    <t>STRPLDIRENSUIT</t>
  </si>
  <si>
    <t>entity:HQ_04.004_EXE_STRPLDIREXECSECRETARY</t>
  </si>
  <si>
    <t>04.004_EXE</t>
  </si>
  <si>
    <t>STRPLDIREXECSECRETARY</t>
  </si>
  <si>
    <t>STRPLDIRMEETING_ROOM</t>
  </si>
  <si>
    <t>STRPLDIRHEAD_OF_PL</t>
  </si>
  <si>
    <t>entity:HQ_04.103_ELE_ELECTRICAL_CABINET</t>
  </si>
  <si>
    <t>04.103_ELE</t>
  </si>
  <si>
    <t>entity:HQ_04.103_STO_STORAGE_SPACE</t>
  </si>
  <si>
    <t>04.103_STO</t>
  </si>
  <si>
    <t>STORAGE_SPACE</t>
  </si>
  <si>
    <t>WAITING_LOUNGE</t>
  </si>
  <si>
    <t>entity:HQ_04.105_JAN_JANITORS_CLOSET</t>
  </si>
  <si>
    <t>04.105_JAN</t>
  </si>
  <si>
    <t>entity:HQ_04.105_PAN_PANTRY</t>
  </si>
  <si>
    <t>04.105_PAN</t>
  </si>
  <si>
    <t>STRPLDIRTECHNSTAFF</t>
  </si>
  <si>
    <t>STRPLDIRARCHIVE_ROOM</t>
  </si>
  <si>
    <t>VP_EDU_STORAGE</t>
  </si>
  <si>
    <t>entity:HQ_4.202_PRINT_COPY</t>
  </si>
  <si>
    <t>entity:HQ_4.203_PANTRY</t>
  </si>
  <si>
    <t>VP_ADM_MANAGER</t>
  </si>
  <si>
    <t>entity:HQ_4.207_VP_ADM_SUPPSECRET</t>
  </si>
  <si>
    <t>VP_ADM_SUPPSECRET</t>
  </si>
  <si>
    <t>VP_ADM_EXECSECRET</t>
  </si>
  <si>
    <t>VP_ADM_PERSASSIST</t>
  </si>
  <si>
    <t>VP_ADM_ENSUIT</t>
  </si>
  <si>
    <t>entity:HQ_4.214_GSM_ROOM</t>
  </si>
  <si>
    <t>GSM_ROOM</t>
  </si>
  <si>
    <t>VP_ADM_MEETING_ROOM</t>
  </si>
  <si>
    <t>entity:HQ_4.401_MALE_TOILET</t>
  </si>
  <si>
    <t>entity:HQ_4.402_FEMALE_TOILET</t>
  </si>
  <si>
    <t>entity:HQ_4.403_MALE_TOILET</t>
  </si>
  <si>
    <t>entity:HQ_4.404_FEMALE_TOILET</t>
  </si>
  <si>
    <t>entity:HQ_4.405_TOILET</t>
  </si>
  <si>
    <t>entity:HQ_4.406_TOILET</t>
  </si>
  <si>
    <t>entity:HQ_4.511_VESTIBULE</t>
  </si>
  <si>
    <t>entity:HQ_4.514_VESTIBULE</t>
  </si>
  <si>
    <t>entity:HQ_4.521_VESTIBULE</t>
  </si>
  <si>
    <t>entity:HQ_4.532_ELECTRICAL_CLOSET</t>
  </si>
  <si>
    <t>ELECTRICAL_CLOSET</t>
  </si>
  <si>
    <t>entity:HQ_4.533_ELECTRICAL_CLOSET_2</t>
  </si>
  <si>
    <t>entity:HQ_4.602_BRIDGE</t>
  </si>
  <si>
    <t>BRIDGE</t>
  </si>
  <si>
    <t>entity:HQ_4.604_PRINT_COPY</t>
  </si>
  <si>
    <t>VP_ADM_TERRACE</t>
  </si>
  <si>
    <t>TERRACE</t>
  </si>
  <si>
    <t>VP_EDU_ASSISTANT</t>
  </si>
  <si>
    <t>VP_EDU_OFFDIRENSUIT</t>
  </si>
  <si>
    <t>VP_EDU_SECRETARY</t>
  </si>
  <si>
    <t>VP_EDU_OFFICERS</t>
  </si>
  <si>
    <t>VP_EDU_OFFICE_DIRECTOR_ENSUIT</t>
  </si>
  <si>
    <t>VP_EDU_SECRET</t>
  </si>
  <si>
    <t>VP_EDU_LOUNGE_WAITING</t>
  </si>
  <si>
    <t>entity:HQ_5.105_PANTRY</t>
  </si>
  <si>
    <t>entity:HQ_5.106_JANITORS_CLOSET</t>
  </si>
  <si>
    <t>VP_EDUCATION_SUPPSECRET</t>
  </si>
  <si>
    <t>VP_EDU_MEMBERS_OF_EDU</t>
  </si>
  <si>
    <t>entity:HQ_5.204_PANTRY</t>
  </si>
  <si>
    <t>VP_EDU_MEETING_ROOM</t>
  </si>
  <si>
    <t>VP_EDU_ENSUIT</t>
  </si>
  <si>
    <t>VP_EDU_CHPEXECSECRET</t>
  </si>
  <si>
    <t>PLANT_ROOM</t>
  </si>
  <si>
    <t>entity:HQ_5.401_MALE_TOILET</t>
  </si>
  <si>
    <t>entity:HQ_5.402_FEMALE_TOILET</t>
  </si>
  <si>
    <t>entity:HQ_5.403_MALE_TOILET</t>
  </si>
  <si>
    <t>entity:HQ_5.404_FEMALE_TOILET</t>
  </si>
  <si>
    <t>entity:HQ_5.405_TOILET</t>
  </si>
  <si>
    <t>entity:HQ_5.406_TOILET</t>
  </si>
  <si>
    <t>entity:HQ_5.407_TOILET</t>
  </si>
  <si>
    <t>entity:HQ_5.408_TOILET</t>
  </si>
  <si>
    <t>entity:HQ_5.409_TOILET</t>
  </si>
  <si>
    <t>entity:HQ_5.511_VESTIBULE</t>
  </si>
  <si>
    <t>entity:HQ_5.521_VESTIBULE</t>
  </si>
  <si>
    <t>entity:HQ_5.532_ELECTRICAL_CLOSET_1</t>
  </si>
  <si>
    <t>entity:HQ_5.533_ELECTRICAL_CLOSET_2</t>
  </si>
  <si>
    <t>entity:HQ_5.541_VESTIBULE</t>
  </si>
  <si>
    <t>entity:HQ_5.604_BRIDGE</t>
  </si>
  <si>
    <t>entity:HQ_5.701_TERRACE</t>
  </si>
  <si>
    <t>ACA_AUDIT_ARCHIVE</t>
  </si>
  <si>
    <t>INTAUDIT_ARCHIVE_ROOM</t>
  </si>
  <si>
    <t>INTAUDIT_SUPPAUDIT</t>
  </si>
  <si>
    <t>INTAUDIT_SECRETARY</t>
  </si>
  <si>
    <t>INTAUDIT_SEN_JNTAUD</t>
  </si>
  <si>
    <t>ACAAUDIT_SUPPAUDIT</t>
  </si>
  <si>
    <t>ACAAUDIT_SECRETARY</t>
  </si>
  <si>
    <t>ACAAUDIT_ACASENAUD</t>
  </si>
  <si>
    <t>FACILITY_MANAGSECRETARY</t>
  </si>
  <si>
    <t>VACILITY_MANAGDIRENSUIT</t>
  </si>
  <si>
    <t>VP_CAPITAL_CONSULTANT</t>
  </si>
  <si>
    <t>entity:HQ_6.106_PANTRY</t>
  </si>
  <si>
    <t>entity:HQ_6.107_JANITORS_CLOSET</t>
  </si>
  <si>
    <t>VP_CAPITAL_PROJCOORD</t>
  </si>
  <si>
    <t>VP_CAPITAL_WORK_ASSIST</t>
  </si>
  <si>
    <t>entity:HQ_6.11_ELECTRICAL_CABINET</t>
  </si>
  <si>
    <t>VP_CAPITAL_PROJMANAGER</t>
  </si>
  <si>
    <t>entity:HQ_6.203_PANTRY</t>
  </si>
  <si>
    <t>VP_CAPITAL_STORAGE</t>
  </si>
  <si>
    <t>VP_CAPITAL_SECRETARIES</t>
  </si>
  <si>
    <t>VP_CAPITAL_ENSUIT</t>
  </si>
  <si>
    <t>VP_CAPITAL_DIRECTOR_ENSUIT</t>
  </si>
  <si>
    <t>entity:HQ_6.301_VP_CAPITAL_MEETING_ROOM</t>
  </si>
  <si>
    <t>VP_CAPITAL_MEETING_ROOM</t>
  </si>
  <si>
    <t>entity:HQ_6.401_MALE_TOILET</t>
  </si>
  <si>
    <t>entity:HQ_6.402_FEMALE_TOILET</t>
  </si>
  <si>
    <t>entity:HQ_6.403_MALE_TOILET</t>
  </si>
  <si>
    <t>entity:HQ_6.404_FEMALE_TOILET</t>
  </si>
  <si>
    <t>entity:HQ_6.405_TOILET</t>
  </si>
  <si>
    <t>entity:HQ_6.406_TOILET</t>
  </si>
  <si>
    <t>entity:HQ_6.407_TOILET</t>
  </si>
  <si>
    <t>entity:HQ_6.511_VESTIBULE</t>
  </si>
  <si>
    <t>entity:HQ_6.521_VESTIBULE</t>
  </si>
  <si>
    <t>entity:HQ_6.532_ELECTRICAL_CLOSET</t>
  </si>
  <si>
    <t>entity:HQ_6.533_ELECTRICAL_CLOSET_2</t>
  </si>
  <si>
    <t>entity:HQ_6.541_VESTIBULE</t>
  </si>
  <si>
    <t>entity:HQ_6.602_BRIDGE_CORRIDOR</t>
  </si>
  <si>
    <t>BRIDGE_CORRIDOR</t>
  </si>
  <si>
    <t>DOCUNIT_EMPLOYEE</t>
  </si>
  <si>
    <t>DOCUNIT_MULTIMEDIA_STUDIO</t>
  </si>
  <si>
    <t>CA_COORD</t>
  </si>
  <si>
    <t>CA_ENSUIT</t>
  </si>
  <si>
    <t>CA_SECRETARY</t>
  </si>
  <si>
    <t>BD_UNIT_SECRETARY</t>
  </si>
  <si>
    <t>BD_UNIT_EXECUTIVE</t>
  </si>
  <si>
    <t>entity:HQ_7.107_PANTRY</t>
  </si>
  <si>
    <t>entity:HQ_7.108_JANITORS_CLOSET</t>
  </si>
  <si>
    <t>entity:HQ_7.109_ELECTRICAL_CABINET</t>
  </si>
  <si>
    <t>entity:HQ_7.11_VESTIBULE</t>
  </si>
  <si>
    <t>CONSULTANTS_SPACE</t>
  </si>
  <si>
    <t>PRESIDENT_EXECOFFICE</t>
  </si>
  <si>
    <t>entity:HQ_7.203_PANTRY</t>
  </si>
  <si>
    <t>entity:HQ_7.206_PRESIDENT_EXECOFFICE</t>
  </si>
  <si>
    <t>entity:HQ_7.207_PRESIDENT_EXECOFFICE</t>
  </si>
  <si>
    <t>PRESIDENT_SUPPORT_SECRET</t>
  </si>
  <si>
    <t>PRESIDENT_EXECSECRET</t>
  </si>
  <si>
    <t>PRESIDENT_ENSUIT</t>
  </si>
  <si>
    <t>PRESIDENT_MEETING_ROOM</t>
  </si>
  <si>
    <t>VICE_CHAIRPERSON_ENSUIT</t>
  </si>
  <si>
    <t>VICE_CHAIRSECRETARY</t>
  </si>
  <si>
    <t>VICE_CHAIRPERSON_MEETING_ROOM</t>
  </si>
  <si>
    <t>entity:HQ_7.401_FEMALE_TOILET</t>
  </si>
  <si>
    <t>entity:HQ_7.402_MALE_TOILET</t>
  </si>
  <si>
    <t>entity:HQ_7.403_MALE_TOILET</t>
  </si>
  <si>
    <t>entity:HQ_7.404_FEMALE_TOILET</t>
  </si>
  <si>
    <t>entity:HQ_7.405_MALE_TOILET</t>
  </si>
  <si>
    <t>entity:HQ_7.406_FEMALE_TOILET</t>
  </si>
  <si>
    <t>entity:HQ_7.407_TOILET</t>
  </si>
  <si>
    <t>entity:HQ_7.408_TOILET</t>
  </si>
  <si>
    <t>entity:HQ_7.409_TOILET</t>
  </si>
  <si>
    <t>entity:HQ_7.511_VESTIBULE</t>
  </si>
  <si>
    <t>entity:HQ_7.532_ELECTRICAL_CLOSET</t>
  </si>
  <si>
    <t>entity:HQ_7.533_ELECTRICAL_CLOSET_2</t>
  </si>
  <si>
    <t>entity:HQ_7.541_VESTIBULE</t>
  </si>
  <si>
    <t>OBSERVATION_SPACE</t>
  </si>
  <si>
    <t>VISITORS_CENTER_OFFICE</t>
  </si>
  <si>
    <t>entity:HQ_8.101_PANTRY</t>
  </si>
  <si>
    <t>entity:HQ_8.102_MAINTENANCE_STORAGE</t>
  </si>
  <si>
    <t>MAINTENANCE_STORAGE</t>
  </si>
  <si>
    <t>entity:HQ_8.103_ELECTRICAL_CABINET</t>
  </si>
  <si>
    <t>entity:HQ_8.511_VESTIBULE</t>
  </si>
  <si>
    <t>entity:HQ_8.521_VESTIBULE</t>
  </si>
  <si>
    <t>entity:HQ_8.531_ELECTRICAL_CLOSET_1</t>
  </si>
  <si>
    <t>entity:HQ_8.532_ELECTRICAL_CLOSET_2</t>
  </si>
  <si>
    <t>entity:HQ_8.541_VESTIBULE</t>
  </si>
  <si>
    <t>entity:HQ_8.601_BRIDGE</t>
  </si>
  <si>
    <t>VISITORS_CENTER_CORRIDOR</t>
  </si>
  <si>
    <t>LEGAL_ARCHIVE</t>
  </si>
  <si>
    <t>LEGAL_CONSULE</t>
  </si>
  <si>
    <t>LEGAL_LEGAL_CONSULE</t>
  </si>
  <si>
    <t>LEGAL_LEGSUPSEC</t>
  </si>
  <si>
    <t>LEGAL_LEGADVENSUIT</t>
  </si>
  <si>
    <t>BMO_EXECASSIST</t>
  </si>
  <si>
    <t>BMO_EXECSECRET</t>
  </si>
  <si>
    <t>BMO_OPERDIRENSUIT</t>
  </si>
  <si>
    <t>BMO_SUPPSECRET</t>
  </si>
  <si>
    <t>BMO_PRINT_COPY</t>
  </si>
  <si>
    <t>BMO_STORAGE</t>
  </si>
  <si>
    <t>HR_EDUADVADVISOR_ENSUIT</t>
  </si>
  <si>
    <t>BOD_EXECUTIVE</t>
  </si>
  <si>
    <t>BOD_SECRETARY</t>
  </si>
  <si>
    <t>BMO_SAFE_ROOM</t>
  </si>
  <si>
    <t>BMO_ARCHIVE_ROOM</t>
  </si>
  <si>
    <t>VISITORS_CENTER</t>
  </si>
  <si>
    <t>entity:HQ_9.102_BMO_STORAGE_TEA_GIRLS_ROOM</t>
  </si>
  <si>
    <t>BMO_STORAGE_TEA_GIRLS_ROOM</t>
  </si>
  <si>
    <t>entity:HQ_9.103_BMO_PANTRY</t>
  </si>
  <si>
    <t>BMO_PANTRY</t>
  </si>
  <si>
    <t>BMO_WAITING_AREA</t>
  </si>
  <si>
    <t>entity:HQ_9.106_STORAGE</t>
  </si>
  <si>
    <t>entity:HQ_9.107_JANITORS_CLOSET</t>
  </si>
  <si>
    <t>SUPPORT_SPACE_PREPKITCHEN</t>
  </si>
  <si>
    <t>AHU_ROOM</t>
  </si>
  <si>
    <t>SHEIKA_WING_DINING_AREA</t>
  </si>
  <si>
    <t>entity:HQ_9.112_STORAGE</t>
  </si>
  <si>
    <t>entity:HQ_9.114_SUPPORT_SPACE_WASTE_REFUGE</t>
  </si>
  <si>
    <t>SUPPORT_SPACE_WASTE_REFUGE</t>
  </si>
  <si>
    <t>entity:HQ_9.115_ELECTRICAL_CABINET</t>
  </si>
  <si>
    <t>entity:HQ_9.401_MALE_TOILET</t>
  </si>
  <si>
    <t>entity:HQ_9.402_FEMALE_TOILET</t>
  </si>
  <si>
    <t>entity:HQ_9.404_FEMALE_TOILET</t>
  </si>
  <si>
    <t>entity:HQ_9.405_TOILET</t>
  </si>
  <si>
    <t>entity:HQ_9.406_TOILET</t>
  </si>
  <si>
    <t>entity:HQ_9.407_TOILET</t>
  </si>
  <si>
    <t>entity:HQ_9.408_TOILET</t>
  </si>
  <si>
    <t>entity:HQ_9.409_TOILET</t>
  </si>
  <si>
    <t>entity:HQ_9.521_VESTIBULE</t>
  </si>
  <si>
    <t>entity:HQ_9.532_ELECTRICAL_CLOSET</t>
  </si>
  <si>
    <t>entity:HQ_9.533_ELECTRICAL_CLOSET_2</t>
  </si>
  <si>
    <t>entity:HQ_9.541_VESTIBULE</t>
  </si>
  <si>
    <t>ST-01</t>
  </si>
  <si>
    <t>ST-04</t>
  </si>
  <si>
    <t>entity:HQ_9.542_SUPPLY_AND_RETURN_AIR</t>
  </si>
  <si>
    <t>SUPPLY_AND_RETURN_AIR</t>
  </si>
  <si>
    <t>entity:HQ_9.543_RETURN-AIR</t>
  </si>
  <si>
    <t>RETURN-AIR</t>
  </si>
  <si>
    <t>entity:HQ_9.544_SUPPLY-AIR</t>
  </si>
  <si>
    <t>SUPPLY-AIR</t>
  </si>
  <si>
    <t>SHEIKHA_WING_STORAGE</t>
  </si>
  <si>
    <t>BOARD_ROOM_WAITING_AREA</t>
  </si>
  <si>
    <t>EXECDIRARCHCOORD</t>
  </si>
  <si>
    <t>SHEIKHA_WING_ARCHIVE</t>
  </si>
  <si>
    <t>EXECDIR_PROTASSIST</t>
  </si>
  <si>
    <t>PROTOCOL_DIR_SCHED_OFFICER</t>
  </si>
  <si>
    <t>PROTOCOL_DIR_CEREMOFF</t>
  </si>
  <si>
    <t>PROTOCOL_DIR_TR_&amp;_VIS_OFF</t>
  </si>
  <si>
    <t>PROTOCOL_DIRSCHED_OFFICER</t>
  </si>
  <si>
    <t>PLANNING_DIRPLANNING_ANALYST</t>
  </si>
  <si>
    <t>PLANNING_DIRSTRATPLANNER</t>
  </si>
  <si>
    <t>PLANNING_DIR_EXTCOORD</t>
  </si>
  <si>
    <t>POLICY_DIRSENPOLANALYST</t>
  </si>
  <si>
    <t>POLICY_DIR_SENRESEARCH_ANALYST</t>
  </si>
  <si>
    <t>POLICY_DIRRESANALYST</t>
  </si>
  <si>
    <t>SHSERVDIR_HR_OFFICER</t>
  </si>
  <si>
    <t>SHSERVDIRHR_ASSISTANT</t>
  </si>
  <si>
    <t>SHSERVDIRPROCURREPRESENT</t>
  </si>
  <si>
    <t>SHSERVDIRSERVICE_COORD</t>
  </si>
  <si>
    <t>SHSERVDIRGENSERVSUPERV</t>
  </si>
  <si>
    <t>SHSERVDIRFINANCCONTROL</t>
  </si>
  <si>
    <t>SHSERVDIRTR&amp;_GUSERV</t>
  </si>
  <si>
    <t>entity:HQ_10.03_PANTRY</t>
  </si>
  <si>
    <t>COMMUNICDIRCOMMDESIGNER</t>
  </si>
  <si>
    <t>COMMUNICDIRSPEECH_EDITOR</t>
  </si>
  <si>
    <t>COMMUNICDIR_TRANSLATOR</t>
  </si>
  <si>
    <t>COMMUNICDIRPUBCOMMCOORD</t>
  </si>
  <si>
    <t>SHSERVDIR_IT_SUPPORT_OFFICER</t>
  </si>
  <si>
    <t>SHSERVDIR_ACCOUNT</t>
  </si>
  <si>
    <t>SHSERVDIRSENACCOUNTANT</t>
  </si>
  <si>
    <t>SHEIKHA_WING_MULTIPURPOSE_ROOM</t>
  </si>
  <si>
    <t>entity:HQ_10.103_HH_WING_PANTRY</t>
  </si>
  <si>
    <t>HH_WING_PANTRY</t>
  </si>
  <si>
    <t>entity:HQ_10.104_HH_WING_STORAGE</t>
  </si>
  <si>
    <t>HH_WING_STORAGE</t>
  </si>
  <si>
    <t>entity:HQ_10.105_HH_WING_STORAGE</t>
  </si>
  <si>
    <t>entity:HQ_10.107_STORAGE</t>
  </si>
  <si>
    <t>entity:HQ_10.108_JANITORS_CLOSET</t>
  </si>
  <si>
    <t>BOARD_PREPROOM</t>
  </si>
  <si>
    <t>entity:HQ_10.11_SHEIKHA_WING_BOARD_ROOM</t>
  </si>
  <si>
    <t>SHEIKHA_WING_BOARD_ROOM</t>
  </si>
  <si>
    <t>AV_ROOM</t>
  </si>
  <si>
    <t>TRANSLATOR_ROOM</t>
  </si>
  <si>
    <t>entity:HQ_10.401_FEMALE_TOILET</t>
  </si>
  <si>
    <t>entity:HQ_10.402_MALE_TOILET</t>
  </si>
  <si>
    <t>entity:HQ_10.403_MALE_TOILET</t>
  </si>
  <si>
    <t>entity:HQ_10.404_FEMALE_TOILET</t>
  </si>
  <si>
    <t>entity:HQ_10.405_MALE_TOILET</t>
  </si>
  <si>
    <t>entity:HQ_10.406_FEMALE_TOILET</t>
  </si>
  <si>
    <t>entity:HQ_10.511_VESTIBULE</t>
  </si>
  <si>
    <t>entity:HQ_10.521_VESTIBULE</t>
  </si>
  <si>
    <t>entity:HQ_10.532_ELECTRICAL_CLOSET_1</t>
  </si>
  <si>
    <t>entity:HQ_10.533_ELECTRICAL_CLOSET_2</t>
  </si>
  <si>
    <t>entity:HQ_10.541_VESTIBULE</t>
  </si>
  <si>
    <t>HH-WING_CORRIDOR</t>
  </si>
  <si>
    <t>entity:HQ_10.701_TERRACE</t>
  </si>
  <si>
    <t>entity:HQ_10.P-1_P-1</t>
  </si>
  <si>
    <t>10.P-1</t>
  </si>
  <si>
    <t>entity:HQ_10.P-2_P-2</t>
  </si>
  <si>
    <t>10.P-2</t>
  </si>
  <si>
    <t>entity:HQ_10.P-3_P-3</t>
  </si>
  <si>
    <t>10.P-3</t>
  </si>
  <si>
    <t>entity:HQ_10.P-4_P-4</t>
  </si>
  <si>
    <t>10.P-4</t>
  </si>
  <si>
    <t>entity:HQ_10.P-5_P-5</t>
  </si>
  <si>
    <t>10.P-5</t>
  </si>
  <si>
    <t>entity:HQ_10.P-6_P-6</t>
  </si>
  <si>
    <t>10.P-6</t>
  </si>
  <si>
    <t>entity:HQ_10.S-1_S-1</t>
  </si>
  <si>
    <t>10.S-1</t>
  </si>
  <si>
    <t>entity:HQ_10.ST-1_ST-1</t>
  </si>
  <si>
    <t>10.ST-1</t>
  </si>
  <si>
    <t>entity:HQ_10.ST-2_ST-2</t>
  </si>
  <si>
    <t>10.ST-2</t>
  </si>
  <si>
    <t>entity:HQ_10.ST-3_ST-3</t>
  </si>
  <si>
    <t>10.ST-3</t>
  </si>
  <si>
    <t>entity:HQ_10.ST-4_ST-4</t>
  </si>
  <si>
    <t>10.ST-4</t>
  </si>
  <si>
    <t>COMMUNICDIR_COMMUNICATION_DIRECTOR</t>
  </si>
  <si>
    <t>COMMUNICDIRMEDRELOFFICER</t>
  </si>
  <si>
    <t>SHSERVDIR_DIRSHARED_SERVICES</t>
  </si>
  <si>
    <t>EXECDIRECTOR_ADMASSIST</t>
  </si>
  <si>
    <t>PROTOCOL_DIRPROTOCOL_DIRECTOR</t>
  </si>
  <si>
    <t>PROTOCOL_DIRGIFTS_DIRECTOR</t>
  </si>
  <si>
    <t>EXECDIRCONSULTANT</t>
  </si>
  <si>
    <t>SECRETARY</t>
  </si>
  <si>
    <t>POLICY_DIRDIROF_POL&amp;_RES</t>
  </si>
  <si>
    <t>PLANNING_DIRDIRPLANNING</t>
  </si>
  <si>
    <t>EXECDIRCORRF-UP</t>
  </si>
  <si>
    <t>EXECDIRCORRMANAGER</t>
  </si>
  <si>
    <t>EXECDIRLEGAL_ASSIST</t>
  </si>
  <si>
    <t>EXECDIRLEGAL_ADVISOR</t>
  </si>
  <si>
    <t>EXECDIREXECASSIST</t>
  </si>
  <si>
    <t>EXECDIR_DEPEXECDIRECTOR</t>
  </si>
  <si>
    <t>EXECDIREXECDIRECTOR</t>
  </si>
  <si>
    <t>SHEIKHA_WING_WAITING_ROOM</t>
  </si>
  <si>
    <t>SHEIKHA_WING_SECURITY_ROOM</t>
  </si>
  <si>
    <t>entity:HQ_11.101_AV_ROOM</t>
  </si>
  <si>
    <t>HH_WING_BUSINESS_LOUNGE</t>
  </si>
  <si>
    <t>entity:HQ_11.104_PANTRY</t>
  </si>
  <si>
    <t>entity:HQ_11.105_JANITORS_CLOSET</t>
  </si>
  <si>
    <t>ELECTRICAL_ROOM</t>
  </si>
  <si>
    <t>AV_IT</t>
  </si>
  <si>
    <t>SHEIKHA_WING_LOBBY</t>
  </si>
  <si>
    <t>SHEIKHA_WING_SHEIKHA_ENSUIT</t>
  </si>
  <si>
    <t>SHEIKHA_WING_RELAX_AREA</t>
  </si>
  <si>
    <t>SHEIKHA_WING_MEETING_ROOM</t>
  </si>
  <si>
    <t>entity:HQ_11.401_MALE_TOILET</t>
  </si>
  <si>
    <t>entity:HQ_11.402_FEMALE_TOILET</t>
  </si>
  <si>
    <t>entity:HQ_11.403_SHEIKHA_WING_BATHROOM</t>
  </si>
  <si>
    <t>SHEIKHA_WING_BATHROOM</t>
  </si>
  <si>
    <t>entity:HQ_11.404_TOILET</t>
  </si>
  <si>
    <t>entity:HQ_11.405_TOILET</t>
  </si>
  <si>
    <t>entity:HQ_11.406_TOILET</t>
  </si>
  <si>
    <t>entity:HQ_11.407_TOILET</t>
  </si>
  <si>
    <t>entity:HQ_11.408_TOILET</t>
  </si>
  <si>
    <t>entity:HQ_11.409_TOILET</t>
  </si>
  <si>
    <t>entity:HQ_11.41_TOILET</t>
  </si>
  <si>
    <t>entity:HQ_11.411_TOILET</t>
  </si>
  <si>
    <t>entity:HQ_11.412_TOILET</t>
  </si>
  <si>
    <t>entity:HQ_11.511_VESTIBULE</t>
  </si>
  <si>
    <t>entity:HQ_11.521_VESTIBULE</t>
  </si>
  <si>
    <t>entity:HQ_11.532_ELECTRICAL_CLOSET</t>
  </si>
  <si>
    <t>entity:HQ_11.533_ELECTRICAL_CLOSET_2</t>
  </si>
  <si>
    <t>entity:HQ_11.541_VESTIBULE</t>
  </si>
  <si>
    <t>entity:HQ_11.701_SHEIKHA_WING_TERRACE</t>
  </si>
  <si>
    <t>SHEIKHA_WING_TERRACE</t>
  </si>
  <si>
    <t>entity:HQ_11.702_TERRACE</t>
  </si>
  <si>
    <t>entity:HQ_11.709_SHEIKHA_WING_CONFERENCE_ROOM</t>
  </si>
  <si>
    <t>SHEIKHA_WING_CONFERENCE_ROOM</t>
  </si>
  <si>
    <t>entity:HQ_11.P-1_P-1</t>
  </si>
  <si>
    <t>11.P-1</t>
  </si>
  <si>
    <t>entity:HQ_11.P-2_P-2</t>
  </si>
  <si>
    <t>11.P-2</t>
  </si>
  <si>
    <t>entity:HQ_11.P-3_P-3</t>
  </si>
  <si>
    <t>11.P-3</t>
  </si>
  <si>
    <t>entity:HQ_11.P-4_P-4</t>
  </si>
  <si>
    <t>11.P-4</t>
  </si>
  <si>
    <t>entity:HQ_11.P-5_P-5</t>
  </si>
  <si>
    <t>11.P-5</t>
  </si>
  <si>
    <t>entity:HQ_11.P-6_P-6</t>
  </si>
  <si>
    <t>11.P-6</t>
  </si>
  <si>
    <t>entity:HQ_11.ST-2_ST-2</t>
  </si>
  <si>
    <t>11.ST-2</t>
  </si>
  <si>
    <t>entity:HQ_11.ST-3_ST-3</t>
  </si>
  <si>
    <t>11.ST-3</t>
  </si>
  <si>
    <t>entity:HQ_11.ST-4_ST-4</t>
  </si>
  <si>
    <t>11.ST-4</t>
  </si>
  <si>
    <t>ROOF</t>
  </si>
  <si>
    <t>MCC_CLOSET</t>
  </si>
  <si>
    <t>STAFF_ENTRANCE</t>
  </si>
  <si>
    <t>G.001</t>
  </si>
  <si>
    <t>G.030</t>
  </si>
  <si>
    <t>STAFF</t>
  </si>
  <si>
    <t>G.602</t>
  </si>
  <si>
    <t>CORRIDOR_(SOUTH_EAST)</t>
  </si>
  <si>
    <t>G.603</t>
  </si>
  <si>
    <t>GROUND_FLOOR_VIP_ENTRANCE</t>
  </si>
  <si>
    <t>2.110A</t>
  </si>
  <si>
    <t>OFFICE_SPACE</t>
  </si>
  <si>
    <t>2.101A</t>
  </si>
  <si>
    <t>3.105B</t>
  </si>
  <si>
    <t>3.105A</t>
  </si>
  <si>
    <t>FEMALE_PRAYER_ROOM</t>
  </si>
  <si>
    <t>3.202A</t>
  </si>
  <si>
    <t>3.202B</t>
  </si>
  <si>
    <t>STR_PL_DIR_ENSUIT</t>
  </si>
  <si>
    <t>STR_PL_DIR_EXEC_SECRE</t>
  </si>
  <si>
    <t>7.031A</t>
  </si>
  <si>
    <t>10.002E</t>
  </si>
  <si>
    <t>10.002D</t>
  </si>
  <si>
    <t>10.002C</t>
  </si>
  <si>
    <t>10.002A</t>
  </si>
  <si>
    <t>SHEIKHA_WING_BUSINESS_LOUNGE</t>
  </si>
  <si>
    <t>B1.109</t>
  </si>
  <si>
    <t>ROOM</t>
  </si>
  <si>
    <t>10.002B</t>
  </si>
  <si>
    <t>SHEIKHA_WING_CORRIDOR</t>
  </si>
  <si>
    <t>COMMUNIC_DIR_COMMUNICATION_DIRECTOR</t>
  </si>
  <si>
    <t>ROOF_PLANT_WALKWAY</t>
  </si>
  <si>
    <t>Equipment Match Audit</t>
  </si>
  <si>
    <t>Rooms listed (col A)</t>
  </si>
  <si>
    <t>Equipment names returned</t>
  </si>
  <si>
    <t>Rooms with no equipment</t>
  </si>
  <si>
    <t>Equipment in source register</t>
  </si>
  <si>
    <t>Asked me to read and explain the column D formula on 'HQ Room Names with Equip.' and confirm whether 771 equipment names are returned (cells not equal to 'No Equipment in entity').</t>
  </si>
  <si>
    <t>Explained the spilling FILTER/TRANSPOSE formula, then counted equipment names across the full spill region D2:L1042 and reconciled against the source register A4:A777. Added a live audit block at N1:O6.</t>
  </si>
  <si>
    <t>Key point: the formula TRANSPOSE(FILTER('Controllable Asset Registry'!A4:A777, E4:E777=A2, "No Equipment in entity")) spills HORIZONTALLY, so a room with multiple assets fills D, E, F ... up to column L. Counting column D alone undercounts. Audit formulas used: O3 =COUNTA(D2:L1042)-COUNTIF(D2:L1042,"No Equipment in entity"); O4 =COUNTIF(...); O5 =COUNTA(source); O6 =O5-O3. Also checked for duplicate returns (0) and error cells (0).</t>
  </si>
  <si>
    <t>Count is 772, not 771. 1041 rooms, 434 with no equipment, 774 equipment rows in source, 2 unplaced: FCU0097 (row 126, col D says NOT FOUND ON THE DRAWING OR SCHEDULE) and VAV0558 (row 718) - both have a blank column E room entity so they can never match. Open item: user to decide whether to assign room entities to those 2 assets.</t>
  </si>
  <si>
    <t>Acknowledged the equipment count findings - no further work requested.</t>
  </si>
  <si>
    <t>No changes made to the workbook.</t>
  </si>
  <si>
    <t>Confirmed count stands at 772 equipment names returned (not 771), with 2 unplaced assets due to blank room entities.</t>
  </si>
  <si>
    <t>Closed. Open item carried forward from turn 47: FCU0097 (row 126) and VAV0558 (row 718) still have no room entity in Controllable Asset Registry column E and remain unmatched.</t>
  </si>
  <si>
    <t>1.001</t>
  </si>
  <si>
    <t>1.002</t>
  </si>
  <si>
    <t>1.003</t>
  </si>
  <si>
    <t>1.004</t>
  </si>
  <si>
    <t>1.005</t>
  </si>
  <si>
    <t>1.006</t>
  </si>
  <si>
    <t>1.007</t>
  </si>
  <si>
    <t>1.009</t>
  </si>
  <si>
    <t>1.011</t>
  </si>
  <si>
    <t>1.012</t>
  </si>
  <si>
    <t>1.013</t>
  </si>
  <si>
    <t>1.014</t>
  </si>
  <si>
    <t>1.015</t>
  </si>
  <si>
    <t>1.016</t>
  </si>
  <si>
    <t>1.017</t>
  </si>
  <si>
    <t>1.018</t>
  </si>
  <si>
    <t>1.019</t>
  </si>
  <si>
    <t>1.02</t>
  </si>
  <si>
    <t>1.021</t>
  </si>
  <si>
    <t>1.022</t>
  </si>
  <si>
    <t>1.023</t>
  </si>
  <si>
    <t>1.024</t>
  </si>
  <si>
    <t>1.025</t>
  </si>
  <si>
    <t>1.026</t>
  </si>
  <si>
    <t>1.027</t>
  </si>
  <si>
    <t>1.028</t>
  </si>
  <si>
    <t>1.101</t>
  </si>
  <si>
    <t>1.102</t>
  </si>
  <si>
    <t>1.103</t>
  </si>
  <si>
    <t>1.104</t>
  </si>
  <si>
    <t>1.105</t>
  </si>
  <si>
    <t>1.106</t>
  </si>
  <si>
    <t>1.108</t>
  </si>
  <si>
    <t>1.109</t>
  </si>
  <si>
    <t>1.11</t>
  </si>
  <si>
    <t>1.111</t>
  </si>
  <si>
    <t>1.112</t>
  </si>
  <si>
    <t>1.113</t>
  </si>
  <si>
    <t>1.114</t>
  </si>
  <si>
    <t>1.115</t>
  </si>
  <si>
    <t>1.116</t>
  </si>
  <si>
    <t>1.117</t>
  </si>
  <si>
    <t>1.403</t>
  </si>
  <si>
    <t>1.404</t>
  </si>
  <si>
    <t>1.405</t>
  </si>
  <si>
    <t>1.512</t>
  </si>
  <si>
    <t>1.521</t>
  </si>
  <si>
    <t>1.531</t>
  </si>
  <si>
    <t>1.532</t>
  </si>
  <si>
    <t>1.533</t>
  </si>
  <si>
    <t>1.541</t>
  </si>
  <si>
    <t>1.601</t>
  </si>
  <si>
    <t>1.602</t>
  </si>
  <si>
    <t>1.603</t>
  </si>
  <si>
    <t>1.701</t>
  </si>
  <si>
    <t>1.702</t>
  </si>
  <si>
    <t>1.703</t>
  </si>
  <si>
    <t>1.704</t>
  </si>
  <si>
    <t>1.705</t>
  </si>
  <si>
    <t>1.706</t>
  </si>
  <si>
    <t>2.001</t>
  </si>
  <si>
    <t>2.002</t>
  </si>
  <si>
    <t>2.003</t>
  </si>
  <si>
    <t>2.004</t>
  </si>
  <si>
    <t>2.005</t>
  </si>
  <si>
    <t>2.006</t>
  </si>
  <si>
    <t>2.007</t>
  </si>
  <si>
    <t>2.008</t>
  </si>
  <si>
    <t>2.009</t>
  </si>
  <si>
    <t>2.01</t>
  </si>
  <si>
    <t>2.011</t>
  </si>
  <si>
    <t>2.012</t>
  </si>
  <si>
    <t>2.013</t>
  </si>
  <si>
    <t>2.014</t>
  </si>
  <si>
    <t>2.015</t>
  </si>
  <si>
    <t>2.016</t>
  </si>
  <si>
    <t>2.017</t>
  </si>
  <si>
    <t>2.018</t>
  </si>
  <si>
    <t>2.019</t>
  </si>
  <si>
    <t>2.02</t>
  </si>
  <si>
    <t>2.021</t>
  </si>
  <si>
    <t>2.022</t>
  </si>
  <si>
    <t>2.023</t>
  </si>
  <si>
    <t>2.024</t>
  </si>
  <si>
    <t>2.025</t>
  </si>
  <si>
    <t>2.026</t>
  </si>
  <si>
    <t>2.027</t>
  </si>
  <si>
    <t>2.028</t>
  </si>
  <si>
    <t>2.029</t>
  </si>
  <si>
    <t>2.03</t>
  </si>
  <si>
    <t>2.031</t>
  </si>
  <si>
    <t>2.032</t>
  </si>
  <si>
    <t>2.033</t>
  </si>
  <si>
    <t>2.034</t>
  </si>
  <si>
    <t>2.035</t>
  </si>
  <si>
    <t>2.036</t>
  </si>
  <si>
    <t>2.102</t>
  </si>
  <si>
    <t>2.103</t>
  </si>
  <si>
    <t>2.104</t>
  </si>
  <si>
    <t>2.105</t>
  </si>
  <si>
    <t>2.106</t>
  </si>
  <si>
    <t>2.107</t>
  </si>
  <si>
    <t>2.108</t>
  </si>
  <si>
    <t>2.109</t>
  </si>
  <si>
    <t>2.11</t>
  </si>
  <si>
    <t>2.111</t>
  </si>
  <si>
    <t>2.201</t>
  </si>
  <si>
    <t>2.202</t>
  </si>
  <si>
    <t>2.203</t>
  </si>
  <si>
    <t>2.204</t>
  </si>
  <si>
    <t>2.205</t>
  </si>
  <si>
    <t>2.206</t>
  </si>
  <si>
    <t>2.207</t>
  </si>
  <si>
    <t>2.208</t>
  </si>
  <si>
    <t>2.209</t>
  </si>
  <si>
    <t>2.21</t>
  </si>
  <si>
    <t>2.211</t>
  </si>
  <si>
    <t>2.212</t>
  </si>
  <si>
    <t>2.213</t>
  </si>
  <si>
    <t>2.214</t>
  </si>
  <si>
    <t>2.215</t>
  </si>
  <si>
    <t>2.216</t>
  </si>
  <si>
    <t>2.217</t>
  </si>
  <si>
    <t>2.218</t>
  </si>
  <si>
    <t>2.219</t>
  </si>
  <si>
    <t>2.22</t>
  </si>
  <si>
    <t>2.301</t>
  </si>
  <si>
    <t>2.302</t>
  </si>
  <si>
    <t>2.303</t>
  </si>
  <si>
    <t>2.304</t>
  </si>
  <si>
    <t>2.305</t>
  </si>
  <si>
    <t>2.306</t>
  </si>
  <si>
    <t>2.307</t>
  </si>
  <si>
    <t>2.308</t>
  </si>
  <si>
    <t>2.309</t>
  </si>
  <si>
    <t>2.31</t>
  </si>
  <si>
    <t>2.311</t>
  </si>
  <si>
    <t>2.312</t>
  </si>
  <si>
    <t>2.313</t>
  </si>
  <si>
    <t>2.314</t>
  </si>
  <si>
    <t>2.315</t>
  </si>
  <si>
    <t>2.316</t>
  </si>
  <si>
    <t>2.317</t>
  </si>
  <si>
    <t>2.318</t>
  </si>
  <si>
    <t>2.401</t>
  </si>
  <si>
    <t>2.402</t>
  </si>
  <si>
    <t>2.403</t>
  </si>
  <si>
    <t>2.404</t>
  </si>
  <si>
    <t>2.405</t>
  </si>
  <si>
    <t>2.406</t>
  </si>
  <si>
    <t>2.407</t>
  </si>
  <si>
    <t>2.512</t>
  </si>
  <si>
    <t>2.521</t>
  </si>
  <si>
    <t>2.531</t>
  </si>
  <si>
    <t>2.532</t>
  </si>
  <si>
    <t>2.533</t>
  </si>
  <si>
    <t>2.541</t>
  </si>
  <si>
    <t>2.601</t>
  </si>
  <si>
    <t>2.602</t>
  </si>
  <si>
    <t>2.603</t>
  </si>
  <si>
    <t>2.604</t>
  </si>
  <si>
    <t>3.001</t>
  </si>
  <si>
    <t>3.002</t>
  </si>
  <si>
    <t>3.003</t>
  </si>
  <si>
    <t>3.004</t>
  </si>
  <si>
    <t>3.005</t>
  </si>
  <si>
    <t>3.006</t>
  </si>
  <si>
    <t>3.007</t>
  </si>
  <si>
    <t>3.008</t>
  </si>
  <si>
    <t>3.009</t>
  </si>
  <si>
    <t>3.01</t>
  </si>
  <si>
    <t>3.011</t>
  </si>
  <si>
    <t>3.012</t>
  </si>
  <si>
    <t>3.013</t>
  </si>
  <si>
    <t>3.014</t>
  </si>
  <si>
    <t>3.015</t>
  </si>
  <si>
    <t>3.016</t>
  </si>
  <si>
    <t>3.017</t>
  </si>
  <si>
    <t>3.018</t>
  </si>
  <si>
    <t>3.019</t>
  </si>
  <si>
    <t>3.02</t>
  </si>
  <si>
    <t>3.021</t>
  </si>
  <si>
    <t>3.022</t>
  </si>
  <si>
    <t>3.023</t>
  </si>
  <si>
    <t>3.024</t>
  </si>
  <si>
    <t>3.025</t>
  </si>
  <si>
    <t>3.026</t>
  </si>
  <si>
    <t>3.027</t>
  </si>
  <si>
    <t>3.028</t>
  </si>
  <si>
    <t>3.029</t>
  </si>
  <si>
    <t>3.03</t>
  </si>
  <si>
    <t>3.031</t>
  </si>
  <si>
    <t>3.032</t>
  </si>
  <si>
    <t>3.033</t>
  </si>
  <si>
    <t>3.101</t>
  </si>
  <si>
    <t>3.102</t>
  </si>
  <si>
    <t>3.103</t>
  </si>
  <si>
    <t>3.104</t>
  </si>
  <si>
    <t>3.106</t>
  </si>
  <si>
    <t>3.107</t>
  </si>
  <si>
    <t>3.108</t>
  </si>
  <si>
    <t>3.109</t>
  </si>
  <si>
    <t>3.201</t>
  </si>
  <si>
    <t>3.203</t>
  </si>
  <si>
    <t>3.204</t>
  </si>
  <si>
    <t>3.205</t>
  </si>
  <si>
    <t>3.206</t>
  </si>
  <si>
    <t>3.207</t>
  </si>
  <si>
    <t>3.208</t>
  </si>
  <si>
    <t>3.209</t>
  </si>
  <si>
    <t>3.21</t>
  </si>
  <si>
    <t>3.211</t>
  </si>
  <si>
    <t>3.212</t>
  </si>
  <si>
    <t>3.213</t>
  </si>
  <si>
    <t>3.214</t>
  </si>
  <si>
    <t>3.215</t>
  </si>
  <si>
    <t>3.216</t>
  </si>
  <si>
    <t>3.301</t>
  </si>
  <si>
    <t>3.302</t>
  </si>
  <si>
    <t>3.401</t>
  </si>
  <si>
    <t>3.402</t>
  </si>
  <si>
    <t>3.403</t>
  </si>
  <si>
    <t>3.404</t>
  </si>
  <si>
    <t>3.405</t>
  </si>
  <si>
    <t>3.406</t>
  </si>
  <si>
    <t>3.407</t>
  </si>
  <si>
    <t>3.408</t>
  </si>
  <si>
    <t>3.409</t>
  </si>
  <si>
    <t>3.511</t>
  </si>
  <si>
    <t>3.512</t>
  </si>
  <si>
    <t>3.521</t>
  </si>
  <si>
    <t>3.531</t>
  </si>
  <si>
    <t>3.532</t>
  </si>
  <si>
    <t>3.533</t>
  </si>
  <si>
    <t>3.541</t>
  </si>
  <si>
    <t>3.601</t>
  </si>
  <si>
    <t>3.602</t>
  </si>
  <si>
    <t>3.603</t>
  </si>
  <si>
    <t>4.002</t>
  </si>
  <si>
    <t>4.005</t>
  </si>
  <si>
    <t>4.006</t>
  </si>
  <si>
    <t>4.007</t>
  </si>
  <si>
    <t>4.008</t>
  </si>
  <si>
    <t>4.009</t>
  </si>
  <si>
    <t>4.01</t>
  </si>
  <si>
    <t>4.011</t>
  </si>
  <si>
    <t>4.012</t>
  </si>
  <si>
    <t>4.013</t>
  </si>
  <si>
    <t>4.014</t>
  </si>
  <si>
    <t>4.101</t>
  </si>
  <si>
    <t>4.102</t>
  </si>
  <si>
    <t>4.104</t>
  </si>
  <si>
    <t>4.107</t>
  </si>
  <si>
    <t>4.108</t>
  </si>
  <si>
    <t>4.109</t>
  </si>
  <si>
    <t>4.201</t>
  </si>
  <si>
    <t>4.202</t>
  </si>
  <si>
    <t>4.203</t>
  </si>
  <si>
    <t>4.204</t>
  </si>
  <si>
    <t>4.205</t>
  </si>
  <si>
    <t>4.206</t>
  </si>
  <si>
    <t>4.207</t>
  </si>
  <si>
    <t>4.208</t>
  </si>
  <si>
    <t>4.209</t>
  </si>
  <si>
    <t>4.21</t>
  </si>
  <si>
    <t>4.211</t>
  </si>
  <si>
    <t>4.212</t>
  </si>
  <si>
    <t>4.213</t>
  </si>
  <si>
    <t>4.214</t>
  </si>
  <si>
    <t>4.301</t>
  </si>
  <si>
    <t>4.401</t>
  </si>
  <si>
    <t>4.402</t>
  </si>
  <si>
    <t>4.403</t>
  </si>
  <si>
    <t>4.404</t>
  </si>
  <si>
    <t>4.405</t>
  </si>
  <si>
    <t>4.406</t>
  </si>
  <si>
    <t>4.511</t>
  </si>
  <si>
    <t>4.512</t>
  </si>
  <si>
    <t>4.514</t>
  </si>
  <si>
    <t>4.521</t>
  </si>
  <si>
    <t>4.531</t>
  </si>
  <si>
    <t>4.532</t>
  </si>
  <si>
    <t>4.533</t>
  </si>
  <si>
    <t>4.601</t>
  </si>
  <si>
    <t>4.602</t>
  </si>
  <si>
    <t>4.603</t>
  </si>
  <si>
    <t>4.604</t>
  </si>
  <si>
    <t>4.701</t>
  </si>
  <si>
    <t>4.702</t>
  </si>
  <si>
    <t>4.703</t>
  </si>
  <si>
    <t>5.001</t>
  </si>
  <si>
    <t>5.002</t>
  </si>
  <si>
    <t>5.003</t>
  </si>
  <si>
    <t>5.004</t>
  </si>
  <si>
    <t>5.005</t>
  </si>
  <si>
    <t>5.006</t>
  </si>
  <si>
    <t>5.007</t>
  </si>
  <si>
    <t>5.008</t>
  </si>
  <si>
    <t>5.011</t>
  </si>
  <si>
    <t>5.012</t>
  </si>
  <si>
    <t>5.013</t>
  </si>
  <si>
    <t>5.014</t>
  </si>
  <si>
    <t>5.015</t>
  </si>
  <si>
    <t>5.016</t>
  </si>
  <si>
    <t>5.017</t>
  </si>
  <si>
    <t>5.018</t>
  </si>
  <si>
    <t>5.019</t>
  </si>
  <si>
    <t>5.021</t>
  </si>
  <si>
    <t>5.022</t>
  </si>
  <si>
    <t>5.023</t>
  </si>
  <si>
    <t>5.024</t>
  </si>
  <si>
    <t>5.025</t>
  </si>
  <si>
    <t>5.026</t>
  </si>
  <si>
    <t>5.027</t>
  </si>
  <si>
    <t>5.101</t>
  </si>
  <si>
    <t>5.102</t>
  </si>
  <si>
    <t>5.103</t>
  </si>
  <si>
    <t>5.104</t>
  </si>
  <si>
    <t>5.105</t>
  </si>
  <si>
    <t>5.106</t>
  </si>
  <si>
    <t>5.107</t>
  </si>
  <si>
    <t>5.108</t>
  </si>
  <si>
    <t>5.109</t>
  </si>
  <si>
    <t>5.201</t>
  </si>
  <si>
    <t>5.202</t>
  </si>
  <si>
    <t>5.203</t>
  </si>
  <si>
    <t>5.204</t>
  </si>
  <si>
    <t>5.205</t>
  </si>
  <si>
    <t>5.206</t>
  </si>
  <si>
    <t>5.207</t>
  </si>
  <si>
    <t>5.208</t>
  </si>
  <si>
    <t>5.209</t>
  </si>
  <si>
    <t>5.211</t>
  </si>
  <si>
    <t>5.212</t>
  </si>
  <si>
    <t>5.213</t>
  </si>
  <si>
    <t>5.301</t>
  </si>
  <si>
    <t>5.401</t>
  </si>
  <si>
    <t>5.402</t>
  </si>
  <si>
    <t>5.403</t>
  </si>
  <si>
    <t>5.404</t>
  </si>
  <si>
    <t>5.405</t>
  </si>
  <si>
    <t>5.406</t>
  </si>
  <si>
    <t>5.407</t>
  </si>
  <si>
    <t>5.408</t>
  </si>
  <si>
    <t>5.409</t>
  </si>
  <si>
    <t>5.511</t>
  </si>
  <si>
    <t>5.512</t>
  </si>
  <si>
    <t>5.521</t>
  </si>
  <si>
    <t>5.531</t>
  </si>
  <si>
    <t>5.532</t>
  </si>
  <si>
    <t>5.533</t>
  </si>
  <si>
    <t>5.541</t>
  </si>
  <si>
    <t>5.601</t>
  </si>
  <si>
    <t>5.602</t>
  </si>
  <si>
    <t>5.604</t>
  </si>
  <si>
    <t>5.701</t>
  </si>
  <si>
    <t>6.001</t>
  </si>
  <si>
    <t>6.002</t>
  </si>
  <si>
    <t>6.003</t>
  </si>
  <si>
    <t>6.004</t>
  </si>
  <si>
    <t>6.005</t>
  </si>
  <si>
    <t>6.006</t>
  </si>
  <si>
    <t>6.007</t>
  </si>
  <si>
    <t>6.008</t>
  </si>
  <si>
    <t>6.009</t>
  </si>
  <si>
    <t>6.01</t>
  </si>
  <si>
    <t>6.011</t>
  </si>
  <si>
    <t>6.012</t>
  </si>
  <si>
    <t>6.013</t>
  </si>
  <si>
    <t>6.014</t>
  </si>
  <si>
    <t>6.015</t>
  </si>
  <si>
    <t>6.016</t>
  </si>
  <si>
    <t>6.017</t>
  </si>
  <si>
    <t>6.018</t>
  </si>
  <si>
    <t>6.019</t>
  </si>
  <si>
    <t>6.02</t>
  </si>
  <si>
    <t>6.021</t>
  </si>
  <si>
    <t>6.022</t>
  </si>
  <si>
    <t>6.023</t>
  </si>
  <si>
    <t>6.024</t>
  </si>
  <si>
    <t>6.025</t>
  </si>
  <si>
    <t>6.026</t>
  </si>
  <si>
    <t>6.027</t>
  </si>
  <si>
    <t>6.028</t>
  </si>
  <si>
    <t>6.101</t>
  </si>
  <si>
    <t>6.102</t>
  </si>
  <si>
    <t>6.103</t>
  </si>
  <si>
    <t>6.104</t>
  </si>
  <si>
    <t>6.105</t>
  </si>
  <si>
    <t>6.106</t>
  </si>
  <si>
    <t>6.107</t>
  </si>
  <si>
    <t>6.108</t>
  </si>
  <si>
    <t>6.109</t>
  </si>
  <si>
    <t>6.11</t>
  </si>
  <si>
    <t>6.201</t>
  </si>
  <si>
    <t>6.202</t>
  </si>
  <si>
    <t>6.203</t>
  </si>
  <si>
    <t>6.204</t>
  </si>
  <si>
    <t>6.205</t>
  </si>
  <si>
    <t>6.206</t>
  </si>
  <si>
    <t>6.207</t>
  </si>
  <si>
    <t>6.208</t>
  </si>
  <si>
    <t>6.209</t>
  </si>
  <si>
    <t>6.21</t>
  </si>
  <si>
    <t>6.211</t>
  </si>
  <si>
    <t>6.212</t>
  </si>
  <si>
    <t>6.301</t>
  </si>
  <si>
    <t>6.401</t>
  </si>
  <si>
    <t>6.402</t>
  </si>
  <si>
    <t>6.403</t>
  </si>
  <si>
    <t>6.404</t>
  </si>
  <si>
    <t>6.405</t>
  </si>
  <si>
    <t>6.406</t>
  </si>
  <si>
    <t>6.407</t>
  </si>
  <si>
    <t>6.511</t>
  </si>
  <si>
    <t>6.512</t>
  </si>
  <si>
    <t>6.521</t>
  </si>
  <si>
    <t>6.531</t>
  </si>
  <si>
    <t>6.532</t>
  </si>
  <si>
    <t>6.533</t>
  </si>
  <si>
    <t>6.541</t>
  </si>
  <si>
    <t>6.601</t>
  </si>
  <si>
    <t>6.602</t>
  </si>
  <si>
    <t>6.603</t>
  </si>
  <si>
    <t>6.604</t>
  </si>
  <si>
    <t>7.001</t>
  </si>
  <si>
    <t>7.002</t>
  </si>
  <si>
    <t>7.003</t>
  </si>
  <si>
    <t>7.004</t>
  </si>
  <si>
    <t>7.005</t>
  </si>
  <si>
    <t>7.006</t>
  </si>
  <si>
    <t>7.007</t>
  </si>
  <si>
    <t>7.008</t>
  </si>
  <si>
    <t>7.009</t>
  </si>
  <si>
    <t>7.01</t>
  </si>
  <si>
    <t>7.011</t>
  </si>
  <si>
    <t>7.012</t>
  </si>
  <si>
    <t>7.013</t>
  </si>
  <si>
    <t>7.014</t>
  </si>
  <si>
    <t>7.015</t>
  </si>
  <si>
    <t>7.016</t>
  </si>
  <si>
    <t>7.017</t>
  </si>
  <si>
    <t>7.018</t>
  </si>
  <si>
    <t>7.019</t>
  </si>
  <si>
    <t>7.02</t>
  </si>
  <si>
    <t>7.021</t>
  </si>
  <si>
    <t>7.022</t>
  </si>
  <si>
    <t>7.023</t>
  </si>
  <si>
    <t>7.024</t>
  </si>
  <si>
    <t>7.025</t>
  </si>
  <si>
    <t>7.026</t>
  </si>
  <si>
    <t>7.027</t>
  </si>
  <si>
    <t>7.028</t>
  </si>
  <si>
    <t>7.029</t>
  </si>
  <si>
    <t>7.03</t>
  </si>
  <si>
    <t>7.032</t>
  </si>
  <si>
    <t>7.101</t>
  </si>
  <si>
    <t>7.102</t>
  </si>
  <si>
    <t>7.103</t>
  </si>
  <si>
    <t>7.104</t>
  </si>
  <si>
    <t>7.105</t>
  </si>
  <si>
    <t>7.106</t>
  </si>
  <si>
    <t>7.107</t>
  </si>
  <si>
    <t>7.108</t>
  </si>
  <si>
    <t>7.109</t>
  </si>
  <si>
    <t>7.11</t>
  </si>
  <si>
    <t>7.201</t>
  </si>
  <si>
    <t>7.202</t>
  </si>
  <si>
    <t>7.203</t>
  </si>
  <si>
    <t>7.204</t>
  </si>
  <si>
    <t>7.205</t>
  </si>
  <si>
    <t>7.206</t>
  </si>
  <si>
    <t>7.207</t>
  </si>
  <si>
    <t>7.208</t>
  </si>
  <si>
    <t>7.209</t>
  </si>
  <si>
    <t>7.21</t>
  </si>
  <si>
    <t>7.211</t>
  </si>
  <si>
    <t>7.212</t>
  </si>
  <si>
    <t>7.213</t>
  </si>
  <si>
    <t>7.214</t>
  </si>
  <si>
    <t>7.215</t>
  </si>
  <si>
    <t>7.401</t>
  </si>
  <si>
    <t>7.402</t>
  </si>
  <si>
    <t>7.403</t>
  </si>
  <si>
    <t>7.404</t>
  </si>
  <si>
    <t>7.405</t>
  </si>
  <si>
    <t>7.406</t>
  </si>
  <si>
    <t>7.407</t>
  </si>
  <si>
    <t>7.408</t>
  </si>
  <si>
    <t>7.409</t>
  </si>
  <si>
    <t>7.511</t>
  </si>
  <si>
    <t>7.512</t>
  </si>
  <si>
    <t>7.531</t>
  </si>
  <si>
    <t>7.532</t>
  </si>
  <si>
    <t>7.533</t>
  </si>
  <si>
    <t>7.541</t>
  </si>
  <si>
    <t>7.601</t>
  </si>
  <si>
    <t>7.602</t>
  </si>
  <si>
    <t>7.603</t>
  </si>
  <si>
    <t>8.001</t>
  </si>
  <si>
    <t>8.002</t>
  </si>
  <si>
    <t>8.101</t>
  </si>
  <si>
    <t>8.102</t>
  </si>
  <si>
    <t>8.103</t>
  </si>
  <si>
    <t>8.511</t>
  </si>
  <si>
    <t>8.512</t>
  </si>
  <si>
    <t>8.521</t>
  </si>
  <si>
    <t>8.531</t>
  </si>
  <si>
    <t>8.532</t>
  </si>
  <si>
    <t>8.541</t>
  </si>
  <si>
    <t>8.601</t>
  </si>
  <si>
    <t>8.602</t>
  </si>
  <si>
    <t>9.001</t>
  </si>
  <si>
    <t>9.002</t>
  </si>
  <si>
    <t>9.003</t>
  </si>
  <si>
    <t>9.004</t>
  </si>
  <si>
    <t>9.005</t>
  </si>
  <si>
    <t>9.006</t>
  </si>
  <si>
    <t>9.007</t>
  </si>
  <si>
    <t>9.008</t>
  </si>
  <si>
    <t>9.009</t>
  </si>
  <si>
    <t>9.01</t>
  </si>
  <si>
    <t>9.011</t>
  </si>
  <si>
    <t>9.012</t>
  </si>
  <si>
    <t>9.013</t>
  </si>
  <si>
    <t>9.014</t>
  </si>
  <si>
    <t>9.015</t>
  </si>
  <si>
    <t>9.016</t>
  </si>
  <si>
    <t>9.017</t>
  </si>
  <si>
    <t>9.018</t>
  </si>
  <si>
    <t>9.019</t>
  </si>
  <si>
    <t>9.02</t>
  </si>
  <si>
    <t>9.021</t>
  </si>
  <si>
    <t>9.022</t>
  </si>
  <si>
    <t>9.023</t>
  </si>
  <si>
    <t>9.024</t>
  </si>
  <si>
    <t>9.025</t>
  </si>
  <si>
    <t>9.026</t>
  </si>
  <si>
    <t>9.027</t>
  </si>
  <si>
    <t>9.028</t>
  </si>
  <si>
    <t>9.029</t>
  </si>
  <si>
    <t>9.03</t>
  </si>
  <si>
    <t>9.031</t>
  </si>
  <si>
    <t>9.032</t>
  </si>
  <si>
    <t>9.033</t>
  </si>
  <si>
    <t>9.034</t>
  </si>
  <si>
    <t>9.035</t>
  </si>
  <si>
    <t>9.036</t>
  </si>
  <si>
    <t>9.037</t>
  </si>
  <si>
    <t>9.038</t>
  </si>
  <si>
    <t>9.039</t>
  </si>
  <si>
    <t>9.04</t>
  </si>
  <si>
    <t>9.041</t>
  </si>
  <si>
    <t>9.101</t>
  </si>
  <si>
    <t>9.102</t>
  </si>
  <si>
    <t>9.103</t>
  </si>
  <si>
    <t>9.104</t>
  </si>
  <si>
    <t>9.105</t>
  </si>
  <si>
    <t>9.106</t>
  </si>
  <si>
    <t>9.107</t>
  </si>
  <si>
    <t>9.108</t>
  </si>
  <si>
    <t>9.109</t>
  </si>
  <si>
    <t>9.11</t>
  </si>
  <si>
    <t>9.111</t>
  </si>
  <si>
    <t>9.112</t>
  </si>
  <si>
    <t>9.114</t>
  </si>
  <si>
    <t>9.115</t>
  </si>
  <si>
    <t>9.401</t>
  </si>
  <si>
    <t>9.402</t>
  </si>
  <si>
    <t>9.403</t>
  </si>
  <si>
    <t>9.404</t>
  </si>
  <si>
    <t>9.405</t>
  </si>
  <si>
    <t>9.406</t>
  </si>
  <si>
    <t>9.407</t>
  </si>
  <si>
    <t>9.408</t>
  </si>
  <si>
    <t>9.409</t>
  </si>
  <si>
    <t>9.512</t>
  </si>
  <si>
    <t>9.521</t>
  </si>
  <si>
    <t>9.531</t>
  </si>
  <si>
    <t>9.532</t>
  </si>
  <si>
    <t>9.533</t>
  </si>
  <si>
    <t>9.541</t>
  </si>
  <si>
    <t>9.542</t>
  </si>
  <si>
    <t>9.543</t>
  </si>
  <si>
    <t>9.544</t>
  </si>
  <si>
    <t>10.001</t>
  </si>
  <si>
    <t>10.003</t>
  </si>
  <si>
    <t>10.004</t>
  </si>
  <si>
    <t>10.005</t>
  </si>
  <si>
    <t>10.006</t>
  </si>
  <si>
    <t>10.007</t>
  </si>
  <si>
    <t>10.008</t>
  </si>
  <si>
    <t>10.009</t>
  </si>
  <si>
    <t>10.01</t>
  </si>
  <si>
    <t>10.011</t>
  </si>
  <si>
    <t>10.012</t>
  </si>
  <si>
    <t>10.013</t>
  </si>
  <si>
    <t>10.014</t>
  </si>
  <si>
    <t>10.015</t>
  </si>
  <si>
    <t>10.016</t>
  </si>
  <si>
    <t>10.017</t>
  </si>
  <si>
    <t>10.018</t>
  </si>
  <si>
    <t>10.019</t>
  </si>
  <si>
    <t>10.02</t>
  </si>
  <si>
    <t>10.021</t>
  </si>
  <si>
    <t>10.022</t>
  </si>
  <si>
    <t>10.023</t>
  </si>
  <si>
    <t>10.024</t>
  </si>
  <si>
    <t>10.025</t>
  </si>
  <si>
    <t>10.026</t>
  </si>
  <si>
    <t>10.027</t>
  </si>
  <si>
    <t>10.028</t>
  </si>
  <si>
    <t>10.029</t>
  </si>
  <si>
    <t>10.03</t>
  </si>
  <si>
    <t>10.031</t>
  </si>
  <si>
    <t>10.032</t>
  </si>
  <si>
    <t>10.033</t>
  </si>
  <si>
    <t>10.034</t>
  </si>
  <si>
    <t>10.035</t>
  </si>
  <si>
    <t>10.036</t>
  </si>
  <si>
    <t>10.037</t>
  </si>
  <si>
    <t>10.038</t>
  </si>
  <si>
    <t>10.101</t>
  </si>
  <si>
    <t>10.102</t>
  </si>
  <si>
    <t>10.103</t>
  </si>
  <si>
    <t>10.104</t>
  </si>
  <si>
    <t>10.105</t>
  </si>
  <si>
    <t>10.106</t>
  </si>
  <si>
    <t>10.107</t>
  </si>
  <si>
    <t>10.108</t>
  </si>
  <si>
    <t>10.109</t>
  </si>
  <si>
    <t>10.11</t>
  </si>
  <si>
    <t>10.111</t>
  </si>
  <si>
    <t>10.112</t>
  </si>
  <si>
    <t>10.401</t>
  </si>
  <si>
    <t>10.402</t>
  </si>
  <si>
    <t>10.403</t>
  </si>
  <si>
    <t>10.404</t>
  </si>
  <si>
    <t>10.405</t>
  </si>
  <si>
    <t>10.406</t>
  </si>
  <si>
    <t>10.511</t>
  </si>
  <si>
    <t>10.512</t>
  </si>
  <si>
    <t>10.521</t>
  </si>
  <si>
    <t>10.531</t>
  </si>
  <si>
    <t>10.532</t>
  </si>
  <si>
    <t>10.533</t>
  </si>
  <si>
    <t>10.541</t>
  </si>
  <si>
    <t>10.601</t>
  </si>
  <si>
    <t>10.701</t>
  </si>
  <si>
    <t>11.001</t>
  </si>
  <si>
    <t>11.002</t>
  </si>
  <si>
    <t>11.003</t>
  </si>
  <si>
    <t>11.004</t>
  </si>
  <si>
    <t>11.005</t>
  </si>
  <si>
    <t>11.006</t>
  </si>
  <si>
    <t>11.007</t>
  </si>
  <si>
    <t>11.008</t>
  </si>
  <si>
    <t>11.009</t>
  </si>
  <si>
    <t>11.01</t>
  </si>
  <si>
    <t>11.011</t>
  </si>
  <si>
    <t>11.012</t>
  </si>
  <si>
    <t>11.013</t>
  </si>
  <si>
    <t>11.014</t>
  </si>
  <si>
    <t>11.015</t>
  </si>
  <si>
    <t>11.016</t>
  </si>
  <si>
    <t>11.017</t>
  </si>
  <si>
    <t>11.018</t>
  </si>
  <si>
    <t>11.019</t>
  </si>
  <si>
    <t>11.02</t>
  </si>
  <si>
    <t>11.021</t>
  </si>
  <si>
    <t>11.022</t>
  </si>
  <si>
    <t>11.023</t>
  </si>
  <si>
    <t>11.101</t>
  </si>
  <si>
    <t>11.102</t>
  </si>
  <si>
    <t>11.104</t>
  </si>
  <si>
    <t>11.105</t>
  </si>
  <si>
    <t>11.106</t>
  </si>
  <si>
    <t>11.107</t>
  </si>
  <si>
    <t>11.108</t>
  </si>
  <si>
    <t>11.11</t>
  </si>
  <si>
    <t>11.201</t>
  </si>
  <si>
    <t>11.202</t>
  </si>
  <si>
    <t>11.203</t>
  </si>
  <si>
    <t>11.204</t>
  </si>
  <si>
    <t>11.401</t>
  </si>
  <si>
    <t>11.402</t>
  </si>
  <si>
    <t>11.403</t>
  </si>
  <si>
    <t>11.404</t>
  </si>
  <si>
    <t>11.405</t>
  </si>
  <si>
    <t>11.406</t>
  </si>
  <si>
    <t>11.407</t>
  </si>
  <si>
    <t>11.408</t>
  </si>
  <si>
    <t>11.409</t>
  </si>
  <si>
    <t>11.41</t>
  </si>
  <si>
    <t>11.411</t>
  </si>
  <si>
    <t>11.412</t>
  </si>
  <si>
    <t>11.511</t>
  </si>
  <si>
    <t>11.512</t>
  </si>
  <si>
    <t>11.521</t>
  </si>
  <si>
    <t>11.531</t>
  </si>
  <si>
    <t>11.532</t>
  </si>
  <si>
    <t>11.533</t>
  </si>
  <si>
    <t>11.541</t>
  </si>
  <si>
    <t>11.701</t>
  </si>
  <si>
    <t>11.702</t>
  </si>
  <si>
    <t>11.709</t>
  </si>
  <si>
    <t>2.701</t>
  </si>
  <si>
    <t>12.002</t>
  </si>
  <si>
    <t>12.003</t>
  </si>
  <si>
    <t>12.004</t>
  </si>
  <si>
    <t>1.029</t>
  </si>
  <si>
    <t>1.401</t>
  </si>
  <si>
    <t>3.36</t>
  </si>
  <si>
    <t>5.110</t>
  </si>
  <si>
    <t>7.301</t>
  </si>
  <si>
    <t>9.601</t>
  </si>
  <si>
    <t>11.103</t>
  </si>
  <si>
    <t>11.601</t>
  </si>
  <si>
    <t>12.201</t>
  </si>
  <si>
    <t>12.202</t>
  </si>
  <si>
    <t>12.203</t>
  </si>
  <si>
    <t>12.204</t>
  </si>
  <si>
    <t>12.001</t>
  </si>
  <si>
    <t>12.405</t>
  </si>
  <si>
    <t>entity:HQ_RF.001_ROOF</t>
  </si>
  <si>
    <t>entity:HQ_5.214_GSM_ROOM</t>
  </si>
  <si>
    <t>entity:HQ_4.11_PRINT_COPY</t>
  </si>
  <si>
    <t>entity:HQ_RF.002_ROOF_PLANT_WALKWAY</t>
  </si>
  <si>
    <t>entity:HQ_G.400_CORRIDOR</t>
  </si>
  <si>
    <t>entity:HQ_4.004_STR_PL_DIR_ENSUIT</t>
  </si>
  <si>
    <t>entity:HQ_4.015C_OFFICE_SPACE</t>
  </si>
  <si>
    <t>entity:HQ_4.015A_OFFICE_SPACE</t>
  </si>
  <si>
    <t>entity:HQ_4.003_STR_PL_DIR_EXEC_SECRE</t>
  </si>
  <si>
    <t>entity:HQ_4.001B_OFFICE_SPACE</t>
  </si>
  <si>
    <t>entity:HQ_4.001D_OFFICE_SPACE</t>
  </si>
  <si>
    <t>entity:HQ_4.001F_OFFICE_SPACE</t>
  </si>
  <si>
    <t>entity:HQ_4.001G_OFFICE_SPACE</t>
  </si>
  <si>
    <t>entity:HQ_4.103_STORAGE_SPACE</t>
  </si>
  <si>
    <t>entity:HQ_5.020_VP_EDU_OFFICERS</t>
  </si>
  <si>
    <t>entity:HQ_5.009_VP1_VP_EDU_OFFICERS</t>
  </si>
  <si>
    <t>entity:HQ_5.010_VP_EDU_OFFICERS</t>
  </si>
  <si>
    <t>entity:HQ_5.210_VP_EDU_ENSUIT</t>
  </si>
  <si>
    <t>entity:HQ_5.350_CORRIDOR</t>
  </si>
  <si>
    <t>entity:HQ_8.400_VISITORS_CENTER</t>
  </si>
  <si>
    <t>entity:HQ_4.015B_OFFICE_SPACE</t>
  </si>
  <si>
    <t>entity:HQ_4.001A_OFFICE_SPACE</t>
  </si>
  <si>
    <t>entity:HQ_4.001E_OFFICE_SPACE</t>
  </si>
  <si>
    <t>entity:HQ_4.001C_OFFICE_SPACE</t>
  </si>
  <si>
    <t>entity:HQ_4.001H_OFFICE_SPACE</t>
  </si>
  <si>
    <t>entity:HQ_1.FF-1_FF-1</t>
  </si>
  <si>
    <t>1.FF-1</t>
  </si>
  <si>
    <t>entity:HQ_1.P-1_P-1</t>
  </si>
  <si>
    <t>1.P-1</t>
  </si>
  <si>
    <t>entity:HQ_1.P-2_P-2</t>
  </si>
  <si>
    <t>1.P-2</t>
  </si>
  <si>
    <t>entity:HQ_1.P-3_P-3</t>
  </si>
  <si>
    <t>1.P-3</t>
  </si>
  <si>
    <t>entity:HQ_1.P-4_P-4</t>
  </si>
  <si>
    <t>1.P-4</t>
  </si>
  <si>
    <t>entity:HQ_1.P-5_P-5</t>
  </si>
  <si>
    <t>1.P-5</t>
  </si>
  <si>
    <t>entity:HQ_1.P-6_P-6</t>
  </si>
  <si>
    <t>1.P-6</t>
  </si>
  <si>
    <t>entity:HQ_1.S-1_S-1</t>
  </si>
  <si>
    <t>1.S-1</t>
  </si>
  <si>
    <t>entity:HQ_1.ST-1_ST-1</t>
  </si>
  <si>
    <t>1.ST-1</t>
  </si>
  <si>
    <t>entity:HQ_1.ST-2_ST-2</t>
  </si>
  <si>
    <t>1.ST-2</t>
  </si>
  <si>
    <t>entity:HQ_1.ST-3_ST-3</t>
  </si>
  <si>
    <t>1.ST-3</t>
  </si>
  <si>
    <t>entity:HQ_1.ST-4_ST-4</t>
  </si>
  <si>
    <t>1.ST-4</t>
  </si>
  <si>
    <t>entity:HQ_2.FF-1_FF-1</t>
  </si>
  <si>
    <t>2.FF-1</t>
  </si>
  <si>
    <t>entity:HQ_2.P-1_P-1</t>
  </si>
  <si>
    <t>2.P-1</t>
  </si>
  <si>
    <t>entity:HQ_2.P-2_P-2</t>
  </si>
  <si>
    <t>2.P-2</t>
  </si>
  <si>
    <t>entity:HQ_2.P-3_P-3</t>
  </si>
  <si>
    <t>2.P-3</t>
  </si>
  <si>
    <t>entity:HQ_2.P-4_P-4</t>
  </si>
  <si>
    <t>2.P-4</t>
  </si>
  <si>
    <t>entity:HQ_2.P-5_P-5</t>
  </si>
  <si>
    <t>2.P-5</t>
  </si>
  <si>
    <t>entity:HQ_2.P-6_P-6</t>
  </si>
  <si>
    <t>2.P-6</t>
  </si>
  <si>
    <t>entity:HQ_2.S-1_S-1</t>
  </si>
  <si>
    <t>2.S-1</t>
  </si>
  <si>
    <t>entity:HQ_2.ST-1_ST-1</t>
  </si>
  <si>
    <t>2.ST-1</t>
  </si>
  <si>
    <t>entity:HQ_2.ST-2_ST-2</t>
  </si>
  <si>
    <t>2.ST-2</t>
  </si>
  <si>
    <t>entity:HQ_2.ST-3_ST-3</t>
  </si>
  <si>
    <t>2.ST-3</t>
  </si>
  <si>
    <t>entity:HQ_2.ST-4_ST-4</t>
  </si>
  <si>
    <t>2.ST-4</t>
  </si>
  <si>
    <t>entity:HQ_3.FF-1_FF-1</t>
  </si>
  <si>
    <t>3.FF-1</t>
  </si>
  <si>
    <t>entity:HQ_3.P-1_P-1</t>
  </si>
  <si>
    <t>3.P-1</t>
  </si>
  <si>
    <t>entity:HQ_3.P-2_P-2</t>
  </si>
  <si>
    <t>3.P-2</t>
  </si>
  <si>
    <t>entity:HQ_3.P-3_P-3</t>
  </si>
  <si>
    <t>3.P-3</t>
  </si>
  <si>
    <t>entity:HQ_3.P-4_P-4</t>
  </si>
  <si>
    <t>3.P-4</t>
  </si>
  <si>
    <t>entity:HQ_3.P-5_P-5</t>
  </si>
  <si>
    <t>3.P-5</t>
  </si>
  <si>
    <t>entity:HQ_3.P-6_P-6</t>
  </si>
  <si>
    <t>3.P-6</t>
  </si>
  <si>
    <t>entity:HQ_3.S-1_S-1</t>
  </si>
  <si>
    <t>3.S-1</t>
  </si>
  <si>
    <t>entity:HQ_3.ST-1_ST-1</t>
  </si>
  <si>
    <t>3.ST-1</t>
  </si>
  <si>
    <t>entity:HQ_3.ST-2_ST-2</t>
  </si>
  <si>
    <t>3.ST-2</t>
  </si>
  <si>
    <t>entity:HQ_3.ST-3_ST-3</t>
  </si>
  <si>
    <t>3.ST-3</t>
  </si>
  <si>
    <t>entity:HQ_3.ST-4_ST-4</t>
  </si>
  <si>
    <t>3.ST-4</t>
  </si>
  <si>
    <t>entity:HQ_4.P-1_P-1</t>
  </si>
  <si>
    <t>4.P-1</t>
  </si>
  <si>
    <t>entity:HQ_4.P-2_P-2</t>
  </si>
  <si>
    <t>4.P-2</t>
  </si>
  <si>
    <t>entity:HQ_4.P-3_P-3</t>
  </si>
  <si>
    <t>4.P-3</t>
  </si>
  <si>
    <t>entity:HQ_4.P-4_P-4</t>
  </si>
  <si>
    <t>4.P-4</t>
  </si>
  <si>
    <t>entity:HQ_4.P-5_P-5</t>
  </si>
  <si>
    <t>4.P-5</t>
  </si>
  <si>
    <t>entity:HQ_4.P-6_P-6</t>
  </si>
  <si>
    <t>4.P-6</t>
  </si>
  <si>
    <t>entity:HQ_4.S-1_S-1</t>
  </si>
  <si>
    <t>4.S-1</t>
  </si>
  <si>
    <t>entity:HQ_4.ST-1_ST-1</t>
  </si>
  <si>
    <t>4.ST-1</t>
  </si>
  <si>
    <t>entity:HQ_4.ST-2_ST-2</t>
  </si>
  <si>
    <t>4.ST-2</t>
  </si>
  <si>
    <t>entity:HQ_4.ST-3_ST-3</t>
  </si>
  <si>
    <t>4.ST-3</t>
  </si>
  <si>
    <t>entity:HQ_4.ST-4_ST-4</t>
  </si>
  <si>
    <t>4.ST-4</t>
  </si>
  <si>
    <t>5.009_VP1</t>
  </si>
  <si>
    <t>entity:HQ_5.009_VP1_VP_EDU_ASSISTANT</t>
  </si>
  <si>
    <t>5.010</t>
  </si>
  <si>
    <t>5.020</t>
  </si>
  <si>
    <t>5.210</t>
  </si>
  <si>
    <t>entity:HQ_5.P-1_P-1</t>
  </si>
  <si>
    <t>5.P-1</t>
  </si>
  <si>
    <t>entity:HQ_5.P-2_P-2</t>
  </si>
  <si>
    <t>5.P-2</t>
  </si>
  <si>
    <t>entity:HQ_5.P-3_P-3</t>
  </si>
  <si>
    <t>5.P-3</t>
  </si>
  <si>
    <t>entity:HQ_5.P-4_P-4</t>
  </si>
  <si>
    <t>5.P-4</t>
  </si>
  <si>
    <t>entity:HQ_5.P-5_P-5</t>
  </si>
  <si>
    <t>5.P-5</t>
  </si>
  <si>
    <t>entity:HQ_5.P-6_P-6</t>
  </si>
  <si>
    <t>5.P-6</t>
  </si>
  <si>
    <t>entity:HQ_5.S-1_S-1</t>
  </si>
  <si>
    <t>5.S-1</t>
  </si>
  <si>
    <t>entity:HQ_5.ST-1_ST-1</t>
  </si>
  <si>
    <t>5.ST-1</t>
  </si>
  <si>
    <t>entity:HQ_5.ST-2_ST-2</t>
  </si>
  <si>
    <t>5.ST-2</t>
  </si>
  <si>
    <t>entity:HQ_5.ST-3_ST-3</t>
  </si>
  <si>
    <t>5.ST-3</t>
  </si>
  <si>
    <t>entity:HQ_5.ST-4_ST-4</t>
  </si>
  <si>
    <t>5.ST-4</t>
  </si>
  <si>
    <t>entity:HQ_6.P-1_P-1</t>
  </si>
  <si>
    <t>6.P-1</t>
  </si>
  <si>
    <t>entity:HQ_6.P-2_P-2</t>
  </si>
  <si>
    <t>6.P-2</t>
  </si>
  <si>
    <t>entity:HQ_6.P-3_P-3</t>
  </si>
  <si>
    <t>6.P-3</t>
  </si>
  <si>
    <t>entity:HQ_6.P-4_P-4</t>
  </si>
  <si>
    <t>6.P-4</t>
  </si>
  <si>
    <t>entity:HQ_6.P-5_P-5</t>
  </si>
  <si>
    <t>6.P-5</t>
  </si>
  <si>
    <t>entity:HQ_6.P-6_P-6</t>
  </si>
  <si>
    <t>6.P-6</t>
  </si>
  <si>
    <t>entity:HQ_6.S-1_S-1</t>
  </si>
  <si>
    <t>6.S-1</t>
  </si>
  <si>
    <t>entity:HQ_6.ST-1_ST-1</t>
  </si>
  <si>
    <t>6.ST-1</t>
  </si>
  <si>
    <t>entity:HQ_6.ST-2_ST-2</t>
  </si>
  <si>
    <t>6.ST-2</t>
  </si>
  <si>
    <t>entity:HQ_6.ST-3_ST-3</t>
  </si>
  <si>
    <t>6.ST-3</t>
  </si>
  <si>
    <t>entity:HQ_6.ST-4_ST-4</t>
  </si>
  <si>
    <t>6.ST-4</t>
  </si>
  <si>
    <t>entity:HQ_7.P-1_P-1</t>
  </si>
  <si>
    <t>7.P-1</t>
  </si>
  <si>
    <t>entity:HQ_7.P-2_P-2</t>
  </si>
  <si>
    <t>7.P-2</t>
  </si>
  <si>
    <t>entity:HQ_7.P-3_P-3</t>
  </si>
  <si>
    <t>7.P-3</t>
  </si>
  <si>
    <t>entity:HQ_7.P-4_P-4</t>
  </si>
  <si>
    <t>7.P-4</t>
  </si>
  <si>
    <t>entity:HQ_7.P-5_P-5</t>
  </si>
  <si>
    <t>7.P-5</t>
  </si>
  <si>
    <t>entity:HQ_7.P-6_P-6</t>
  </si>
  <si>
    <t>7.P-6</t>
  </si>
  <si>
    <t>entity:HQ_7.S-1_S-1</t>
  </si>
  <si>
    <t>7.S-1</t>
  </si>
  <si>
    <t>entity:HQ_7.ST-1_ST-1</t>
  </si>
  <si>
    <t>7.ST-1</t>
  </si>
  <si>
    <t>entity:HQ_7.ST-2_ST-2</t>
  </si>
  <si>
    <t>7.ST-2</t>
  </si>
  <si>
    <t>entity:HQ_7.ST-3_ST-3</t>
  </si>
  <si>
    <t>7.ST-3</t>
  </si>
  <si>
    <t>entity:HQ_7.ST-4_ST-4</t>
  </si>
  <si>
    <t>7.ST-4</t>
  </si>
  <si>
    <t>entity:HQ_8.P-1_P-1</t>
  </si>
  <si>
    <t>8.P-1</t>
  </si>
  <si>
    <t>entity:HQ_8.P-2_P-2</t>
  </si>
  <si>
    <t>8.P-2</t>
  </si>
  <si>
    <t>entity:HQ_8.P-3_P-3</t>
  </si>
  <si>
    <t>8.P-3</t>
  </si>
  <si>
    <t>entity:HQ_8.P-4_P-4</t>
  </si>
  <si>
    <t>8.P-4</t>
  </si>
  <si>
    <t>entity:HQ_8.P-5_P-5</t>
  </si>
  <si>
    <t>8.P-5</t>
  </si>
  <si>
    <t>entity:HQ_8.P-6_P-6</t>
  </si>
  <si>
    <t>8.P-6</t>
  </si>
  <si>
    <t>entity:HQ_8.S-1_S-1</t>
  </si>
  <si>
    <t>8.S-1</t>
  </si>
  <si>
    <t>entity:HQ_8.ST-1_ST-1</t>
  </si>
  <si>
    <t>8.ST-1</t>
  </si>
  <si>
    <t>entity:HQ_8.ST-2_ST-2</t>
  </si>
  <si>
    <t>8.ST-2</t>
  </si>
  <si>
    <t>entity:HQ_8.ST-3_ST-3</t>
  </si>
  <si>
    <t>8.ST-3</t>
  </si>
  <si>
    <t>entity:HQ_8.ST-4_ST-4</t>
  </si>
  <si>
    <t>8.ST-4</t>
  </si>
  <si>
    <t>entity:HQ_9.P-1_P-1</t>
  </si>
  <si>
    <t>9.P-1</t>
  </si>
  <si>
    <t>entity:HQ_9.P-2_P-2</t>
  </si>
  <si>
    <t>9.P-2</t>
  </si>
  <si>
    <t>entity:HQ_9.P-3_P-3</t>
  </si>
  <si>
    <t>9.P-3</t>
  </si>
  <si>
    <t>entity:HQ_9.P-4_P-4</t>
  </si>
  <si>
    <t>9.P-4</t>
  </si>
  <si>
    <t>entity:HQ_9.P-5_P-5</t>
  </si>
  <si>
    <t>9.P-5</t>
  </si>
  <si>
    <t>entity:HQ_9.P-6_P-6</t>
  </si>
  <si>
    <t>9.P-6</t>
  </si>
  <si>
    <t>entity:HQ_9.S-1_S-1</t>
  </si>
  <si>
    <t>9.S-1</t>
  </si>
  <si>
    <t>entity:HQ_9.ST-01_ST-01</t>
  </si>
  <si>
    <t>9.ST-01</t>
  </si>
  <si>
    <t>entity:HQ_9.ST-04_ST-04</t>
  </si>
  <si>
    <t>9.ST-04</t>
  </si>
  <si>
    <t>entity:HQ_9.ST-2_ST-2</t>
  </si>
  <si>
    <t>9.ST-2</t>
  </si>
  <si>
    <t>entity:HQ_9.ST-3_ST-3</t>
  </si>
  <si>
    <t>9.ST-3</t>
  </si>
  <si>
    <t>RF.001</t>
  </si>
  <si>
    <t>G.400</t>
  </si>
  <si>
    <t>4.015C</t>
  </si>
  <si>
    <t>4.015A</t>
  </si>
  <si>
    <t>4.001B</t>
  </si>
  <si>
    <t>4.001D</t>
  </si>
  <si>
    <t>4.001F</t>
  </si>
  <si>
    <t>4.001G</t>
  </si>
  <si>
    <t>5.350</t>
  </si>
  <si>
    <t>8.400</t>
  </si>
  <si>
    <t>4.015B</t>
  </si>
  <si>
    <t>4.001A</t>
  </si>
  <si>
    <t>4.001E</t>
  </si>
  <si>
    <t>4.001C</t>
  </si>
  <si>
    <t>4.001H</t>
  </si>
  <si>
    <t>RF.002</t>
  </si>
  <si>
    <t>Duplicate room entries (col A)</t>
  </si>
  <si>
    <t>Duplicated equipment returns (D:L)</t>
  </si>
  <si>
    <t>Distinct equipment returned</t>
  </si>
  <si>
    <t>Unplaced (in register, not on a room)</t>
  </si>
  <si>
    <t>After editing some room numbers, the equipment count in column D jumped from 772 to 773 while the 2 blank-entity assets were still blank. Asked whether there is a duplicate somewhere.</t>
  </si>
  <si>
    <t>Scanned column A for duplicate room entities and the whole D2:L1042 spill region for repeated asset tags. Found the duplicate, then hardened the audit block at N1:O9 with duplicate detection and a duplicate-proof unplaced count.</t>
  </si>
  <si>
    <t>Root cause: room entity 'entity:HQ_5.110_VP_EDU_OFFICERS' now appears TWICE in column A - row 526 and row 1017. VAV0283 exists only once in the register (row 443) but each duplicate room row runs its own FILTER, so the tag is returned twice, inflating the raw count to 773. Rooms with no equipment also fell 434 to 433 because row 1017 previously matched nothing. New audit formulas: O6 distinct returned =SUM(--(UNIQUE(TOCOL(D2:L1042,3))&lt;&gt;"No Equipment in entity")); O7 duplicate room rows; O8 duplicated equipment returns; O9 unplaced =O5-O6. Replaced the old O6 (=O5-O3) because subtracting the raw count made unplaced read 1 instead of 2 whenever a duplicate existed.</t>
  </si>
  <si>
    <t>Diagnosed, not yet fixed. Distinct equipment is still 772 and unplaced still 2 (FCU0097, VAV0558), so no data was lost - only row 1017 is a spurious duplicate of row 526. Awaiting user decision on whether to delete row 1017 or correct its room number to the intended one; I did not guess the intended value.</t>
  </si>
  <si>
    <t>B_228</t>
  </si>
  <si>
    <t>M1_HVAC_SHAFT</t>
  </si>
  <si>
    <t>B_229</t>
  </si>
  <si>
    <t>E1_ELEC_SHAFT</t>
  </si>
  <si>
    <t>B_230</t>
  </si>
  <si>
    <t>REFR_STORE</t>
  </si>
  <si>
    <t>B_231</t>
  </si>
  <si>
    <t>DISH_WASING</t>
  </si>
  <si>
    <t>B_232</t>
  </si>
  <si>
    <t>DRY_STORE</t>
  </si>
  <si>
    <t>B_233</t>
  </si>
  <si>
    <t>WC5_RISER</t>
  </si>
  <si>
    <t>B_234</t>
  </si>
  <si>
    <t>E3_ELEC_SHAFT</t>
  </si>
  <si>
    <t>B_235</t>
  </si>
  <si>
    <t>M2_HVAC_SHAFT_ABOVE</t>
  </si>
  <si>
    <t>B_236</t>
  </si>
  <si>
    <t>WC1_RISER</t>
  </si>
  <si>
    <t>B_237</t>
  </si>
  <si>
    <t>B_238</t>
  </si>
  <si>
    <t>M3_HVAC_SHAFT</t>
  </si>
  <si>
    <t>B_002</t>
  </si>
  <si>
    <t>B_003</t>
  </si>
  <si>
    <t>FINANCE_COORDINATOR_&amp;_BUSINESS_SUPPORT_OFCR</t>
  </si>
  <si>
    <t>B_004</t>
  </si>
  <si>
    <t>ANALOG_RESOURCES</t>
  </si>
  <si>
    <t>B_005</t>
  </si>
  <si>
    <t>DIGITAL_RESOURCES</t>
  </si>
  <si>
    <t>B_006</t>
  </si>
  <si>
    <t>BUDGET_&amp;_PAYMENT_1</t>
  </si>
  <si>
    <t>B_007</t>
  </si>
  <si>
    <t>BUDGET_&amp;_PAYMENT_2</t>
  </si>
  <si>
    <t>B_008</t>
  </si>
  <si>
    <t>RECEIVING_AREA</t>
  </si>
  <si>
    <t>B_009</t>
  </si>
  <si>
    <t>RECEPTION_&amp;_LOUNGE</t>
  </si>
  <si>
    <t>B_010</t>
  </si>
  <si>
    <t>PATIO_GARDEN</t>
  </si>
  <si>
    <t>B_020</t>
  </si>
  <si>
    <t>ENGINEERING</t>
  </si>
  <si>
    <t>B_021</t>
  </si>
  <si>
    <t>ARABIC_STUDIES</t>
  </si>
  <si>
    <t>B_022</t>
  </si>
  <si>
    <t>LICENSING_EXPERT</t>
  </si>
  <si>
    <t>B_023</t>
  </si>
  <si>
    <t>ARTS_&amp;_HUMANITIES</t>
  </si>
  <si>
    <t>B_024</t>
  </si>
  <si>
    <t>AD_COLLECTIONS</t>
  </si>
  <si>
    <t>B_025</t>
  </si>
  <si>
    <t>SOCIAL_SCIENCES</t>
  </si>
  <si>
    <t>B_026</t>
  </si>
  <si>
    <t>BUSINESS_&amp;_COMPUTING</t>
  </si>
  <si>
    <t>B_027</t>
  </si>
  <si>
    <t>PROCUREMENT_SPC_PROCUREMENT_OFCR</t>
  </si>
  <si>
    <t>B_028</t>
  </si>
  <si>
    <t>B_029</t>
  </si>
  <si>
    <t>LITERATURE_&amp;_ANGUAGE</t>
  </si>
  <si>
    <t>B_030</t>
  </si>
  <si>
    <t>SNR_P_COORDINATOR_&amp;_P_COORDINATOR</t>
  </si>
  <si>
    <t>B_031</t>
  </si>
  <si>
    <t>JANITORS_ROOM</t>
  </si>
  <si>
    <t>B_032</t>
  </si>
  <si>
    <t>REST_ROOM_MEN</t>
  </si>
  <si>
    <t>B_034</t>
  </si>
  <si>
    <t>B036_REST</t>
  </si>
  <si>
    <t>REST_ROOM_WOMEN</t>
  </si>
  <si>
    <t>B036_COR</t>
  </si>
  <si>
    <t>CORRIDOR_4A</t>
  </si>
  <si>
    <t>B_040</t>
  </si>
  <si>
    <t>OFFICE</t>
  </si>
  <si>
    <t>B_041</t>
  </si>
  <si>
    <t>DIGITIZATION_ROOM</t>
  </si>
  <si>
    <t>B_042</t>
  </si>
  <si>
    <t>B_043</t>
  </si>
  <si>
    <t>BINDING_&amp;_PRESERVATION_SPACE</t>
  </si>
  <si>
    <t>B044_BOH</t>
  </si>
  <si>
    <t>B_O_H_KITCHEN</t>
  </si>
  <si>
    <t>B044_FIN</t>
  </si>
  <si>
    <t>FINE_BINDING</t>
  </si>
  <si>
    <t>B046_RES</t>
  </si>
  <si>
    <t>B046_ITT</t>
  </si>
  <si>
    <t>ITTIGATION_CONTROL_ROOM</t>
  </si>
  <si>
    <t>B_047</t>
  </si>
  <si>
    <t>B_048</t>
  </si>
  <si>
    <t>QTEL_ROOM</t>
  </si>
  <si>
    <t>B_049</t>
  </si>
  <si>
    <t>MEP_KITCHEN</t>
  </si>
  <si>
    <t>B-04B</t>
  </si>
  <si>
    <t>ST-04B</t>
  </si>
  <si>
    <t>B_050</t>
  </si>
  <si>
    <t>TELECOM_ROOM</t>
  </si>
  <si>
    <t>B_051</t>
  </si>
  <si>
    <t>B_053</t>
  </si>
  <si>
    <t>CORRIDORS</t>
  </si>
  <si>
    <t>B_054</t>
  </si>
  <si>
    <t>B057_DIG</t>
  </si>
  <si>
    <t>OFFICE_DIG_INIT</t>
  </si>
  <si>
    <t>B057_AD</t>
  </si>
  <si>
    <t>OFFICE_AD_FOR_LIT</t>
  </si>
  <si>
    <t>B_058</t>
  </si>
  <si>
    <t>B_060</t>
  </si>
  <si>
    <t>MAINTENANCE</t>
  </si>
  <si>
    <t>B_062</t>
  </si>
  <si>
    <t>IDF_CORRIDOR</t>
  </si>
  <si>
    <t>B_063</t>
  </si>
  <si>
    <t>PLANT_ROOM_01</t>
  </si>
  <si>
    <t>B_065</t>
  </si>
  <si>
    <t>VENTLATON</t>
  </si>
  <si>
    <t>B_066</t>
  </si>
  <si>
    <t>B_067</t>
  </si>
  <si>
    <t>B_068</t>
  </si>
  <si>
    <t>B_070</t>
  </si>
  <si>
    <t>PLANT_ROOM_02</t>
  </si>
  <si>
    <t>B_071</t>
  </si>
  <si>
    <t>FIRE_COMMAND_ROOM</t>
  </si>
  <si>
    <t>B_072</t>
  </si>
  <si>
    <t>SPRIMKLERS_PUMPS_&amp;_ZONES_VALVES</t>
  </si>
  <si>
    <t>B_080</t>
  </si>
  <si>
    <t>B_081</t>
  </si>
  <si>
    <t>MV_ROOM</t>
  </si>
  <si>
    <t>B_082</t>
  </si>
  <si>
    <t>TRANSFORMER_ROOM</t>
  </si>
  <si>
    <t>B_084</t>
  </si>
  <si>
    <t>UPS_BATTERY_ROOM</t>
  </si>
  <si>
    <t>B_085</t>
  </si>
  <si>
    <t>FUMIGATION_ROOM</t>
  </si>
  <si>
    <t>B_086</t>
  </si>
  <si>
    <t>FREEZE_AREA</t>
  </si>
  <si>
    <t>B_087</t>
  </si>
  <si>
    <t>GAS_SUPPRESSION_ROOM</t>
  </si>
  <si>
    <t>B_088</t>
  </si>
  <si>
    <t>PEOPLE_MOVER_PLANT</t>
  </si>
  <si>
    <t>B_089</t>
  </si>
  <si>
    <t>B_091</t>
  </si>
  <si>
    <t>FUEL_ROOM</t>
  </si>
  <si>
    <t>B_092</t>
  </si>
  <si>
    <t>B_0924</t>
  </si>
  <si>
    <t>FUEL_TANK_CHERRY_PICKER_PANKING</t>
  </si>
  <si>
    <t>B_093</t>
  </si>
  <si>
    <t>TRANSH_CHAMBER</t>
  </si>
  <si>
    <t>B_095</t>
  </si>
  <si>
    <t>EMERGENCY_LIGHTING_BATTERY_ROOM</t>
  </si>
  <si>
    <t>B_100</t>
  </si>
  <si>
    <t>LOADING_DOCK</t>
  </si>
  <si>
    <t>B_101</t>
  </si>
  <si>
    <t>SHIPPING_CLERK</t>
  </si>
  <si>
    <t>B_102</t>
  </si>
  <si>
    <t>SECURITY_&amp;_BMS</t>
  </si>
  <si>
    <t>B_103</t>
  </si>
  <si>
    <t>PROCESSING_ROOM</t>
  </si>
  <si>
    <t>B_104</t>
  </si>
  <si>
    <t>B106_RES</t>
  </si>
  <si>
    <t>REST_ROOM_SECURITY</t>
  </si>
  <si>
    <t>B106_SEC</t>
  </si>
  <si>
    <t>SECURITY_STORES_SECURITY_UPS</t>
  </si>
  <si>
    <t>B_107</t>
  </si>
  <si>
    <t>SECURITY_EQUIPMENT_ROOM</t>
  </si>
  <si>
    <t>B_108</t>
  </si>
  <si>
    <t>B_109</t>
  </si>
  <si>
    <t>LOADING_AREA</t>
  </si>
  <si>
    <t>B_110</t>
  </si>
  <si>
    <t>PLANT_ROOM_03</t>
  </si>
  <si>
    <t>B_111</t>
  </si>
  <si>
    <t>B_112</t>
  </si>
  <si>
    <t>B_113</t>
  </si>
  <si>
    <t>B_114</t>
  </si>
  <si>
    <t>B_115</t>
  </si>
  <si>
    <t>B_116</t>
  </si>
  <si>
    <t>B_120</t>
  </si>
  <si>
    <t>COMPACT_SHELVING_-MAIN_COLLECTION</t>
  </si>
  <si>
    <t>B_121</t>
  </si>
  <si>
    <t>SORTING_SHELVING_ROOM</t>
  </si>
  <si>
    <t>B_122</t>
  </si>
  <si>
    <t>IT_OFFICE</t>
  </si>
  <si>
    <t>B_132</t>
  </si>
  <si>
    <t>SHELL_SPACE-SPECIAL_COLLECTION</t>
  </si>
  <si>
    <t>B141_HLP</t>
  </si>
  <si>
    <t>HL_PLANT_ROOM</t>
  </si>
  <si>
    <t>B141_VAU</t>
  </si>
  <si>
    <t>VAULT</t>
  </si>
  <si>
    <t>B_142</t>
  </si>
  <si>
    <t>B_143</t>
  </si>
  <si>
    <t>HERITAGE_COLLECTION</t>
  </si>
  <si>
    <t>B_144</t>
  </si>
  <si>
    <t>B_145</t>
  </si>
  <si>
    <t>LOBY_&amp;_CSECURITY</t>
  </si>
  <si>
    <t>B_146</t>
  </si>
  <si>
    <t>VIP_REST_ROOM</t>
  </si>
  <si>
    <t>B_147</t>
  </si>
  <si>
    <t>B_148</t>
  </si>
  <si>
    <t>VIP_MAJLIS</t>
  </si>
  <si>
    <t>B_149</t>
  </si>
  <si>
    <t>DIRECTOR_HEAD</t>
  </si>
  <si>
    <t>B_150</t>
  </si>
  <si>
    <t>ASSISTANT_HEAD</t>
  </si>
  <si>
    <t>B_151</t>
  </si>
  <si>
    <t>RESEARCH_&amp;_DOC-RCRDS_MGMT</t>
  </si>
  <si>
    <t>B_152</t>
  </si>
  <si>
    <t>SECURITY_ROOM</t>
  </si>
  <si>
    <t>B_153</t>
  </si>
  <si>
    <t>PROF_LIBRARIAN</t>
  </si>
  <si>
    <t>B_155</t>
  </si>
  <si>
    <t>FACULTY_CARRELS</t>
  </si>
  <si>
    <t>B_156</t>
  </si>
  <si>
    <t>B_157</t>
  </si>
  <si>
    <t>B_158</t>
  </si>
  <si>
    <t>B_159</t>
  </si>
  <si>
    <t>B_160</t>
  </si>
  <si>
    <t>B_161</t>
  </si>
  <si>
    <t>B_162</t>
  </si>
  <si>
    <t>B_163</t>
  </si>
  <si>
    <t>B_164</t>
  </si>
  <si>
    <t>B_165</t>
  </si>
  <si>
    <t>B_166</t>
  </si>
  <si>
    <t>B_167</t>
  </si>
  <si>
    <t>B_168</t>
  </si>
  <si>
    <t>B_169</t>
  </si>
  <si>
    <t>B_200</t>
  </si>
  <si>
    <t>DIGITIZATION</t>
  </si>
  <si>
    <t>B_201</t>
  </si>
  <si>
    <t>B_202</t>
  </si>
  <si>
    <t>B_203</t>
  </si>
  <si>
    <t>B_204</t>
  </si>
  <si>
    <t>TECHNICAL_SERVICES</t>
  </si>
  <si>
    <t>B_205</t>
  </si>
  <si>
    <t>INSTRUCTION_PRESENTATION</t>
  </si>
  <si>
    <t>B_206</t>
  </si>
  <si>
    <t>INSTRUCTION_OUTREACH</t>
  </si>
  <si>
    <t>B_207</t>
  </si>
  <si>
    <t>PRESEARCHERS_READING_AREA</t>
  </si>
  <si>
    <t>B_208</t>
  </si>
  <si>
    <t>B_209</t>
  </si>
  <si>
    <t>CONSERVATION_WORK_AREA</t>
  </si>
  <si>
    <t>B_210</t>
  </si>
  <si>
    <t>B_211</t>
  </si>
  <si>
    <t>PH_PLANT_ROOM</t>
  </si>
  <si>
    <t>B_213</t>
  </si>
  <si>
    <t>MISTING_SYSTEM</t>
  </si>
  <si>
    <t>B214_COR</t>
  </si>
  <si>
    <t>CORRIDOR6</t>
  </si>
  <si>
    <t>B214_IDF</t>
  </si>
  <si>
    <t>B_215</t>
  </si>
  <si>
    <t>IDF_FM_STORAGE</t>
  </si>
  <si>
    <t>B_215A</t>
  </si>
  <si>
    <t>IDF</t>
  </si>
  <si>
    <t>B_220</t>
  </si>
  <si>
    <t>PLANT_ROOM_04</t>
  </si>
  <si>
    <t>B_221</t>
  </si>
  <si>
    <t>B_222</t>
  </si>
  <si>
    <t>B_223</t>
  </si>
  <si>
    <t>VENTILATON</t>
  </si>
  <si>
    <t>B_224</t>
  </si>
  <si>
    <t>B_225</t>
  </si>
  <si>
    <t>B_226</t>
  </si>
  <si>
    <t>PUMP_ROOM</t>
  </si>
  <si>
    <t>B_227</t>
  </si>
  <si>
    <t>B-AT-04A</t>
  </si>
  <si>
    <t>ST-04A</t>
  </si>
  <si>
    <t>B-L-1</t>
  </si>
  <si>
    <t>L-1</t>
  </si>
  <si>
    <t>B-L-15</t>
  </si>
  <si>
    <t>L-15</t>
  </si>
  <si>
    <t>B-L-2</t>
  </si>
  <si>
    <t>L-2</t>
  </si>
  <si>
    <t>B-L-3</t>
  </si>
  <si>
    <t>L-3</t>
  </si>
  <si>
    <t>B-L-4</t>
  </si>
  <si>
    <t>L-4</t>
  </si>
  <si>
    <t>B-ST-01</t>
  </si>
  <si>
    <t>B-ST-02</t>
  </si>
  <si>
    <t>ST-02</t>
  </si>
  <si>
    <t>B-ST-03</t>
  </si>
  <si>
    <t>ST-03</t>
  </si>
  <si>
    <t>B-ST-05</t>
  </si>
  <si>
    <t>ST-05</t>
  </si>
  <si>
    <t>B-ST-11</t>
  </si>
  <si>
    <t>ST-11</t>
  </si>
  <si>
    <t>B-ST-12</t>
  </si>
  <si>
    <t>ST-12</t>
  </si>
  <si>
    <t>L1_154</t>
  </si>
  <si>
    <t>L1_155</t>
  </si>
  <si>
    <t>L1_156</t>
  </si>
  <si>
    <t>M2_HVAC_SHAFT</t>
  </si>
  <si>
    <t>L1_157</t>
  </si>
  <si>
    <t>E2_ELEC_SHAFT</t>
  </si>
  <si>
    <t>L1_158</t>
  </si>
  <si>
    <t>L1_159</t>
  </si>
  <si>
    <t>L1_160</t>
  </si>
  <si>
    <t>L1_161</t>
  </si>
  <si>
    <t>N2_PIPE_SHAFT</t>
  </si>
  <si>
    <t>L1_162</t>
  </si>
  <si>
    <t>STORE</t>
  </si>
  <si>
    <t>L1_001</t>
  </si>
  <si>
    <t>OPEN_READING_AREA</t>
  </si>
  <si>
    <t>L1_002</t>
  </si>
  <si>
    <t>BRAILLE_READER</t>
  </si>
  <si>
    <t>L1_002A</t>
  </si>
  <si>
    <t>GREEM_ROOM</t>
  </si>
  <si>
    <t>L1_003</t>
  </si>
  <si>
    <t>TUTORING_HEAD</t>
  </si>
  <si>
    <t>L1_004</t>
  </si>
  <si>
    <t>WRITING_ROOM1</t>
  </si>
  <si>
    <t>L1_005</t>
  </si>
  <si>
    <t>WRITING_ROOM2</t>
  </si>
  <si>
    <t>L1_006</t>
  </si>
  <si>
    <t>WRITING_HEAD</t>
  </si>
  <si>
    <t>L1_007</t>
  </si>
  <si>
    <t>STUDENT_CARRLES</t>
  </si>
  <si>
    <t>L1_020</t>
  </si>
  <si>
    <t>INFO_LITERACY_INSTR1</t>
  </si>
  <si>
    <t>L1_021</t>
  </si>
  <si>
    <t>INFO_LITERACY_INSTR2</t>
  </si>
  <si>
    <t>L1_022</t>
  </si>
  <si>
    <t>COMPUTER_CLASSROOM</t>
  </si>
  <si>
    <t>L1023_1</t>
  </si>
  <si>
    <t>L1023_2</t>
  </si>
  <si>
    <t>L1023_3</t>
  </si>
  <si>
    <t>L1_024</t>
  </si>
  <si>
    <t>L1_025</t>
  </si>
  <si>
    <t>L1_026</t>
  </si>
  <si>
    <t>GROUP_STUDY_ROOM1</t>
  </si>
  <si>
    <t>L1_027</t>
  </si>
  <si>
    <t>GROUP_STUDY_ROOM2</t>
  </si>
  <si>
    <t>L1_028</t>
  </si>
  <si>
    <t>GROUP_STUDY_ROOM3</t>
  </si>
  <si>
    <t>L1_029</t>
  </si>
  <si>
    <t>GROUP_STUDY_ROOM4</t>
  </si>
  <si>
    <t>L1_030</t>
  </si>
  <si>
    <t>ICT_ROOM_02</t>
  </si>
  <si>
    <t>L1_040</t>
  </si>
  <si>
    <t>HEAD_LIBRARIAN_OFFICE</t>
  </si>
  <si>
    <t>L1_041</t>
  </si>
  <si>
    <t>MULTPURPOSE_ROOM</t>
  </si>
  <si>
    <t>L1_042</t>
  </si>
  <si>
    <t>L1_043</t>
  </si>
  <si>
    <t>BABY_CHAN</t>
  </si>
  <si>
    <t>L1_044</t>
  </si>
  <si>
    <t>BREAST_FEEDING</t>
  </si>
  <si>
    <t>L1_045</t>
  </si>
  <si>
    <t>L1_046</t>
  </si>
  <si>
    <t>L1_047</t>
  </si>
  <si>
    <t>CHILDREN_LIBRARY_-_PRE_SCHOOL_READING_&amp;_PLAYING</t>
  </si>
  <si>
    <t>L1_048</t>
  </si>
  <si>
    <t>STAFF_OFFICE</t>
  </si>
  <si>
    <t>L1_049</t>
  </si>
  <si>
    <t>L1_050</t>
  </si>
  <si>
    <t>STROLLER_PARKING</t>
  </si>
  <si>
    <t>L1_061</t>
  </si>
  <si>
    <t>L1_062</t>
  </si>
  <si>
    <t>L1_063</t>
  </si>
  <si>
    <t>MEDIA_STUDIO_1</t>
  </si>
  <si>
    <t>L1_064</t>
  </si>
  <si>
    <t>L1_065</t>
  </si>
  <si>
    <t>L1067_FRO</t>
  </si>
  <si>
    <t>FRONT_KITCHEN</t>
  </si>
  <si>
    <t>L1067_RES</t>
  </si>
  <si>
    <t>RESTAURANT</t>
  </si>
  <si>
    <t>L1_080</t>
  </si>
  <si>
    <t>PUBLIC_SERVICE</t>
  </si>
  <si>
    <t>L1_081</t>
  </si>
  <si>
    <t>BIBLIOGRANHER1</t>
  </si>
  <si>
    <t>L1_082</t>
  </si>
  <si>
    <t>BIBLIOGRAPHER2</t>
  </si>
  <si>
    <t>L1_083</t>
  </si>
  <si>
    <t>SPEC_COLL&amp;ARCH</t>
  </si>
  <si>
    <t>L1_084</t>
  </si>
  <si>
    <t>R&amp;L_SERVICES</t>
  </si>
  <si>
    <t>L1_085</t>
  </si>
  <si>
    <t>ADPUBLIC_SERVICE</t>
  </si>
  <si>
    <t>L1_086</t>
  </si>
  <si>
    <t>REF_LIBRARIAN_1</t>
  </si>
  <si>
    <t>L1_087</t>
  </si>
  <si>
    <t>REF_LIBRARIAN_2</t>
  </si>
  <si>
    <t>L1_088</t>
  </si>
  <si>
    <t>REF_LIBRARIAN_3</t>
  </si>
  <si>
    <t>L1_089</t>
  </si>
  <si>
    <t>REF_LIBRARIAN_4</t>
  </si>
  <si>
    <t>L1_090</t>
  </si>
  <si>
    <t>REF_LIBRARIAN_5</t>
  </si>
  <si>
    <t>L1_091</t>
  </si>
  <si>
    <t>REF_LIBRARIAN_6</t>
  </si>
  <si>
    <t>L1_092</t>
  </si>
  <si>
    <t>REF_LIBRARIAN_7</t>
  </si>
  <si>
    <t>L1_093</t>
  </si>
  <si>
    <t>REF_LIBRARIAN_8</t>
  </si>
  <si>
    <t>L1_094</t>
  </si>
  <si>
    <t>REF_LIBRARIAN_9</t>
  </si>
  <si>
    <t>L1_095</t>
  </si>
  <si>
    <t>REF_LIBRARIAN_10</t>
  </si>
  <si>
    <t>L1_096</t>
  </si>
  <si>
    <t>REF_LIBRARIAN_11</t>
  </si>
  <si>
    <t>L1_097</t>
  </si>
  <si>
    <t>REF_LIBRARIAN_12</t>
  </si>
  <si>
    <t>L1_098</t>
  </si>
  <si>
    <t>L1_099</t>
  </si>
  <si>
    <t>IDF_ROOM_02</t>
  </si>
  <si>
    <t>L1_100</t>
  </si>
  <si>
    <t>AERIAL_PLATFORM_PARKING</t>
  </si>
  <si>
    <t>L1_101</t>
  </si>
  <si>
    <t>REST_ROOMMEN</t>
  </si>
  <si>
    <t>L1_102</t>
  </si>
  <si>
    <t>L1104_FEM</t>
  </si>
  <si>
    <t>PRAYER_ROOM_FEMALE</t>
  </si>
  <si>
    <t>L1104_MEL</t>
  </si>
  <si>
    <t>PRAYER_ROOM_MALE</t>
  </si>
  <si>
    <t>L1_105</t>
  </si>
  <si>
    <t>ABLUTIONMEN</t>
  </si>
  <si>
    <t>L1_106</t>
  </si>
  <si>
    <t>ABLUTIONWOMEN</t>
  </si>
  <si>
    <t>L1_130</t>
  </si>
  <si>
    <t>PUBLIS_SPACE</t>
  </si>
  <si>
    <t>L1_142</t>
  </si>
  <si>
    <t>LEARNING_COMMONS</t>
  </si>
  <si>
    <t>L1_153</t>
  </si>
  <si>
    <t>FURNITURE_STORAGE</t>
  </si>
  <si>
    <t>L1-L-1</t>
  </si>
  <si>
    <t>L1-L-2</t>
  </si>
  <si>
    <t>L1-L-3</t>
  </si>
  <si>
    <t>L1-L-4</t>
  </si>
  <si>
    <t>L1-L-5</t>
  </si>
  <si>
    <t>L-5</t>
  </si>
  <si>
    <t>L1-RP-10</t>
  </si>
  <si>
    <t>RP-10</t>
  </si>
  <si>
    <t>L1-ST-01</t>
  </si>
  <si>
    <t>L1-ST-02</t>
  </si>
  <si>
    <t>L1-ST-03</t>
  </si>
  <si>
    <t>L1-ST-10</t>
  </si>
  <si>
    <t>L1_140</t>
  </si>
  <si>
    <t>SPECIAL_EVENTS</t>
  </si>
  <si>
    <t>L2_006</t>
  </si>
  <si>
    <t>L2_007</t>
  </si>
  <si>
    <t>L2_008</t>
  </si>
  <si>
    <t>L2_009</t>
  </si>
  <si>
    <t>KDF_ROOM</t>
  </si>
  <si>
    <t>L2_010</t>
  </si>
  <si>
    <t>BREAKOUT_SPACE</t>
  </si>
  <si>
    <t>L2_011</t>
  </si>
  <si>
    <t>CTRCULATION_OFFICE</t>
  </si>
  <si>
    <t>L2_012</t>
  </si>
  <si>
    <t>OFFICE_SPEC_COL</t>
  </si>
  <si>
    <t>L2_013</t>
  </si>
  <si>
    <t>L2_014</t>
  </si>
  <si>
    <t>TRANSL_SPC_&amp;_EDI_PUBLICATIONS_SPC</t>
  </si>
  <si>
    <t>L2_015</t>
  </si>
  <si>
    <t>40_GROUP_STUDY_ROOM_5</t>
  </si>
  <si>
    <t>L2_016</t>
  </si>
  <si>
    <t>40_GROUP_STUDY_ROOM_6</t>
  </si>
  <si>
    <t>L2_017</t>
  </si>
  <si>
    <t>40_GROUP_STUDY_ROOM_7</t>
  </si>
  <si>
    <t>L2_018</t>
  </si>
  <si>
    <t>L2_021</t>
  </si>
  <si>
    <t>LIBR_COM_REO_&amp;_EVENTS_SPC</t>
  </si>
  <si>
    <t>L2_022</t>
  </si>
  <si>
    <t>ACADEMIC_PERS_LIBRARIA</t>
  </si>
  <si>
    <t>L2_023</t>
  </si>
  <si>
    <t>AD_ADMIN_&amp;_PLANNING</t>
  </si>
  <si>
    <t>L2_024</t>
  </si>
  <si>
    <t>OFFICE_COORD</t>
  </si>
  <si>
    <t>L2_025</t>
  </si>
  <si>
    <t>OPEN_OFFICE</t>
  </si>
  <si>
    <t>L2_041</t>
  </si>
  <si>
    <t>L2_042</t>
  </si>
  <si>
    <t>REST_ROOM</t>
  </si>
  <si>
    <t>L2_043</t>
  </si>
  <si>
    <t>SERVICE_&amp;_LOUNGE</t>
  </si>
  <si>
    <t>L2_044</t>
  </si>
  <si>
    <t>LIBDIRECTORS_ROOM</t>
  </si>
  <si>
    <t>L2_046</t>
  </si>
  <si>
    <t>VIP_MEETING</t>
  </si>
  <si>
    <t>L2_047</t>
  </si>
  <si>
    <t>L2_048</t>
  </si>
  <si>
    <t>VIP_WATING</t>
  </si>
  <si>
    <t>L2_049</t>
  </si>
  <si>
    <t>L2_050</t>
  </si>
  <si>
    <t>L2_051</t>
  </si>
  <si>
    <t>VIP_ROOM</t>
  </si>
  <si>
    <t>L2_070</t>
  </si>
  <si>
    <t>INDIVISTUDY_ROOM</t>
  </si>
  <si>
    <t>L2_071</t>
  </si>
  <si>
    <t>L2_072</t>
  </si>
  <si>
    <t>L2_073</t>
  </si>
  <si>
    <t>L2_074</t>
  </si>
  <si>
    <t>L2_075</t>
  </si>
  <si>
    <t>L2_076</t>
  </si>
  <si>
    <t>GROUP_STUDY_ROOM</t>
  </si>
  <si>
    <t>L2_077</t>
  </si>
  <si>
    <t>L2_079</t>
  </si>
  <si>
    <t>L2_081</t>
  </si>
  <si>
    <t>L2_085</t>
  </si>
  <si>
    <t>L2_087</t>
  </si>
  <si>
    <t>AUDITORIUM_HIGH_LEVLEL_IN_CEILING_VOID</t>
  </si>
  <si>
    <t>L2-L-1_1</t>
  </si>
  <si>
    <t>L2-L-1_2</t>
  </si>
  <si>
    <t>L2-L-3</t>
  </si>
  <si>
    <t>L2-L-4</t>
  </si>
  <si>
    <t>L2-ST-01</t>
  </si>
  <si>
    <t>L2-ST-02</t>
  </si>
  <si>
    <t>T1_020</t>
  </si>
  <si>
    <t>OPEN_LOUNGE_TERRACE</t>
  </si>
  <si>
    <t>T1_021</t>
  </si>
  <si>
    <t>OPEN_STUDY_TERRACE</t>
  </si>
  <si>
    <t>T1_323</t>
  </si>
  <si>
    <t>L1_144</t>
  </si>
  <si>
    <t>ILL_DIRECTOR</t>
  </si>
  <si>
    <t>L1_150</t>
  </si>
  <si>
    <t>T1_275</t>
  </si>
  <si>
    <t>T1_276</t>
  </si>
  <si>
    <t>T1_171</t>
  </si>
  <si>
    <t>T1_1714</t>
  </si>
  <si>
    <t>L2_088</t>
  </si>
  <si>
    <t>BRIDGE_RAISED_FLOOR</t>
  </si>
  <si>
    <t>B_140</t>
  </si>
  <si>
    <t>B_105</t>
  </si>
  <si>
    <t>SECURITY_CONTOL_ROOM</t>
  </si>
  <si>
    <t>B_212</t>
  </si>
  <si>
    <t>MISTING_PUMP_ROOM</t>
  </si>
  <si>
    <t>L1_104</t>
  </si>
  <si>
    <t>B_001A</t>
  </si>
  <si>
    <t>BREAK_OUT_AREA</t>
  </si>
  <si>
    <t>B_001</t>
  </si>
  <si>
    <t>B_056</t>
  </si>
  <si>
    <t>B_057</t>
  </si>
  <si>
    <t>B_59</t>
  </si>
  <si>
    <t>B_044</t>
  </si>
  <si>
    <t>BOH_KITCHEN</t>
  </si>
  <si>
    <t>L1_023</t>
  </si>
  <si>
    <t>B_061</t>
  </si>
  <si>
    <t>B_064</t>
  </si>
  <si>
    <t>CORRIDOR_2</t>
  </si>
  <si>
    <t>B_035</t>
  </si>
  <si>
    <t>CORRIDOR_4</t>
  </si>
  <si>
    <t>B_104A</t>
  </si>
  <si>
    <t>B_052</t>
  </si>
  <si>
    <t>CORRIDOR_3</t>
  </si>
  <si>
    <t>L1_990</t>
  </si>
  <si>
    <t>L1_991</t>
  </si>
  <si>
    <t>EXTERNAL_BOOK_DROP</t>
  </si>
  <si>
    <t>L2_992</t>
  </si>
  <si>
    <t>GULF_MATERIAL</t>
  </si>
  <si>
    <t>L2_993</t>
  </si>
  <si>
    <t>Asked me to confirm that all equipment in Controllable Asset Registry column A rows 779-1229 (QNL block) has been filtered and transposed into column D of 'QNL Room Names with Equip.', matching CAR column E to QNL column A, excluding assets with no value in column E.</t>
  </si>
  <si>
    <t>Read-only audit. Built the set of 451 QNL tags (CAR A779:A1229) with their column E entity, read every spilled value in QNL D2:AK1041, and reconciled the two sets both ways.</t>
  </si>
  <si>
    <t>451 tags, no duplicates. 2 have blank column E (VAV0001 row 931, VAV_B_S13_005 row 1134) - correctly excluded by rule, but they spill into QNL rows 338-1041 where column A is blank, because the FILTER test compares blank E to blank A and returns TRUE. 16 tags (VAV_B_S11_003 to _020, CAR rows 1086-1103) are missing entirely: CAR E reads entity:QNL_B_001_TECH_SERVICES_AND_COLLECTIONS_OFFICE while QNL A323 reads entity:QNL_B_001_TECH_SERVICES_&amp;_COLLECTIONS_OFFICE (AND vs &amp;). Remaining 433 tags all placed. All 1040 rows of column D carry the formula.</t>
  </si>
  <si>
    <t>Not fully confirmed: 433 of 449 eligible tags transposed. Awaiting user decision on (a) which spelling to standardise for the B.001 Tech Services room and (b) whether to stop the formula spilling into blank-column-A rows.</t>
  </si>
  <si>
    <t>TECH_SERVICES_AND_COLLECTIONS_OFFICE</t>
  </si>
  <si>
    <t>After editing QNL room names in A2:C337 and clearing rows 338 down, asked me to re-run the confirmation check.</t>
  </si>
  <si>
    <t>Re-ran the full two-way reconciliation of CAR A779:A1229 against the column D spills in 'QNL Room Names with Equip.', then spot-checked row 323 and the cleared tail rows.</t>
  </si>
  <si>
    <t>451 tags total, 449 eligible (2 blank-entity: VAV0001 row 931, VAV_B_S13_005 row 1134). All 449 eligible tags now found in column D - 0 missing. The AND vs &amp; mismatch is resolved: A323 now reads entity:QNL_B_001_TECH_SERVICES_AND_COLLECTIONS_OFFICE and returns its 16 VAVs (VAV_B_S11_003 to _020). The blank-entity leak is gone - column D formulas now stop at row 337 (336 rooms), and A338:E345 verified empty of both values and formulas. 172 of 336 rooms legitimately show 'No Equipment in entity'.</t>
  </si>
  <si>
    <t>Confirmed. QNL block fully reconciled: 449 of 449 eligible assets transposed, 2 correctly excluded for having no column E value, no spurious spill.</t>
  </si>
  <si>
    <t>Room Number</t>
  </si>
  <si>
    <t>Room Name</t>
  </si>
  <si>
    <t>GROUP_STUDY_ROOM_8</t>
  </si>
  <si>
    <t>L1_BR6</t>
  </si>
  <si>
    <t>BRIDGE_CEILING_VOID</t>
  </si>
  <si>
    <t>L1_BR5</t>
  </si>
  <si>
    <t>L1_BR4</t>
  </si>
  <si>
    <t>L1_BR3</t>
  </si>
  <si>
    <t>L1_BR2</t>
  </si>
  <si>
    <t>L1_BR1</t>
  </si>
  <si>
    <t>L1_BC1</t>
  </si>
  <si>
    <t>BRIDGE_CEILING</t>
  </si>
  <si>
    <t>L1_BC2</t>
  </si>
  <si>
    <t>L1_BI</t>
  </si>
  <si>
    <t>BRIDGE_IDF</t>
  </si>
  <si>
    <t>Asked me to redo the validation exercise on the QNL equipment mapping.</t>
  </si>
  <si>
    <t>Re-ran the two-way reconciliation, found 5 newly added rooms had no formula in column D, and filled D337 down to D338:D342.</t>
  </si>
  <si>
    <t>Initial re-run showed 16 eligible tags unplaced across 5 entities (L2_992_GULF_MATERIAL, L2_993_CORRIDOR, L1_BC1_BRIDGE_CEILING, L1_BC2_BRIDGE_CEILING, L1_BI_BRIDGE_IDF). Cause was structural, not a name mismatch: rooms were added at rows 338-342 in column A but the TRANSPOSE(FILTER(...)) formula still stopped at row 337. Copied D337 into D338:D342 (destination was empty, no overwrite). Also checked for duplicate CAR tags, duplicate placements, tags landing in the wrong room row, and spill errors - none found.</t>
  </si>
  <si>
    <t>Resolved. 449 of 449 eligible tags now placed, 0 missing, 0 misplaced, 0 errors. Formula rows in D now 341, matching the 341 rooms in column A. New rows returned 6, 7, 1, 1 and 1 asset respectively.</t>
  </si>
  <si>
    <t>Uploaded a photo of the QNL Honeywell DX Unit Summary HMI page and asked to copy the room numbers in for the equipment in column A, rows 1230-1253.</t>
  </si>
  <si>
    <t>Mapped the 24 DX units on the HMI screen to rows 1230-1253 and wrote room numbers into column D (not C - see details). Wrote D1234:D1252 (16 cells); left 3 cells blank with explanatory notes.</t>
  </si>
  <si>
    <t>User said column C, but C is the 'Included/Not Included' flag column and D is 'ROOM NAME AS PER DRAWINGS' - D1230:D1233 and D1243 already held B.081/B.082 matching the HMI, confirming D is the right target. Mapping: B01/B02=B.081; B03/B04/B14=B.082; B05/B06=B.083; B07/B16=B.095; B08/B09=B.084; B10=B.102; B12/B23=B.107; B13/B15=B.093; B17/B18/B19=B.045A; B20=B.092; B22=B.106. DX_B11 (Basement Zone 5) has no room number on the HMI; DX_B21 and DX_B24 are DX/RP roof units (Zone C) with no room number - notes added instead of values.</t>
  </si>
  <si>
    <t>Verified by re-reading A1230:D1253 - all 24 rows populated except D1240, D1250, D1253 which are intentionally blank with notes. Column C left untouched.</t>
  </si>
  <si>
    <t>Supplied a full QNL basement room name/number list and asked to prefix the room names before every room number already in column D, from row 1230 to the end of the QNL section.</t>
  </si>
  <si>
    <t>Determined QNL section spans rows 1230-1329 (row 1330 = SSC header). Populated names on 24 cells: D1230:D1252 (DX units) and D1301:D1311 (CCU units). Left 8 cells with bare room numbers and added explanatory notes.</t>
  </si>
  <si>
    <t>Format used: NAME + existing room number, e.g. 'MV ROOM B.081'. Only rows 1230-1253 and 1301-1311 held room numbers within the QNL block; all other QNL rows (HEX, EF, KEF, SEF, TEF, CHW pumps, generator) have empty column D so nothing to prefix. Unresolved: B.083 (rows 1234-1235) and B.045A (rows 1246-1248) do not appear in the supplied list; B.106 (row 1251) and B.141 (rows 1308-1309) each have two candidate names in the list. 'TRANSH CHAMBER B093' interpreted as TRASH CHAMBER. Rows 1240/1250/1253 hold Basement Zone 5 and ROOF ZONE C - no room number, left as-is.</t>
  </si>
  <si>
    <t>Verified by re-reading A1230:D1253 and A1301:D1311 - 24 cells now carry name + number; 8 flagged with notes pending user confirmation.</t>
  </si>
  <si>
    <t>B_083</t>
  </si>
  <si>
    <t>HV_ROOM</t>
  </si>
  <si>
    <t>B_045A</t>
  </si>
  <si>
    <t>REFRIGERATE_STORE</t>
  </si>
  <si>
    <t>P_004</t>
  </si>
  <si>
    <t>PLANT_ZONE</t>
  </si>
  <si>
    <t>B_055</t>
  </si>
  <si>
    <t>DIGITIZATION_CENTER</t>
  </si>
  <si>
    <t>B_214</t>
  </si>
  <si>
    <t>P_002</t>
  </si>
  <si>
    <t>P_007</t>
  </si>
  <si>
    <t>L1_067</t>
  </si>
  <si>
    <t>P_006</t>
  </si>
  <si>
    <t>L1-E2</t>
  </si>
  <si>
    <t>ELEC_SHAFT</t>
  </si>
  <si>
    <t>L1-E1</t>
  </si>
  <si>
    <t>User asked to re-run the validation of the QNL room/equipment mapping.</t>
  </si>
  <si>
    <t>Re-audited 'Controllable Asset Registry' A779:A1329 against column D of 'QNL Room Names with Equip.'. Read-only; no changes made.</t>
  </si>
  <si>
    <t>Source range in the column D TRANSPOSE(FILTER(...)) formulas has widened since the earlier audit, from A779:A1229 to A779:A1329, and now carries an if_empty argument returning "No Equipment in entity". Rooms in column A run to row 353 (352 entities) with matching formulas in D2:D353. Audited against the widened range: 551 asset tags, 537 with a non-blank column E entity. Also checked CAR rows below 1329 - 271 further assets exist but all carry SSC_ prefixed entities (different building), so ending the range at 1329 is correct and no QNL assets are excluded.</t>
  </si>
  <si>
    <t>Clean. 537 of 537 eligible assets placed in the correct room row; 0 unplaced, 0 misplaced, 0 orphans, 0 spill errors, no duplicate tags or duplicate room entities. 14 blank-entity assets correctly excluded with no leakage. 154 rooms legitimately show "No Equipment in entity".</t>
  </si>
  <si>
    <t>ROOM NAME PER VAV / FCU LIST (WHERE DIFFERENT)</t>
  </si>
  <si>
    <t>SECURITY CONTROL RM B.003</t>
  </si>
  <si>
    <t>HH SECURITY ROOM B.113</t>
  </si>
  <si>
    <t>FOOD STORAGE B.122</t>
  </si>
  <si>
    <t>FOOD STORAGE B.123</t>
  </si>
  <si>
    <t>WASTE BIN WASH UP B.124</t>
  </si>
  <si>
    <t>PRINT COPY ROOM G.031</t>
  </si>
  <si>
    <t>PRINT COPY ROOM G.017</t>
  </si>
  <si>
    <t>ESCAPE VESTIBULE 0.544</t>
  </si>
  <si>
    <t>ESCAPE VESTIBULE G.511</t>
  </si>
  <si>
    <t>PRINT COPY ROOM 1.112</t>
  </si>
  <si>
    <t>BRIDGE BR-2 2.701</t>
  </si>
  <si>
    <t>PRINT COPY ROOM 2.103</t>
  </si>
  <si>
    <t>LOUNGE 2.207</t>
  </si>
  <si>
    <t>FITNESS STUDIO 2.208</t>
  </si>
  <si>
    <t>OFFICE 2.209</t>
  </si>
  <si>
    <t>STAFF WAFTING ROOM 2.210</t>
  </si>
  <si>
    <t>BEAUTY SALON 2.211</t>
  </si>
  <si>
    <t>TREATMENT ROOM 2.212</t>
  </si>
  <si>
    <t>CHANGING ROOM 2.213</t>
  </si>
  <si>
    <t>TREATMENT ROOM 2.214</t>
  </si>
  <si>
    <t>TREATMENT ROOM 2.215</t>
  </si>
  <si>
    <t>RELAXATION 2.216</t>
  </si>
  <si>
    <t>RELAXATION 2.201</t>
  </si>
  <si>
    <t>TREATMENT ROOM 2.202</t>
  </si>
  <si>
    <t>TREATMENT ROOM 2.203</t>
  </si>
  <si>
    <t>TREATMENT ROOM 2.204</t>
  </si>
  <si>
    <t>CHANGING ROOM 2.205</t>
  </si>
  <si>
    <t>ENTRANCE 2.206</t>
  </si>
  <si>
    <t>LOBBY 2.603</t>
  </si>
  <si>
    <t>PLANT ROOM SE</t>
  </si>
  <si>
    <t>PRINT COPY ROOM 3.203</t>
  </si>
  <si>
    <t>PRINT COPY ROOM 3.103</t>
  </si>
  <si>
    <t>BRIDGE BR-3B 3.63</t>
  </si>
  <si>
    <t>BRIDGE BR-3</t>
  </si>
  <si>
    <t>PRINT COPY ROOM 04.202</t>
  </si>
  <si>
    <t>GSM ROOM 04.214</t>
  </si>
  <si>
    <t>BRIDGE BR-5 04.701</t>
  </si>
  <si>
    <t>BRIDGE BR-4 04.702</t>
  </si>
  <si>
    <t>BRIDGE BR-4 04.703</t>
  </si>
  <si>
    <t>PRINT COPY ROOM 04.110</t>
  </si>
  <si>
    <t>PRINT COPY ROOM 5.103</t>
  </si>
  <si>
    <t>BRIDGE BR-6 06.604</t>
  </si>
  <si>
    <t>BRIDGE BR-7 5.602</t>
  </si>
  <si>
    <t>BRIDGE BR-8 07.602</t>
  </si>
  <si>
    <t>PRINT COPY ROOM 06.104</t>
  </si>
  <si>
    <t>PRINT COPY ROOM 06.208</t>
  </si>
  <si>
    <t>PRINT COPY ROOM 7.101</t>
  </si>
  <si>
    <t>PRINT COPY ROOM 7.104</t>
  </si>
  <si>
    <t>IDF ROOM 01.512</t>
  </si>
  <si>
    <t>PRINT COPY ROOM 10.038</t>
  </si>
  <si>
    <t>PRINT COPY ROOM 10.014</t>
  </si>
  <si>
    <t>AV ROOM 10.111</t>
  </si>
  <si>
    <t>AV ROOM 11.101</t>
  </si>
  <si>
    <t>MCC HOUSING 01 12.002</t>
  </si>
  <si>
    <t>MCC HOUSING 02 12.002</t>
  </si>
  <si>
    <t>MCC HOUSING 03 12.003</t>
  </si>
  <si>
    <t>MCC HOUSING 04 12.003</t>
  </si>
  <si>
    <t>MCC HOUSING 05 12.004</t>
  </si>
  <si>
    <t>CSRR &amp; VSD ROOM 12</t>
  </si>
  <si>
    <t>AV ROOM IN VISITOR CENTER 09.112</t>
  </si>
  <si>
    <t>LOBBY B.103</t>
  </si>
  <si>
    <t>MALE BREAK ROOM B.110</t>
  </si>
  <si>
    <t>PR &amp; MARKET MANAGER G.011</t>
  </si>
  <si>
    <t>VISITORS CENT OFFICE G.014</t>
  </si>
  <si>
    <t>PR &amp; MARKET STAFF G.018</t>
  </si>
  <si>
    <t>PR &amp; MARKET STAFF G.019</t>
  </si>
  <si>
    <t>PR &amp; MARKET STAFF G.020</t>
  </si>
  <si>
    <t>PR &amp; MARKET STAFF G.021</t>
  </si>
  <si>
    <t>PR &amp; MARKET SECRETARY G.022</t>
  </si>
  <si>
    <t>CORRIDOR NE</t>
  </si>
  <si>
    <t>LOBBY NW</t>
  </si>
  <si>
    <t>AUDITORIUM STAIRS LOBBY G.006</t>
  </si>
  <si>
    <t>CORRIDOR SOUTH WEST SW</t>
  </si>
  <si>
    <t>PR &amp; MARKET STAFF G.030</t>
  </si>
  <si>
    <t>PR &amp; MARKET STAFF G.029</t>
  </si>
  <si>
    <t>PR &amp; MARKET DIR ENSUIT G.028</t>
  </si>
  <si>
    <t>E-TOWER LOBBY SE</t>
  </si>
  <si>
    <t>CONSULTANT SPACE TRAINEES G.108</t>
  </si>
  <si>
    <t>FINANCE PROFSTAFF 1.014</t>
  </si>
  <si>
    <t>FINANCE PROFSTAFF 1.015</t>
  </si>
  <si>
    <t>FINANCE DIRENSUIT 1.017</t>
  </si>
  <si>
    <t>FINANCE SECRETARY 1.021</t>
  </si>
  <si>
    <t>FINANCE SECRETARY 1.022</t>
  </si>
  <si>
    <t>FINANCE AUDITOR 1.023</t>
  </si>
  <si>
    <t>FINANCE AUDITOR 1.024</t>
  </si>
  <si>
    <t>FINANCE PROFSTAFF 1.025</t>
  </si>
  <si>
    <t>FINANCE PROFSTAFF 1.026</t>
  </si>
  <si>
    <t>FINANCE AUDITOR 1.027</t>
  </si>
  <si>
    <t>FINANCE CLERICAL SEC 1.001</t>
  </si>
  <si>
    <t>FINANCE MANAGERS 1.002</t>
  </si>
  <si>
    <t>FINANCE PROFSTAFF 1.006</t>
  </si>
  <si>
    <t>FINANCE CLERICAL PROFSTAFF 1.007</t>
  </si>
  <si>
    <t>FINANCE METTING ROOM 1.108</t>
  </si>
  <si>
    <t>COLSULTANT SPACE TRAINEES 1.109</t>
  </si>
  <si>
    <t>PRAYERS ROOM 1.105</t>
  </si>
  <si>
    <t>CORRIDOR SOUTH EAST SE</t>
  </si>
  <si>
    <t>CORRIDOR SOUTH EAST</t>
  </si>
  <si>
    <t>FINANCE SECURE STO 1.111</t>
  </si>
  <si>
    <t>STAFF CAFETERIA (WASHING ROOM) 01.705</t>
  </si>
  <si>
    <t>SUPP SERVICEDIR ENSUIT 2.018</t>
  </si>
  <si>
    <t>SUPP SERVICEADMINIST 2.019</t>
  </si>
  <si>
    <t>SUPPT SERVICEADMINIST 2.020</t>
  </si>
  <si>
    <t>SUPP SERVICEADMINIST 2.021</t>
  </si>
  <si>
    <t>SUPP SERVICESECRETARY 2.022</t>
  </si>
  <si>
    <t>SUPP SERVICEADMINIST 2.023</t>
  </si>
  <si>
    <t>SUPP SERVICEADMINIST 2.024</t>
  </si>
  <si>
    <t>SUPP SERVICEADMINIST 2.025</t>
  </si>
  <si>
    <t>SUPP SERVICESECRETARY 2.026</t>
  </si>
  <si>
    <t>SUPP SERVICEADMINIST 2.027</t>
  </si>
  <si>
    <t>SUPP SERVICEADMINIST 2.028</t>
  </si>
  <si>
    <t>SUPP SERVICEADMINIST 2.029</t>
  </si>
  <si>
    <t>SUPP SERVICESECRETARY 2.030</t>
  </si>
  <si>
    <t>SUPP SERVICEADMINIST 2.031</t>
  </si>
  <si>
    <t>SUPP SERVICEADMINIST 2.032</t>
  </si>
  <si>
    <t>SUPP SERVICEADMINIST 2.033</t>
  </si>
  <si>
    <t>SUPP SERVICESECRETARY 2.034</t>
  </si>
  <si>
    <t>SUPP SERVICEADMINIST 2.035</t>
  </si>
  <si>
    <t>SUPP SERVICEADMINIST 2.036</t>
  </si>
  <si>
    <t>SHELL SPACE 02.110</t>
  </si>
  <si>
    <t>SHELL SPACE 2.109</t>
  </si>
  <si>
    <t>SUPPSERVMEETING ROOM 2.108</t>
  </si>
  <si>
    <t>CONSULTANTS SPACE OTHERS 2.104</t>
  </si>
  <si>
    <t>CONSULTANTS SPACE OTHERS 2.102</t>
  </si>
  <si>
    <t>SUPPSERVSECRETARY 2.017</t>
  </si>
  <si>
    <t>SUPPSERVADMINIST 2.016</t>
  </si>
  <si>
    <t>SUPPSERVADMINIST 2.015</t>
  </si>
  <si>
    <t>SUPPSERVADMINIST 2.014</t>
  </si>
  <si>
    <t>SUPPSERVSECRETARY 2.013</t>
  </si>
  <si>
    <t>SUPPSERVADMINIST 2.012</t>
  </si>
  <si>
    <t>SUPPSERVADMINIST 2.011</t>
  </si>
  <si>
    <t>SUPPSERVADMINIST 2.010</t>
  </si>
  <si>
    <t>SUPPSERVSECRETARY 2.009</t>
  </si>
  <si>
    <t>DOHA DEBATE EXECUTIVE 2.008</t>
  </si>
  <si>
    <t>DOHA DEBATE EXECUTIVE 2.007</t>
  </si>
  <si>
    <t>DOHA DEBATE EXECUTIVE 2.006</t>
  </si>
  <si>
    <t>DOHA DEBATE EXECUTIVE 2.005</t>
  </si>
  <si>
    <t>DOHA DEBATE SECRETARY 2.004</t>
  </si>
  <si>
    <t>DOHA DEBATE EXECUTIVE 2.003</t>
  </si>
  <si>
    <t>DOHA DEBATE EXECUTIVE 2.002</t>
  </si>
  <si>
    <t>SHELL SPACE 02.101</t>
  </si>
  <si>
    <t>HR IMMIGSTAFF 3.017</t>
  </si>
  <si>
    <t>HR IMMIGSTAFF 3.018</t>
  </si>
  <si>
    <t>HR IMMIGSTAFF 3.019</t>
  </si>
  <si>
    <t>HR IMMIGSTAFF 3.020</t>
  </si>
  <si>
    <t>HR IMMIGSTAFF 3.021</t>
  </si>
  <si>
    <t>HR IMMIGSECRETARY 3.022</t>
  </si>
  <si>
    <t>HR IMMIGSTAFF 3.023</t>
  </si>
  <si>
    <t>HR IMMIGSTAFF 3.024</t>
  </si>
  <si>
    <t>HR IMMIGSTAFF 3.025</t>
  </si>
  <si>
    <t>HR IMMIGSTAFF 3.026</t>
  </si>
  <si>
    <t>HR IMMIGSTAFF 3.027</t>
  </si>
  <si>
    <t>HR IMMIGSTAFF 3.028</t>
  </si>
  <si>
    <t>HR IMMIGSTAFF 3.029</t>
  </si>
  <si>
    <t>HR IMMIGSTAFF 3.030</t>
  </si>
  <si>
    <t>HR IMMIGSTAFF 3.031</t>
  </si>
  <si>
    <t>HR IMMIGSTAFF 3.032</t>
  </si>
  <si>
    <t>SHELL SPACE 03.108</t>
  </si>
  <si>
    <t>SHELL SPACE 03.105</t>
  </si>
  <si>
    <t>HR IMMIGSECRETARY 3.104</t>
  </si>
  <si>
    <t>HR IMMIGSTAFF 3.012</t>
  </si>
  <si>
    <t>HR IMMIGSTAFF 3.013</t>
  </si>
  <si>
    <t>HR IMMIGSTAFF 3.014</t>
  </si>
  <si>
    <t>HR IMMIGSTAFF 3.015</t>
  </si>
  <si>
    <t>HR IMMIGSTAFF 3.016</t>
  </si>
  <si>
    <t>HR IMMIGSTAFF 3.003</t>
  </si>
  <si>
    <t>HR IMMIGSTAFF 3.004</t>
  </si>
  <si>
    <t>HR IMMIGSTAFF 3.005</t>
  </si>
  <si>
    <t>HR IMMIGSTAFF 3.006</t>
  </si>
  <si>
    <t>HR IMMIGSTAFF 3.007</t>
  </si>
  <si>
    <t>HR IMMIGSTAFF 3.008</t>
  </si>
  <si>
    <t>HR IMMIGSTORAGE 3.009</t>
  </si>
  <si>
    <t>HR IMMIGSTAFF 3.010</t>
  </si>
  <si>
    <t>HR IMMIGSTAFF 3.011</t>
  </si>
  <si>
    <t>SHELL SPACE 3.101</t>
  </si>
  <si>
    <t>HR IMMIGSTAFF 3.002</t>
  </si>
  <si>
    <t>CORRIDOR SW</t>
  </si>
  <si>
    <t>SHELL SPACE B 03.202B</t>
  </si>
  <si>
    <t>SHELL SPACE A 03.202A</t>
  </si>
  <si>
    <t>HR IMMIGIMMIGRATION 3.205</t>
  </si>
  <si>
    <t>HR IMMIGMANAGER 3.206</t>
  </si>
  <si>
    <t>HR IMMIGMANAGER 3.207</t>
  </si>
  <si>
    <t>HR IMMIGMANAGER 3.208</t>
  </si>
  <si>
    <t>HR IMMIGMANAGER 3.209</t>
  </si>
  <si>
    <t>HR IMMIG OFFICERS 3.210</t>
  </si>
  <si>
    <t>HR IMMIGMANAGER 3.211</t>
  </si>
  <si>
    <t>HR IMMIGSECRETARY 3.212</t>
  </si>
  <si>
    <t>HR IMMIGDIRENSUIT 3.213</t>
  </si>
  <si>
    <t>IT SECRETARY 3.214</t>
  </si>
  <si>
    <t>IT DIRECTOR ENSUIT 3.215</t>
  </si>
  <si>
    <t>PROC&amp; CONTRLSECRETARY 3.216</t>
  </si>
  <si>
    <t>PROC&amp; CONTRLDIRENSUIT 3.201</t>
  </si>
  <si>
    <t>HR IMMIGMEETING ROOM 3.301</t>
  </si>
  <si>
    <t>HR IMMIGMEETING ROOM 3.302</t>
  </si>
  <si>
    <t>STR PL DIR ENSUIT 04.005</t>
  </si>
  <si>
    <t>SHELL SPACE C 04.015C</t>
  </si>
  <si>
    <t>SHELL SPACE A 04.015A</t>
  </si>
  <si>
    <t>VP EDU STORGE 04.109</t>
  </si>
  <si>
    <t>STR PL DIR ARCHIVE ROOM 04.108</t>
  </si>
  <si>
    <t>STR PL DIR TECHNSTAFF 04.107</t>
  </si>
  <si>
    <t>STR PL DIREXECSECRETARY 04.003</t>
  </si>
  <si>
    <t>SHELL SPACE B 04.001B</t>
  </si>
  <si>
    <t>SHELL SPACE D 04.001D</t>
  </si>
  <si>
    <t>SHELL SPACE F 04.001F</t>
  </si>
  <si>
    <t>SHELL SPACE G 04.001G</t>
  </si>
  <si>
    <t>SHELL SPACE 04.102</t>
  </si>
  <si>
    <t>SHELL SPACE 04.101</t>
  </si>
  <si>
    <t>SHELL SPACE 04.201</t>
  </si>
  <si>
    <t>SHELL SPACE 04.204</t>
  </si>
  <si>
    <t>VP ADMN MANAGER 04.205</t>
  </si>
  <si>
    <t>VP ADMN MANAGER 04.206</t>
  </si>
  <si>
    <t>VP ADMN SUPPSECRET 04.208</t>
  </si>
  <si>
    <t>VP ADMN MANAGER 04.209</t>
  </si>
  <si>
    <t>VP ADMN MANAGER 04.210</t>
  </si>
  <si>
    <t>VP ADMN MANAGER 04.211</t>
  </si>
  <si>
    <t>VP ADMNPERSASSIST 04.212</t>
  </si>
  <si>
    <t>VP ADMNENSUIT 04.213</t>
  </si>
  <si>
    <t>VP ADMNMEETING ROOM 04.301</t>
  </si>
  <si>
    <t>CORRIDOR SE</t>
  </si>
  <si>
    <t>VP EDU OFCDIRENSUIT 5.012</t>
  </si>
  <si>
    <t>VP EDU SECRETARY 5.013</t>
  </si>
  <si>
    <t>VP EDU ASSISTANT 5.014</t>
  </si>
  <si>
    <t>VP EDU ASSISTANT 5.015</t>
  </si>
  <si>
    <t>VP EDU ASSISTANT 5.016</t>
  </si>
  <si>
    <t>VP EDU ASSISTANT 5.017</t>
  </si>
  <si>
    <t>VP EDU OFFICERS 5.018</t>
  </si>
  <si>
    <t>VP EDU OFFICERS 5.019</t>
  </si>
  <si>
    <t>VP EDU OFFICERS 5.020</t>
  </si>
  <si>
    <t>VP EDU OFFICERS 5.021</t>
  </si>
  <si>
    <t>VP EDU OFFICERS 5.022</t>
  </si>
  <si>
    <t>VP EDU OFFICERS 5.023</t>
  </si>
  <si>
    <t>VP EDU SECRETARY 5.024</t>
  </si>
  <si>
    <t>VP EDU OFCDIRENSUIT 5.025</t>
  </si>
  <si>
    <t>VP EDU ASSISTANT 5.026</t>
  </si>
  <si>
    <t>CORRIDOR -</t>
  </si>
  <si>
    <t>VP EDU OFFICERS 5.110</t>
  </si>
  <si>
    <t>VP EDU ASSISTANT 5.109</t>
  </si>
  <si>
    <t>VP EDU ASSISTANT 5.108</t>
  </si>
  <si>
    <t>VP EDU SUPPSECRETARIES 5.107</t>
  </si>
  <si>
    <t>VP EDU OFFDIRENSUIT 5.002</t>
  </si>
  <si>
    <t>VP EDU SECRETARY 5.003</t>
  </si>
  <si>
    <t>VP EDU MEMBERS OF EDU 5.201</t>
  </si>
  <si>
    <t>VP EDU MEMBERS OF EDU 5.202</t>
  </si>
  <si>
    <t>VP EDU MEMBERS OF EDU 5.203</t>
  </si>
  <si>
    <t>VP EDU MEETING ROOM 5.205</t>
  </si>
  <si>
    <t>VP EDU MEMBERS OF EDU 5.206</t>
  </si>
  <si>
    <t>VP EDU MEMBERS OF EDU 5.207</t>
  </si>
  <si>
    <t>VP EDU MEMBERS OF EDU 5.208</t>
  </si>
  <si>
    <t>VP EDU MEMBERS OF EDU 5.209</t>
  </si>
  <si>
    <t>VP EDU CHPEXECSECRET 5.211</t>
  </si>
  <si>
    <t>VP EDU MEMBERS OF EDU 5.212</t>
  </si>
  <si>
    <t>VP EDU OFCDIRENSUIT 5.213</t>
  </si>
  <si>
    <t>VP EDU OFFICERS 5.027</t>
  </si>
  <si>
    <t>INTAUDIT SENJNTAUD 06.012</t>
  </si>
  <si>
    <t>INTAUDIT SECRETARY 06.013</t>
  </si>
  <si>
    <t>ACA AUDIT SUPP AUDIT 06.014</t>
  </si>
  <si>
    <t>ACA AUDIT SUPP AUDIT 06.015</t>
  </si>
  <si>
    <t>ACA AUDIT SUPP AUDIT 06.016</t>
  </si>
  <si>
    <t>ACA AUDIT SUPP AUDIT 06.017</t>
  </si>
  <si>
    <t>ACA AUDIT SUPP AUDIT 06.018</t>
  </si>
  <si>
    <t>ACA AUDIT SUPP AUDIT 06.019</t>
  </si>
  <si>
    <t>ACA AUDIT SUPP AUDIT 06.020</t>
  </si>
  <si>
    <t>ACA AUDIT SECRETARY 06.021</t>
  </si>
  <si>
    <t>ACA AUDIT SECRETARY 06.022</t>
  </si>
  <si>
    <t>ACA AUDIT ACA SENAUD 06.023</t>
  </si>
  <si>
    <t>ACA AUDIT ACA SENAUD 06.024</t>
  </si>
  <si>
    <t>FACILITY MANAGER SEC 06.025</t>
  </si>
  <si>
    <t>FACILITY MANDIRENSUIT 06.026</t>
  </si>
  <si>
    <t>VP CAPITAL CONSULTANT 06.027</t>
  </si>
  <si>
    <t>VP CAPITAL CONSULTANT 06.028</t>
  </si>
  <si>
    <t>VP CAPITAL WORK ASST 06.109</t>
  </si>
  <si>
    <t>VP CAPITAL PROJCOOR 06.108</t>
  </si>
  <si>
    <t>INTAUDIT SUPPAUDIT 06.009</t>
  </si>
  <si>
    <t>INTAUDIT SECRETARY 06.010</t>
  </si>
  <si>
    <t>INTAUDIT SENJNTAUD 06.011</t>
  </si>
  <si>
    <t>INTAUDSUPPAUDIT 06.002</t>
  </si>
  <si>
    <t>INTAUDSUPPAUDIT 06.003</t>
  </si>
  <si>
    <t>INTAUDSUPPAUDIT 06.004</t>
  </si>
  <si>
    <t>INTAUDSUPPAUDIT 06.005</t>
  </si>
  <si>
    <t>INTAUDSUPPAUDIT 06.006</t>
  </si>
  <si>
    <t>INTAUDSUPPAUDIT 06.007</t>
  </si>
  <si>
    <t>INTAUDSUPPAUDIT 06.008</t>
  </si>
  <si>
    <t>SHELL SPACE 06.103</t>
  </si>
  <si>
    <t>SHELL SPACE 06.102</t>
  </si>
  <si>
    <t>SHELL SPACE 06.101</t>
  </si>
  <si>
    <t>ACA AUDIT ARCHIVE 06.001</t>
  </si>
  <si>
    <t>VP CAPITAL PROJMANAGER 06.201</t>
  </si>
  <si>
    <t>VP CAPITAL PROJMANAGER 06.202</t>
  </si>
  <si>
    <t>VP CAPITAL PROJMANAGER 06.204</t>
  </si>
  <si>
    <t>VP CAPITAL CONSULTANT 06.205</t>
  </si>
  <si>
    <t>VP CAPITAL SECRETARIES 06.207</t>
  </si>
  <si>
    <t>VP CAPITAL SECRETARIES 06.210</t>
  </si>
  <si>
    <t>VP CAPITAL SECRETARIES 06.211</t>
  </si>
  <si>
    <t>VP CAPITAL DIRENSUIT 06.212</t>
  </si>
  <si>
    <t>CORRIDOR 6.603</t>
  </si>
  <si>
    <t>CA SECRETARY 7.018</t>
  </si>
  <si>
    <t>BD UNIT SECRETARY 7.019</t>
  </si>
  <si>
    <t>BD UNIT EXECUTIVE 7.020</t>
  </si>
  <si>
    <t>BD UNIT EXECUTIVE 7.021</t>
  </si>
  <si>
    <t>BD UNIT EXECUTIVE 7.022</t>
  </si>
  <si>
    <t>BD UNIT EXECUTIVE 7.023</t>
  </si>
  <si>
    <t>BD UNIT EXECUTIVE 7.024</t>
  </si>
  <si>
    <t>BD UNIT EXECUTIVE 7.025</t>
  </si>
  <si>
    <t>BD UNIT EXECUTIVE 7.026</t>
  </si>
  <si>
    <t>BD UNIT EXECUTIVE 7.027</t>
  </si>
  <si>
    <t>BD UNIT EXECUTIVE 7.028</t>
  </si>
  <si>
    <t>SHELL SPACE 7.030</t>
  </si>
  <si>
    <t>SHELL SPACE 7.031A</t>
  </si>
  <si>
    <t>CORRIDOR 7.601</t>
  </si>
  <si>
    <t>SHELL SPACE 7.032</t>
  </si>
  <si>
    <t>DOCS UNIT EMPLOYEE 07.001</t>
  </si>
  <si>
    <t>DOCS UNIT MULTIMEDIA STU 07.002</t>
  </si>
  <si>
    <t>DOCS UNIT EMPLOYEE 7.003</t>
  </si>
  <si>
    <t>DOCS UNIT EMPLOYEE 7.004</t>
  </si>
  <si>
    <t>DOCS UNIT EMPLOYEE 7.005</t>
  </si>
  <si>
    <t>DOCS UNIT EMPLOYEE 7.006</t>
  </si>
  <si>
    <t>PRESIDENT EXECOFF 7.202</t>
  </si>
  <si>
    <t>PRESSEXECOFFICE 7.204</t>
  </si>
  <si>
    <t>PRESSEXECOFFICE 07.206</t>
  </si>
  <si>
    <t>PRESSEXECOFFICE 7.205</t>
  </si>
  <si>
    <t>PRESSSUPPSECRET 7.208</t>
  </si>
  <si>
    <t>PRESSEXECSECRET 7.209</t>
  </si>
  <si>
    <t>PRESSEXECSECRET 7.210</t>
  </si>
  <si>
    <t>PRESSIDENT ENSUIT 7.211</t>
  </si>
  <si>
    <t>PRESSIDENT MEETINF RM 7.212</t>
  </si>
  <si>
    <t>VICE CHAIRPENSUIT 7.213</t>
  </si>
  <si>
    <t>VICE CHAIRPSECT 7.214</t>
  </si>
  <si>
    <t>VICE CHAIRPMEETING RM 7.215</t>
  </si>
  <si>
    <t>E-TOWER CORRIDOR 06.301</t>
  </si>
  <si>
    <t>VISITORS CENTER CORRIDOR 08.201</t>
  </si>
  <si>
    <t>BMO EXECASSIST 9.011</t>
  </si>
  <si>
    <t>BMO EXECASSIST 9.012</t>
  </si>
  <si>
    <t>BMO EXECASSIST 9.013</t>
  </si>
  <si>
    <t>BMO EXECASSIST 9.014</t>
  </si>
  <si>
    <t>BMO EXECASSIST 9.015</t>
  </si>
  <si>
    <t>BMO EXECASSIST 9.016</t>
  </si>
  <si>
    <t>BMO EXECASSIST 9.017</t>
  </si>
  <si>
    <t>BMO EXECSECRET 9.018</t>
  </si>
  <si>
    <t>BMO EXECSECRET 9.019</t>
  </si>
  <si>
    <t>BMO EXECSECRET 9.020</t>
  </si>
  <si>
    <t>BMO OPERDIRENSUIT 9.021</t>
  </si>
  <si>
    <t>BMO EXECASSIST 9.022</t>
  </si>
  <si>
    <t>BMO EXECSECRET 9.023</t>
  </si>
  <si>
    <t>BMO EXECSECRET 9.024</t>
  </si>
  <si>
    <t>BMO EXECSECRET 9.025</t>
  </si>
  <si>
    <t>BMO SUPPSECRET 9.026</t>
  </si>
  <si>
    <t>BMO SUPPSECRET 9.027</t>
  </si>
  <si>
    <t>BMO SUPPSECRET 9.028</t>
  </si>
  <si>
    <t>BMO SUPPSECRET 9.029</t>
  </si>
  <si>
    <t>BMO SUPPSECRET 9.030</t>
  </si>
  <si>
    <t>BMO PRINT STORAGE 9.032</t>
  </si>
  <si>
    <t>HR EDUADVADVENSUIT 9.033</t>
  </si>
  <si>
    <t>HR EDUADVADVENSUIT 9.034</t>
  </si>
  <si>
    <t>HR EDUADVADVENSUIT 9.035</t>
  </si>
  <si>
    <t>BOD SECRETARY 9.037</t>
  </si>
  <si>
    <t>BOD SECRETARY 9.038</t>
  </si>
  <si>
    <t>HH-WING CORRIDOR SW</t>
  </si>
  <si>
    <t>BMO SAFE ROOM 9.040</t>
  </si>
  <si>
    <t>LOUNGE NW</t>
  </si>
  <si>
    <t>OUTSIDE SHEIKA WING DINING AREA 9.110</t>
  </si>
  <si>
    <t>SHEIKA WING DINING AREA SE</t>
  </si>
  <si>
    <t>OUTSIDE SHEIKA WING DINING AREA 9.11</t>
  </si>
  <si>
    <t>SHEIKA WING ARCHIVE 10.005</t>
  </si>
  <si>
    <t>EXECDIRARCH COORD 10.006</t>
  </si>
  <si>
    <t>EXECDIRARCH COORD 10.007</t>
  </si>
  <si>
    <t>PROTOCOL DIRSCHEDOFF 10.008</t>
  </si>
  <si>
    <t>PROTOCOL DIRCEREMOFF 10.009</t>
  </si>
  <si>
    <t>PROTOCOL DIRCEREMOFF 10.010</t>
  </si>
  <si>
    <t>PROTOCOL DIRCEREMOFF 10.011</t>
  </si>
  <si>
    <t>PROTOCOL DIRTR/VISOFF 10.012</t>
  </si>
  <si>
    <t>PROTOCOL DIRTR/VISOFF 10.013</t>
  </si>
  <si>
    <t>PROTOCOL DIRSCHEDOFF 10.015</t>
  </si>
  <si>
    <t>PLANDIRPLANNING ANAL 10.016</t>
  </si>
  <si>
    <t>PLANDIRSTRATPLNER 10.017</t>
  </si>
  <si>
    <t>PLANNINGDIREXTCOORD 10.018</t>
  </si>
  <si>
    <t>POLICY DIRSEN POLANA 10.019</t>
  </si>
  <si>
    <t>POLICY DIRSEN RES ANA 10.020</t>
  </si>
  <si>
    <t>POLICY DIR RESEARCH ANA 10.021</t>
  </si>
  <si>
    <t>POLICY DIR RESEARCH ANA 10.022</t>
  </si>
  <si>
    <t>SHSERVDIRHR OFFICER 10.023</t>
  </si>
  <si>
    <t>SHSERVDIRHR ASSISTANT 10.024</t>
  </si>
  <si>
    <t>SHSERVDIRPROC REPRE 10.025</t>
  </si>
  <si>
    <t>SHSERVDIRSRVCE COORD 10.026</t>
  </si>
  <si>
    <t>SHSERVDIRGENSERVSUPERV 10.027</t>
  </si>
  <si>
    <t>SHSERVDIRFINANCE CONTROL 10.028</t>
  </si>
  <si>
    <t>SHSERVDIRTR&amp;GUSERV 10.029</t>
  </si>
  <si>
    <t>COMMUNICDIRCOMM DESIGR 10.031</t>
  </si>
  <si>
    <t>COMMUNICDIRSPEECH EDITR 10.032</t>
  </si>
  <si>
    <t>COMMUNICDIR TRANSLATOR 10.033</t>
  </si>
  <si>
    <t>COMMUNICDIRPUBCOMMCOORD 10.034</t>
  </si>
  <si>
    <t>SHSERVDIRIT SUPPOFCR 10.035</t>
  </si>
  <si>
    <t>SHSERVDIRACCOUNT 10.036</t>
  </si>
  <si>
    <t>SHSERVDIRSENACCOUNT 10.037</t>
  </si>
  <si>
    <t>BOARD RMWAITING AREA 10.003</t>
  </si>
  <si>
    <t>EXECDIRARCH COORD 10.004</t>
  </si>
  <si>
    <t>BOARD PREPROOM 10.109</t>
  </si>
  <si>
    <t>TRANSLATER ROOM 10.112</t>
  </si>
  <si>
    <t>CORRIDOR 10.601</t>
  </si>
  <si>
    <t>CORRIDO 10.102</t>
  </si>
  <si>
    <t>SHELL SPACE E 10.002E</t>
  </si>
  <si>
    <t>SHELL SPACE C 10.002D</t>
  </si>
  <si>
    <t>SHELL SPACE B 10.002C</t>
  </si>
  <si>
    <t>SHELL SPACE A 10.002A</t>
  </si>
  <si>
    <t>PLANNING DIR DIR PLANNING 11.012</t>
  </si>
  <si>
    <t>EXECDIRCORRF -UP 11.013</t>
  </si>
  <si>
    <t>EXECDIRCORRMANAGER 11.014</t>
  </si>
  <si>
    <t>EXECDIRCORRF-UP 11.015</t>
  </si>
  <si>
    <t>EXECDIRLEGAL ASSIST 11.016</t>
  </si>
  <si>
    <t>EXECDIRLEGAL ADVISOR 11.017</t>
  </si>
  <si>
    <t>EXECDIREXECASSIST 11.018</t>
  </si>
  <si>
    <t>EXECDIRDEPEXECDIRECTOR 11.019</t>
  </si>
  <si>
    <t>EXECDIREXECASSIST 11.020</t>
  </si>
  <si>
    <t>EXECDIREXECDIRECTOR 11.021</t>
  </si>
  <si>
    <t>SHEIKA WING WAITING ROOM 11.022</t>
  </si>
  <si>
    <t>SHEIKA WING SECURITY ROOM 11.023</t>
  </si>
  <si>
    <t>COMMUNICATION DIRECTOR 11.001</t>
  </si>
  <si>
    <t>COMMUDIRMEDRELOFFICER 11.002</t>
  </si>
  <si>
    <t>SHSERV DIR SHARED SERV 11.003</t>
  </si>
  <si>
    <t>EXECDIRECTOR ADMASSIST 11.004</t>
  </si>
  <si>
    <t>PROTOCOL DIRPROTCL DIR 11.005</t>
  </si>
  <si>
    <t>PROTOCOL DIRGIFTS DIR 11.006</t>
  </si>
  <si>
    <t>EXECDIRCONSULTANT 11.008</t>
  </si>
  <si>
    <t>SECRETARY 11.009</t>
  </si>
  <si>
    <t>POLICY DIROF POL &amp; RES 11.010</t>
  </si>
  <si>
    <t>SHEIKA WING WAITING AREA NW</t>
  </si>
  <si>
    <t>SHEIKA WING WAITING AREA 11.103</t>
  </si>
  <si>
    <t>SHEIKA WING LOBBY 11.201</t>
  </si>
  <si>
    <t>SHEIKHA WING SHEIKHA EN 11.208</t>
  </si>
  <si>
    <t>LEVEL / VISITOR CENTER 09</t>
  </si>
  <si>
    <t>FEMALE BREAK ROOM B.109</t>
  </si>
  <si>
    <t>SHELL SPACE B 04.015B</t>
  </si>
  <si>
    <t>SHELL SPACE A 04.001A</t>
  </si>
  <si>
    <t>SHELL SPACE E 04.001E</t>
  </si>
  <si>
    <t>SHELL SPACE C 04.001C</t>
  </si>
  <si>
    <t>SHELL SPACE H 04.001H</t>
  </si>
  <si>
    <t>SHELL SPACE D 10.002B</t>
  </si>
  <si>
    <t>EXECDIRCONSULTANT 11.007</t>
  </si>
  <si>
    <t>SHEIKA WING CORRIDOR NE</t>
  </si>
  <si>
    <t>entity:HQ_5.202_PRINT_COPY</t>
  </si>
  <si>
    <t>ROOM PER BMS SCREEN</t>
  </si>
  <si>
    <t>G.531 IDF ROOM</t>
  </si>
  <si>
    <t>G.031 COPY PRINT</t>
  </si>
  <si>
    <t>G.005 CONTROL CENTER</t>
  </si>
  <si>
    <t>B.512 IDF ROOM</t>
  </si>
  <si>
    <t>1.114 STAFF LOUNGE STORAGE</t>
  </si>
  <si>
    <t>G.008 CONTROL ROOM</t>
  </si>
  <si>
    <t>G.010 PR &amp; MARKET STAFF</t>
  </si>
  <si>
    <t>G.011 PR &amp; MARKET MANAG.</t>
  </si>
  <si>
    <t>G.012 PR &amp; MARKET STAFF</t>
  </si>
  <si>
    <t>G.014 VISITOR OFFICE</t>
  </si>
  <si>
    <t>G.015 PR &amp; MARKET STAFF</t>
  </si>
  <si>
    <t>G.018 PR &amp; MARKET STAFF</t>
  </si>
  <si>
    <t>G.019 PR &amp; MARKET STAFF</t>
  </si>
  <si>
    <t>G.020 PR &amp; MARKET STAFF</t>
  </si>
  <si>
    <t>G.021 PR &amp; MARKET STAFF</t>
  </si>
  <si>
    <t>G.022 PR &amp; MARKET SECRETARY</t>
  </si>
  <si>
    <t>G.601 CORRIDOR</t>
  </si>
  <si>
    <t>G.105 SHOP</t>
  </si>
  <si>
    <t>G.104 LOBBY</t>
  </si>
  <si>
    <t>G.029 PR &amp; MARKET STAFF</t>
  </si>
  <si>
    <t>G.028 PR &amp; MARKET DIR. ENSUIT</t>
  </si>
  <si>
    <t>G.107 E-TOWER LOBBY</t>
  </si>
  <si>
    <t>G.101 CONFERENCE ROOM</t>
  </si>
  <si>
    <t>G.108 CONSULTANT SPACE</t>
  </si>
  <si>
    <t>1.101 STAFF LOUNGE</t>
  </si>
  <si>
    <t>1.706 WASHING AREA</t>
  </si>
  <si>
    <t>B.116 LOBBY</t>
  </si>
  <si>
    <t>G.013 PR &amp; MARKET STAFF</t>
  </si>
  <si>
    <t>G.103 BMS ROOM</t>
  </si>
  <si>
    <t>B.117 CHAUFFER ROOM</t>
  </si>
  <si>
    <t>1.512 IDF ROOM</t>
  </si>
  <si>
    <t>1.112 PRINT COPY</t>
  </si>
  <si>
    <t>2.209 SPA OFFICE</t>
  </si>
  <si>
    <t>2.210</t>
  </si>
  <si>
    <t>2.211 SPA FM BEAUTY SALON</t>
  </si>
  <si>
    <t>2.216 SPA FM RELAXATION</t>
  </si>
  <si>
    <t>2.311 SPA MALE HEAT EXP</t>
  </si>
  <si>
    <t>1.011 MANAGER</t>
  </si>
  <si>
    <t>1.012 MANAGER</t>
  </si>
  <si>
    <t>1.013 MANAGER</t>
  </si>
  <si>
    <t>1.014 FINANCE STAFF</t>
  </si>
  <si>
    <t>1.015 FINANCE STAFF</t>
  </si>
  <si>
    <t>1.016 SECRETARY</t>
  </si>
  <si>
    <t>1.020 FINANCE MANAGER</t>
  </si>
  <si>
    <t>1.002 MANAGER</t>
  </si>
  <si>
    <t>1.003 MANAGER</t>
  </si>
  <si>
    <t>1.005 FINANCE SECRETARY</t>
  </si>
  <si>
    <t>1.006 FINANCE STAFF</t>
  </si>
  <si>
    <t>1.007 FINANCE STAFF</t>
  </si>
  <si>
    <t>1.108 FINANCE MEETING ROOM</t>
  </si>
  <si>
    <t>1.109 CONSULTANT SPACE</t>
  </si>
  <si>
    <t>1.106 FINANCE ROOM</t>
  </si>
  <si>
    <t>1.701 STAFF CAFETERIA</t>
  </si>
  <si>
    <t>2.028 ADMIN</t>
  </si>
  <si>
    <t>2.036 ADMIN</t>
  </si>
  <si>
    <t>2.110A OFFICE SPACE</t>
  </si>
  <si>
    <t>2.014 SUPP. SER. ADMIN</t>
  </si>
  <si>
    <t>2.013 SUPP. SER. SECRETARY</t>
  </si>
  <si>
    <t>2.012 SUPP. SER. ADMIN</t>
  </si>
  <si>
    <t>2.011 SUPP. SER. ADMIN</t>
  </si>
  <si>
    <t>2.006 DEBATE EXECUTIVE</t>
  </si>
  <si>
    <t>2.005 DEBATE EXECUTIVE</t>
  </si>
  <si>
    <t>2.004 DEBATE SECRETARY</t>
  </si>
  <si>
    <t>entity:HQ_G.030_PR_&amp;_MARKET_STAFF</t>
  </si>
  <si>
    <t>FINANCE CASHIER 1.116</t>
  </si>
  <si>
    <t>entity:HQ_1.116_FINANCE_CASHIER</t>
  </si>
  <si>
    <t>FINANCE ROOM 1.106</t>
  </si>
  <si>
    <t>entity:HQ_1.106_FINANCE_SECURE_ROOM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</si>
</sst>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4" x14ac:knownFonts="1">
    <font>
      <sz val="11"/>
      <color theme="1"/>
      <name val="Calibri"/>
      <family val="2"/>
      <charset val="1"/>
    </font>
    <font>
      <b/>
      <sz val="15"/>
      <color rgb="FFFFFFFF"/>
      <name val="Arial"/>
      <family val="2"/>
    </font>
    <font>
      <b/>
      <sz val="9"/>
      <color rgb="FFFFFFFF"/>
      <name val="Arial"/>
      <family val="2"/>
    </font>
    <font>
      <sz val="9"/>
      <name val="Arial"/>
      <family val="2"/>
    </font>
    <font>
      <b/>
      <sz val="10"/>
      <color rgb="FFFFFFFF"/>
      <name val="Arial"/>
      <family val="2"/>
    </font>
    <font>
      <b/>
      <sz val="9"/>
      <name val="Arial"/>
      <family val="2"/>
    </font>
    <font>
      <sz val="9"/>
      <name val="Arial"/>
      <family val="2"/>
    </font>
    <font>
      <b/>
      <sz val="9"/>
      <name val="Arial"/>
      <family val="2"/>
    </font>
    <font>
      <b/>
      <sz val="11"/>
      <color theme="1"/>
      <name val="Calibri"/>
      <family val="2"/>
    </font>
    <font>
      <b/>
      <sz val="11"/>
      <color rgb="FFFFFFFF"/>
      <name val="Calibri"/>
      <family val="2"/>
      <charset val="1"/>
    </font>
    <font>
      <b/>
      <sz val="9"/>
      <color rgb="FF000000"/>
      <name val="Segoe UI"/>
      <family val="2"/>
    </font>
    <font>
      <sz val="9"/>
      <name val="Segoe UI"/>
      <family val="2"/>
    </font>
    <font>
      <sz val="8"/>
      <name val="Calibri"/>
      <family val="2"/>
      <charset val="1"/>
    </font>
    <font>
      <b/>
      <sz val="12"/>
      <color theme="1"/>
      <name val="Calibri"/>
      <family val="2"/>
      <charset val="1"/>
    </font>
  </fonts>
  <fills count="13">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5F5F5"/>
      </patternFill>
    </fill>
    <fill>
      <patternFill patternType="solid">
        <fgColor rgb="FFF5F5F5"/>
        <bgColor rgb="FFFFFFFF"/>
      </patternFill>
    </fill>
    <fill>
      <patternFill patternType="solid">
        <fgColor theme="0" tint="-0.499984740745262"/>
        <bgColor indexed="64"/>
      </patternFill>
    </fill>
    <fill>
      <patternFill patternType="solid">
        <fgColor rgb="FF1F4E79"/>
        <bgColor indexed="64"/>
      </patternFill>
    </fill>
    <fill>
      <patternFill patternType="solid">
        <fgColor rgb="FFFFFF00"/>
        <bgColor indexed="64"/>
      </patternFill>
    </fill>
    <fill>
      <patternFill patternType="solid">
        <fgColor rgb="FFC8C8C8"/>
        <bgColor rgb="FF000000"/>
      </patternFill>
    </fill>
    <fill>
      <patternFill patternType="solid">
        <fgColor rgb="FFFFFF00"/>
        <bgColor rgb="FFFFFF00"/>
      </patternFill>
    </fill>
    <fill>
      <patternFill patternType="solid">
        <fgColor rgb="FF00B050"/>
        <bgColor indexed="64"/>
      </patternFill>
    </fill>
    <fill>
      <patternFill patternType="solid">
        <fgColor rgb="FF00B050"/>
        <bgColor rgb="FFFFF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34">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xf>
    <xf numFmtId="0" fontId="3" fillId="0" borderId="1" xfId="0" applyFont="1" applyBorder="1" applyAlignment="1">
      <alignment horizontal="center"/>
    </xf>
    <xf numFmtId="0" fontId="2" fillId="2" borderId="1" xfId="0" applyFont="1" applyFill="1" applyBorder="1" applyAlignment="1">
      <alignment horizontal="center"/>
    </xf>
    <xf numFmtId="0" fontId="4" fillId="3" borderId="2" xfId="0" applyFont="1" applyFill="1" applyBorder="1"/>
    <xf numFmtId="0" fontId="6" fillId="4" borderId="1" xfId="0" applyFont="1" applyFill="1" applyBorder="1" applyAlignment="1">
      <alignment horizontal="center" vertical="center"/>
    </xf>
    <xf numFmtId="0" fontId="7" fillId="5" borderId="1" xfId="0" applyFont="1" applyFill="1" applyBorder="1" applyAlignment="1">
      <alignment horizontal="center"/>
    </xf>
    <xf numFmtId="0" fontId="9" fillId="7" borderId="0" xfId="0" applyFont="1" applyFill="1"/>
    <xf numFmtId="14" fontId="0" fillId="0" borderId="0" xfId="0" applyNumberFormat="1"/>
    <xf numFmtId="0" fontId="0" fillId="8" borderId="0" xfId="0" applyFill="1"/>
    <xf numFmtId="0" fontId="2" fillId="2" borderId="5" xfId="0" applyFont="1" applyFill="1" applyBorder="1" applyAlignment="1">
      <alignment horizontal="center" vertical="center" wrapText="1"/>
    </xf>
    <xf numFmtId="0" fontId="2" fillId="0" borderId="1" xfId="0" applyFont="1" applyBorder="1" applyAlignment="1">
      <alignment horizontal="center" vertical="center" wrapText="1"/>
    </xf>
    <xf numFmtId="0" fontId="10" fillId="9" borderId="6" xfId="0" applyFont="1" applyFill="1" applyBorder="1"/>
    <xf numFmtId="0" fontId="10" fillId="9" borderId="7" xfId="0" applyFont="1" applyFill="1" applyBorder="1"/>
    <xf numFmtId="0" fontId="11" fillId="0" borderId="8" xfId="0" applyFont="1" applyBorder="1" applyAlignment="1">
      <alignment wrapText="1"/>
    </xf>
    <xf numFmtId="0" fontId="11" fillId="0" borderId="9" xfId="0" applyFont="1" applyBorder="1" applyAlignment="1">
      <alignment wrapText="1"/>
    </xf>
    <xf numFmtId="0" fontId="10" fillId="9" borderId="10" xfId="0" applyFont="1" applyFill="1" applyBorder="1"/>
    <xf numFmtId="164" fontId="0" fillId="0" borderId="0" xfId="0" applyNumberFormat="1"/>
    <xf numFmtId="165" fontId="0" fillId="0" borderId="0" xfId="0" applyNumberFormat="1"/>
    <xf numFmtId="0" fontId="0" fillId="10" borderId="0" xfId="0" applyFill="1"/>
    <xf numFmtId="0" fontId="13" fillId="0" borderId="0" xfId="0" applyFont="1"/>
    <xf numFmtId="49" fontId="0" fillId="0" borderId="0" xfId="0" applyNumberFormat="1"/>
    <xf numFmtId="0" fontId="0" fillId="11" borderId="0" xfId="0" applyFill="1"/>
    <xf numFmtId="0" fontId="0" fillId="12" borderId="0" xfId="0" applyFill="1"/>
    <xf numFmtId="0" fontId="1" fillId="2" borderId="0" xfId="0" applyFont="1" applyFill="1" applyAlignment="1">
      <alignment horizontal="center" vertical="center"/>
    </xf>
    <xf numFmtId="0" fontId="0" fillId="0" borderId="0" xfId="0"/>
    <xf numFmtId="0" fontId="8" fillId="6" borderId="0" xfId="0" applyFont="1" applyFill="1" applyAlignment="1">
      <alignment horizontal="left"/>
    </xf>
    <xf numFmtId="0" fontId="3" fillId="4" borderId="1" xfId="0" applyFont="1" applyFill="1" applyBorder="1" applyAlignment="1">
      <alignment horizontal="center" vertical="center"/>
    </xf>
    <xf numFmtId="0" fontId="0" fillId="0" borderId="4" xfId="0" applyBorder="1"/>
    <xf numFmtId="0" fontId="4" fillId="3" borderId="1" xfId="0" applyFont="1" applyFill="1" applyBorder="1" applyAlignment="1">
      <alignment horizontal="center"/>
    </xf>
    <xf numFmtId="0" fontId="0" fillId="0" borderId="3" xfId="0" applyBorder="1"/>
    <xf numFmtId="0" fontId="0" fillId="0"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1A8AF-2451-46A0-84EF-8CA32219AB0E}">
  <we:reference id="WA200009404" version="1.0.0.8" store="Omex" storeType="OMEX"/>
  <we:alternateReferences>
    <we:reference id="WA200009404" version="1.0.0.8" store="WA200009404" storeType="OMEX"/>
  </we:alternateReferences>
  <we:properties>
    <we:property name="claude.fileId" value="&quot;735b78b4-f50d-44a7-bcd6-8483aa9808f9&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workbookViewId="0">
      <selection sqref="A1:D1"/>
    </sheetView>
  </sheetViews>
  <sheetFormatPr defaultRowHeight="14.4" x14ac:dyDescent="0.3"/>
  <cols>
    <col min="1" max="1" width="8.33203125" customWidth="1"/>
    <col min="2" max="2" width="13" customWidth="1"/>
    <col min="3" max="6" width="40.77734375" customWidth="1"/>
  </cols>
  <sheetData>
    <row r="1" spans="1:6" x14ac:dyDescent="0.3">
      <c r="A1" s="9" t="s">
        <v>2760</v>
      </c>
      <c r="B1" s="9" t="s">
        <v>2761</v>
      </c>
      <c r="C1" s="9" t="s">
        <v>2762</v>
      </c>
      <c r="D1" s="9" t="s">
        <v>2763</v>
      </c>
      <c r="E1" s="9" t="s">
        <v>2764</v>
      </c>
      <c r="F1" s="9" t="s">
        <v>2765</v>
      </c>
    </row>
    <row r="2" spans="1:6" x14ac:dyDescent="0.3">
      <c r="A2">
        <v>1</v>
      </c>
      <c r="B2" s="10">
        <v>46244</v>
      </c>
      <c r="C2" t="s">
        <v>2766</v>
      </c>
      <c r="D2" t="s">
        <v>2767</v>
      </c>
      <c r="E2" t="s">
        <v>2768</v>
      </c>
      <c r="F2" t="s">
        <v>2769</v>
      </c>
    </row>
    <row r="3" spans="1:6" x14ac:dyDescent="0.3">
      <c r="A3">
        <v>3</v>
      </c>
      <c r="B3" s="10">
        <v>46244</v>
      </c>
      <c r="C3" t="s">
        <v>2770</v>
      </c>
      <c r="D3" t="s">
        <v>2771</v>
      </c>
      <c r="E3" t="s">
        <v>2772</v>
      </c>
      <c r="F3" t="s">
        <v>2773</v>
      </c>
    </row>
    <row r="4" spans="1:6" x14ac:dyDescent="0.3">
      <c r="A4">
        <v>4</v>
      </c>
      <c r="B4" s="10">
        <v>46244</v>
      </c>
      <c r="C4" t="s">
        <v>2774</v>
      </c>
      <c r="D4" t="s">
        <v>2775</v>
      </c>
      <c r="E4" t="s">
        <v>2776</v>
      </c>
      <c r="F4" t="s">
        <v>2777</v>
      </c>
    </row>
    <row r="5" spans="1:6" x14ac:dyDescent="0.3">
      <c r="A5">
        <v>5</v>
      </c>
      <c r="B5" s="10">
        <v>46244</v>
      </c>
      <c r="C5" t="s">
        <v>2778</v>
      </c>
      <c r="D5" t="s">
        <v>2779</v>
      </c>
      <c r="E5" t="s">
        <v>2780</v>
      </c>
      <c r="F5" t="s">
        <v>2781</v>
      </c>
    </row>
    <row r="6" spans="1:6" x14ac:dyDescent="0.3">
      <c r="A6">
        <v>6</v>
      </c>
      <c r="B6" s="10">
        <v>46245</v>
      </c>
      <c r="C6" t="s">
        <v>2782</v>
      </c>
      <c r="D6" t="s">
        <v>2783</v>
      </c>
      <c r="E6" t="s">
        <v>2784</v>
      </c>
      <c r="F6" t="s">
        <v>2785</v>
      </c>
    </row>
    <row r="7" spans="1:6" x14ac:dyDescent="0.3">
      <c r="A7">
        <v>7</v>
      </c>
      <c r="B7" s="10">
        <v>46245</v>
      </c>
      <c r="C7" t="s">
        <v>2786</v>
      </c>
      <c r="D7" t="s">
        <v>2787</v>
      </c>
      <c r="E7" t="s">
        <v>2788</v>
      </c>
      <c r="F7" t="s">
        <v>2789</v>
      </c>
    </row>
    <row r="8" spans="1:6" x14ac:dyDescent="0.3">
      <c r="A8">
        <v>8</v>
      </c>
      <c r="B8" s="10">
        <v>46245</v>
      </c>
      <c r="C8" t="s">
        <v>2790</v>
      </c>
      <c r="D8" t="s">
        <v>2791</v>
      </c>
      <c r="E8" t="s">
        <v>2792</v>
      </c>
      <c r="F8" t="s">
        <v>2793</v>
      </c>
    </row>
    <row r="9" spans="1:6" x14ac:dyDescent="0.3">
      <c r="A9">
        <v>9</v>
      </c>
      <c r="B9" s="10">
        <v>46245</v>
      </c>
      <c r="C9" t="s">
        <v>2794</v>
      </c>
      <c r="D9" t="s">
        <v>2795</v>
      </c>
      <c r="E9" t="s">
        <v>2796</v>
      </c>
      <c r="F9" t="s">
        <v>2797</v>
      </c>
    </row>
    <row r="10" spans="1:6" x14ac:dyDescent="0.3">
      <c r="A10">
        <v>10</v>
      </c>
      <c r="B10" s="10">
        <v>46245</v>
      </c>
      <c r="C10" t="s">
        <v>2798</v>
      </c>
      <c r="D10" t="s">
        <v>2799</v>
      </c>
      <c r="E10" t="s">
        <v>2800</v>
      </c>
      <c r="F10" t="s">
        <v>2801</v>
      </c>
    </row>
    <row r="11" spans="1:6" x14ac:dyDescent="0.3">
      <c r="A11">
        <v>11</v>
      </c>
      <c r="B11" s="10">
        <v>46245</v>
      </c>
      <c r="C11" t="s">
        <v>2802</v>
      </c>
      <c r="D11" t="s">
        <v>2803</v>
      </c>
      <c r="E11" t="s">
        <v>2804</v>
      </c>
      <c r="F11" t="s">
        <v>2805</v>
      </c>
    </row>
    <row r="12" spans="1:6" x14ac:dyDescent="0.3">
      <c r="A12">
        <v>12</v>
      </c>
      <c r="B12" s="10">
        <v>46245</v>
      </c>
      <c r="C12" t="s">
        <v>2806</v>
      </c>
      <c r="D12" t="s">
        <v>2807</v>
      </c>
      <c r="E12" t="s">
        <v>2808</v>
      </c>
      <c r="F12" t="s">
        <v>2809</v>
      </c>
    </row>
    <row r="13" spans="1:6" x14ac:dyDescent="0.3">
      <c r="A13">
        <v>13</v>
      </c>
      <c r="B13" s="10">
        <v>46245</v>
      </c>
      <c r="C13" t="s">
        <v>2810</v>
      </c>
      <c r="D13" t="s">
        <v>2811</v>
      </c>
      <c r="E13" t="s">
        <v>2812</v>
      </c>
      <c r="F13" t="s">
        <v>2813</v>
      </c>
    </row>
    <row r="14" spans="1:6" x14ac:dyDescent="0.3">
      <c r="A14">
        <v>14</v>
      </c>
      <c r="B14" s="10">
        <v>46245</v>
      </c>
      <c r="C14" t="s">
        <v>2814</v>
      </c>
      <c r="D14" t="s">
        <v>2815</v>
      </c>
      <c r="E14" t="s">
        <v>2816</v>
      </c>
      <c r="F14" t="s">
        <v>2817</v>
      </c>
    </row>
    <row r="15" spans="1:6" x14ac:dyDescent="0.3">
      <c r="A15">
        <v>15</v>
      </c>
      <c r="B15" s="10">
        <v>46245</v>
      </c>
      <c r="C15" t="s">
        <v>2818</v>
      </c>
      <c r="D15" t="s">
        <v>2819</v>
      </c>
      <c r="E15" t="s">
        <v>2820</v>
      </c>
      <c r="F15" t="s">
        <v>2821</v>
      </c>
    </row>
    <row r="16" spans="1:6" x14ac:dyDescent="0.3">
      <c r="A16">
        <v>16</v>
      </c>
      <c r="B16" s="10">
        <v>46246</v>
      </c>
      <c r="C16" t="s">
        <v>2822</v>
      </c>
      <c r="D16" t="s">
        <v>2823</v>
      </c>
      <c r="E16" t="s">
        <v>2824</v>
      </c>
      <c r="F16" t="s">
        <v>2825</v>
      </c>
    </row>
    <row r="17" spans="1:6" x14ac:dyDescent="0.3">
      <c r="A17">
        <v>17</v>
      </c>
      <c r="B17" s="10">
        <v>46246</v>
      </c>
      <c r="C17" t="s">
        <v>2826</v>
      </c>
      <c r="D17" t="s">
        <v>2827</v>
      </c>
      <c r="E17" t="s">
        <v>2828</v>
      </c>
      <c r="F17" t="s">
        <v>2829</v>
      </c>
    </row>
    <row r="18" spans="1:6" x14ac:dyDescent="0.3">
      <c r="A18">
        <v>18</v>
      </c>
      <c r="B18" s="10">
        <v>46246</v>
      </c>
      <c r="C18" t="s">
        <v>2830</v>
      </c>
      <c r="D18" t="s">
        <v>2831</v>
      </c>
      <c r="E18" t="s">
        <v>2832</v>
      </c>
      <c r="F18" t="s">
        <v>2833</v>
      </c>
    </row>
    <row r="19" spans="1:6" x14ac:dyDescent="0.3">
      <c r="A19">
        <v>19</v>
      </c>
      <c r="B19" s="10">
        <v>46246</v>
      </c>
      <c r="C19" t="s">
        <v>2834</v>
      </c>
      <c r="D19" t="s">
        <v>2835</v>
      </c>
      <c r="E19" t="s">
        <v>2836</v>
      </c>
      <c r="F19" t="s">
        <v>2837</v>
      </c>
    </row>
    <row r="20" spans="1:6" x14ac:dyDescent="0.3">
      <c r="A20">
        <v>20</v>
      </c>
      <c r="B20" s="10">
        <v>46246</v>
      </c>
      <c r="C20" t="s">
        <v>2838</v>
      </c>
      <c r="D20" t="s">
        <v>2839</v>
      </c>
      <c r="E20" t="s">
        <v>2840</v>
      </c>
      <c r="F20" t="s">
        <v>2841</v>
      </c>
    </row>
    <row r="21" spans="1:6" x14ac:dyDescent="0.3">
      <c r="A21">
        <v>21</v>
      </c>
      <c r="B21" s="10">
        <v>46246</v>
      </c>
      <c r="C21" t="s">
        <v>2842</v>
      </c>
      <c r="D21" t="s">
        <v>2843</v>
      </c>
      <c r="E21" t="s">
        <v>2844</v>
      </c>
      <c r="F21" t="s">
        <v>2845</v>
      </c>
    </row>
    <row r="22" spans="1:6" x14ac:dyDescent="0.3">
      <c r="A22">
        <v>22</v>
      </c>
      <c r="B22" s="10">
        <v>46246</v>
      </c>
      <c r="C22" t="s">
        <v>2846</v>
      </c>
      <c r="D22" t="s">
        <v>2847</v>
      </c>
      <c r="E22" t="s">
        <v>2848</v>
      </c>
      <c r="F22" t="s">
        <v>2849</v>
      </c>
    </row>
    <row r="23" spans="1:6" x14ac:dyDescent="0.3">
      <c r="A23">
        <v>23</v>
      </c>
      <c r="B23" s="10">
        <v>46246</v>
      </c>
      <c r="C23" t="s">
        <v>2850</v>
      </c>
      <c r="D23" t="s">
        <v>2851</v>
      </c>
      <c r="E23" t="s">
        <v>2852</v>
      </c>
      <c r="F23" t="s">
        <v>2853</v>
      </c>
    </row>
    <row r="24" spans="1:6" x14ac:dyDescent="0.3">
      <c r="A24">
        <v>24</v>
      </c>
      <c r="B24" s="10">
        <v>46246</v>
      </c>
      <c r="C24" t="s">
        <v>2854</v>
      </c>
      <c r="D24" t="s">
        <v>2855</v>
      </c>
      <c r="E24" t="s">
        <v>2856</v>
      </c>
      <c r="F24" t="s">
        <v>2857</v>
      </c>
    </row>
    <row r="25" spans="1:6" x14ac:dyDescent="0.3">
      <c r="A25">
        <v>25</v>
      </c>
      <c r="B25" s="10">
        <v>46246</v>
      </c>
      <c r="C25" t="s">
        <v>2858</v>
      </c>
      <c r="D25" t="s">
        <v>2859</v>
      </c>
      <c r="E25" t="s">
        <v>2860</v>
      </c>
      <c r="F25" t="s">
        <v>2861</v>
      </c>
    </row>
    <row r="26" spans="1:6" x14ac:dyDescent="0.3">
      <c r="A26">
        <v>26</v>
      </c>
      <c r="B26" s="10">
        <v>46246</v>
      </c>
      <c r="C26" t="s">
        <v>2862</v>
      </c>
      <c r="D26" t="s">
        <v>2863</v>
      </c>
      <c r="E26" t="s">
        <v>2864</v>
      </c>
      <c r="F26" t="s">
        <v>2865</v>
      </c>
    </row>
    <row r="27" spans="1:6" x14ac:dyDescent="0.3">
      <c r="A27">
        <v>27</v>
      </c>
      <c r="B27" s="10">
        <v>46246</v>
      </c>
      <c r="C27" t="s">
        <v>2866</v>
      </c>
      <c r="D27" t="s">
        <v>2867</v>
      </c>
      <c r="E27" t="s">
        <v>2868</v>
      </c>
      <c r="F27" t="s">
        <v>2869</v>
      </c>
    </row>
    <row r="28" spans="1:6" x14ac:dyDescent="0.3">
      <c r="A28">
        <v>28</v>
      </c>
      <c r="B28" s="10">
        <v>46246</v>
      </c>
      <c r="C28" t="s">
        <v>2870</v>
      </c>
      <c r="D28" t="s">
        <v>2871</v>
      </c>
      <c r="E28" t="s">
        <v>2872</v>
      </c>
      <c r="F28" t="s">
        <v>2873</v>
      </c>
    </row>
    <row r="29" spans="1:6" x14ac:dyDescent="0.3">
      <c r="A29">
        <v>29</v>
      </c>
      <c r="B29" s="10">
        <v>46246</v>
      </c>
      <c r="C29" t="s">
        <v>2874</v>
      </c>
      <c r="D29" t="s">
        <v>2875</v>
      </c>
      <c r="E29" t="s">
        <v>2876</v>
      </c>
      <c r="F29" t="s">
        <v>2877</v>
      </c>
    </row>
    <row r="30" spans="1:6" x14ac:dyDescent="0.3">
      <c r="A30">
        <v>30</v>
      </c>
      <c r="B30" s="10">
        <v>46246</v>
      </c>
      <c r="C30" t="s">
        <v>2878</v>
      </c>
      <c r="D30" t="s">
        <v>2879</v>
      </c>
      <c r="E30" t="s">
        <v>2880</v>
      </c>
      <c r="F30" t="s">
        <v>2881</v>
      </c>
    </row>
    <row r="31" spans="1:6" x14ac:dyDescent="0.3">
      <c r="A31">
        <v>31</v>
      </c>
      <c r="B31" s="10">
        <v>46246</v>
      </c>
      <c r="C31" t="s">
        <v>2882</v>
      </c>
      <c r="D31" t="s">
        <v>2883</v>
      </c>
      <c r="E31" t="s">
        <v>2884</v>
      </c>
      <c r="F31" t="s">
        <v>2885</v>
      </c>
    </row>
    <row r="32" spans="1:6" x14ac:dyDescent="0.3">
      <c r="A32">
        <v>32</v>
      </c>
      <c r="B32" s="10">
        <v>46246</v>
      </c>
      <c r="C32" t="s">
        <v>2886</v>
      </c>
      <c r="D32" t="s">
        <v>2887</v>
      </c>
      <c r="E32" t="s">
        <v>2888</v>
      </c>
      <c r="F32" t="s">
        <v>2889</v>
      </c>
    </row>
    <row r="33" spans="1:6" x14ac:dyDescent="0.3">
      <c r="A33">
        <v>33</v>
      </c>
      <c r="B33" s="10">
        <v>46246</v>
      </c>
      <c r="C33" t="s">
        <v>2890</v>
      </c>
      <c r="D33" t="s">
        <v>2891</v>
      </c>
      <c r="E33" t="s">
        <v>2892</v>
      </c>
      <c r="F33" t="s">
        <v>2893</v>
      </c>
    </row>
    <row r="34" spans="1:6" x14ac:dyDescent="0.3">
      <c r="A34">
        <v>34</v>
      </c>
      <c r="B34" s="10">
        <v>46246</v>
      </c>
      <c r="C34" t="s">
        <v>2894</v>
      </c>
      <c r="D34" t="s">
        <v>2895</v>
      </c>
      <c r="E34" t="s">
        <v>2896</v>
      </c>
      <c r="F34" t="s">
        <v>2897</v>
      </c>
    </row>
    <row r="35" spans="1:6" x14ac:dyDescent="0.3">
      <c r="A35">
        <v>35</v>
      </c>
      <c r="B35" s="10">
        <v>46246</v>
      </c>
      <c r="C35" t="s">
        <v>2898</v>
      </c>
      <c r="D35" t="s">
        <v>2899</v>
      </c>
      <c r="E35" t="s">
        <v>2900</v>
      </c>
      <c r="F35" t="s">
        <v>2901</v>
      </c>
    </row>
    <row r="36" spans="1:6" x14ac:dyDescent="0.3">
      <c r="A36">
        <v>36</v>
      </c>
      <c r="B36" s="10">
        <v>46246</v>
      </c>
      <c r="C36" t="s">
        <v>2902</v>
      </c>
      <c r="D36" t="s">
        <v>2903</v>
      </c>
      <c r="E36" t="s">
        <v>2904</v>
      </c>
      <c r="F36" t="s">
        <v>2905</v>
      </c>
    </row>
    <row r="37" spans="1:6" x14ac:dyDescent="0.3">
      <c r="A37">
        <v>37</v>
      </c>
      <c r="B37" s="10">
        <v>46246</v>
      </c>
      <c r="C37" t="s">
        <v>2906</v>
      </c>
      <c r="D37" t="s">
        <v>2907</v>
      </c>
      <c r="E37" t="s">
        <v>2908</v>
      </c>
      <c r="F37" t="s">
        <v>2909</v>
      </c>
    </row>
    <row r="38" spans="1:6" x14ac:dyDescent="0.3">
      <c r="A38">
        <v>38</v>
      </c>
      <c r="B38" s="10">
        <v>46246</v>
      </c>
      <c r="C38" t="s">
        <v>2910</v>
      </c>
      <c r="D38" t="s">
        <v>2911</v>
      </c>
      <c r="E38" t="s">
        <v>2912</v>
      </c>
      <c r="F38" t="s">
        <v>2913</v>
      </c>
    </row>
    <row r="39" spans="1:6" x14ac:dyDescent="0.3">
      <c r="A39">
        <v>39</v>
      </c>
      <c r="B39" s="19">
        <v>46248</v>
      </c>
      <c r="C39" t="s">
        <v>2914</v>
      </c>
      <c r="D39" t="s">
        <v>2915</v>
      </c>
      <c r="E39" t="s">
        <v>2916</v>
      </c>
      <c r="F39" t="s">
        <v>2917</v>
      </c>
    </row>
    <row r="40" spans="1:6" x14ac:dyDescent="0.3">
      <c r="A40">
        <v>40</v>
      </c>
      <c r="B40" s="19">
        <v>46248</v>
      </c>
      <c r="C40" t="s">
        <v>2918</v>
      </c>
      <c r="D40" t="s">
        <v>2919</v>
      </c>
      <c r="E40" t="s">
        <v>2920</v>
      </c>
      <c r="F40" t="s">
        <v>2921</v>
      </c>
    </row>
    <row r="41" spans="1:6" x14ac:dyDescent="0.3">
      <c r="A41">
        <v>41</v>
      </c>
      <c r="B41" s="19">
        <v>46248</v>
      </c>
      <c r="C41" t="s">
        <v>2922</v>
      </c>
      <c r="D41" t="s">
        <v>2923</v>
      </c>
      <c r="E41" t="s">
        <v>2924</v>
      </c>
      <c r="F41" t="s">
        <v>2925</v>
      </c>
    </row>
    <row r="42" spans="1:6" x14ac:dyDescent="0.3">
      <c r="A42">
        <v>42</v>
      </c>
      <c r="B42" s="10">
        <v>46251</v>
      </c>
      <c r="C42" t="s">
        <v>2926</v>
      </c>
      <c r="D42" t="s">
        <v>2927</v>
      </c>
      <c r="E42" t="s">
        <v>2928</v>
      </c>
      <c r="F42" t="s">
        <v>2929</v>
      </c>
    </row>
    <row r="43" spans="1:6" x14ac:dyDescent="0.3">
      <c r="A43">
        <v>43</v>
      </c>
      <c r="B43" s="10">
        <v>46251</v>
      </c>
      <c r="C43" t="s">
        <v>2930</v>
      </c>
      <c r="D43" t="s">
        <v>2931</v>
      </c>
      <c r="E43" t="s">
        <v>2932</v>
      </c>
      <c r="F43" t="s">
        <v>2933</v>
      </c>
    </row>
    <row r="44" spans="1:6" x14ac:dyDescent="0.3">
      <c r="A44">
        <v>40</v>
      </c>
      <c r="B44" s="20">
        <v>46251</v>
      </c>
      <c r="C44" t="s">
        <v>2934</v>
      </c>
      <c r="D44" t="s">
        <v>2935</v>
      </c>
      <c r="E44" t="s">
        <v>2936</v>
      </c>
      <c r="F44" t="s">
        <v>2937</v>
      </c>
    </row>
    <row r="45" spans="1:6" x14ac:dyDescent="0.3">
      <c r="A45">
        <v>41</v>
      </c>
      <c r="B45" s="20">
        <v>46251</v>
      </c>
      <c r="C45" t="s">
        <v>2938</v>
      </c>
      <c r="D45" t="s">
        <v>2939</v>
      </c>
      <c r="E45" t="s">
        <v>2940</v>
      </c>
      <c r="F45" t="s">
        <v>2941</v>
      </c>
    </row>
    <row r="46" spans="1:6" x14ac:dyDescent="0.3">
      <c r="A46">
        <v>42</v>
      </c>
      <c r="B46" s="20">
        <v>46251</v>
      </c>
      <c r="C46" t="s">
        <v>2942</v>
      </c>
      <c r="D46" t="s">
        <v>2943</v>
      </c>
      <c r="E46" t="s">
        <v>2944</v>
      </c>
      <c r="F46" t="s">
        <v>2945</v>
      </c>
    </row>
    <row r="47" spans="1:6" x14ac:dyDescent="0.3">
      <c r="A47">
        <v>43</v>
      </c>
      <c r="B47" s="20">
        <v>46251</v>
      </c>
      <c r="C47" t="s">
        <v>2946</v>
      </c>
      <c r="D47" t="s">
        <v>2947</v>
      </c>
      <c r="E47" t="s">
        <v>2948</v>
      </c>
      <c r="F47" t="s">
        <v>2949</v>
      </c>
    </row>
    <row r="48" spans="1:6" x14ac:dyDescent="0.3">
      <c r="A48">
        <v>44</v>
      </c>
      <c r="B48" s="20">
        <v>46251</v>
      </c>
      <c r="C48" t="s">
        <v>2950</v>
      </c>
      <c r="D48" t="s">
        <v>2951</v>
      </c>
      <c r="E48" t="s">
        <v>2952</v>
      </c>
      <c r="F48" t="s">
        <v>2953</v>
      </c>
    </row>
    <row r="49" spans="1:6" x14ac:dyDescent="0.3">
      <c r="A49">
        <v>45</v>
      </c>
      <c r="B49" s="20">
        <v>46251</v>
      </c>
      <c r="C49" t="s">
        <v>2954</v>
      </c>
      <c r="D49" t="s">
        <v>2955</v>
      </c>
      <c r="E49" t="s">
        <v>2956</v>
      </c>
      <c r="F49" t="s">
        <v>2957</v>
      </c>
    </row>
    <row r="50" spans="1:6" x14ac:dyDescent="0.3">
      <c r="A50">
        <v>46</v>
      </c>
      <c r="B50" s="20">
        <v>46251</v>
      </c>
      <c r="C50" t="s">
        <v>3932</v>
      </c>
      <c r="D50" t="s">
        <v>3933</v>
      </c>
      <c r="E50" t="s">
        <v>3934</v>
      </c>
      <c r="F50" t="s">
        <v>3935</v>
      </c>
    </row>
    <row r="51" spans="1:6" x14ac:dyDescent="0.3">
      <c r="A51">
        <v>47</v>
      </c>
      <c r="B51" s="20">
        <v>46251</v>
      </c>
      <c r="C51" t="s">
        <v>5381</v>
      </c>
      <c r="D51" t="s">
        <v>5382</v>
      </c>
      <c r="E51" t="s">
        <v>5383</v>
      </c>
      <c r="F51" t="s">
        <v>5384</v>
      </c>
    </row>
    <row r="52" spans="1:6" x14ac:dyDescent="0.3">
      <c r="A52">
        <v>48</v>
      </c>
      <c r="B52" s="20">
        <v>46251</v>
      </c>
      <c r="C52" t="s">
        <v>5385</v>
      </c>
      <c r="D52" t="s">
        <v>5386</v>
      </c>
      <c r="E52" t="s">
        <v>5387</v>
      </c>
      <c r="F52" t="s">
        <v>5388</v>
      </c>
    </row>
    <row r="53" spans="1:6" x14ac:dyDescent="0.3">
      <c r="A53">
        <v>49</v>
      </c>
      <c r="B53" s="20">
        <v>46251</v>
      </c>
      <c r="C53" t="s">
        <v>6367</v>
      </c>
      <c r="D53" t="s">
        <v>6368</v>
      </c>
      <c r="E53" t="s">
        <v>6369</v>
      </c>
      <c r="F53" t="s">
        <v>6370</v>
      </c>
    </row>
    <row r="54" spans="1:6" x14ac:dyDescent="0.3">
      <c r="A54">
        <v>50</v>
      </c>
      <c r="B54" s="10">
        <v>46252</v>
      </c>
      <c r="C54" t="s">
        <v>6911</v>
      </c>
      <c r="D54" t="s">
        <v>6912</v>
      </c>
      <c r="E54" t="s">
        <v>6913</v>
      </c>
      <c r="F54" t="s">
        <v>6914</v>
      </c>
    </row>
    <row r="55" spans="1:6" x14ac:dyDescent="0.3">
      <c r="A55">
        <v>51</v>
      </c>
      <c r="B55" s="10">
        <v>46252</v>
      </c>
      <c r="C55" t="s">
        <v>6916</v>
      </c>
      <c r="D55" t="s">
        <v>6917</v>
      </c>
      <c r="E55" t="s">
        <v>6918</v>
      </c>
      <c r="F55" t="s">
        <v>6919</v>
      </c>
    </row>
    <row r="56" spans="1:6" x14ac:dyDescent="0.3">
      <c r="A56">
        <v>52</v>
      </c>
      <c r="B56" s="10">
        <v>46252</v>
      </c>
      <c r="C56" t="s">
        <v>6935</v>
      </c>
      <c r="D56" t="s">
        <v>6936</v>
      </c>
      <c r="E56" t="s">
        <v>6937</v>
      </c>
      <c r="F56" t="s">
        <v>6938</v>
      </c>
    </row>
    <row r="57" spans="1:6" x14ac:dyDescent="0.3">
      <c r="A57">
        <v>53</v>
      </c>
      <c r="B57" s="10">
        <v>46260</v>
      </c>
      <c r="C57" t="s">
        <v>6939</v>
      </c>
      <c r="D57" t="s">
        <v>6940</v>
      </c>
      <c r="E57" t="s">
        <v>6941</v>
      </c>
      <c r="F57" t="s">
        <v>6942</v>
      </c>
    </row>
    <row r="58" spans="1:6" x14ac:dyDescent="0.3">
      <c r="A58">
        <v>54</v>
      </c>
      <c r="B58" s="10">
        <v>46260</v>
      </c>
      <c r="C58" t="s">
        <v>6943</v>
      </c>
      <c r="D58" t="s">
        <v>6944</v>
      </c>
      <c r="E58" t="s">
        <v>6945</v>
      </c>
      <c r="F58" t="s">
        <v>6946</v>
      </c>
    </row>
    <row r="59" spans="1:6" x14ac:dyDescent="0.3">
      <c r="A59">
        <v>55</v>
      </c>
      <c r="B59" s="10">
        <v>46261</v>
      </c>
      <c r="C59" t="s">
        <v>6963</v>
      </c>
      <c r="D59" t="s">
        <v>6964</v>
      </c>
      <c r="E59" t="s">
        <v>6965</v>
      </c>
      <c r="F59" t="s">
        <v>6966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4"/>
  <sheetViews>
    <sheetView topLeftCell="C1" workbookViewId="0">
      <selection activeCell="H7" sqref="H7:H8"/>
    </sheetView>
  </sheetViews>
  <sheetFormatPr defaultColWidth="8.6640625" defaultRowHeight="14.4" x14ac:dyDescent="0.3"/>
  <cols>
    <col min="1" max="1" width="23.5546875" customWidth="1"/>
    <col min="2" max="2" width="54.5546875" customWidth="1"/>
    <col min="3" max="3" width="60" customWidth="1"/>
    <col min="4" max="4" width="18.33203125" customWidth="1"/>
    <col min="6" max="6" width="20" bestFit="1" customWidth="1"/>
    <col min="7" max="7" width="22" customWidth="1"/>
    <col min="8" max="8" width="21.6640625" customWidth="1"/>
    <col min="9" max="9" width="62" bestFit="1" customWidth="1"/>
  </cols>
  <sheetData>
    <row r="1" spans="1:8" ht="19.2" customHeight="1" x14ac:dyDescent="0.3">
      <c r="A1" s="26" t="s">
        <v>2958</v>
      </c>
      <c r="B1" s="27"/>
      <c r="C1" s="27"/>
      <c r="D1" s="27"/>
    </row>
    <row r="2" spans="1:8" ht="30" customHeight="1" x14ac:dyDescent="0.3">
      <c r="A2" s="1" t="s">
        <v>1</v>
      </c>
      <c r="B2" s="1" t="s">
        <v>2</v>
      </c>
      <c r="C2" s="1" t="s">
        <v>2959</v>
      </c>
      <c r="D2" s="1" t="s">
        <v>2960</v>
      </c>
    </row>
    <row r="3" spans="1:8" ht="18" customHeight="1" x14ac:dyDescent="0.3">
      <c r="A3" s="2" t="s">
        <v>6</v>
      </c>
      <c r="B3" s="2" t="s">
        <v>7</v>
      </c>
      <c r="C3" s="2" t="s">
        <v>2961</v>
      </c>
      <c r="D3" s="2"/>
    </row>
    <row r="4" spans="1:8" ht="18" customHeight="1" x14ac:dyDescent="0.3">
      <c r="A4" s="2" t="s">
        <v>9</v>
      </c>
      <c r="B4" s="2" t="s">
        <v>7</v>
      </c>
      <c r="C4" s="2" t="s">
        <v>2961</v>
      </c>
      <c r="D4" s="2"/>
    </row>
    <row r="5" spans="1:8" ht="18" customHeight="1" x14ac:dyDescent="0.3">
      <c r="A5" s="2" t="s">
        <v>11</v>
      </c>
      <c r="B5" s="2" t="s">
        <v>7</v>
      </c>
      <c r="C5" s="2" t="s">
        <v>2961</v>
      </c>
      <c r="D5" s="2"/>
    </row>
    <row r="6" spans="1:8" ht="18" customHeight="1" x14ac:dyDescent="0.3">
      <c r="A6" s="2" t="s">
        <v>12</v>
      </c>
      <c r="B6" s="2" t="s">
        <v>7</v>
      </c>
      <c r="C6" s="2" t="s">
        <v>2961</v>
      </c>
      <c r="D6" s="2"/>
      <c r="F6" s="31" t="s">
        <v>2962</v>
      </c>
      <c r="G6" s="32"/>
    </row>
    <row r="7" spans="1:8" ht="18" customHeight="1" x14ac:dyDescent="0.3">
      <c r="A7" s="2" t="s">
        <v>13</v>
      </c>
      <c r="B7" s="2" t="s">
        <v>7</v>
      </c>
      <c r="C7" s="2" t="s">
        <v>2961</v>
      </c>
      <c r="D7" s="2"/>
      <c r="F7" s="3" t="s">
        <v>7</v>
      </c>
      <c r="G7" s="4">
        <f>COUNTIF(B:B,"AHU")</f>
        <v>26</v>
      </c>
      <c r="H7" s="2"/>
    </row>
    <row r="8" spans="1:8" ht="18" customHeight="1" x14ac:dyDescent="0.3">
      <c r="A8" s="2" t="s">
        <v>14</v>
      </c>
      <c r="B8" s="2" t="s">
        <v>7</v>
      </c>
      <c r="C8" s="2" t="s">
        <v>2961</v>
      </c>
      <c r="D8" s="2"/>
      <c r="F8" s="3" t="s">
        <v>45</v>
      </c>
      <c r="G8" s="4">
        <f>COUNTIF(B:B,"FCU")</f>
        <v>133</v>
      </c>
      <c r="H8" s="2"/>
    </row>
    <row r="9" spans="1:8" ht="18" customHeight="1" x14ac:dyDescent="0.3">
      <c r="A9" s="2" t="s">
        <v>15</v>
      </c>
      <c r="B9" s="2" t="s">
        <v>7</v>
      </c>
      <c r="C9" s="2" t="s">
        <v>2961</v>
      </c>
      <c r="D9" s="2"/>
      <c r="F9" s="3" t="s">
        <v>2963</v>
      </c>
      <c r="G9" s="4">
        <f>COUNTIF(B:B,"CHW Pump")</f>
        <v>4</v>
      </c>
    </row>
    <row r="10" spans="1:8" ht="18" customHeight="1" x14ac:dyDescent="0.3">
      <c r="A10" s="2" t="s">
        <v>16</v>
      </c>
      <c r="B10" s="2" t="s">
        <v>7</v>
      </c>
      <c r="C10" s="2" t="s">
        <v>2961</v>
      </c>
      <c r="D10" s="2"/>
      <c r="F10" s="3" t="s">
        <v>2964</v>
      </c>
      <c r="G10" s="4">
        <f>COUNTIF(B:B,"VAV")</f>
        <v>602</v>
      </c>
    </row>
    <row r="11" spans="1:8" ht="18" customHeight="1" x14ac:dyDescent="0.3">
      <c r="A11" s="2" t="s">
        <v>17</v>
      </c>
      <c r="B11" s="2" t="s">
        <v>7</v>
      </c>
      <c r="C11" s="2" t="s">
        <v>2961</v>
      </c>
      <c r="D11" s="2"/>
      <c r="F11" s="3" t="s">
        <v>2965</v>
      </c>
      <c r="G11" s="4">
        <f>COUNTIF(B:B,"DX Unit")</f>
        <v>24</v>
      </c>
    </row>
    <row r="12" spans="1:8" ht="18" customHeight="1" x14ac:dyDescent="0.3">
      <c r="A12" s="2" t="s">
        <v>18</v>
      </c>
      <c r="B12" s="2" t="s">
        <v>7</v>
      </c>
      <c r="C12" s="2" t="s">
        <v>2961</v>
      </c>
      <c r="D12" s="2"/>
      <c r="F12" s="3" t="s">
        <v>2966</v>
      </c>
      <c r="G12" s="4">
        <f>COUNTIF(B:B,"HEX")</f>
        <v>5</v>
      </c>
    </row>
    <row r="13" spans="1:8" ht="18" customHeight="1" x14ac:dyDescent="0.3">
      <c r="A13" s="2" t="s">
        <v>20</v>
      </c>
      <c r="B13" s="2" t="s">
        <v>7</v>
      </c>
      <c r="C13" s="2" t="s">
        <v>2961</v>
      </c>
      <c r="D13" s="2"/>
      <c r="F13" s="3" t="s">
        <v>2967</v>
      </c>
      <c r="G13" s="4">
        <f>COUNTIF(B:B,"CCU")</f>
        <v>11</v>
      </c>
    </row>
    <row r="14" spans="1:8" ht="18" customHeight="1" x14ac:dyDescent="0.3">
      <c r="A14" s="2" t="s">
        <v>22</v>
      </c>
      <c r="B14" s="2" t="s">
        <v>7</v>
      </c>
      <c r="C14" s="2" t="s">
        <v>2961</v>
      </c>
      <c r="D14" s="2"/>
      <c r="F14" s="3" t="s">
        <v>2968</v>
      </c>
      <c r="G14" s="4">
        <f>COUNTIF(B:B,"EF")</f>
        <v>12</v>
      </c>
    </row>
    <row r="15" spans="1:8" ht="18" customHeight="1" x14ac:dyDescent="0.3">
      <c r="A15" s="2" t="s">
        <v>23</v>
      </c>
      <c r="B15" s="2" t="s">
        <v>7</v>
      </c>
      <c r="C15" s="2" t="s">
        <v>2961</v>
      </c>
      <c r="D15" s="2"/>
      <c r="F15" s="3" t="s">
        <v>2969</v>
      </c>
      <c r="G15" s="4">
        <f>COUNTIF(B:B,"GEF")</f>
        <v>13</v>
      </c>
    </row>
    <row r="16" spans="1:8" ht="18" customHeight="1" x14ac:dyDescent="0.3">
      <c r="A16" s="2" t="s">
        <v>25</v>
      </c>
      <c r="B16" s="2" t="s">
        <v>7</v>
      </c>
      <c r="C16" s="2" t="s">
        <v>2961</v>
      </c>
      <c r="D16" s="2"/>
      <c r="F16" s="3" t="s">
        <v>2970</v>
      </c>
      <c r="G16" s="4">
        <f>COUNTIF(B:B,"TEF")</f>
        <v>4</v>
      </c>
    </row>
    <row r="17" spans="1:9" ht="18" customHeight="1" x14ac:dyDescent="0.3">
      <c r="A17" s="2" t="s">
        <v>26</v>
      </c>
      <c r="B17" s="2" t="s">
        <v>7</v>
      </c>
      <c r="C17" s="2" t="s">
        <v>2961</v>
      </c>
      <c r="D17" s="2"/>
      <c r="F17" s="3" t="s">
        <v>2971</v>
      </c>
      <c r="G17" s="4">
        <f>COUNTIF(B:B,"CEF")</f>
        <v>60</v>
      </c>
    </row>
    <row r="18" spans="1:9" ht="18" customHeight="1" x14ac:dyDescent="0.3">
      <c r="A18" s="2" t="s">
        <v>28</v>
      </c>
      <c r="B18" s="2" t="s">
        <v>7</v>
      </c>
      <c r="C18" s="2" t="s">
        <v>2961</v>
      </c>
      <c r="D18" s="2"/>
      <c r="F18" s="3" t="s">
        <v>2972</v>
      </c>
      <c r="G18" s="4">
        <f>COUNTIF(B:B,"SF")</f>
        <v>16</v>
      </c>
    </row>
    <row r="19" spans="1:9" ht="18" customHeight="1" x14ac:dyDescent="0.3">
      <c r="A19" s="2" t="s">
        <v>30</v>
      </c>
      <c r="B19" s="2" t="s">
        <v>7</v>
      </c>
      <c r="C19" s="2" t="s">
        <v>2961</v>
      </c>
      <c r="D19" s="2"/>
      <c r="F19" s="3" t="s">
        <v>2973</v>
      </c>
      <c r="G19" s="4">
        <f>COUNTIF(B:B,"Generator")</f>
        <v>2</v>
      </c>
    </row>
    <row r="20" spans="1:9" ht="18" customHeight="1" x14ac:dyDescent="0.3">
      <c r="A20" s="2" t="s">
        <v>31</v>
      </c>
      <c r="B20" s="2" t="s">
        <v>7</v>
      </c>
      <c r="C20" s="2" t="s">
        <v>2961</v>
      </c>
      <c r="D20" s="2"/>
      <c r="F20" s="5" t="s">
        <v>2974</v>
      </c>
      <c r="G20" s="5">
        <f>SUM(G7:G19)</f>
        <v>912</v>
      </c>
    </row>
    <row r="21" spans="1:9" ht="18" customHeight="1" x14ac:dyDescent="0.3">
      <c r="A21" s="2" t="s">
        <v>33</v>
      </c>
      <c r="B21" s="2" t="s">
        <v>7</v>
      </c>
      <c r="C21" s="2" t="s">
        <v>2961</v>
      </c>
      <c r="D21" s="2"/>
    </row>
    <row r="22" spans="1:9" ht="18" customHeight="1" x14ac:dyDescent="0.3">
      <c r="A22" s="2" t="s">
        <v>34</v>
      </c>
      <c r="B22" s="2" t="s">
        <v>7</v>
      </c>
      <c r="C22" s="2" t="s">
        <v>2961</v>
      </c>
      <c r="D22" s="2"/>
    </row>
    <row r="23" spans="1:9" ht="18" customHeight="1" x14ac:dyDescent="0.3">
      <c r="A23" s="2" t="s">
        <v>36</v>
      </c>
      <c r="B23" s="2" t="s">
        <v>7</v>
      </c>
      <c r="C23" s="2" t="s">
        <v>2961</v>
      </c>
      <c r="D23" s="2"/>
    </row>
    <row r="24" spans="1:9" ht="18" customHeight="1" x14ac:dyDescent="0.3">
      <c r="A24" s="2" t="s">
        <v>37</v>
      </c>
      <c r="B24" s="2" t="s">
        <v>7</v>
      </c>
      <c r="C24" s="2" t="s">
        <v>2961</v>
      </c>
      <c r="D24" s="2"/>
    </row>
    <row r="25" spans="1:9" x14ac:dyDescent="0.3">
      <c r="A25" s="2" t="s">
        <v>39</v>
      </c>
      <c r="B25" s="2" t="s">
        <v>7</v>
      </c>
      <c r="C25" s="2" t="s">
        <v>2961</v>
      </c>
      <c r="D25" s="2"/>
    </row>
    <row r="26" spans="1:9" x14ac:dyDescent="0.3">
      <c r="A26" s="2" t="s">
        <v>40</v>
      </c>
      <c r="B26" s="2" t="s">
        <v>7</v>
      </c>
      <c r="C26" s="2" t="s">
        <v>2961</v>
      </c>
      <c r="D26" s="2"/>
    </row>
    <row r="27" spans="1:9" ht="18" customHeight="1" x14ac:dyDescent="0.3">
      <c r="A27" s="2" t="s">
        <v>42</v>
      </c>
      <c r="B27" s="2" t="s">
        <v>7</v>
      </c>
      <c r="C27" s="2" t="s">
        <v>2961</v>
      </c>
      <c r="D27" s="2"/>
      <c r="F27" s="6" t="s">
        <v>2975</v>
      </c>
      <c r="G27" s="6" t="s">
        <v>2976</v>
      </c>
      <c r="H27" s="6" t="s">
        <v>2977</v>
      </c>
      <c r="I27" s="6" t="s">
        <v>2978</v>
      </c>
    </row>
    <row r="28" spans="1:9" ht="18" customHeight="1" x14ac:dyDescent="0.3">
      <c r="A28" s="2" t="s">
        <v>43</v>
      </c>
      <c r="B28" s="2" t="s">
        <v>7</v>
      </c>
      <c r="C28" s="2" t="s">
        <v>2961</v>
      </c>
      <c r="D28" s="2"/>
      <c r="F28" s="29">
        <v>1</v>
      </c>
      <c r="G28" s="29" t="s">
        <v>7</v>
      </c>
      <c r="H28" s="2" t="s">
        <v>17</v>
      </c>
      <c r="I28" s="29" t="s">
        <v>2979</v>
      </c>
    </row>
    <row r="29" spans="1:9" ht="18" customHeight="1" x14ac:dyDescent="0.3">
      <c r="A29" s="2" t="s">
        <v>2980</v>
      </c>
      <c r="B29" s="2" t="s">
        <v>2965</v>
      </c>
      <c r="C29" s="2" t="s">
        <v>2981</v>
      </c>
      <c r="D29" s="2"/>
      <c r="F29" s="30"/>
      <c r="G29" s="30"/>
      <c r="H29" s="2" t="s">
        <v>2982</v>
      </c>
      <c r="I29" s="30"/>
    </row>
    <row r="30" spans="1:9" ht="18" customHeight="1" x14ac:dyDescent="0.3">
      <c r="A30" s="2" t="s">
        <v>2983</v>
      </c>
      <c r="B30" s="2" t="s">
        <v>2965</v>
      </c>
      <c r="C30" s="2" t="s">
        <v>2981</v>
      </c>
      <c r="D30" s="2"/>
      <c r="F30" s="29">
        <v>2</v>
      </c>
      <c r="G30" s="29" t="s">
        <v>7</v>
      </c>
      <c r="H30" s="2" t="s">
        <v>2984</v>
      </c>
      <c r="I30" s="29" t="s">
        <v>2979</v>
      </c>
    </row>
    <row r="31" spans="1:9" ht="18" customHeight="1" x14ac:dyDescent="0.3">
      <c r="A31" s="2" t="s">
        <v>2985</v>
      </c>
      <c r="B31" s="2" t="s">
        <v>2965</v>
      </c>
      <c r="C31" s="2" t="s">
        <v>2981</v>
      </c>
      <c r="D31" s="2"/>
      <c r="F31" s="30"/>
      <c r="G31" s="30"/>
      <c r="H31" s="2" t="s">
        <v>30</v>
      </c>
      <c r="I31" s="30"/>
    </row>
    <row r="32" spans="1:9" ht="18" customHeight="1" x14ac:dyDescent="0.3">
      <c r="A32" s="2" t="s">
        <v>2986</v>
      </c>
      <c r="B32" s="2" t="s">
        <v>2965</v>
      </c>
      <c r="C32" s="2" t="s">
        <v>2981</v>
      </c>
      <c r="D32" s="2"/>
      <c r="F32" s="29">
        <v>3</v>
      </c>
      <c r="G32" s="29" t="s">
        <v>7</v>
      </c>
      <c r="H32" s="2" t="s">
        <v>2987</v>
      </c>
      <c r="I32" s="29" t="s">
        <v>2979</v>
      </c>
    </row>
    <row r="33" spans="1:9" ht="18" customHeight="1" x14ac:dyDescent="0.3">
      <c r="A33" s="2" t="s">
        <v>2988</v>
      </c>
      <c r="B33" s="2" t="s">
        <v>2965</v>
      </c>
      <c r="C33" s="2" t="s">
        <v>2981</v>
      </c>
      <c r="D33" s="2"/>
      <c r="F33" s="30"/>
      <c r="G33" s="30"/>
      <c r="H33" s="2" t="s">
        <v>33</v>
      </c>
      <c r="I33" s="30"/>
    </row>
    <row r="34" spans="1:9" ht="18" customHeight="1" x14ac:dyDescent="0.3">
      <c r="A34" s="2" t="s">
        <v>2989</v>
      </c>
      <c r="B34" s="2" t="s">
        <v>2965</v>
      </c>
      <c r="C34" s="2" t="s">
        <v>2981</v>
      </c>
      <c r="D34" s="2"/>
      <c r="F34" s="29">
        <v>4</v>
      </c>
      <c r="G34" s="29" t="s">
        <v>7</v>
      </c>
      <c r="H34" s="2" t="s">
        <v>2990</v>
      </c>
      <c r="I34" s="29" t="s">
        <v>2979</v>
      </c>
    </row>
    <row r="35" spans="1:9" ht="18" customHeight="1" x14ac:dyDescent="0.3">
      <c r="A35" s="2" t="s">
        <v>2991</v>
      </c>
      <c r="B35" s="2" t="s">
        <v>2965</v>
      </c>
      <c r="C35" s="2" t="s">
        <v>2981</v>
      </c>
      <c r="D35" s="2"/>
      <c r="F35" s="30"/>
      <c r="G35" s="30"/>
      <c r="H35" s="2" t="s">
        <v>36</v>
      </c>
      <c r="I35" s="30"/>
    </row>
    <row r="36" spans="1:9" ht="18" customHeight="1" x14ac:dyDescent="0.3">
      <c r="A36" s="2" t="s">
        <v>2992</v>
      </c>
      <c r="B36" s="2" t="s">
        <v>2965</v>
      </c>
      <c r="C36" s="2" t="s">
        <v>2981</v>
      </c>
      <c r="D36" s="2"/>
      <c r="F36" s="29">
        <v>5</v>
      </c>
      <c r="G36" s="29" t="s">
        <v>7</v>
      </c>
      <c r="H36" s="2" t="s">
        <v>2993</v>
      </c>
      <c r="I36" s="29" t="s">
        <v>2979</v>
      </c>
    </row>
    <row r="37" spans="1:9" ht="18" customHeight="1" x14ac:dyDescent="0.3">
      <c r="A37" s="2" t="s">
        <v>2994</v>
      </c>
      <c r="B37" s="2" t="s">
        <v>2965</v>
      </c>
      <c r="C37" s="2" t="s">
        <v>2981</v>
      </c>
      <c r="D37" s="2"/>
      <c r="F37" s="30"/>
      <c r="G37" s="30"/>
      <c r="H37" s="2" t="s">
        <v>37</v>
      </c>
      <c r="I37" s="30"/>
    </row>
    <row r="38" spans="1:9" ht="18" customHeight="1" x14ac:dyDescent="0.3">
      <c r="A38" s="2" t="s">
        <v>2995</v>
      </c>
      <c r="B38" s="2" t="s">
        <v>2965</v>
      </c>
      <c r="C38" s="2" t="s">
        <v>2981</v>
      </c>
      <c r="D38" s="2"/>
      <c r="F38" s="29">
        <v>6</v>
      </c>
      <c r="G38" s="29" t="s">
        <v>7</v>
      </c>
      <c r="H38" s="2" t="s">
        <v>2996</v>
      </c>
      <c r="I38" s="29" t="s">
        <v>2979</v>
      </c>
    </row>
    <row r="39" spans="1:9" ht="18" customHeight="1" x14ac:dyDescent="0.3">
      <c r="A39" s="2" t="s">
        <v>2997</v>
      </c>
      <c r="B39" s="2" t="s">
        <v>2965</v>
      </c>
      <c r="C39" s="2" t="s">
        <v>2981</v>
      </c>
      <c r="D39" s="2"/>
      <c r="F39" s="30"/>
      <c r="G39" s="30"/>
      <c r="H39" s="2" t="s">
        <v>39</v>
      </c>
      <c r="I39" s="30"/>
    </row>
    <row r="40" spans="1:9" ht="18" customHeight="1" x14ac:dyDescent="0.3">
      <c r="A40" s="2" t="s">
        <v>2998</v>
      </c>
      <c r="B40" s="2" t="s">
        <v>2965</v>
      </c>
      <c r="C40" s="2" t="s">
        <v>2981</v>
      </c>
      <c r="D40" s="2"/>
      <c r="F40" s="29">
        <v>7</v>
      </c>
      <c r="G40" s="29" t="s">
        <v>7</v>
      </c>
      <c r="H40" s="2" t="s">
        <v>2999</v>
      </c>
      <c r="I40" s="29" t="s">
        <v>2979</v>
      </c>
    </row>
    <row r="41" spans="1:9" ht="18" customHeight="1" x14ac:dyDescent="0.3">
      <c r="A41" s="2" t="s">
        <v>3000</v>
      </c>
      <c r="B41" s="2" t="s">
        <v>2965</v>
      </c>
      <c r="C41" s="2" t="s">
        <v>2981</v>
      </c>
      <c r="D41" s="2"/>
      <c r="F41" s="30"/>
      <c r="G41" s="30"/>
      <c r="H41" s="2" t="s">
        <v>42</v>
      </c>
      <c r="I41" s="30"/>
    </row>
    <row r="42" spans="1:9" ht="18" customHeight="1" x14ac:dyDescent="0.3">
      <c r="A42" s="2" t="s">
        <v>3001</v>
      </c>
      <c r="B42" s="2" t="s">
        <v>2965</v>
      </c>
      <c r="C42" s="2" t="s">
        <v>2981</v>
      </c>
      <c r="D42" s="2"/>
      <c r="F42" s="29">
        <v>8</v>
      </c>
      <c r="G42" s="29" t="s">
        <v>7</v>
      </c>
      <c r="H42" s="2" t="s">
        <v>3002</v>
      </c>
      <c r="I42" s="29" t="s">
        <v>2979</v>
      </c>
    </row>
    <row r="43" spans="1:9" ht="18" customHeight="1" x14ac:dyDescent="0.3">
      <c r="A43" s="2" t="s">
        <v>3003</v>
      </c>
      <c r="B43" s="2" t="s">
        <v>2965</v>
      </c>
      <c r="C43" s="2" t="s">
        <v>2981</v>
      </c>
      <c r="D43" s="2"/>
      <c r="F43" s="30"/>
      <c r="G43" s="30"/>
      <c r="H43" s="2" t="s">
        <v>43</v>
      </c>
      <c r="I43" s="30"/>
    </row>
    <row r="44" spans="1:9" ht="18" customHeight="1" x14ac:dyDescent="0.3">
      <c r="A44" s="2" t="s">
        <v>3004</v>
      </c>
      <c r="B44" s="2" t="s">
        <v>2965</v>
      </c>
      <c r="C44" s="2" t="s">
        <v>2981</v>
      </c>
      <c r="D44" s="2"/>
      <c r="F44" s="2">
        <v>9</v>
      </c>
      <c r="G44" s="2" t="s">
        <v>2965</v>
      </c>
      <c r="H44" s="2" t="s">
        <v>3005</v>
      </c>
      <c r="I44" s="2" t="s">
        <v>3006</v>
      </c>
    </row>
    <row r="45" spans="1:9" ht="18" customHeight="1" x14ac:dyDescent="0.3">
      <c r="A45" s="2" t="s">
        <v>3007</v>
      </c>
      <c r="B45" s="2" t="s">
        <v>2965</v>
      </c>
      <c r="C45" s="2" t="s">
        <v>2981</v>
      </c>
      <c r="D45" s="2"/>
      <c r="F45" s="2">
        <v>10</v>
      </c>
      <c r="G45" s="2" t="s">
        <v>2965</v>
      </c>
      <c r="H45" s="2" t="s">
        <v>3008</v>
      </c>
      <c r="I45" s="2" t="s">
        <v>3006</v>
      </c>
    </row>
    <row r="46" spans="1:9" ht="18" customHeight="1" x14ac:dyDescent="0.3">
      <c r="A46" s="2" t="s">
        <v>3009</v>
      </c>
      <c r="B46" s="2" t="s">
        <v>2965</v>
      </c>
      <c r="C46" s="2" t="s">
        <v>2981</v>
      </c>
      <c r="D46" s="2"/>
      <c r="F46" s="2">
        <v>11</v>
      </c>
      <c r="G46" s="2" t="s">
        <v>2965</v>
      </c>
      <c r="H46" s="2" t="s">
        <v>3010</v>
      </c>
      <c r="I46" s="2" t="s">
        <v>3006</v>
      </c>
    </row>
    <row r="47" spans="1:9" ht="18" customHeight="1" x14ac:dyDescent="0.3">
      <c r="A47" s="2" t="s">
        <v>3011</v>
      </c>
      <c r="B47" s="2" t="s">
        <v>2965</v>
      </c>
      <c r="C47" s="2" t="s">
        <v>2981</v>
      </c>
      <c r="D47" s="2"/>
      <c r="F47" s="2">
        <v>12</v>
      </c>
      <c r="G47" s="2" t="s">
        <v>2965</v>
      </c>
      <c r="H47" s="2" t="s">
        <v>3012</v>
      </c>
      <c r="I47" s="2" t="s">
        <v>3006</v>
      </c>
    </row>
    <row r="48" spans="1:9" ht="18" customHeight="1" x14ac:dyDescent="0.3">
      <c r="A48" s="2" t="s">
        <v>3013</v>
      </c>
      <c r="B48" s="2" t="s">
        <v>2965</v>
      </c>
      <c r="C48" s="2" t="s">
        <v>2981</v>
      </c>
      <c r="D48" s="2"/>
      <c r="F48" s="2">
        <v>13</v>
      </c>
      <c r="G48" s="2" t="s">
        <v>2965</v>
      </c>
      <c r="H48" s="2" t="s">
        <v>3007</v>
      </c>
      <c r="I48" s="2" t="s">
        <v>3006</v>
      </c>
    </row>
    <row r="49" spans="1:4" ht="18" customHeight="1" x14ac:dyDescent="0.3">
      <c r="A49" s="2" t="s">
        <v>3005</v>
      </c>
      <c r="B49" s="2" t="s">
        <v>2965</v>
      </c>
      <c r="C49" s="2" t="s">
        <v>3014</v>
      </c>
      <c r="D49" s="2"/>
    </row>
    <row r="50" spans="1:4" ht="18" customHeight="1" x14ac:dyDescent="0.3">
      <c r="A50" s="2" t="s">
        <v>3008</v>
      </c>
      <c r="B50" s="2" t="s">
        <v>2965</v>
      </c>
      <c r="C50" s="2" t="s">
        <v>3014</v>
      </c>
      <c r="D50" s="2"/>
    </row>
    <row r="51" spans="1:4" ht="18" customHeight="1" x14ac:dyDescent="0.3">
      <c r="A51" s="2" t="s">
        <v>3010</v>
      </c>
      <c r="B51" s="2" t="s">
        <v>2965</v>
      </c>
      <c r="C51" s="2" t="s">
        <v>3014</v>
      </c>
      <c r="D51" s="2"/>
    </row>
    <row r="52" spans="1:4" ht="18" customHeight="1" x14ac:dyDescent="0.3">
      <c r="A52" s="2" t="s">
        <v>3012</v>
      </c>
      <c r="B52" s="2" t="s">
        <v>2965</v>
      </c>
      <c r="C52" s="2" t="s">
        <v>3014</v>
      </c>
      <c r="D52" s="2"/>
    </row>
    <row r="53" spans="1:4" ht="18" customHeight="1" x14ac:dyDescent="0.3">
      <c r="A53" s="2" t="s">
        <v>44</v>
      </c>
      <c r="B53" s="2" t="s">
        <v>45</v>
      </c>
      <c r="C53" s="2" t="s">
        <v>3015</v>
      </c>
      <c r="D53" s="2"/>
    </row>
    <row r="54" spans="1:4" ht="18" customHeight="1" x14ac:dyDescent="0.3">
      <c r="A54" s="2" t="s">
        <v>47</v>
      </c>
      <c r="B54" s="2" t="s">
        <v>45</v>
      </c>
      <c r="C54" s="2" t="s">
        <v>3015</v>
      </c>
      <c r="D54" s="2"/>
    </row>
    <row r="55" spans="1:4" ht="18" customHeight="1" x14ac:dyDescent="0.3">
      <c r="A55" s="2" t="s">
        <v>49</v>
      </c>
      <c r="B55" s="2" t="s">
        <v>45</v>
      </c>
      <c r="C55" s="2" t="s">
        <v>3015</v>
      </c>
      <c r="D55" s="2"/>
    </row>
    <row r="56" spans="1:4" ht="18" customHeight="1" x14ac:dyDescent="0.3">
      <c r="A56" s="2" t="s">
        <v>51</v>
      </c>
      <c r="B56" s="2" t="s">
        <v>45</v>
      </c>
      <c r="C56" s="2" t="s">
        <v>3015</v>
      </c>
      <c r="D56" s="2"/>
    </row>
    <row r="57" spans="1:4" ht="18" customHeight="1" x14ac:dyDescent="0.3">
      <c r="A57" s="2" t="s">
        <v>53</v>
      </c>
      <c r="B57" s="2" t="s">
        <v>45</v>
      </c>
      <c r="C57" s="2" t="s">
        <v>3015</v>
      </c>
      <c r="D57" s="2"/>
    </row>
    <row r="58" spans="1:4" ht="18" customHeight="1" x14ac:dyDescent="0.3">
      <c r="A58" s="2" t="s">
        <v>55</v>
      </c>
      <c r="B58" s="2" t="s">
        <v>45</v>
      </c>
      <c r="C58" s="2" t="s">
        <v>3015</v>
      </c>
      <c r="D58" s="2"/>
    </row>
    <row r="59" spans="1:4" ht="18" customHeight="1" x14ac:dyDescent="0.3">
      <c r="A59" s="2" t="s">
        <v>57</v>
      </c>
      <c r="B59" s="2" t="s">
        <v>45</v>
      </c>
      <c r="C59" s="2" t="s">
        <v>3015</v>
      </c>
      <c r="D59" s="2"/>
    </row>
    <row r="60" spans="1:4" ht="18" customHeight="1" x14ac:dyDescent="0.3">
      <c r="A60" s="2" t="s">
        <v>59</v>
      </c>
      <c r="B60" s="2" t="s">
        <v>45</v>
      </c>
      <c r="C60" s="2" t="s">
        <v>3015</v>
      </c>
      <c r="D60" s="2"/>
    </row>
    <row r="61" spans="1:4" ht="18" customHeight="1" x14ac:dyDescent="0.3">
      <c r="A61" s="2" t="s">
        <v>61</v>
      </c>
      <c r="B61" s="2" t="s">
        <v>45</v>
      </c>
      <c r="C61" s="2" t="s">
        <v>3015</v>
      </c>
      <c r="D61" s="2"/>
    </row>
    <row r="62" spans="1:4" ht="18" customHeight="1" x14ac:dyDescent="0.3">
      <c r="A62" s="2" t="s">
        <v>62</v>
      </c>
      <c r="B62" s="2" t="s">
        <v>45</v>
      </c>
      <c r="C62" s="2" t="s">
        <v>3015</v>
      </c>
      <c r="D62" s="2"/>
    </row>
    <row r="63" spans="1:4" ht="18" customHeight="1" x14ac:dyDescent="0.3">
      <c r="A63" s="2" t="s">
        <v>64</v>
      </c>
      <c r="B63" s="2" t="s">
        <v>45</v>
      </c>
      <c r="C63" s="2" t="s">
        <v>3015</v>
      </c>
      <c r="D63" s="2"/>
    </row>
    <row r="64" spans="1:4" ht="18" customHeight="1" x14ac:dyDescent="0.3">
      <c r="A64" s="2" t="s">
        <v>66</v>
      </c>
      <c r="B64" s="2" t="s">
        <v>45</v>
      </c>
      <c r="C64" s="2" t="s">
        <v>3015</v>
      </c>
      <c r="D64" s="2"/>
    </row>
    <row r="65" spans="1:4" ht="18" customHeight="1" x14ac:dyDescent="0.3">
      <c r="A65" s="2" t="s">
        <v>68</v>
      </c>
      <c r="B65" s="2" t="s">
        <v>45</v>
      </c>
      <c r="C65" s="2" t="s">
        <v>3015</v>
      </c>
      <c r="D65" s="2"/>
    </row>
    <row r="66" spans="1:4" ht="18" customHeight="1" x14ac:dyDescent="0.3">
      <c r="A66" s="2" t="s">
        <v>3016</v>
      </c>
      <c r="B66" s="2" t="s">
        <v>45</v>
      </c>
      <c r="C66" s="2" t="s">
        <v>3015</v>
      </c>
      <c r="D66" s="2"/>
    </row>
    <row r="67" spans="1:4" ht="18" customHeight="1" x14ac:dyDescent="0.3">
      <c r="A67" s="2" t="s">
        <v>69</v>
      </c>
      <c r="B67" s="2" t="s">
        <v>45</v>
      </c>
      <c r="C67" s="2" t="s">
        <v>3015</v>
      </c>
      <c r="D67" s="2"/>
    </row>
    <row r="68" spans="1:4" ht="18" customHeight="1" x14ac:dyDescent="0.3">
      <c r="A68" s="2" t="s">
        <v>71</v>
      </c>
      <c r="B68" s="2" t="s">
        <v>45</v>
      </c>
      <c r="C68" s="2" t="s">
        <v>3015</v>
      </c>
      <c r="D68" s="2"/>
    </row>
    <row r="69" spans="1:4" ht="18" customHeight="1" x14ac:dyDescent="0.3">
      <c r="A69" s="2" t="s">
        <v>73</v>
      </c>
      <c r="B69" s="2" t="s">
        <v>45</v>
      </c>
      <c r="C69" s="2" t="s">
        <v>3015</v>
      </c>
      <c r="D69" s="2"/>
    </row>
    <row r="70" spans="1:4" ht="18" customHeight="1" x14ac:dyDescent="0.3">
      <c r="A70" s="2" t="s">
        <v>75</v>
      </c>
      <c r="B70" s="2" t="s">
        <v>45</v>
      </c>
      <c r="C70" s="2" t="s">
        <v>3015</v>
      </c>
      <c r="D70" s="2"/>
    </row>
    <row r="71" spans="1:4" ht="18" customHeight="1" x14ac:dyDescent="0.3">
      <c r="A71" s="2" t="s">
        <v>77</v>
      </c>
      <c r="B71" s="2" t="s">
        <v>45</v>
      </c>
      <c r="C71" s="2" t="s">
        <v>3015</v>
      </c>
      <c r="D71" s="2"/>
    </row>
    <row r="72" spans="1:4" ht="18" customHeight="1" x14ac:dyDescent="0.3">
      <c r="A72" s="2" t="s">
        <v>79</v>
      </c>
      <c r="B72" s="2" t="s">
        <v>45</v>
      </c>
      <c r="C72" s="2" t="s">
        <v>3015</v>
      </c>
      <c r="D72" s="2"/>
    </row>
    <row r="73" spans="1:4" ht="18" customHeight="1" x14ac:dyDescent="0.3">
      <c r="A73" s="2" t="s">
        <v>81</v>
      </c>
      <c r="B73" s="2" t="s">
        <v>45</v>
      </c>
      <c r="C73" s="2" t="s">
        <v>3015</v>
      </c>
      <c r="D73" s="2"/>
    </row>
    <row r="74" spans="1:4" ht="18" customHeight="1" x14ac:dyDescent="0.3">
      <c r="A74" s="2" t="s">
        <v>82</v>
      </c>
      <c r="B74" s="2" t="s">
        <v>45</v>
      </c>
      <c r="C74" s="2" t="s">
        <v>3015</v>
      </c>
      <c r="D74" s="2"/>
    </row>
    <row r="75" spans="1:4" ht="18" customHeight="1" x14ac:dyDescent="0.3">
      <c r="A75" s="2" t="s">
        <v>84</v>
      </c>
      <c r="B75" s="2" t="s">
        <v>45</v>
      </c>
      <c r="C75" s="2" t="s">
        <v>3015</v>
      </c>
      <c r="D75" s="2"/>
    </row>
    <row r="76" spans="1:4" ht="18" customHeight="1" x14ac:dyDescent="0.3">
      <c r="A76" s="2" t="s">
        <v>86</v>
      </c>
      <c r="B76" s="2" t="s">
        <v>45</v>
      </c>
      <c r="C76" s="2" t="s">
        <v>3015</v>
      </c>
      <c r="D76" s="2"/>
    </row>
    <row r="77" spans="1:4" ht="18" customHeight="1" x14ac:dyDescent="0.3">
      <c r="A77" s="2" t="s">
        <v>88</v>
      </c>
      <c r="B77" s="2" t="s">
        <v>45</v>
      </c>
      <c r="C77" s="2" t="s">
        <v>3015</v>
      </c>
      <c r="D77" s="2"/>
    </row>
    <row r="78" spans="1:4" ht="18" customHeight="1" x14ac:dyDescent="0.3">
      <c r="A78" s="2" t="s">
        <v>89</v>
      </c>
      <c r="B78" s="2" t="s">
        <v>45</v>
      </c>
      <c r="C78" s="2" t="s">
        <v>3015</v>
      </c>
      <c r="D78" s="2"/>
    </row>
    <row r="79" spans="1:4" ht="18" customHeight="1" x14ac:dyDescent="0.3">
      <c r="A79" s="2" t="s">
        <v>91</v>
      </c>
      <c r="B79" s="2" t="s">
        <v>45</v>
      </c>
      <c r="C79" s="2" t="s">
        <v>3015</v>
      </c>
      <c r="D79" s="2"/>
    </row>
    <row r="80" spans="1:4" ht="18" customHeight="1" x14ac:dyDescent="0.3">
      <c r="A80" s="2" t="s">
        <v>92</v>
      </c>
      <c r="B80" s="2" t="s">
        <v>45</v>
      </c>
      <c r="C80" s="2" t="s">
        <v>3015</v>
      </c>
      <c r="D80" s="2"/>
    </row>
    <row r="81" spans="1:4" ht="18" customHeight="1" x14ac:dyDescent="0.3">
      <c r="A81" s="2" t="s">
        <v>93</v>
      </c>
      <c r="B81" s="2" t="s">
        <v>45</v>
      </c>
      <c r="C81" s="2" t="s">
        <v>3015</v>
      </c>
      <c r="D81" s="2"/>
    </row>
    <row r="82" spans="1:4" ht="18" customHeight="1" x14ac:dyDescent="0.3">
      <c r="A82" s="2" t="s">
        <v>95</v>
      </c>
      <c r="B82" s="2" t="s">
        <v>45</v>
      </c>
      <c r="C82" s="2" t="s">
        <v>3015</v>
      </c>
      <c r="D82" s="2"/>
    </row>
    <row r="83" spans="1:4" ht="18" customHeight="1" x14ac:dyDescent="0.3">
      <c r="A83" s="2" t="s">
        <v>97</v>
      </c>
      <c r="B83" s="2" t="s">
        <v>45</v>
      </c>
      <c r="C83" s="2" t="s">
        <v>3015</v>
      </c>
      <c r="D83" s="2"/>
    </row>
    <row r="84" spans="1:4" ht="18" customHeight="1" x14ac:dyDescent="0.3">
      <c r="A84" s="2" t="s">
        <v>98</v>
      </c>
      <c r="B84" s="2" t="s">
        <v>45</v>
      </c>
      <c r="C84" s="2" t="s">
        <v>3015</v>
      </c>
      <c r="D84" s="2"/>
    </row>
    <row r="85" spans="1:4" ht="18" customHeight="1" x14ac:dyDescent="0.3">
      <c r="A85" s="2" t="s">
        <v>100</v>
      </c>
      <c r="B85" s="2" t="s">
        <v>45</v>
      </c>
      <c r="C85" s="2" t="s">
        <v>3015</v>
      </c>
      <c r="D85" s="2"/>
    </row>
    <row r="86" spans="1:4" ht="18" customHeight="1" x14ac:dyDescent="0.3">
      <c r="A86" s="2" t="s">
        <v>101</v>
      </c>
      <c r="B86" s="2" t="s">
        <v>45</v>
      </c>
      <c r="C86" s="2" t="s">
        <v>3015</v>
      </c>
      <c r="D86" s="2"/>
    </row>
    <row r="87" spans="1:4" ht="18" customHeight="1" x14ac:dyDescent="0.3">
      <c r="A87" s="2" t="s">
        <v>102</v>
      </c>
      <c r="B87" s="2" t="s">
        <v>45</v>
      </c>
      <c r="C87" s="2" t="s">
        <v>3015</v>
      </c>
      <c r="D87" s="2"/>
    </row>
    <row r="88" spans="1:4" ht="18" customHeight="1" x14ac:dyDescent="0.3">
      <c r="A88" s="2" t="s">
        <v>104</v>
      </c>
      <c r="B88" s="2" t="s">
        <v>45</v>
      </c>
      <c r="C88" s="2" t="s">
        <v>3015</v>
      </c>
      <c r="D88" s="2"/>
    </row>
    <row r="89" spans="1:4" ht="18" customHeight="1" x14ac:dyDescent="0.3">
      <c r="A89" s="2" t="s">
        <v>106</v>
      </c>
      <c r="B89" s="2" t="s">
        <v>45</v>
      </c>
      <c r="C89" s="2" t="s">
        <v>3015</v>
      </c>
      <c r="D89" s="2"/>
    </row>
    <row r="90" spans="1:4" ht="18" customHeight="1" x14ac:dyDescent="0.3">
      <c r="A90" s="2" t="s">
        <v>108</v>
      </c>
      <c r="B90" s="2" t="s">
        <v>45</v>
      </c>
      <c r="C90" s="2" t="s">
        <v>3015</v>
      </c>
      <c r="D90" s="2"/>
    </row>
    <row r="91" spans="1:4" ht="18" customHeight="1" x14ac:dyDescent="0.3">
      <c r="A91" s="2" t="s">
        <v>109</v>
      </c>
      <c r="B91" s="2" t="s">
        <v>45</v>
      </c>
      <c r="C91" s="2" t="s">
        <v>3015</v>
      </c>
      <c r="D91" s="2"/>
    </row>
    <row r="92" spans="1:4" ht="18" customHeight="1" x14ac:dyDescent="0.3">
      <c r="A92" s="2" t="s">
        <v>111</v>
      </c>
      <c r="B92" s="2" t="s">
        <v>45</v>
      </c>
      <c r="C92" s="2" t="s">
        <v>3015</v>
      </c>
      <c r="D92" s="2"/>
    </row>
    <row r="93" spans="1:4" ht="18" customHeight="1" x14ac:dyDescent="0.3">
      <c r="A93" s="2" t="s">
        <v>113</v>
      </c>
      <c r="B93" s="2" t="s">
        <v>45</v>
      </c>
      <c r="C93" s="2" t="s">
        <v>3015</v>
      </c>
      <c r="D93" s="2"/>
    </row>
    <row r="94" spans="1:4" ht="18" customHeight="1" x14ac:dyDescent="0.3">
      <c r="A94" s="2" t="s">
        <v>114</v>
      </c>
      <c r="B94" s="2" t="s">
        <v>45</v>
      </c>
      <c r="C94" s="2" t="s">
        <v>3015</v>
      </c>
      <c r="D94" s="2"/>
    </row>
    <row r="95" spans="1:4" ht="18" customHeight="1" x14ac:dyDescent="0.3">
      <c r="A95" s="2" t="s">
        <v>116</v>
      </c>
      <c r="B95" s="2" t="s">
        <v>45</v>
      </c>
      <c r="C95" s="2" t="s">
        <v>3015</v>
      </c>
      <c r="D95" s="2"/>
    </row>
    <row r="96" spans="1:4" ht="18" customHeight="1" x14ac:dyDescent="0.3">
      <c r="A96" s="2" t="s">
        <v>118</v>
      </c>
      <c r="B96" s="2" t="s">
        <v>45</v>
      </c>
      <c r="C96" s="2" t="s">
        <v>3015</v>
      </c>
      <c r="D96" s="2"/>
    </row>
    <row r="97" spans="1:4" ht="18" customHeight="1" x14ac:dyDescent="0.3">
      <c r="A97" s="2" t="s">
        <v>120</v>
      </c>
      <c r="B97" s="2" t="s">
        <v>45</v>
      </c>
      <c r="C97" s="2" t="s">
        <v>3015</v>
      </c>
      <c r="D97" s="2"/>
    </row>
    <row r="98" spans="1:4" ht="18" customHeight="1" x14ac:dyDescent="0.3">
      <c r="A98" s="2" t="s">
        <v>121</v>
      </c>
      <c r="B98" s="2" t="s">
        <v>45</v>
      </c>
      <c r="C98" s="2" t="s">
        <v>3015</v>
      </c>
      <c r="D98" s="2"/>
    </row>
    <row r="99" spans="1:4" ht="18" customHeight="1" x14ac:dyDescent="0.3">
      <c r="A99" s="2" t="s">
        <v>123</v>
      </c>
      <c r="B99" s="2" t="s">
        <v>45</v>
      </c>
      <c r="C99" s="2" t="s">
        <v>3015</v>
      </c>
      <c r="D99" s="2"/>
    </row>
    <row r="100" spans="1:4" ht="18" customHeight="1" x14ac:dyDescent="0.3">
      <c r="A100" s="2" t="s">
        <v>124</v>
      </c>
      <c r="B100" s="2" t="s">
        <v>45</v>
      </c>
      <c r="C100" s="2" t="s">
        <v>3015</v>
      </c>
      <c r="D100" s="2"/>
    </row>
    <row r="101" spans="1:4" ht="18" customHeight="1" x14ac:dyDescent="0.3">
      <c r="A101" s="2" t="s">
        <v>125</v>
      </c>
      <c r="B101" s="2" t="s">
        <v>45</v>
      </c>
      <c r="C101" s="2" t="s">
        <v>3015</v>
      </c>
      <c r="D101" s="2"/>
    </row>
    <row r="102" spans="1:4" ht="18" customHeight="1" x14ac:dyDescent="0.3">
      <c r="A102" s="2" t="s">
        <v>127</v>
      </c>
      <c r="B102" s="2" t="s">
        <v>45</v>
      </c>
      <c r="C102" s="2" t="s">
        <v>3015</v>
      </c>
      <c r="D102" s="2"/>
    </row>
    <row r="103" spans="1:4" ht="18" customHeight="1" x14ac:dyDescent="0.3">
      <c r="A103" s="2" t="s">
        <v>129</v>
      </c>
      <c r="B103" s="2" t="s">
        <v>45</v>
      </c>
      <c r="C103" s="2" t="s">
        <v>3015</v>
      </c>
      <c r="D103" s="2"/>
    </row>
    <row r="104" spans="1:4" ht="18" customHeight="1" x14ac:dyDescent="0.3">
      <c r="A104" s="2" t="s">
        <v>131</v>
      </c>
      <c r="B104" s="2" t="s">
        <v>45</v>
      </c>
      <c r="C104" s="2" t="s">
        <v>3015</v>
      </c>
      <c r="D104" s="2"/>
    </row>
    <row r="105" spans="1:4" ht="18" customHeight="1" x14ac:dyDescent="0.3">
      <c r="A105" s="2" t="s">
        <v>133</v>
      </c>
      <c r="B105" s="2" t="s">
        <v>45</v>
      </c>
      <c r="C105" s="2" t="s">
        <v>3015</v>
      </c>
      <c r="D105" s="2"/>
    </row>
    <row r="106" spans="1:4" ht="18" customHeight="1" x14ac:dyDescent="0.3">
      <c r="A106" s="2" t="s">
        <v>134</v>
      </c>
      <c r="B106" s="2" t="s">
        <v>45</v>
      </c>
      <c r="C106" s="2" t="s">
        <v>3015</v>
      </c>
      <c r="D106" s="2"/>
    </row>
    <row r="107" spans="1:4" ht="18" customHeight="1" x14ac:dyDescent="0.3">
      <c r="A107" s="2" t="s">
        <v>136</v>
      </c>
      <c r="B107" s="2" t="s">
        <v>45</v>
      </c>
      <c r="C107" s="2" t="s">
        <v>3015</v>
      </c>
      <c r="D107" s="2"/>
    </row>
    <row r="108" spans="1:4" ht="18" customHeight="1" x14ac:dyDescent="0.3">
      <c r="A108" s="2" t="s">
        <v>138</v>
      </c>
      <c r="B108" s="2" t="s">
        <v>45</v>
      </c>
      <c r="C108" s="2" t="s">
        <v>3015</v>
      </c>
      <c r="D108" s="2"/>
    </row>
    <row r="109" spans="1:4" ht="18" customHeight="1" x14ac:dyDescent="0.3">
      <c r="A109" s="2" t="s">
        <v>139</v>
      </c>
      <c r="B109" s="2" t="s">
        <v>45</v>
      </c>
      <c r="C109" s="2" t="s">
        <v>3015</v>
      </c>
      <c r="D109" s="2"/>
    </row>
    <row r="110" spans="1:4" ht="18" customHeight="1" x14ac:dyDescent="0.3">
      <c r="A110" s="2" t="s">
        <v>141</v>
      </c>
      <c r="B110" s="2" t="s">
        <v>45</v>
      </c>
      <c r="C110" s="2" t="s">
        <v>3015</v>
      </c>
      <c r="D110" s="2"/>
    </row>
    <row r="111" spans="1:4" ht="18" customHeight="1" x14ac:dyDescent="0.3">
      <c r="A111" s="2" t="s">
        <v>142</v>
      </c>
      <c r="B111" s="2" t="s">
        <v>45</v>
      </c>
      <c r="C111" s="2" t="s">
        <v>3015</v>
      </c>
      <c r="D111" s="2"/>
    </row>
    <row r="112" spans="1:4" ht="18" customHeight="1" x14ac:dyDescent="0.3">
      <c r="A112" s="2" t="s">
        <v>143</v>
      </c>
      <c r="B112" s="2" t="s">
        <v>45</v>
      </c>
      <c r="C112" s="2" t="s">
        <v>3015</v>
      </c>
      <c r="D112" s="2"/>
    </row>
    <row r="113" spans="1:4" ht="18" customHeight="1" x14ac:dyDescent="0.3">
      <c r="A113" s="2" t="s">
        <v>145</v>
      </c>
      <c r="B113" s="2" t="s">
        <v>45</v>
      </c>
      <c r="C113" s="2" t="s">
        <v>3015</v>
      </c>
      <c r="D113" s="2"/>
    </row>
    <row r="114" spans="1:4" ht="18" customHeight="1" x14ac:dyDescent="0.3">
      <c r="A114" s="2" t="s">
        <v>146</v>
      </c>
      <c r="B114" s="2" t="s">
        <v>45</v>
      </c>
      <c r="C114" s="2" t="s">
        <v>3015</v>
      </c>
      <c r="D114" s="2"/>
    </row>
    <row r="115" spans="1:4" ht="18" customHeight="1" x14ac:dyDescent="0.3">
      <c r="A115" s="2" t="s">
        <v>148</v>
      </c>
      <c r="B115" s="2" t="s">
        <v>45</v>
      </c>
      <c r="C115" s="2" t="s">
        <v>3015</v>
      </c>
      <c r="D115" s="2"/>
    </row>
    <row r="116" spans="1:4" ht="18" customHeight="1" x14ac:dyDescent="0.3">
      <c r="A116" s="2" t="s">
        <v>150</v>
      </c>
      <c r="B116" s="2" t="s">
        <v>45</v>
      </c>
      <c r="C116" s="2" t="s">
        <v>3015</v>
      </c>
      <c r="D116" s="2"/>
    </row>
    <row r="117" spans="1:4" ht="18" customHeight="1" x14ac:dyDescent="0.3">
      <c r="A117" s="2" t="s">
        <v>152</v>
      </c>
      <c r="B117" s="2" t="s">
        <v>45</v>
      </c>
      <c r="C117" s="2" t="s">
        <v>3015</v>
      </c>
      <c r="D117" s="2"/>
    </row>
    <row r="118" spans="1:4" ht="18" customHeight="1" x14ac:dyDescent="0.3">
      <c r="A118" s="2" t="s">
        <v>154</v>
      </c>
      <c r="B118" s="2" t="s">
        <v>45</v>
      </c>
      <c r="C118" s="2" t="s">
        <v>3015</v>
      </c>
      <c r="D118" s="2"/>
    </row>
    <row r="119" spans="1:4" ht="18" customHeight="1" x14ac:dyDescent="0.3">
      <c r="A119" s="2" t="s">
        <v>155</v>
      </c>
      <c r="B119" s="2" t="s">
        <v>45</v>
      </c>
      <c r="C119" s="2" t="s">
        <v>3015</v>
      </c>
      <c r="D119" s="2"/>
    </row>
    <row r="120" spans="1:4" ht="18" customHeight="1" x14ac:dyDescent="0.3">
      <c r="A120" s="2" t="s">
        <v>156</v>
      </c>
      <c r="B120" s="2" t="s">
        <v>45</v>
      </c>
      <c r="C120" s="2" t="s">
        <v>3015</v>
      </c>
      <c r="D120" s="2"/>
    </row>
    <row r="121" spans="1:4" ht="18" customHeight="1" x14ac:dyDescent="0.3">
      <c r="A121" s="2" t="s">
        <v>158</v>
      </c>
      <c r="B121" s="2" t="s">
        <v>45</v>
      </c>
      <c r="C121" s="2" t="s">
        <v>3015</v>
      </c>
      <c r="D121" s="2"/>
    </row>
    <row r="122" spans="1:4" ht="18" customHeight="1" x14ac:dyDescent="0.3">
      <c r="A122" s="2" t="s">
        <v>159</v>
      </c>
      <c r="B122" s="2" t="s">
        <v>45</v>
      </c>
      <c r="C122" s="2" t="s">
        <v>3015</v>
      </c>
      <c r="D122" s="2"/>
    </row>
    <row r="123" spans="1:4" ht="18" customHeight="1" x14ac:dyDescent="0.3">
      <c r="A123" s="2" t="s">
        <v>160</v>
      </c>
      <c r="B123" s="2" t="s">
        <v>45</v>
      </c>
      <c r="C123" s="2" t="s">
        <v>3015</v>
      </c>
      <c r="D123" s="2"/>
    </row>
    <row r="124" spans="1:4" ht="18" customHeight="1" x14ac:dyDescent="0.3">
      <c r="A124" s="2" t="s">
        <v>161</v>
      </c>
      <c r="B124" s="2" t="s">
        <v>45</v>
      </c>
      <c r="C124" s="2" t="s">
        <v>3015</v>
      </c>
      <c r="D124" s="2"/>
    </row>
    <row r="125" spans="1:4" ht="18" customHeight="1" x14ac:dyDescent="0.3">
      <c r="A125" s="2" t="s">
        <v>163</v>
      </c>
      <c r="B125" s="2" t="s">
        <v>45</v>
      </c>
      <c r="C125" s="2" t="s">
        <v>3015</v>
      </c>
      <c r="D125" s="2"/>
    </row>
    <row r="126" spans="1:4" ht="18" customHeight="1" x14ac:dyDescent="0.3">
      <c r="A126" s="2" t="s">
        <v>164</v>
      </c>
      <c r="B126" s="2" t="s">
        <v>45</v>
      </c>
      <c r="C126" s="2" t="s">
        <v>3015</v>
      </c>
      <c r="D126" s="2"/>
    </row>
    <row r="127" spans="1:4" ht="18" customHeight="1" x14ac:dyDescent="0.3">
      <c r="A127" s="2" t="s">
        <v>166</v>
      </c>
      <c r="B127" s="2" t="s">
        <v>45</v>
      </c>
      <c r="C127" s="2" t="s">
        <v>3015</v>
      </c>
      <c r="D127" s="2"/>
    </row>
    <row r="128" spans="1:4" ht="18" customHeight="1" x14ac:dyDescent="0.3">
      <c r="A128" s="2" t="s">
        <v>168</v>
      </c>
      <c r="B128" s="2" t="s">
        <v>45</v>
      </c>
      <c r="C128" s="2" t="s">
        <v>3015</v>
      </c>
      <c r="D128" s="2"/>
    </row>
    <row r="129" spans="1:4" ht="18" customHeight="1" x14ac:dyDescent="0.3">
      <c r="A129" s="2" t="s">
        <v>170</v>
      </c>
      <c r="B129" s="2" t="s">
        <v>45</v>
      </c>
      <c r="C129" s="2" t="s">
        <v>3015</v>
      </c>
      <c r="D129" s="2"/>
    </row>
    <row r="130" spans="1:4" ht="18" customHeight="1" x14ac:dyDescent="0.3">
      <c r="A130" s="2" t="s">
        <v>171</v>
      </c>
      <c r="B130" s="2" t="s">
        <v>45</v>
      </c>
      <c r="C130" s="2" t="s">
        <v>3015</v>
      </c>
      <c r="D130" s="2"/>
    </row>
    <row r="131" spans="1:4" ht="18" customHeight="1" x14ac:dyDescent="0.3">
      <c r="A131" s="2" t="s">
        <v>172</v>
      </c>
      <c r="B131" s="2" t="s">
        <v>45</v>
      </c>
      <c r="C131" s="2" t="s">
        <v>3015</v>
      </c>
      <c r="D131" s="2"/>
    </row>
    <row r="132" spans="1:4" ht="18" customHeight="1" x14ac:dyDescent="0.3">
      <c r="A132" s="2" t="s">
        <v>173</v>
      </c>
      <c r="B132" s="2" t="s">
        <v>45</v>
      </c>
      <c r="C132" s="2" t="s">
        <v>3015</v>
      </c>
      <c r="D132" s="2"/>
    </row>
    <row r="133" spans="1:4" ht="18" customHeight="1" x14ac:dyDescent="0.3">
      <c r="A133" s="2" t="s">
        <v>174</v>
      </c>
      <c r="B133" s="2" t="s">
        <v>45</v>
      </c>
      <c r="C133" s="2" t="s">
        <v>3015</v>
      </c>
      <c r="D133" s="2"/>
    </row>
    <row r="134" spans="1:4" ht="18" customHeight="1" x14ac:dyDescent="0.3">
      <c r="A134" s="2" t="s">
        <v>175</v>
      </c>
      <c r="B134" s="2" t="s">
        <v>45</v>
      </c>
      <c r="C134" s="2" t="s">
        <v>3015</v>
      </c>
      <c r="D134" s="2"/>
    </row>
    <row r="135" spans="1:4" ht="18" customHeight="1" x14ac:dyDescent="0.3">
      <c r="A135" s="2" t="s">
        <v>177</v>
      </c>
      <c r="B135" s="2" t="s">
        <v>45</v>
      </c>
      <c r="C135" s="2" t="s">
        <v>3015</v>
      </c>
      <c r="D135" s="2"/>
    </row>
    <row r="136" spans="1:4" ht="18" customHeight="1" x14ac:dyDescent="0.3">
      <c r="A136" s="2" t="s">
        <v>179</v>
      </c>
      <c r="B136" s="2" t="s">
        <v>45</v>
      </c>
      <c r="C136" s="2" t="s">
        <v>3015</v>
      </c>
      <c r="D136" s="2"/>
    </row>
    <row r="137" spans="1:4" ht="18" customHeight="1" x14ac:dyDescent="0.3">
      <c r="A137" s="2" t="s">
        <v>180</v>
      </c>
      <c r="B137" s="2" t="s">
        <v>45</v>
      </c>
      <c r="C137" s="2" t="s">
        <v>3015</v>
      </c>
      <c r="D137" s="2"/>
    </row>
    <row r="138" spans="1:4" ht="18" customHeight="1" x14ac:dyDescent="0.3">
      <c r="A138" s="2" t="s">
        <v>182</v>
      </c>
      <c r="B138" s="2" t="s">
        <v>45</v>
      </c>
      <c r="C138" s="2" t="s">
        <v>3015</v>
      </c>
      <c r="D138" s="2"/>
    </row>
    <row r="139" spans="1:4" ht="18" customHeight="1" x14ac:dyDescent="0.3">
      <c r="A139" s="2" t="s">
        <v>184</v>
      </c>
      <c r="B139" s="2" t="s">
        <v>45</v>
      </c>
      <c r="C139" s="2" t="s">
        <v>3015</v>
      </c>
      <c r="D139" s="2"/>
    </row>
    <row r="140" spans="1:4" ht="18" customHeight="1" x14ac:dyDescent="0.3">
      <c r="A140" s="2" t="s">
        <v>185</v>
      </c>
      <c r="B140" s="2" t="s">
        <v>45</v>
      </c>
      <c r="C140" s="2" t="s">
        <v>3015</v>
      </c>
      <c r="D140" s="2"/>
    </row>
    <row r="141" spans="1:4" ht="18" customHeight="1" x14ac:dyDescent="0.3">
      <c r="A141" s="2" t="s">
        <v>187</v>
      </c>
      <c r="B141" s="2" t="s">
        <v>45</v>
      </c>
      <c r="C141" s="2" t="s">
        <v>3015</v>
      </c>
      <c r="D141" s="2"/>
    </row>
    <row r="142" spans="1:4" ht="18" customHeight="1" x14ac:dyDescent="0.3">
      <c r="A142" s="2" t="s">
        <v>189</v>
      </c>
      <c r="B142" s="2" t="s">
        <v>45</v>
      </c>
      <c r="C142" s="2" t="s">
        <v>3015</v>
      </c>
      <c r="D142" s="2"/>
    </row>
    <row r="143" spans="1:4" ht="18" customHeight="1" x14ac:dyDescent="0.3">
      <c r="A143" s="2" t="s">
        <v>191</v>
      </c>
      <c r="B143" s="2" t="s">
        <v>45</v>
      </c>
      <c r="C143" s="2" t="s">
        <v>3015</v>
      </c>
      <c r="D143" s="2"/>
    </row>
    <row r="144" spans="1:4" ht="18" customHeight="1" x14ac:dyDescent="0.3">
      <c r="A144" s="2" t="s">
        <v>192</v>
      </c>
      <c r="B144" s="2" t="s">
        <v>45</v>
      </c>
      <c r="C144" s="2" t="s">
        <v>3015</v>
      </c>
      <c r="D144" s="2"/>
    </row>
    <row r="145" spans="1:4" ht="18" customHeight="1" x14ac:dyDescent="0.3">
      <c r="A145" s="2" t="s">
        <v>193</v>
      </c>
      <c r="B145" s="2" t="s">
        <v>45</v>
      </c>
      <c r="C145" s="2" t="s">
        <v>3015</v>
      </c>
      <c r="D145" s="2"/>
    </row>
    <row r="146" spans="1:4" ht="18" customHeight="1" x14ac:dyDescent="0.3">
      <c r="A146" s="2" t="s">
        <v>195</v>
      </c>
      <c r="B146" s="2" t="s">
        <v>45</v>
      </c>
      <c r="C146" s="2" t="s">
        <v>3015</v>
      </c>
      <c r="D146" s="2"/>
    </row>
    <row r="147" spans="1:4" ht="18" customHeight="1" x14ac:dyDescent="0.3">
      <c r="A147" s="2" t="s">
        <v>196</v>
      </c>
      <c r="B147" s="2" t="s">
        <v>45</v>
      </c>
      <c r="C147" s="2" t="s">
        <v>3015</v>
      </c>
      <c r="D147" s="2"/>
    </row>
    <row r="148" spans="1:4" ht="18" customHeight="1" x14ac:dyDescent="0.3">
      <c r="A148" s="2" t="s">
        <v>197</v>
      </c>
      <c r="B148" s="2" t="s">
        <v>45</v>
      </c>
      <c r="C148" s="2" t="s">
        <v>3015</v>
      </c>
      <c r="D148" s="2"/>
    </row>
    <row r="149" spans="1:4" ht="18" customHeight="1" x14ac:dyDescent="0.3">
      <c r="A149" s="2" t="s">
        <v>198</v>
      </c>
      <c r="B149" s="2" t="s">
        <v>45</v>
      </c>
      <c r="C149" s="2" t="s">
        <v>3015</v>
      </c>
      <c r="D149" s="2"/>
    </row>
    <row r="150" spans="1:4" ht="18" customHeight="1" x14ac:dyDescent="0.3">
      <c r="A150" s="2" t="s">
        <v>200</v>
      </c>
      <c r="B150" s="2" t="s">
        <v>45</v>
      </c>
      <c r="C150" s="2" t="s">
        <v>3015</v>
      </c>
      <c r="D150" s="2"/>
    </row>
    <row r="151" spans="1:4" ht="18" customHeight="1" x14ac:dyDescent="0.3">
      <c r="A151" s="2" t="s">
        <v>202</v>
      </c>
      <c r="B151" s="2" t="s">
        <v>45</v>
      </c>
      <c r="C151" s="2" t="s">
        <v>3015</v>
      </c>
      <c r="D151" s="2"/>
    </row>
    <row r="152" spans="1:4" ht="18" customHeight="1" x14ac:dyDescent="0.3">
      <c r="A152" s="2" t="s">
        <v>204</v>
      </c>
      <c r="B152" s="2" t="s">
        <v>45</v>
      </c>
      <c r="C152" s="2" t="s">
        <v>3015</v>
      </c>
      <c r="D152" s="2"/>
    </row>
    <row r="153" spans="1:4" ht="18" customHeight="1" x14ac:dyDescent="0.3">
      <c r="A153" s="2" t="s">
        <v>206</v>
      </c>
      <c r="B153" s="2" t="s">
        <v>45</v>
      </c>
      <c r="C153" s="2" t="s">
        <v>3015</v>
      </c>
      <c r="D153" s="2"/>
    </row>
    <row r="154" spans="1:4" ht="18" customHeight="1" x14ac:dyDescent="0.3">
      <c r="A154" s="2" t="s">
        <v>207</v>
      </c>
      <c r="B154" s="2" t="s">
        <v>45</v>
      </c>
      <c r="C154" s="2" t="s">
        <v>3015</v>
      </c>
      <c r="D154" s="2"/>
    </row>
    <row r="155" spans="1:4" ht="18" customHeight="1" x14ac:dyDescent="0.3">
      <c r="A155" s="2" t="s">
        <v>208</v>
      </c>
      <c r="B155" s="2" t="s">
        <v>45</v>
      </c>
      <c r="C155" s="2" t="s">
        <v>3015</v>
      </c>
      <c r="D155" s="2"/>
    </row>
    <row r="156" spans="1:4" ht="18" customHeight="1" x14ac:dyDescent="0.3">
      <c r="A156" s="2" t="s">
        <v>210</v>
      </c>
      <c r="B156" s="2" t="s">
        <v>45</v>
      </c>
      <c r="C156" s="2" t="s">
        <v>3015</v>
      </c>
      <c r="D156" s="2"/>
    </row>
    <row r="157" spans="1:4" ht="18" customHeight="1" x14ac:dyDescent="0.3">
      <c r="A157" s="2" t="s">
        <v>212</v>
      </c>
      <c r="B157" s="2" t="s">
        <v>45</v>
      </c>
      <c r="C157" s="2" t="s">
        <v>3015</v>
      </c>
      <c r="D157" s="2"/>
    </row>
    <row r="158" spans="1:4" ht="18" customHeight="1" x14ac:dyDescent="0.3">
      <c r="A158" s="2" t="s">
        <v>214</v>
      </c>
      <c r="B158" s="2" t="s">
        <v>45</v>
      </c>
      <c r="C158" s="2" t="s">
        <v>3015</v>
      </c>
      <c r="D158" s="2"/>
    </row>
    <row r="159" spans="1:4" ht="18" customHeight="1" x14ac:dyDescent="0.3">
      <c r="A159" s="2" t="s">
        <v>215</v>
      </c>
      <c r="B159" s="2" t="s">
        <v>45</v>
      </c>
      <c r="C159" s="2" t="s">
        <v>3015</v>
      </c>
      <c r="D159" s="2"/>
    </row>
    <row r="160" spans="1:4" ht="18" customHeight="1" x14ac:dyDescent="0.3">
      <c r="A160" s="2" t="s">
        <v>217</v>
      </c>
      <c r="B160" s="2" t="s">
        <v>45</v>
      </c>
      <c r="C160" s="2" t="s">
        <v>3015</v>
      </c>
      <c r="D160" s="2"/>
    </row>
    <row r="161" spans="1:4" ht="18" customHeight="1" x14ac:dyDescent="0.3">
      <c r="A161" s="2" t="s">
        <v>219</v>
      </c>
      <c r="B161" s="2" t="s">
        <v>45</v>
      </c>
      <c r="C161" s="2" t="s">
        <v>3015</v>
      </c>
      <c r="D161" s="2"/>
    </row>
    <row r="162" spans="1:4" ht="18" customHeight="1" x14ac:dyDescent="0.3">
      <c r="A162" s="2" t="s">
        <v>221</v>
      </c>
      <c r="B162" s="2" t="s">
        <v>45</v>
      </c>
      <c r="C162" s="2" t="s">
        <v>3015</v>
      </c>
      <c r="D162" s="2"/>
    </row>
    <row r="163" spans="1:4" ht="18" customHeight="1" x14ac:dyDescent="0.3">
      <c r="A163" s="2" t="s">
        <v>223</v>
      </c>
      <c r="B163" s="2" t="s">
        <v>45</v>
      </c>
      <c r="C163" s="2" t="s">
        <v>3015</v>
      </c>
      <c r="D163" s="2"/>
    </row>
    <row r="164" spans="1:4" ht="18" customHeight="1" x14ac:dyDescent="0.3">
      <c r="A164" s="2" t="s">
        <v>225</v>
      </c>
      <c r="B164" s="2" t="s">
        <v>45</v>
      </c>
      <c r="C164" s="2" t="s">
        <v>3015</v>
      </c>
      <c r="D164" s="2"/>
    </row>
    <row r="165" spans="1:4" ht="18" customHeight="1" x14ac:dyDescent="0.3">
      <c r="A165" s="2" t="s">
        <v>226</v>
      </c>
      <c r="B165" s="2" t="s">
        <v>45</v>
      </c>
      <c r="C165" s="2" t="s">
        <v>3015</v>
      </c>
      <c r="D165" s="2"/>
    </row>
    <row r="166" spans="1:4" ht="18" customHeight="1" x14ac:dyDescent="0.3">
      <c r="A166" s="2" t="s">
        <v>228</v>
      </c>
      <c r="B166" s="2" t="s">
        <v>45</v>
      </c>
      <c r="C166" s="2" t="s">
        <v>3015</v>
      </c>
      <c r="D166" s="2"/>
    </row>
    <row r="167" spans="1:4" ht="18" customHeight="1" x14ac:dyDescent="0.3">
      <c r="A167" s="2" t="s">
        <v>230</v>
      </c>
      <c r="B167" s="2" t="s">
        <v>45</v>
      </c>
      <c r="C167" s="2" t="s">
        <v>3015</v>
      </c>
      <c r="D167" s="2"/>
    </row>
    <row r="168" spans="1:4" ht="18" customHeight="1" x14ac:dyDescent="0.3">
      <c r="A168" s="2" t="s">
        <v>232</v>
      </c>
      <c r="B168" s="2" t="s">
        <v>45</v>
      </c>
      <c r="C168" s="2" t="s">
        <v>3015</v>
      </c>
      <c r="D168" s="2"/>
    </row>
    <row r="169" spans="1:4" ht="18" customHeight="1" x14ac:dyDescent="0.3">
      <c r="A169" s="2" t="s">
        <v>234</v>
      </c>
      <c r="B169" s="2" t="s">
        <v>45</v>
      </c>
      <c r="C169" s="2" t="s">
        <v>3015</v>
      </c>
      <c r="D169" s="2"/>
    </row>
    <row r="170" spans="1:4" ht="18" customHeight="1" x14ac:dyDescent="0.3">
      <c r="A170" s="2" t="s">
        <v>236</v>
      </c>
      <c r="B170" s="2" t="s">
        <v>45</v>
      </c>
      <c r="C170" s="2" t="s">
        <v>3015</v>
      </c>
      <c r="D170" s="2"/>
    </row>
    <row r="171" spans="1:4" ht="18" customHeight="1" x14ac:dyDescent="0.3">
      <c r="A171" s="2" t="s">
        <v>238</v>
      </c>
      <c r="B171" s="2" t="s">
        <v>45</v>
      </c>
      <c r="C171" s="2" t="s">
        <v>3015</v>
      </c>
      <c r="D171" s="2"/>
    </row>
    <row r="172" spans="1:4" ht="18" customHeight="1" x14ac:dyDescent="0.3">
      <c r="A172" s="2" t="s">
        <v>240</v>
      </c>
      <c r="B172" s="2" t="s">
        <v>45</v>
      </c>
      <c r="C172" s="2" t="s">
        <v>3015</v>
      </c>
      <c r="D172" s="2"/>
    </row>
    <row r="173" spans="1:4" ht="18" customHeight="1" x14ac:dyDescent="0.3">
      <c r="A173" s="2" t="s">
        <v>242</v>
      </c>
      <c r="B173" s="2" t="s">
        <v>45</v>
      </c>
      <c r="C173" s="2" t="s">
        <v>3015</v>
      </c>
      <c r="D173" s="2"/>
    </row>
    <row r="174" spans="1:4" ht="18" customHeight="1" x14ac:dyDescent="0.3">
      <c r="A174" s="2" t="s">
        <v>243</v>
      </c>
      <c r="B174" s="2" t="s">
        <v>45</v>
      </c>
      <c r="C174" s="2" t="s">
        <v>3015</v>
      </c>
      <c r="D174" s="2"/>
    </row>
    <row r="175" spans="1:4" ht="18" customHeight="1" x14ac:dyDescent="0.3">
      <c r="A175" s="2" t="s">
        <v>245</v>
      </c>
      <c r="B175" s="2" t="s">
        <v>45</v>
      </c>
      <c r="C175" s="2" t="s">
        <v>3015</v>
      </c>
      <c r="D175" s="2"/>
    </row>
    <row r="176" spans="1:4" ht="18" customHeight="1" x14ac:dyDescent="0.3">
      <c r="A176" s="2" t="s">
        <v>247</v>
      </c>
      <c r="B176" s="2" t="s">
        <v>45</v>
      </c>
      <c r="C176" s="2" t="s">
        <v>3015</v>
      </c>
      <c r="D176" s="2"/>
    </row>
    <row r="177" spans="1:4" ht="18" customHeight="1" x14ac:dyDescent="0.3">
      <c r="A177" s="2" t="s">
        <v>249</v>
      </c>
      <c r="B177" s="2" t="s">
        <v>45</v>
      </c>
      <c r="C177" s="2" t="s">
        <v>3015</v>
      </c>
      <c r="D177" s="2"/>
    </row>
    <row r="178" spans="1:4" ht="18" customHeight="1" x14ac:dyDescent="0.3">
      <c r="A178" s="2" t="s">
        <v>251</v>
      </c>
      <c r="B178" s="2" t="s">
        <v>45</v>
      </c>
      <c r="C178" s="2" t="s">
        <v>3015</v>
      </c>
      <c r="D178" s="2"/>
    </row>
    <row r="179" spans="1:4" ht="18" customHeight="1" x14ac:dyDescent="0.3">
      <c r="A179" s="2" t="s">
        <v>253</v>
      </c>
      <c r="B179" s="2" t="s">
        <v>45</v>
      </c>
      <c r="C179" s="2" t="s">
        <v>3015</v>
      </c>
      <c r="D179" s="2"/>
    </row>
    <row r="180" spans="1:4" ht="18" customHeight="1" x14ac:dyDescent="0.3">
      <c r="A180" s="2" t="s">
        <v>255</v>
      </c>
      <c r="B180" s="2" t="s">
        <v>45</v>
      </c>
      <c r="C180" s="2" t="s">
        <v>3015</v>
      </c>
      <c r="D180" s="2"/>
    </row>
    <row r="181" spans="1:4" ht="18" customHeight="1" x14ac:dyDescent="0.3">
      <c r="A181" s="2" t="s">
        <v>256</v>
      </c>
      <c r="B181" s="2" t="s">
        <v>45</v>
      </c>
      <c r="C181" s="2" t="s">
        <v>3015</v>
      </c>
      <c r="D181" s="2"/>
    </row>
    <row r="182" spans="1:4" ht="18" customHeight="1" x14ac:dyDescent="0.3">
      <c r="A182" s="2" t="s">
        <v>258</v>
      </c>
      <c r="B182" s="2" t="s">
        <v>45</v>
      </c>
      <c r="C182" s="2" t="s">
        <v>3015</v>
      </c>
      <c r="D182" s="2"/>
    </row>
    <row r="183" spans="1:4" ht="18" customHeight="1" x14ac:dyDescent="0.3">
      <c r="A183" s="2" t="s">
        <v>259</v>
      </c>
      <c r="B183" s="2" t="s">
        <v>45</v>
      </c>
      <c r="C183" s="2" t="s">
        <v>3015</v>
      </c>
      <c r="D183" s="2"/>
    </row>
    <row r="184" spans="1:4" ht="18" customHeight="1" x14ac:dyDescent="0.3">
      <c r="A184" s="2" t="s">
        <v>261</v>
      </c>
      <c r="B184" s="2" t="s">
        <v>45</v>
      </c>
      <c r="C184" s="2" t="s">
        <v>3015</v>
      </c>
      <c r="D184" s="2"/>
    </row>
    <row r="185" spans="1:4" ht="18" customHeight="1" x14ac:dyDescent="0.3">
      <c r="A185" s="2" t="s">
        <v>263</v>
      </c>
      <c r="B185" s="2" t="s">
        <v>45</v>
      </c>
      <c r="C185" s="2" t="s">
        <v>3015</v>
      </c>
      <c r="D185" s="2"/>
    </row>
    <row r="186" spans="1:4" ht="18" customHeight="1" x14ac:dyDescent="0.3">
      <c r="A186" s="2" t="s">
        <v>3017</v>
      </c>
      <c r="B186" s="2" t="s">
        <v>3018</v>
      </c>
      <c r="C186" s="2" t="s">
        <v>2966</v>
      </c>
      <c r="D186" s="2"/>
    </row>
    <row r="187" spans="1:4" ht="18" customHeight="1" x14ac:dyDescent="0.3">
      <c r="A187" s="2" t="s">
        <v>3019</v>
      </c>
      <c r="B187" s="2" t="s">
        <v>3018</v>
      </c>
      <c r="C187" s="2" t="s">
        <v>2966</v>
      </c>
      <c r="D187" s="2"/>
    </row>
    <row r="188" spans="1:4" ht="18" customHeight="1" x14ac:dyDescent="0.3">
      <c r="A188" s="2" t="s">
        <v>3020</v>
      </c>
      <c r="B188" s="2" t="s">
        <v>3018</v>
      </c>
      <c r="C188" s="2" t="s">
        <v>2966</v>
      </c>
      <c r="D188" s="2"/>
    </row>
    <row r="189" spans="1:4" ht="18" customHeight="1" x14ac:dyDescent="0.3">
      <c r="A189" s="2" t="s">
        <v>3021</v>
      </c>
      <c r="B189" s="2" t="s">
        <v>3018</v>
      </c>
      <c r="C189" s="2" t="s">
        <v>2966</v>
      </c>
      <c r="D189" s="2"/>
    </row>
    <row r="190" spans="1:4" ht="18" customHeight="1" x14ac:dyDescent="0.3">
      <c r="A190" s="2" t="s">
        <v>3022</v>
      </c>
      <c r="B190" s="2" t="s">
        <v>3018</v>
      </c>
      <c r="C190" s="2" t="s">
        <v>2966</v>
      </c>
      <c r="D190" s="2"/>
    </row>
    <row r="191" spans="1:4" ht="18" customHeight="1" x14ac:dyDescent="0.3">
      <c r="A191" s="2" t="s">
        <v>265</v>
      </c>
      <c r="B191" s="2" t="s">
        <v>266</v>
      </c>
      <c r="C191" s="2" t="s">
        <v>2964</v>
      </c>
      <c r="D191" s="2"/>
    </row>
    <row r="192" spans="1:4" ht="18" customHeight="1" x14ac:dyDescent="0.3">
      <c r="A192" s="2" t="s">
        <v>268</v>
      </c>
      <c r="B192" s="2" t="s">
        <v>266</v>
      </c>
      <c r="C192" s="2" t="s">
        <v>2964</v>
      </c>
      <c r="D192" s="2"/>
    </row>
    <row r="193" spans="1:4" ht="18" customHeight="1" x14ac:dyDescent="0.3">
      <c r="A193" s="2" t="s">
        <v>270</v>
      </c>
      <c r="B193" s="2" t="s">
        <v>266</v>
      </c>
      <c r="C193" s="2" t="s">
        <v>2964</v>
      </c>
      <c r="D193" s="2"/>
    </row>
    <row r="194" spans="1:4" ht="18" customHeight="1" x14ac:dyDescent="0.3">
      <c r="A194" s="2" t="s">
        <v>271</v>
      </c>
      <c r="B194" s="2" t="s">
        <v>266</v>
      </c>
      <c r="C194" s="2" t="s">
        <v>2964</v>
      </c>
      <c r="D194" s="2"/>
    </row>
    <row r="195" spans="1:4" ht="18" customHeight="1" x14ac:dyDescent="0.3">
      <c r="A195" s="2" t="s">
        <v>273</v>
      </c>
      <c r="B195" s="2" t="s">
        <v>266</v>
      </c>
      <c r="C195" s="2" t="s">
        <v>2964</v>
      </c>
      <c r="D195" s="2"/>
    </row>
    <row r="196" spans="1:4" ht="18" customHeight="1" x14ac:dyDescent="0.3">
      <c r="A196" s="2" t="s">
        <v>275</v>
      </c>
      <c r="B196" s="2" t="s">
        <v>266</v>
      </c>
      <c r="C196" s="2" t="s">
        <v>2964</v>
      </c>
      <c r="D196" s="2"/>
    </row>
    <row r="197" spans="1:4" ht="18" customHeight="1" x14ac:dyDescent="0.3">
      <c r="A197" s="2" t="s">
        <v>276</v>
      </c>
      <c r="B197" s="2" t="s">
        <v>266</v>
      </c>
      <c r="C197" s="2" t="s">
        <v>2964</v>
      </c>
      <c r="D197" s="2"/>
    </row>
    <row r="198" spans="1:4" ht="18" customHeight="1" x14ac:dyDescent="0.3">
      <c r="A198" s="2" t="s">
        <v>278</v>
      </c>
      <c r="B198" s="2" t="s">
        <v>266</v>
      </c>
      <c r="C198" s="2" t="s">
        <v>2964</v>
      </c>
      <c r="D198" s="2"/>
    </row>
    <row r="199" spans="1:4" ht="18" customHeight="1" x14ac:dyDescent="0.3">
      <c r="A199" s="2" t="s">
        <v>280</v>
      </c>
      <c r="B199" s="2" t="s">
        <v>266</v>
      </c>
      <c r="C199" s="2" t="s">
        <v>2964</v>
      </c>
      <c r="D199" s="2"/>
    </row>
    <row r="200" spans="1:4" ht="18" customHeight="1" x14ac:dyDescent="0.3">
      <c r="A200" s="2" t="s">
        <v>282</v>
      </c>
      <c r="B200" s="2" t="s">
        <v>266</v>
      </c>
      <c r="C200" s="2" t="s">
        <v>2964</v>
      </c>
      <c r="D200" s="2"/>
    </row>
    <row r="201" spans="1:4" ht="18" customHeight="1" x14ac:dyDescent="0.3">
      <c r="A201" s="2" t="s">
        <v>284</v>
      </c>
      <c r="B201" s="2" t="s">
        <v>266</v>
      </c>
      <c r="C201" s="2" t="s">
        <v>2964</v>
      </c>
      <c r="D201" s="2"/>
    </row>
    <row r="202" spans="1:4" ht="18" customHeight="1" x14ac:dyDescent="0.3">
      <c r="A202" s="2" t="s">
        <v>286</v>
      </c>
      <c r="B202" s="2" t="s">
        <v>266</v>
      </c>
      <c r="C202" s="2" t="s">
        <v>2964</v>
      </c>
      <c r="D202" s="2"/>
    </row>
    <row r="203" spans="1:4" ht="18" customHeight="1" x14ac:dyDescent="0.3">
      <c r="A203" s="2" t="s">
        <v>288</v>
      </c>
      <c r="B203" s="2" t="s">
        <v>266</v>
      </c>
      <c r="C203" s="2" t="s">
        <v>2964</v>
      </c>
      <c r="D203" s="2"/>
    </row>
    <row r="204" spans="1:4" ht="18" customHeight="1" x14ac:dyDescent="0.3">
      <c r="A204" s="2" t="s">
        <v>290</v>
      </c>
      <c r="B204" s="2" t="s">
        <v>266</v>
      </c>
      <c r="C204" s="2" t="s">
        <v>2964</v>
      </c>
      <c r="D204" s="2"/>
    </row>
    <row r="205" spans="1:4" ht="18" customHeight="1" x14ac:dyDescent="0.3">
      <c r="A205" s="2" t="s">
        <v>292</v>
      </c>
      <c r="B205" s="2" t="s">
        <v>266</v>
      </c>
      <c r="C205" s="2" t="s">
        <v>2964</v>
      </c>
      <c r="D205" s="2"/>
    </row>
    <row r="206" spans="1:4" ht="18" customHeight="1" x14ac:dyDescent="0.3">
      <c r="A206" s="2" t="s">
        <v>294</v>
      </c>
      <c r="B206" s="2" t="s">
        <v>266</v>
      </c>
      <c r="C206" s="2" t="s">
        <v>2964</v>
      </c>
      <c r="D206" s="2"/>
    </row>
    <row r="207" spans="1:4" ht="18" customHeight="1" x14ac:dyDescent="0.3">
      <c r="A207" s="2" t="s">
        <v>296</v>
      </c>
      <c r="B207" s="2" t="s">
        <v>266</v>
      </c>
      <c r="C207" s="2" t="s">
        <v>2964</v>
      </c>
      <c r="D207" s="2"/>
    </row>
    <row r="208" spans="1:4" ht="18" customHeight="1" x14ac:dyDescent="0.3">
      <c r="A208" s="2" t="s">
        <v>298</v>
      </c>
      <c r="B208" s="2" t="s">
        <v>266</v>
      </c>
      <c r="C208" s="2" t="s">
        <v>2964</v>
      </c>
      <c r="D208" s="2"/>
    </row>
    <row r="209" spans="1:4" ht="18" customHeight="1" x14ac:dyDescent="0.3">
      <c r="A209" s="2" t="s">
        <v>300</v>
      </c>
      <c r="B209" s="2" t="s">
        <v>266</v>
      </c>
      <c r="C209" s="2" t="s">
        <v>2964</v>
      </c>
      <c r="D209" s="2"/>
    </row>
    <row r="210" spans="1:4" ht="18" customHeight="1" x14ac:dyDescent="0.3">
      <c r="A210" s="2" t="s">
        <v>302</v>
      </c>
      <c r="B210" s="2" t="s">
        <v>266</v>
      </c>
      <c r="C210" s="2" t="s">
        <v>2964</v>
      </c>
      <c r="D210" s="2"/>
    </row>
    <row r="211" spans="1:4" ht="18" customHeight="1" x14ac:dyDescent="0.3">
      <c r="A211" s="2" t="s">
        <v>304</v>
      </c>
      <c r="B211" s="2" t="s">
        <v>266</v>
      </c>
      <c r="C211" s="2" t="s">
        <v>2964</v>
      </c>
      <c r="D211" s="2"/>
    </row>
    <row r="212" spans="1:4" ht="18" customHeight="1" x14ac:dyDescent="0.3">
      <c r="A212" s="2" t="s">
        <v>305</v>
      </c>
      <c r="B212" s="2" t="s">
        <v>266</v>
      </c>
      <c r="C212" s="2" t="s">
        <v>2964</v>
      </c>
      <c r="D212" s="2"/>
    </row>
    <row r="213" spans="1:4" ht="18" customHeight="1" x14ac:dyDescent="0.3">
      <c r="A213" s="2" t="s">
        <v>307</v>
      </c>
      <c r="B213" s="2" t="s">
        <v>266</v>
      </c>
      <c r="C213" s="2" t="s">
        <v>2964</v>
      </c>
      <c r="D213" s="2"/>
    </row>
    <row r="214" spans="1:4" ht="18" customHeight="1" x14ac:dyDescent="0.3">
      <c r="A214" s="2" t="s">
        <v>309</v>
      </c>
      <c r="B214" s="2" t="s">
        <v>266</v>
      </c>
      <c r="C214" s="2" t="s">
        <v>2964</v>
      </c>
      <c r="D214" s="2"/>
    </row>
    <row r="215" spans="1:4" ht="18" customHeight="1" x14ac:dyDescent="0.3">
      <c r="A215" s="2" t="s">
        <v>310</v>
      </c>
      <c r="B215" s="2" t="s">
        <v>266</v>
      </c>
      <c r="C215" s="2" t="s">
        <v>2964</v>
      </c>
      <c r="D215" s="2"/>
    </row>
    <row r="216" spans="1:4" ht="18" customHeight="1" x14ac:dyDescent="0.3">
      <c r="A216" s="2" t="s">
        <v>312</v>
      </c>
      <c r="B216" s="2" t="s">
        <v>266</v>
      </c>
      <c r="C216" s="2" t="s">
        <v>2964</v>
      </c>
      <c r="D216" s="2"/>
    </row>
    <row r="217" spans="1:4" ht="18" customHeight="1" x14ac:dyDescent="0.3">
      <c r="A217" s="2" t="s">
        <v>314</v>
      </c>
      <c r="B217" s="2" t="s">
        <v>266</v>
      </c>
      <c r="C217" s="2" t="s">
        <v>2964</v>
      </c>
      <c r="D217" s="2"/>
    </row>
    <row r="218" spans="1:4" ht="18" customHeight="1" x14ac:dyDescent="0.3">
      <c r="A218" s="2" t="s">
        <v>316</v>
      </c>
      <c r="B218" s="2" t="s">
        <v>266</v>
      </c>
      <c r="C218" s="2" t="s">
        <v>2964</v>
      </c>
      <c r="D218" s="2"/>
    </row>
    <row r="219" spans="1:4" ht="18" customHeight="1" x14ac:dyDescent="0.3">
      <c r="A219" s="2" t="s">
        <v>318</v>
      </c>
      <c r="B219" s="2" t="s">
        <v>266</v>
      </c>
      <c r="C219" s="2" t="s">
        <v>2964</v>
      </c>
      <c r="D219" s="2"/>
    </row>
    <row r="220" spans="1:4" ht="18" customHeight="1" x14ac:dyDescent="0.3">
      <c r="A220" s="2" t="s">
        <v>320</v>
      </c>
      <c r="B220" s="2" t="s">
        <v>266</v>
      </c>
      <c r="C220" s="2" t="s">
        <v>2964</v>
      </c>
      <c r="D220" s="2"/>
    </row>
    <row r="221" spans="1:4" ht="18" customHeight="1" x14ac:dyDescent="0.3">
      <c r="A221" s="2" t="s">
        <v>322</v>
      </c>
      <c r="B221" s="2" t="s">
        <v>266</v>
      </c>
      <c r="C221" s="2" t="s">
        <v>2964</v>
      </c>
      <c r="D221" s="2"/>
    </row>
    <row r="222" spans="1:4" ht="18" customHeight="1" x14ac:dyDescent="0.3">
      <c r="A222" s="2" t="s">
        <v>324</v>
      </c>
      <c r="B222" s="2" t="s">
        <v>266</v>
      </c>
      <c r="C222" s="2" t="s">
        <v>2964</v>
      </c>
      <c r="D222" s="2"/>
    </row>
    <row r="223" spans="1:4" ht="18" customHeight="1" x14ac:dyDescent="0.3">
      <c r="A223" s="2" t="s">
        <v>326</v>
      </c>
      <c r="B223" s="2" t="s">
        <v>266</v>
      </c>
      <c r="C223" s="2" t="s">
        <v>2964</v>
      </c>
      <c r="D223" s="2"/>
    </row>
    <row r="224" spans="1:4" ht="18" customHeight="1" x14ac:dyDescent="0.3">
      <c r="A224" s="2" t="s">
        <v>328</v>
      </c>
      <c r="B224" s="2" t="s">
        <v>266</v>
      </c>
      <c r="C224" s="2" t="s">
        <v>2964</v>
      </c>
      <c r="D224" s="2"/>
    </row>
    <row r="225" spans="1:4" ht="18" customHeight="1" x14ac:dyDescent="0.3">
      <c r="A225" s="2" t="s">
        <v>330</v>
      </c>
      <c r="B225" s="2" t="s">
        <v>266</v>
      </c>
      <c r="C225" s="2" t="s">
        <v>2964</v>
      </c>
      <c r="D225" s="2"/>
    </row>
    <row r="226" spans="1:4" ht="18" customHeight="1" x14ac:dyDescent="0.3">
      <c r="A226" s="2" t="s">
        <v>332</v>
      </c>
      <c r="B226" s="2" t="s">
        <v>266</v>
      </c>
      <c r="C226" s="2" t="s">
        <v>2964</v>
      </c>
      <c r="D226" s="2"/>
    </row>
    <row r="227" spans="1:4" ht="18" customHeight="1" x14ac:dyDescent="0.3">
      <c r="A227" s="2" t="s">
        <v>334</v>
      </c>
      <c r="B227" s="2" t="s">
        <v>266</v>
      </c>
      <c r="C227" s="2" t="s">
        <v>2964</v>
      </c>
      <c r="D227" s="2"/>
    </row>
    <row r="228" spans="1:4" ht="18" customHeight="1" x14ac:dyDescent="0.3">
      <c r="A228" s="2" t="s">
        <v>336</v>
      </c>
      <c r="B228" s="2" t="s">
        <v>266</v>
      </c>
      <c r="C228" s="2" t="s">
        <v>2964</v>
      </c>
      <c r="D228" s="2"/>
    </row>
    <row r="229" spans="1:4" ht="18" customHeight="1" x14ac:dyDescent="0.3">
      <c r="A229" s="2" t="s">
        <v>337</v>
      </c>
      <c r="B229" s="2" t="s">
        <v>266</v>
      </c>
      <c r="C229" s="2" t="s">
        <v>2964</v>
      </c>
      <c r="D229" s="2"/>
    </row>
    <row r="230" spans="1:4" ht="18" customHeight="1" x14ac:dyDescent="0.3">
      <c r="A230" s="2" t="s">
        <v>338</v>
      </c>
      <c r="B230" s="2" t="s">
        <v>266</v>
      </c>
      <c r="C230" s="2" t="s">
        <v>2964</v>
      </c>
      <c r="D230" s="2"/>
    </row>
    <row r="231" spans="1:4" ht="18" customHeight="1" x14ac:dyDescent="0.3">
      <c r="A231" s="2" t="s">
        <v>339</v>
      </c>
      <c r="B231" s="2" t="s">
        <v>266</v>
      </c>
      <c r="C231" s="2" t="s">
        <v>2964</v>
      </c>
      <c r="D231" s="2"/>
    </row>
    <row r="232" spans="1:4" ht="18" customHeight="1" x14ac:dyDescent="0.3">
      <c r="A232" s="2" t="s">
        <v>341</v>
      </c>
      <c r="B232" s="2" t="s">
        <v>266</v>
      </c>
      <c r="C232" s="2" t="s">
        <v>2964</v>
      </c>
      <c r="D232" s="2"/>
    </row>
    <row r="233" spans="1:4" ht="18" customHeight="1" x14ac:dyDescent="0.3">
      <c r="A233" s="2" t="s">
        <v>343</v>
      </c>
      <c r="B233" s="2" t="s">
        <v>266</v>
      </c>
      <c r="C233" s="2" t="s">
        <v>2964</v>
      </c>
      <c r="D233" s="2"/>
    </row>
    <row r="234" spans="1:4" ht="18" customHeight="1" x14ac:dyDescent="0.3">
      <c r="A234" s="2" t="s">
        <v>345</v>
      </c>
      <c r="B234" s="2" t="s">
        <v>266</v>
      </c>
      <c r="C234" s="2" t="s">
        <v>2964</v>
      </c>
      <c r="D234" s="2"/>
    </row>
    <row r="235" spans="1:4" ht="18" customHeight="1" x14ac:dyDescent="0.3">
      <c r="A235" s="2" t="s">
        <v>347</v>
      </c>
      <c r="B235" s="2" t="s">
        <v>266</v>
      </c>
      <c r="C235" s="2" t="s">
        <v>2964</v>
      </c>
      <c r="D235" s="2"/>
    </row>
    <row r="236" spans="1:4" ht="18" customHeight="1" x14ac:dyDescent="0.3">
      <c r="A236" s="2" t="s">
        <v>349</v>
      </c>
      <c r="B236" s="2" t="s">
        <v>266</v>
      </c>
      <c r="C236" s="2" t="s">
        <v>2964</v>
      </c>
      <c r="D236" s="2"/>
    </row>
    <row r="237" spans="1:4" ht="18" customHeight="1" x14ac:dyDescent="0.3">
      <c r="A237" s="2" t="s">
        <v>351</v>
      </c>
      <c r="B237" s="2" t="s">
        <v>266</v>
      </c>
      <c r="C237" s="2" t="s">
        <v>2964</v>
      </c>
      <c r="D237" s="2"/>
    </row>
    <row r="238" spans="1:4" ht="18" customHeight="1" x14ac:dyDescent="0.3">
      <c r="A238" s="2" t="s">
        <v>353</v>
      </c>
      <c r="B238" s="2" t="s">
        <v>266</v>
      </c>
      <c r="C238" s="2" t="s">
        <v>2964</v>
      </c>
      <c r="D238" s="2"/>
    </row>
    <row r="239" spans="1:4" ht="18" customHeight="1" x14ac:dyDescent="0.3">
      <c r="A239" s="2" t="s">
        <v>354</v>
      </c>
      <c r="B239" s="2" t="s">
        <v>266</v>
      </c>
      <c r="C239" s="2" t="s">
        <v>2964</v>
      </c>
      <c r="D239" s="2"/>
    </row>
    <row r="240" spans="1:4" ht="18" customHeight="1" x14ac:dyDescent="0.3">
      <c r="A240" s="2" t="s">
        <v>355</v>
      </c>
      <c r="B240" s="2" t="s">
        <v>266</v>
      </c>
      <c r="C240" s="2" t="s">
        <v>2964</v>
      </c>
      <c r="D240" s="2"/>
    </row>
    <row r="241" spans="1:4" ht="18" customHeight="1" x14ac:dyDescent="0.3">
      <c r="A241" s="2" t="s">
        <v>356</v>
      </c>
      <c r="B241" s="2" t="s">
        <v>266</v>
      </c>
      <c r="C241" s="2" t="s">
        <v>2964</v>
      </c>
      <c r="D241" s="2"/>
    </row>
    <row r="242" spans="1:4" ht="18" customHeight="1" x14ac:dyDescent="0.3">
      <c r="A242" s="2" t="s">
        <v>357</v>
      </c>
      <c r="B242" s="2" t="s">
        <v>266</v>
      </c>
      <c r="C242" s="2" t="s">
        <v>2964</v>
      </c>
      <c r="D242" s="2"/>
    </row>
    <row r="243" spans="1:4" ht="18" customHeight="1" x14ac:dyDescent="0.3">
      <c r="A243" s="2" t="s">
        <v>358</v>
      </c>
      <c r="B243" s="2" t="s">
        <v>266</v>
      </c>
      <c r="C243" s="2" t="s">
        <v>2964</v>
      </c>
      <c r="D243" s="2"/>
    </row>
    <row r="244" spans="1:4" ht="18" customHeight="1" x14ac:dyDescent="0.3">
      <c r="A244" s="2" t="s">
        <v>360</v>
      </c>
      <c r="B244" s="2" t="s">
        <v>266</v>
      </c>
      <c r="C244" s="2" t="s">
        <v>2964</v>
      </c>
      <c r="D244" s="2"/>
    </row>
    <row r="245" spans="1:4" ht="18" customHeight="1" x14ac:dyDescent="0.3">
      <c r="A245" s="2" t="s">
        <v>362</v>
      </c>
      <c r="B245" s="2" t="s">
        <v>266</v>
      </c>
      <c r="C245" s="2" t="s">
        <v>2964</v>
      </c>
      <c r="D245" s="2"/>
    </row>
    <row r="246" spans="1:4" ht="18" customHeight="1" x14ac:dyDescent="0.3">
      <c r="A246" s="2" t="s">
        <v>364</v>
      </c>
      <c r="B246" s="2" t="s">
        <v>266</v>
      </c>
      <c r="C246" s="2" t="s">
        <v>2964</v>
      </c>
      <c r="D246" s="2"/>
    </row>
    <row r="247" spans="1:4" ht="18" customHeight="1" x14ac:dyDescent="0.3">
      <c r="A247" s="2" t="s">
        <v>366</v>
      </c>
      <c r="B247" s="2" t="s">
        <v>266</v>
      </c>
      <c r="C247" s="2" t="s">
        <v>2964</v>
      </c>
      <c r="D247" s="2"/>
    </row>
    <row r="248" spans="1:4" ht="18" customHeight="1" x14ac:dyDescent="0.3">
      <c r="A248" s="2" t="s">
        <v>368</v>
      </c>
      <c r="B248" s="2" t="s">
        <v>266</v>
      </c>
      <c r="C248" s="2" t="s">
        <v>2964</v>
      </c>
      <c r="D248" s="2"/>
    </row>
    <row r="249" spans="1:4" ht="18" customHeight="1" x14ac:dyDescent="0.3">
      <c r="A249" s="2" t="s">
        <v>370</v>
      </c>
      <c r="B249" s="2" t="s">
        <v>266</v>
      </c>
      <c r="C249" s="2" t="s">
        <v>2964</v>
      </c>
      <c r="D249" s="2"/>
    </row>
    <row r="250" spans="1:4" ht="18" customHeight="1" x14ac:dyDescent="0.3">
      <c r="A250" s="2" t="s">
        <v>372</v>
      </c>
      <c r="B250" s="2" t="s">
        <v>266</v>
      </c>
      <c r="C250" s="2" t="s">
        <v>2964</v>
      </c>
      <c r="D250" s="2"/>
    </row>
    <row r="251" spans="1:4" ht="18" customHeight="1" x14ac:dyDescent="0.3">
      <c r="A251" s="2" t="s">
        <v>374</v>
      </c>
      <c r="B251" s="2" t="s">
        <v>266</v>
      </c>
      <c r="C251" s="2" t="s">
        <v>2964</v>
      </c>
      <c r="D251" s="2"/>
    </row>
    <row r="252" spans="1:4" ht="18" customHeight="1" x14ac:dyDescent="0.3">
      <c r="A252" s="2" t="s">
        <v>376</v>
      </c>
      <c r="B252" s="2" t="s">
        <v>266</v>
      </c>
      <c r="C252" s="2" t="s">
        <v>2964</v>
      </c>
      <c r="D252" s="2"/>
    </row>
    <row r="253" spans="1:4" ht="18" customHeight="1" x14ac:dyDescent="0.3">
      <c r="A253" s="2" t="s">
        <v>378</v>
      </c>
      <c r="B253" s="2" t="s">
        <v>266</v>
      </c>
      <c r="C253" s="2" t="s">
        <v>2964</v>
      </c>
      <c r="D253" s="2"/>
    </row>
    <row r="254" spans="1:4" ht="18" customHeight="1" x14ac:dyDescent="0.3">
      <c r="A254" s="2" t="s">
        <v>380</v>
      </c>
      <c r="B254" s="2" t="s">
        <v>266</v>
      </c>
      <c r="C254" s="2" t="s">
        <v>2964</v>
      </c>
      <c r="D254" s="2"/>
    </row>
    <row r="255" spans="1:4" ht="18" customHeight="1" x14ac:dyDescent="0.3">
      <c r="A255" s="2" t="s">
        <v>382</v>
      </c>
      <c r="B255" s="2" t="s">
        <v>266</v>
      </c>
      <c r="C255" s="2" t="s">
        <v>2964</v>
      </c>
      <c r="D255" s="2"/>
    </row>
    <row r="256" spans="1:4" ht="18" customHeight="1" x14ac:dyDescent="0.3">
      <c r="A256" s="2" t="s">
        <v>384</v>
      </c>
      <c r="B256" s="2" t="s">
        <v>266</v>
      </c>
      <c r="C256" s="2" t="s">
        <v>2964</v>
      </c>
      <c r="D256" s="2"/>
    </row>
    <row r="257" spans="1:4" ht="18" customHeight="1" x14ac:dyDescent="0.3">
      <c r="A257" s="2" t="s">
        <v>386</v>
      </c>
      <c r="B257" s="2" t="s">
        <v>266</v>
      </c>
      <c r="C257" s="2" t="s">
        <v>2964</v>
      </c>
      <c r="D257" s="2"/>
    </row>
    <row r="258" spans="1:4" ht="18" customHeight="1" x14ac:dyDescent="0.3">
      <c r="A258" s="2" t="s">
        <v>388</v>
      </c>
      <c r="B258" s="2" t="s">
        <v>266</v>
      </c>
      <c r="C258" s="2" t="s">
        <v>2964</v>
      </c>
      <c r="D258" s="2"/>
    </row>
    <row r="259" spans="1:4" ht="18" customHeight="1" x14ac:dyDescent="0.3">
      <c r="A259" s="2" t="s">
        <v>390</v>
      </c>
      <c r="B259" s="2" t="s">
        <v>266</v>
      </c>
      <c r="C259" s="2" t="s">
        <v>2964</v>
      </c>
      <c r="D259" s="2"/>
    </row>
    <row r="260" spans="1:4" ht="18" customHeight="1" x14ac:dyDescent="0.3">
      <c r="A260" s="2" t="s">
        <v>392</v>
      </c>
      <c r="B260" s="2" t="s">
        <v>266</v>
      </c>
      <c r="C260" s="2" t="s">
        <v>2964</v>
      </c>
      <c r="D260" s="2"/>
    </row>
    <row r="261" spans="1:4" ht="18" customHeight="1" x14ac:dyDescent="0.3">
      <c r="A261" s="2" t="s">
        <v>394</v>
      </c>
      <c r="B261" s="2" t="s">
        <v>266</v>
      </c>
      <c r="C261" s="2" t="s">
        <v>2964</v>
      </c>
      <c r="D261" s="2"/>
    </row>
    <row r="262" spans="1:4" ht="18" customHeight="1" x14ac:dyDescent="0.3">
      <c r="A262" s="2" t="s">
        <v>396</v>
      </c>
      <c r="B262" s="2" t="s">
        <v>266</v>
      </c>
      <c r="C262" s="2" t="s">
        <v>2964</v>
      </c>
      <c r="D262" s="2"/>
    </row>
    <row r="263" spans="1:4" ht="18" customHeight="1" x14ac:dyDescent="0.3">
      <c r="A263" s="2" t="s">
        <v>398</v>
      </c>
      <c r="B263" s="2" t="s">
        <v>266</v>
      </c>
      <c r="C263" s="2" t="s">
        <v>2964</v>
      </c>
      <c r="D263" s="2"/>
    </row>
    <row r="264" spans="1:4" ht="18" customHeight="1" x14ac:dyDescent="0.3">
      <c r="A264" s="2" t="s">
        <v>400</v>
      </c>
      <c r="B264" s="2" t="s">
        <v>266</v>
      </c>
      <c r="C264" s="2" t="s">
        <v>2964</v>
      </c>
      <c r="D264" s="2"/>
    </row>
    <row r="265" spans="1:4" ht="18" customHeight="1" x14ac:dyDescent="0.3">
      <c r="A265" s="2" t="s">
        <v>402</v>
      </c>
      <c r="B265" s="2" t="s">
        <v>266</v>
      </c>
      <c r="C265" s="2" t="s">
        <v>2964</v>
      </c>
      <c r="D265" s="2"/>
    </row>
    <row r="266" spans="1:4" ht="18" customHeight="1" x14ac:dyDescent="0.3">
      <c r="A266" s="2" t="s">
        <v>404</v>
      </c>
      <c r="B266" s="2" t="s">
        <v>266</v>
      </c>
      <c r="C266" s="2" t="s">
        <v>2964</v>
      </c>
      <c r="D266" s="2"/>
    </row>
    <row r="267" spans="1:4" ht="18" customHeight="1" x14ac:dyDescent="0.3">
      <c r="A267" s="2" t="s">
        <v>406</v>
      </c>
      <c r="B267" s="2" t="s">
        <v>266</v>
      </c>
      <c r="C267" s="2" t="s">
        <v>2964</v>
      </c>
      <c r="D267" s="2"/>
    </row>
    <row r="268" spans="1:4" ht="18" customHeight="1" x14ac:dyDescent="0.3">
      <c r="A268" s="2" t="s">
        <v>408</v>
      </c>
      <c r="B268" s="2" t="s">
        <v>266</v>
      </c>
      <c r="C268" s="2" t="s">
        <v>2964</v>
      </c>
      <c r="D268" s="2"/>
    </row>
    <row r="269" spans="1:4" ht="18" customHeight="1" x14ac:dyDescent="0.3">
      <c r="A269" s="2" t="s">
        <v>410</v>
      </c>
      <c r="B269" s="2" t="s">
        <v>266</v>
      </c>
      <c r="C269" s="2" t="s">
        <v>2964</v>
      </c>
      <c r="D269" s="2"/>
    </row>
    <row r="270" spans="1:4" ht="18" customHeight="1" x14ac:dyDescent="0.3">
      <c r="A270" s="2" t="s">
        <v>412</v>
      </c>
      <c r="B270" s="2" t="s">
        <v>266</v>
      </c>
      <c r="C270" s="2" t="s">
        <v>2964</v>
      </c>
      <c r="D270" s="2"/>
    </row>
    <row r="271" spans="1:4" ht="18" customHeight="1" x14ac:dyDescent="0.3">
      <c r="A271" s="2" t="s">
        <v>413</v>
      </c>
      <c r="B271" s="2" t="s">
        <v>266</v>
      </c>
      <c r="C271" s="2" t="s">
        <v>2964</v>
      </c>
      <c r="D271" s="2"/>
    </row>
    <row r="272" spans="1:4" ht="18" customHeight="1" x14ac:dyDescent="0.3">
      <c r="A272" s="2" t="s">
        <v>414</v>
      </c>
      <c r="B272" s="2" t="s">
        <v>266</v>
      </c>
      <c r="C272" s="2" t="s">
        <v>2964</v>
      </c>
      <c r="D272" s="2"/>
    </row>
    <row r="273" spans="1:4" ht="18" customHeight="1" x14ac:dyDescent="0.3">
      <c r="A273" s="2" t="s">
        <v>416</v>
      </c>
      <c r="B273" s="2" t="s">
        <v>266</v>
      </c>
      <c r="C273" s="2" t="s">
        <v>2964</v>
      </c>
      <c r="D273" s="2"/>
    </row>
    <row r="274" spans="1:4" ht="18" customHeight="1" x14ac:dyDescent="0.3">
      <c r="A274" s="2" t="s">
        <v>417</v>
      </c>
      <c r="B274" s="2" t="s">
        <v>266</v>
      </c>
      <c r="C274" s="2" t="s">
        <v>2964</v>
      </c>
      <c r="D274" s="2"/>
    </row>
    <row r="275" spans="1:4" ht="18" customHeight="1" x14ac:dyDescent="0.3">
      <c r="A275" s="2" t="s">
        <v>418</v>
      </c>
      <c r="B275" s="2" t="s">
        <v>266</v>
      </c>
      <c r="C275" s="2" t="s">
        <v>2964</v>
      </c>
      <c r="D275" s="2"/>
    </row>
    <row r="276" spans="1:4" ht="18" customHeight="1" x14ac:dyDescent="0.3">
      <c r="A276" s="2" t="s">
        <v>419</v>
      </c>
      <c r="B276" s="2" t="s">
        <v>266</v>
      </c>
      <c r="C276" s="2" t="s">
        <v>2964</v>
      </c>
      <c r="D276" s="2"/>
    </row>
    <row r="277" spans="1:4" ht="18" customHeight="1" x14ac:dyDescent="0.3">
      <c r="A277" s="2" t="s">
        <v>421</v>
      </c>
      <c r="B277" s="2" t="s">
        <v>266</v>
      </c>
      <c r="C277" s="2" t="s">
        <v>2964</v>
      </c>
      <c r="D277" s="2"/>
    </row>
    <row r="278" spans="1:4" ht="18" customHeight="1" x14ac:dyDescent="0.3">
      <c r="A278" s="2" t="s">
        <v>423</v>
      </c>
      <c r="B278" s="2" t="s">
        <v>266</v>
      </c>
      <c r="C278" s="2" t="s">
        <v>2964</v>
      </c>
      <c r="D278" s="2"/>
    </row>
    <row r="279" spans="1:4" ht="18" customHeight="1" x14ac:dyDescent="0.3">
      <c r="A279" s="2" t="s">
        <v>424</v>
      </c>
      <c r="B279" s="2" t="s">
        <v>266</v>
      </c>
      <c r="C279" s="2" t="s">
        <v>2964</v>
      </c>
      <c r="D279" s="2"/>
    </row>
    <row r="280" spans="1:4" ht="18" customHeight="1" x14ac:dyDescent="0.3">
      <c r="A280" s="2" t="s">
        <v>425</v>
      </c>
      <c r="B280" s="2" t="s">
        <v>266</v>
      </c>
      <c r="C280" s="2" t="s">
        <v>2964</v>
      </c>
      <c r="D280" s="2"/>
    </row>
    <row r="281" spans="1:4" ht="18" customHeight="1" x14ac:dyDescent="0.3">
      <c r="A281" s="2" t="s">
        <v>427</v>
      </c>
      <c r="B281" s="2" t="s">
        <v>266</v>
      </c>
      <c r="C281" s="2" t="s">
        <v>2964</v>
      </c>
      <c r="D281" s="2"/>
    </row>
    <row r="282" spans="1:4" ht="18" customHeight="1" x14ac:dyDescent="0.3">
      <c r="A282" s="2" t="s">
        <v>428</v>
      </c>
      <c r="B282" s="2" t="s">
        <v>266</v>
      </c>
      <c r="C282" s="2" t="s">
        <v>2964</v>
      </c>
      <c r="D282" s="2"/>
    </row>
    <row r="283" spans="1:4" ht="18" customHeight="1" x14ac:dyDescent="0.3">
      <c r="A283" s="2" t="s">
        <v>429</v>
      </c>
      <c r="B283" s="2" t="s">
        <v>266</v>
      </c>
      <c r="C283" s="2" t="s">
        <v>2964</v>
      </c>
      <c r="D283" s="2"/>
    </row>
    <row r="284" spans="1:4" ht="18" customHeight="1" x14ac:dyDescent="0.3">
      <c r="A284" s="2" t="s">
        <v>431</v>
      </c>
      <c r="B284" s="2" t="s">
        <v>266</v>
      </c>
      <c r="C284" s="2" t="s">
        <v>2964</v>
      </c>
      <c r="D284" s="2"/>
    </row>
    <row r="285" spans="1:4" ht="18" customHeight="1" x14ac:dyDescent="0.3">
      <c r="A285" s="2" t="s">
        <v>433</v>
      </c>
      <c r="B285" s="2" t="s">
        <v>266</v>
      </c>
      <c r="C285" s="2" t="s">
        <v>2964</v>
      </c>
      <c r="D285" s="2"/>
    </row>
    <row r="286" spans="1:4" ht="18" customHeight="1" x14ac:dyDescent="0.3">
      <c r="A286" s="2" t="s">
        <v>434</v>
      </c>
      <c r="B286" s="2" t="s">
        <v>266</v>
      </c>
      <c r="C286" s="2" t="s">
        <v>2964</v>
      </c>
      <c r="D286" s="2"/>
    </row>
    <row r="287" spans="1:4" ht="18" customHeight="1" x14ac:dyDescent="0.3">
      <c r="A287" s="2" t="s">
        <v>436</v>
      </c>
      <c r="B287" s="2" t="s">
        <v>266</v>
      </c>
      <c r="C287" s="2" t="s">
        <v>2964</v>
      </c>
      <c r="D287" s="2"/>
    </row>
    <row r="288" spans="1:4" ht="18" customHeight="1" x14ac:dyDescent="0.3">
      <c r="A288" s="2" t="s">
        <v>437</v>
      </c>
      <c r="B288" s="2" t="s">
        <v>266</v>
      </c>
      <c r="C288" s="2" t="s">
        <v>2964</v>
      </c>
      <c r="D288" s="2"/>
    </row>
    <row r="289" spans="1:4" ht="18" customHeight="1" x14ac:dyDescent="0.3">
      <c r="A289" s="2" t="s">
        <v>439</v>
      </c>
      <c r="B289" s="2" t="s">
        <v>266</v>
      </c>
      <c r="C289" s="2" t="s">
        <v>2964</v>
      </c>
      <c r="D289" s="2"/>
    </row>
    <row r="290" spans="1:4" ht="18" customHeight="1" x14ac:dyDescent="0.3">
      <c r="A290" s="2" t="s">
        <v>441</v>
      </c>
      <c r="B290" s="2" t="s">
        <v>266</v>
      </c>
      <c r="C290" s="2" t="s">
        <v>2964</v>
      </c>
      <c r="D290" s="2"/>
    </row>
    <row r="291" spans="1:4" ht="18" customHeight="1" x14ac:dyDescent="0.3">
      <c r="A291" s="2" t="s">
        <v>443</v>
      </c>
      <c r="B291" s="2" t="s">
        <v>266</v>
      </c>
      <c r="C291" s="2" t="s">
        <v>2964</v>
      </c>
      <c r="D291" s="2"/>
    </row>
    <row r="292" spans="1:4" ht="18" customHeight="1" x14ac:dyDescent="0.3">
      <c r="A292" s="2" t="s">
        <v>445</v>
      </c>
      <c r="B292" s="2" t="s">
        <v>266</v>
      </c>
      <c r="C292" s="2" t="s">
        <v>2964</v>
      </c>
      <c r="D292" s="2"/>
    </row>
    <row r="293" spans="1:4" ht="18" customHeight="1" x14ac:dyDescent="0.3">
      <c r="A293" s="2" t="s">
        <v>447</v>
      </c>
      <c r="B293" s="2" t="s">
        <v>266</v>
      </c>
      <c r="C293" s="2" t="s">
        <v>2964</v>
      </c>
      <c r="D293" s="2"/>
    </row>
    <row r="294" spans="1:4" ht="18" customHeight="1" x14ac:dyDescent="0.3">
      <c r="A294" s="2" t="s">
        <v>448</v>
      </c>
      <c r="B294" s="2" t="s">
        <v>266</v>
      </c>
      <c r="C294" s="2" t="s">
        <v>2964</v>
      </c>
      <c r="D294" s="2"/>
    </row>
    <row r="295" spans="1:4" ht="18" customHeight="1" x14ac:dyDescent="0.3">
      <c r="A295" s="2" t="s">
        <v>449</v>
      </c>
      <c r="B295" s="2" t="s">
        <v>266</v>
      </c>
      <c r="C295" s="2" t="s">
        <v>2964</v>
      </c>
      <c r="D295" s="2"/>
    </row>
    <row r="296" spans="1:4" ht="18" customHeight="1" x14ac:dyDescent="0.3">
      <c r="A296" s="2" t="s">
        <v>450</v>
      </c>
      <c r="B296" s="2" t="s">
        <v>266</v>
      </c>
      <c r="C296" s="2" t="s">
        <v>2964</v>
      </c>
      <c r="D296" s="2"/>
    </row>
    <row r="297" spans="1:4" ht="18" customHeight="1" x14ac:dyDescent="0.3">
      <c r="A297" s="2" t="s">
        <v>452</v>
      </c>
      <c r="B297" s="2" t="s">
        <v>266</v>
      </c>
      <c r="C297" s="2" t="s">
        <v>2964</v>
      </c>
      <c r="D297" s="2"/>
    </row>
    <row r="298" spans="1:4" ht="18" customHeight="1" x14ac:dyDescent="0.3">
      <c r="A298" s="2" t="s">
        <v>453</v>
      </c>
      <c r="B298" s="2" t="s">
        <v>266</v>
      </c>
      <c r="C298" s="2" t="s">
        <v>2964</v>
      </c>
      <c r="D298" s="2"/>
    </row>
    <row r="299" spans="1:4" ht="18" customHeight="1" x14ac:dyDescent="0.3">
      <c r="A299" s="2" t="s">
        <v>455</v>
      </c>
      <c r="B299" s="2" t="s">
        <v>266</v>
      </c>
      <c r="C299" s="2" t="s">
        <v>2964</v>
      </c>
      <c r="D299" s="2"/>
    </row>
    <row r="300" spans="1:4" ht="18" customHeight="1" x14ac:dyDescent="0.3">
      <c r="A300" s="2" t="s">
        <v>457</v>
      </c>
      <c r="B300" s="2" t="s">
        <v>266</v>
      </c>
      <c r="C300" s="2" t="s">
        <v>2964</v>
      </c>
      <c r="D300" s="2"/>
    </row>
    <row r="301" spans="1:4" ht="18" customHeight="1" x14ac:dyDescent="0.3">
      <c r="A301" s="2" t="s">
        <v>459</v>
      </c>
      <c r="B301" s="2" t="s">
        <v>266</v>
      </c>
      <c r="C301" s="2" t="s">
        <v>2964</v>
      </c>
      <c r="D301" s="2"/>
    </row>
    <row r="302" spans="1:4" ht="18" customHeight="1" x14ac:dyDescent="0.3">
      <c r="A302" s="2" t="s">
        <v>461</v>
      </c>
      <c r="B302" s="2" t="s">
        <v>266</v>
      </c>
      <c r="C302" s="2" t="s">
        <v>2964</v>
      </c>
      <c r="D302" s="2"/>
    </row>
    <row r="303" spans="1:4" ht="18" customHeight="1" x14ac:dyDescent="0.3">
      <c r="A303" s="2" t="s">
        <v>463</v>
      </c>
      <c r="B303" s="2" t="s">
        <v>266</v>
      </c>
      <c r="C303" s="2" t="s">
        <v>2964</v>
      </c>
      <c r="D303" s="2"/>
    </row>
    <row r="304" spans="1:4" ht="18" customHeight="1" x14ac:dyDescent="0.3">
      <c r="A304" s="2" t="s">
        <v>465</v>
      </c>
      <c r="B304" s="2" t="s">
        <v>266</v>
      </c>
      <c r="C304" s="2" t="s">
        <v>2964</v>
      </c>
      <c r="D304" s="2"/>
    </row>
    <row r="305" spans="1:4" ht="18" customHeight="1" x14ac:dyDescent="0.3">
      <c r="A305" s="2" t="s">
        <v>467</v>
      </c>
      <c r="B305" s="2" t="s">
        <v>266</v>
      </c>
      <c r="C305" s="2" t="s">
        <v>2964</v>
      </c>
      <c r="D305" s="2"/>
    </row>
    <row r="306" spans="1:4" ht="18" customHeight="1" x14ac:dyDescent="0.3">
      <c r="A306" s="2" t="s">
        <v>469</v>
      </c>
      <c r="B306" s="2" t="s">
        <v>266</v>
      </c>
      <c r="C306" s="2" t="s">
        <v>2964</v>
      </c>
      <c r="D306" s="2"/>
    </row>
    <row r="307" spans="1:4" ht="18" customHeight="1" x14ac:dyDescent="0.3">
      <c r="A307" s="2" t="s">
        <v>471</v>
      </c>
      <c r="B307" s="2" t="s">
        <v>266</v>
      </c>
      <c r="C307" s="2" t="s">
        <v>2964</v>
      </c>
      <c r="D307" s="2"/>
    </row>
    <row r="308" spans="1:4" ht="18" customHeight="1" x14ac:dyDescent="0.3">
      <c r="A308" s="2" t="s">
        <v>473</v>
      </c>
      <c r="B308" s="2" t="s">
        <v>266</v>
      </c>
      <c r="C308" s="2" t="s">
        <v>2964</v>
      </c>
      <c r="D308" s="2"/>
    </row>
    <row r="309" spans="1:4" ht="18" customHeight="1" x14ac:dyDescent="0.3">
      <c r="A309" s="2" t="s">
        <v>475</v>
      </c>
      <c r="B309" s="2" t="s">
        <v>266</v>
      </c>
      <c r="C309" s="2" t="s">
        <v>2964</v>
      </c>
      <c r="D309" s="2"/>
    </row>
    <row r="310" spans="1:4" ht="18" customHeight="1" x14ac:dyDescent="0.3">
      <c r="A310" s="2" t="s">
        <v>477</v>
      </c>
      <c r="B310" s="2" t="s">
        <v>266</v>
      </c>
      <c r="C310" s="2" t="s">
        <v>2964</v>
      </c>
      <c r="D310" s="2"/>
    </row>
    <row r="311" spans="1:4" ht="18" customHeight="1" x14ac:dyDescent="0.3">
      <c r="A311" s="2" t="s">
        <v>479</v>
      </c>
      <c r="B311" s="2" t="s">
        <v>266</v>
      </c>
      <c r="C311" s="2" t="s">
        <v>2964</v>
      </c>
      <c r="D311" s="2"/>
    </row>
    <row r="312" spans="1:4" ht="18" customHeight="1" x14ac:dyDescent="0.3">
      <c r="A312" s="2" t="s">
        <v>481</v>
      </c>
      <c r="B312" s="2" t="s">
        <v>266</v>
      </c>
      <c r="C312" s="2" t="s">
        <v>2964</v>
      </c>
      <c r="D312" s="2"/>
    </row>
    <row r="313" spans="1:4" ht="18" customHeight="1" x14ac:dyDescent="0.3">
      <c r="A313" s="2" t="s">
        <v>483</v>
      </c>
      <c r="B313" s="2" t="s">
        <v>266</v>
      </c>
      <c r="C313" s="2" t="s">
        <v>2964</v>
      </c>
      <c r="D313" s="2"/>
    </row>
    <row r="314" spans="1:4" ht="18" customHeight="1" x14ac:dyDescent="0.3">
      <c r="A314" s="2" t="s">
        <v>485</v>
      </c>
      <c r="B314" s="2" t="s">
        <v>266</v>
      </c>
      <c r="C314" s="2" t="s">
        <v>2964</v>
      </c>
      <c r="D314" s="2"/>
    </row>
    <row r="315" spans="1:4" ht="18" customHeight="1" x14ac:dyDescent="0.3">
      <c r="A315" s="2" t="s">
        <v>487</v>
      </c>
      <c r="B315" s="2" t="s">
        <v>266</v>
      </c>
      <c r="C315" s="2" t="s">
        <v>2964</v>
      </c>
      <c r="D315" s="2"/>
    </row>
    <row r="316" spans="1:4" ht="18" customHeight="1" x14ac:dyDescent="0.3">
      <c r="A316" s="2" t="s">
        <v>489</v>
      </c>
      <c r="B316" s="2" t="s">
        <v>266</v>
      </c>
      <c r="C316" s="2" t="s">
        <v>2964</v>
      </c>
      <c r="D316" s="2"/>
    </row>
    <row r="317" spans="1:4" ht="18" customHeight="1" x14ac:dyDescent="0.3">
      <c r="A317" s="2" t="s">
        <v>491</v>
      </c>
      <c r="B317" s="2" t="s">
        <v>266</v>
      </c>
      <c r="C317" s="2" t="s">
        <v>2964</v>
      </c>
      <c r="D317" s="2"/>
    </row>
    <row r="318" spans="1:4" ht="18" customHeight="1" x14ac:dyDescent="0.3">
      <c r="A318" s="2" t="s">
        <v>493</v>
      </c>
      <c r="B318" s="2" t="s">
        <v>266</v>
      </c>
      <c r="C318" s="2" t="s">
        <v>2964</v>
      </c>
      <c r="D318" s="2"/>
    </row>
    <row r="319" spans="1:4" ht="18" customHeight="1" x14ac:dyDescent="0.3">
      <c r="A319" s="2" t="s">
        <v>495</v>
      </c>
      <c r="B319" s="2" t="s">
        <v>266</v>
      </c>
      <c r="C319" s="2" t="s">
        <v>2964</v>
      </c>
      <c r="D319" s="2"/>
    </row>
    <row r="320" spans="1:4" x14ac:dyDescent="0.3">
      <c r="A320" s="2" t="s">
        <v>496</v>
      </c>
      <c r="B320" s="2" t="s">
        <v>266</v>
      </c>
      <c r="C320" s="2" t="s">
        <v>2964</v>
      </c>
      <c r="D320" s="2"/>
    </row>
    <row r="321" spans="1:4" x14ac:dyDescent="0.3">
      <c r="A321" s="2" t="s">
        <v>498</v>
      </c>
      <c r="B321" s="2" t="s">
        <v>266</v>
      </c>
      <c r="C321" s="2" t="s">
        <v>2964</v>
      </c>
      <c r="D321" s="2"/>
    </row>
    <row r="322" spans="1:4" x14ac:dyDescent="0.3">
      <c r="A322" s="2" t="s">
        <v>500</v>
      </c>
      <c r="B322" s="2" t="s">
        <v>266</v>
      </c>
      <c r="C322" s="2" t="s">
        <v>2964</v>
      </c>
      <c r="D322" s="2"/>
    </row>
    <row r="323" spans="1:4" x14ac:dyDescent="0.3">
      <c r="A323" s="2" t="s">
        <v>501</v>
      </c>
      <c r="B323" s="2" t="s">
        <v>266</v>
      </c>
      <c r="C323" s="2" t="s">
        <v>2964</v>
      </c>
      <c r="D323" s="2"/>
    </row>
    <row r="324" spans="1:4" x14ac:dyDescent="0.3">
      <c r="A324" s="2" t="s">
        <v>503</v>
      </c>
      <c r="B324" s="2" t="s">
        <v>266</v>
      </c>
      <c r="C324" s="2" t="s">
        <v>2964</v>
      </c>
      <c r="D324" s="2"/>
    </row>
    <row r="325" spans="1:4" x14ac:dyDescent="0.3">
      <c r="A325" s="2" t="s">
        <v>505</v>
      </c>
      <c r="B325" s="2" t="s">
        <v>266</v>
      </c>
      <c r="C325" s="2" t="s">
        <v>2964</v>
      </c>
      <c r="D325" s="2"/>
    </row>
    <row r="326" spans="1:4" x14ac:dyDescent="0.3">
      <c r="A326" s="2" t="s">
        <v>506</v>
      </c>
      <c r="B326" s="2" t="s">
        <v>266</v>
      </c>
      <c r="C326" s="2" t="s">
        <v>2964</v>
      </c>
      <c r="D326" s="2"/>
    </row>
    <row r="327" spans="1:4" x14ac:dyDescent="0.3">
      <c r="A327" s="2" t="s">
        <v>508</v>
      </c>
      <c r="B327" s="2" t="s">
        <v>266</v>
      </c>
      <c r="C327" s="2" t="s">
        <v>2964</v>
      </c>
      <c r="D327" s="2"/>
    </row>
    <row r="328" spans="1:4" x14ac:dyDescent="0.3">
      <c r="A328" s="2" t="s">
        <v>510</v>
      </c>
      <c r="B328" s="2" t="s">
        <v>266</v>
      </c>
      <c r="C328" s="2" t="s">
        <v>2964</v>
      </c>
      <c r="D328" s="2"/>
    </row>
    <row r="329" spans="1:4" x14ac:dyDescent="0.3">
      <c r="A329" s="2" t="s">
        <v>512</v>
      </c>
      <c r="B329" s="2" t="s">
        <v>266</v>
      </c>
      <c r="C329" s="2" t="s">
        <v>2964</v>
      </c>
      <c r="D329" s="2"/>
    </row>
    <row r="330" spans="1:4" x14ac:dyDescent="0.3">
      <c r="A330" s="2" t="s">
        <v>514</v>
      </c>
      <c r="B330" s="2" t="s">
        <v>266</v>
      </c>
      <c r="C330" s="2" t="s">
        <v>2964</v>
      </c>
      <c r="D330" s="2"/>
    </row>
    <row r="331" spans="1:4" x14ac:dyDescent="0.3">
      <c r="A331" s="2" t="s">
        <v>516</v>
      </c>
      <c r="B331" s="2" t="s">
        <v>266</v>
      </c>
      <c r="C331" s="2" t="s">
        <v>2964</v>
      </c>
      <c r="D331" s="2"/>
    </row>
    <row r="332" spans="1:4" x14ac:dyDescent="0.3">
      <c r="A332" s="2" t="s">
        <v>518</v>
      </c>
      <c r="B332" s="2" t="s">
        <v>266</v>
      </c>
      <c r="C332" s="2" t="s">
        <v>2964</v>
      </c>
      <c r="D332" s="2"/>
    </row>
    <row r="333" spans="1:4" x14ac:dyDescent="0.3">
      <c r="A333" s="2" t="s">
        <v>520</v>
      </c>
      <c r="B333" s="2" t="s">
        <v>266</v>
      </c>
      <c r="C333" s="2" t="s">
        <v>2964</v>
      </c>
      <c r="D333" s="2"/>
    </row>
    <row r="334" spans="1:4" x14ac:dyDescent="0.3">
      <c r="A334" s="2" t="s">
        <v>522</v>
      </c>
      <c r="B334" s="2" t="s">
        <v>266</v>
      </c>
      <c r="C334" s="2" t="s">
        <v>2964</v>
      </c>
      <c r="D334" s="2"/>
    </row>
    <row r="335" spans="1:4" x14ac:dyDescent="0.3">
      <c r="A335" s="2" t="s">
        <v>524</v>
      </c>
      <c r="B335" s="2" t="s">
        <v>266</v>
      </c>
      <c r="C335" s="2" t="s">
        <v>2964</v>
      </c>
      <c r="D335" s="2"/>
    </row>
    <row r="336" spans="1:4" x14ac:dyDescent="0.3">
      <c r="A336" s="2" t="s">
        <v>526</v>
      </c>
      <c r="B336" s="2" t="s">
        <v>266</v>
      </c>
      <c r="C336" s="2" t="s">
        <v>2964</v>
      </c>
      <c r="D336" s="2"/>
    </row>
    <row r="337" spans="1:4" x14ac:dyDescent="0.3">
      <c r="A337" s="2" t="s">
        <v>528</v>
      </c>
      <c r="B337" s="2" t="s">
        <v>266</v>
      </c>
      <c r="C337" s="2" t="s">
        <v>2964</v>
      </c>
      <c r="D337" s="2"/>
    </row>
    <row r="338" spans="1:4" x14ac:dyDescent="0.3">
      <c r="A338" s="2" t="s">
        <v>530</v>
      </c>
      <c r="B338" s="2" t="s">
        <v>266</v>
      </c>
      <c r="C338" s="2" t="s">
        <v>2964</v>
      </c>
      <c r="D338" s="2"/>
    </row>
    <row r="339" spans="1:4" x14ac:dyDescent="0.3">
      <c r="A339" s="2" t="s">
        <v>532</v>
      </c>
      <c r="B339" s="2" t="s">
        <v>266</v>
      </c>
      <c r="C339" s="2" t="s">
        <v>2964</v>
      </c>
      <c r="D339" s="2"/>
    </row>
    <row r="340" spans="1:4" x14ac:dyDescent="0.3">
      <c r="A340" s="2" t="s">
        <v>534</v>
      </c>
      <c r="B340" s="2" t="s">
        <v>266</v>
      </c>
      <c r="C340" s="2" t="s">
        <v>2964</v>
      </c>
      <c r="D340" s="2"/>
    </row>
    <row r="341" spans="1:4" x14ac:dyDescent="0.3">
      <c r="A341" s="2" t="s">
        <v>536</v>
      </c>
      <c r="B341" s="2" t="s">
        <v>266</v>
      </c>
      <c r="C341" s="2" t="s">
        <v>2964</v>
      </c>
      <c r="D341" s="2"/>
    </row>
    <row r="342" spans="1:4" x14ac:dyDescent="0.3">
      <c r="A342" s="2" t="s">
        <v>538</v>
      </c>
      <c r="B342" s="2" t="s">
        <v>266</v>
      </c>
      <c r="C342" s="2" t="s">
        <v>2964</v>
      </c>
      <c r="D342" s="2"/>
    </row>
    <row r="343" spans="1:4" x14ac:dyDescent="0.3">
      <c r="A343" s="2" t="s">
        <v>540</v>
      </c>
      <c r="B343" s="2" t="s">
        <v>266</v>
      </c>
      <c r="C343" s="2" t="s">
        <v>2964</v>
      </c>
      <c r="D343" s="2"/>
    </row>
    <row r="344" spans="1:4" x14ac:dyDescent="0.3">
      <c r="A344" s="2" t="s">
        <v>542</v>
      </c>
      <c r="B344" s="2" t="s">
        <v>266</v>
      </c>
      <c r="C344" s="2" t="s">
        <v>2964</v>
      </c>
      <c r="D344" s="2"/>
    </row>
    <row r="345" spans="1:4" x14ac:dyDescent="0.3">
      <c r="A345" s="2" t="s">
        <v>544</v>
      </c>
      <c r="B345" s="2" t="s">
        <v>266</v>
      </c>
      <c r="C345" s="2" t="s">
        <v>2964</v>
      </c>
      <c r="D345" s="2"/>
    </row>
    <row r="346" spans="1:4" x14ac:dyDescent="0.3">
      <c r="A346" s="2" t="s">
        <v>545</v>
      </c>
      <c r="B346" s="2" t="s">
        <v>266</v>
      </c>
      <c r="C346" s="2" t="s">
        <v>2964</v>
      </c>
      <c r="D346" s="2"/>
    </row>
    <row r="347" spans="1:4" x14ac:dyDescent="0.3">
      <c r="A347" s="2" t="s">
        <v>547</v>
      </c>
      <c r="B347" s="2" t="s">
        <v>266</v>
      </c>
      <c r="C347" s="2" t="s">
        <v>2964</v>
      </c>
      <c r="D347" s="2"/>
    </row>
    <row r="348" spans="1:4" x14ac:dyDescent="0.3">
      <c r="A348" s="2" t="s">
        <v>549</v>
      </c>
      <c r="B348" s="2" t="s">
        <v>266</v>
      </c>
      <c r="C348" s="2" t="s">
        <v>2964</v>
      </c>
      <c r="D348" s="2"/>
    </row>
    <row r="349" spans="1:4" x14ac:dyDescent="0.3">
      <c r="A349" s="2" t="s">
        <v>551</v>
      </c>
      <c r="B349" s="2" t="s">
        <v>266</v>
      </c>
      <c r="C349" s="2" t="s">
        <v>2964</v>
      </c>
      <c r="D349" s="2"/>
    </row>
    <row r="350" spans="1:4" x14ac:dyDescent="0.3">
      <c r="A350" s="2" t="s">
        <v>553</v>
      </c>
      <c r="B350" s="2" t="s">
        <v>266</v>
      </c>
      <c r="C350" s="2" t="s">
        <v>2964</v>
      </c>
      <c r="D350" s="2"/>
    </row>
    <row r="351" spans="1:4" x14ac:dyDescent="0.3">
      <c r="A351" s="2" t="s">
        <v>555</v>
      </c>
      <c r="B351" s="2" t="s">
        <v>266</v>
      </c>
      <c r="C351" s="2" t="s">
        <v>2964</v>
      </c>
      <c r="D351" s="2"/>
    </row>
    <row r="352" spans="1:4" x14ac:dyDescent="0.3">
      <c r="A352" s="2" t="s">
        <v>557</v>
      </c>
      <c r="B352" s="2" t="s">
        <v>266</v>
      </c>
      <c r="C352" s="2" t="s">
        <v>2964</v>
      </c>
      <c r="D352" s="2"/>
    </row>
    <row r="353" spans="1:4" x14ac:dyDescent="0.3">
      <c r="A353" s="2" t="s">
        <v>559</v>
      </c>
      <c r="B353" s="2" t="s">
        <v>266</v>
      </c>
      <c r="C353" s="2" t="s">
        <v>2964</v>
      </c>
      <c r="D353" s="2"/>
    </row>
    <row r="354" spans="1:4" x14ac:dyDescent="0.3">
      <c r="A354" s="2" t="s">
        <v>561</v>
      </c>
      <c r="B354" s="2" t="s">
        <v>266</v>
      </c>
      <c r="C354" s="2" t="s">
        <v>2964</v>
      </c>
      <c r="D354" s="2"/>
    </row>
    <row r="355" spans="1:4" x14ac:dyDescent="0.3">
      <c r="A355" s="2" t="s">
        <v>563</v>
      </c>
      <c r="B355" s="2" t="s">
        <v>266</v>
      </c>
      <c r="C355" s="2" t="s">
        <v>2964</v>
      </c>
      <c r="D355" s="2"/>
    </row>
    <row r="356" spans="1:4" x14ac:dyDescent="0.3">
      <c r="A356" s="2" t="s">
        <v>565</v>
      </c>
      <c r="B356" s="2" t="s">
        <v>266</v>
      </c>
      <c r="C356" s="2" t="s">
        <v>2964</v>
      </c>
      <c r="D356" s="2"/>
    </row>
    <row r="357" spans="1:4" x14ac:dyDescent="0.3">
      <c r="A357" s="2" t="s">
        <v>567</v>
      </c>
      <c r="B357" s="2" t="s">
        <v>266</v>
      </c>
      <c r="C357" s="2" t="s">
        <v>2964</v>
      </c>
      <c r="D357" s="2"/>
    </row>
    <row r="358" spans="1:4" x14ac:dyDescent="0.3">
      <c r="A358" s="2" t="s">
        <v>569</v>
      </c>
      <c r="B358" s="2" t="s">
        <v>266</v>
      </c>
      <c r="C358" s="2" t="s">
        <v>2964</v>
      </c>
      <c r="D358" s="2"/>
    </row>
    <row r="359" spans="1:4" x14ac:dyDescent="0.3">
      <c r="A359" s="2" t="s">
        <v>571</v>
      </c>
      <c r="B359" s="2" t="s">
        <v>266</v>
      </c>
      <c r="C359" s="2" t="s">
        <v>2964</v>
      </c>
      <c r="D359" s="2"/>
    </row>
    <row r="360" spans="1:4" x14ac:dyDescent="0.3">
      <c r="A360" s="2" t="s">
        <v>573</v>
      </c>
      <c r="B360" s="2" t="s">
        <v>266</v>
      </c>
      <c r="C360" s="2" t="s">
        <v>2964</v>
      </c>
      <c r="D360" s="2"/>
    </row>
    <row r="361" spans="1:4" x14ac:dyDescent="0.3">
      <c r="A361" s="2" t="s">
        <v>575</v>
      </c>
      <c r="B361" s="2" t="s">
        <v>266</v>
      </c>
      <c r="C361" s="2" t="s">
        <v>2964</v>
      </c>
      <c r="D361" s="2"/>
    </row>
    <row r="362" spans="1:4" x14ac:dyDescent="0.3">
      <c r="A362" s="2" t="s">
        <v>577</v>
      </c>
      <c r="B362" s="2" t="s">
        <v>266</v>
      </c>
      <c r="C362" s="2" t="s">
        <v>2964</v>
      </c>
      <c r="D362" s="2"/>
    </row>
    <row r="363" spans="1:4" x14ac:dyDescent="0.3">
      <c r="A363" s="2" t="s">
        <v>579</v>
      </c>
      <c r="B363" s="2" t="s">
        <v>266</v>
      </c>
      <c r="C363" s="2" t="s">
        <v>2964</v>
      </c>
      <c r="D363" s="2"/>
    </row>
    <row r="364" spans="1:4" x14ac:dyDescent="0.3">
      <c r="A364" s="2" t="s">
        <v>580</v>
      </c>
      <c r="B364" s="2" t="s">
        <v>266</v>
      </c>
      <c r="C364" s="2" t="s">
        <v>2964</v>
      </c>
      <c r="D364" s="2"/>
    </row>
    <row r="365" spans="1:4" x14ac:dyDescent="0.3">
      <c r="A365" s="2" t="s">
        <v>582</v>
      </c>
      <c r="B365" s="2" t="s">
        <v>266</v>
      </c>
      <c r="C365" s="2" t="s">
        <v>2964</v>
      </c>
      <c r="D365" s="2"/>
    </row>
    <row r="366" spans="1:4" x14ac:dyDescent="0.3">
      <c r="A366" s="2" t="s">
        <v>584</v>
      </c>
      <c r="B366" s="2" t="s">
        <v>266</v>
      </c>
      <c r="C366" s="2" t="s">
        <v>2964</v>
      </c>
      <c r="D366" s="2"/>
    </row>
    <row r="367" spans="1:4" x14ac:dyDescent="0.3">
      <c r="A367" s="2" t="s">
        <v>586</v>
      </c>
      <c r="B367" s="2" t="s">
        <v>266</v>
      </c>
      <c r="C367" s="2" t="s">
        <v>2964</v>
      </c>
      <c r="D367" s="2"/>
    </row>
    <row r="368" spans="1:4" x14ac:dyDescent="0.3">
      <c r="A368" s="2" t="s">
        <v>588</v>
      </c>
      <c r="B368" s="2" t="s">
        <v>266</v>
      </c>
      <c r="C368" s="2" t="s">
        <v>2964</v>
      </c>
      <c r="D368" s="2"/>
    </row>
    <row r="369" spans="1:4" x14ac:dyDescent="0.3">
      <c r="A369" s="2" t="s">
        <v>589</v>
      </c>
      <c r="B369" s="2" t="s">
        <v>266</v>
      </c>
      <c r="C369" s="2" t="s">
        <v>2964</v>
      </c>
      <c r="D369" s="2"/>
    </row>
    <row r="370" spans="1:4" x14ac:dyDescent="0.3">
      <c r="A370" s="2" t="s">
        <v>591</v>
      </c>
      <c r="B370" s="2" t="s">
        <v>266</v>
      </c>
      <c r="C370" s="2" t="s">
        <v>2964</v>
      </c>
      <c r="D370" s="2"/>
    </row>
    <row r="371" spans="1:4" x14ac:dyDescent="0.3">
      <c r="A371" s="2" t="s">
        <v>593</v>
      </c>
      <c r="B371" s="2" t="s">
        <v>266</v>
      </c>
      <c r="C371" s="2" t="s">
        <v>2964</v>
      </c>
      <c r="D371" s="2"/>
    </row>
    <row r="372" spans="1:4" x14ac:dyDescent="0.3">
      <c r="A372" s="2" t="s">
        <v>594</v>
      </c>
      <c r="B372" s="2" t="s">
        <v>266</v>
      </c>
      <c r="C372" s="2" t="s">
        <v>2964</v>
      </c>
      <c r="D372" s="2"/>
    </row>
    <row r="373" spans="1:4" x14ac:dyDescent="0.3">
      <c r="A373" s="2" t="s">
        <v>595</v>
      </c>
      <c r="B373" s="2" t="s">
        <v>266</v>
      </c>
      <c r="C373" s="2" t="s">
        <v>2964</v>
      </c>
      <c r="D373" s="2"/>
    </row>
    <row r="374" spans="1:4" x14ac:dyDescent="0.3">
      <c r="A374" s="2" t="s">
        <v>597</v>
      </c>
      <c r="B374" s="2" t="s">
        <v>266</v>
      </c>
      <c r="C374" s="2" t="s">
        <v>2964</v>
      </c>
      <c r="D374" s="2"/>
    </row>
    <row r="375" spans="1:4" x14ac:dyDescent="0.3">
      <c r="A375" s="2" t="s">
        <v>599</v>
      </c>
      <c r="B375" s="2" t="s">
        <v>266</v>
      </c>
      <c r="C375" s="2" t="s">
        <v>2964</v>
      </c>
      <c r="D375" s="2"/>
    </row>
    <row r="376" spans="1:4" x14ac:dyDescent="0.3">
      <c r="A376" s="2" t="s">
        <v>601</v>
      </c>
      <c r="B376" s="2" t="s">
        <v>266</v>
      </c>
      <c r="C376" s="2" t="s">
        <v>2964</v>
      </c>
      <c r="D376" s="2"/>
    </row>
    <row r="377" spans="1:4" x14ac:dyDescent="0.3">
      <c r="A377" s="2" t="s">
        <v>603</v>
      </c>
      <c r="B377" s="2" t="s">
        <v>266</v>
      </c>
      <c r="C377" s="2" t="s">
        <v>2964</v>
      </c>
      <c r="D377" s="2"/>
    </row>
    <row r="378" spans="1:4" x14ac:dyDescent="0.3">
      <c r="A378" s="2" t="s">
        <v>605</v>
      </c>
      <c r="B378" s="2" t="s">
        <v>266</v>
      </c>
      <c r="C378" s="2" t="s">
        <v>2964</v>
      </c>
      <c r="D378" s="2"/>
    </row>
    <row r="379" spans="1:4" x14ac:dyDescent="0.3">
      <c r="A379" s="2" t="s">
        <v>607</v>
      </c>
      <c r="B379" s="2" t="s">
        <v>266</v>
      </c>
      <c r="C379" s="2" t="s">
        <v>2964</v>
      </c>
      <c r="D379" s="2"/>
    </row>
    <row r="380" spans="1:4" x14ac:dyDescent="0.3">
      <c r="A380" s="2" t="s">
        <v>609</v>
      </c>
      <c r="B380" s="2" t="s">
        <v>266</v>
      </c>
      <c r="C380" s="2" t="s">
        <v>2964</v>
      </c>
      <c r="D380" s="2"/>
    </row>
    <row r="381" spans="1:4" x14ac:dyDescent="0.3">
      <c r="A381" s="2" t="s">
        <v>611</v>
      </c>
      <c r="B381" s="2" t="s">
        <v>266</v>
      </c>
      <c r="C381" s="2" t="s">
        <v>2964</v>
      </c>
      <c r="D381" s="2"/>
    </row>
    <row r="382" spans="1:4" x14ac:dyDescent="0.3">
      <c r="A382" s="2" t="s">
        <v>613</v>
      </c>
      <c r="B382" s="2" t="s">
        <v>266</v>
      </c>
      <c r="C382" s="2" t="s">
        <v>2964</v>
      </c>
      <c r="D382" s="2"/>
    </row>
    <row r="383" spans="1:4" x14ac:dyDescent="0.3">
      <c r="A383" s="2" t="s">
        <v>615</v>
      </c>
      <c r="B383" s="2" t="s">
        <v>266</v>
      </c>
      <c r="C383" s="2" t="s">
        <v>2964</v>
      </c>
      <c r="D383" s="2"/>
    </row>
    <row r="384" spans="1:4" x14ac:dyDescent="0.3">
      <c r="A384" s="2" t="s">
        <v>617</v>
      </c>
      <c r="B384" s="2" t="s">
        <v>266</v>
      </c>
      <c r="C384" s="2" t="s">
        <v>2964</v>
      </c>
      <c r="D384" s="2"/>
    </row>
    <row r="385" spans="1:4" x14ac:dyDescent="0.3">
      <c r="A385" s="2" t="s">
        <v>619</v>
      </c>
      <c r="B385" s="2" t="s">
        <v>266</v>
      </c>
      <c r="C385" s="2" t="s">
        <v>2964</v>
      </c>
      <c r="D385" s="2"/>
    </row>
    <row r="386" spans="1:4" x14ac:dyDescent="0.3">
      <c r="A386" s="2" t="s">
        <v>621</v>
      </c>
      <c r="B386" s="2" t="s">
        <v>266</v>
      </c>
      <c r="C386" s="2" t="s">
        <v>2964</v>
      </c>
      <c r="D386" s="2"/>
    </row>
    <row r="387" spans="1:4" x14ac:dyDescent="0.3">
      <c r="A387" s="2" t="s">
        <v>623</v>
      </c>
      <c r="B387" s="2" t="s">
        <v>266</v>
      </c>
      <c r="C387" s="2" t="s">
        <v>2964</v>
      </c>
      <c r="D387" s="2"/>
    </row>
    <row r="388" spans="1:4" x14ac:dyDescent="0.3">
      <c r="A388" s="2" t="s">
        <v>625</v>
      </c>
      <c r="B388" s="2" t="s">
        <v>266</v>
      </c>
      <c r="C388" s="2" t="s">
        <v>2964</v>
      </c>
      <c r="D388" s="2"/>
    </row>
    <row r="389" spans="1:4" x14ac:dyDescent="0.3">
      <c r="A389" s="2" t="s">
        <v>627</v>
      </c>
      <c r="B389" s="2" t="s">
        <v>266</v>
      </c>
      <c r="C389" s="2" t="s">
        <v>2964</v>
      </c>
      <c r="D389" s="2"/>
    </row>
    <row r="390" spans="1:4" x14ac:dyDescent="0.3">
      <c r="A390" s="2" t="s">
        <v>629</v>
      </c>
      <c r="B390" s="2" t="s">
        <v>266</v>
      </c>
      <c r="C390" s="2" t="s">
        <v>2964</v>
      </c>
      <c r="D390" s="2"/>
    </row>
    <row r="391" spans="1:4" x14ac:dyDescent="0.3">
      <c r="A391" s="2" t="s">
        <v>630</v>
      </c>
      <c r="B391" s="2" t="s">
        <v>266</v>
      </c>
      <c r="C391" s="2" t="s">
        <v>2964</v>
      </c>
      <c r="D391" s="2"/>
    </row>
    <row r="392" spans="1:4" x14ac:dyDescent="0.3">
      <c r="A392" s="2" t="s">
        <v>632</v>
      </c>
      <c r="B392" s="2" t="s">
        <v>266</v>
      </c>
      <c r="C392" s="2" t="s">
        <v>2964</v>
      </c>
      <c r="D392" s="2"/>
    </row>
    <row r="393" spans="1:4" x14ac:dyDescent="0.3">
      <c r="A393" s="2" t="s">
        <v>634</v>
      </c>
      <c r="B393" s="2" t="s">
        <v>266</v>
      </c>
      <c r="C393" s="2" t="s">
        <v>2964</v>
      </c>
      <c r="D393" s="2"/>
    </row>
    <row r="394" spans="1:4" x14ac:dyDescent="0.3">
      <c r="A394" s="2" t="s">
        <v>636</v>
      </c>
      <c r="B394" s="2" t="s">
        <v>266</v>
      </c>
      <c r="C394" s="2" t="s">
        <v>2964</v>
      </c>
      <c r="D394" s="2"/>
    </row>
    <row r="395" spans="1:4" x14ac:dyDescent="0.3">
      <c r="A395" s="2" t="s">
        <v>638</v>
      </c>
      <c r="B395" s="2" t="s">
        <v>266</v>
      </c>
      <c r="C395" s="2" t="s">
        <v>2964</v>
      </c>
      <c r="D395" s="2"/>
    </row>
    <row r="396" spans="1:4" x14ac:dyDescent="0.3">
      <c r="A396" s="2" t="s">
        <v>640</v>
      </c>
      <c r="B396" s="2" t="s">
        <v>266</v>
      </c>
      <c r="C396" s="2" t="s">
        <v>2964</v>
      </c>
      <c r="D396" s="2"/>
    </row>
    <row r="397" spans="1:4" x14ac:dyDescent="0.3">
      <c r="A397" s="2" t="s">
        <v>642</v>
      </c>
      <c r="B397" s="2" t="s">
        <v>266</v>
      </c>
      <c r="C397" s="2" t="s">
        <v>2964</v>
      </c>
      <c r="D397" s="2"/>
    </row>
    <row r="398" spans="1:4" x14ac:dyDescent="0.3">
      <c r="A398" s="2" t="s">
        <v>644</v>
      </c>
      <c r="B398" s="2" t="s">
        <v>266</v>
      </c>
      <c r="C398" s="2" t="s">
        <v>2964</v>
      </c>
      <c r="D398" s="2"/>
    </row>
    <row r="399" spans="1:4" x14ac:dyDescent="0.3">
      <c r="A399" s="2" t="s">
        <v>646</v>
      </c>
      <c r="B399" s="2" t="s">
        <v>266</v>
      </c>
      <c r="C399" s="2" t="s">
        <v>2964</v>
      </c>
      <c r="D399" s="2"/>
    </row>
    <row r="400" spans="1:4" x14ac:dyDescent="0.3">
      <c r="A400" s="2" t="s">
        <v>647</v>
      </c>
      <c r="B400" s="2" t="s">
        <v>266</v>
      </c>
      <c r="C400" s="2" t="s">
        <v>2964</v>
      </c>
      <c r="D400" s="2"/>
    </row>
    <row r="401" spans="1:4" x14ac:dyDescent="0.3">
      <c r="A401" s="2" t="s">
        <v>649</v>
      </c>
      <c r="B401" s="2" t="s">
        <v>266</v>
      </c>
      <c r="C401" s="2" t="s">
        <v>2964</v>
      </c>
      <c r="D401" s="2"/>
    </row>
    <row r="402" spans="1:4" x14ac:dyDescent="0.3">
      <c r="A402" s="2" t="s">
        <v>651</v>
      </c>
      <c r="B402" s="2" t="s">
        <v>266</v>
      </c>
      <c r="C402" s="2" t="s">
        <v>2964</v>
      </c>
      <c r="D402" s="2"/>
    </row>
    <row r="403" spans="1:4" x14ac:dyDescent="0.3">
      <c r="A403" s="2" t="s">
        <v>653</v>
      </c>
      <c r="B403" s="2" t="s">
        <v>266</v>
      </c>
      <c r="C403" s="2" t="s">
        <v>2964</v>
      </c>
      <c r="D403" s="2"/>
    </row>
    <row r="404" spans="1:4" x14ac:dyDescent="0.3">
      <c r="A404" s="2" t="s">
        <v>655</v>
      </c>
      <c r="B404" s="2" t="s">
        <v>266</v>
      </c>
      <c r="C404" s="2" t="s">
        <v>2964</v>
      </c>
      <c r="D404" s="2"/>
    </row>
    <row r="405" spans="1:4" x14ac:dyDescent="0.3">
      <c r="A405" s="2" t="s">
        <v>657</v>
      </c>
      <c r="B405" s="2" t="s">
        <v>266</v>
      </c>
      <c r="C405" s="2" t="s">
        <v>2964</v>
      </c>
      <c r="D405" s="2"/>
    </row>
    <row r="406" spans="1:4" x14ac:dyDescent="0.3">
      <c r="A406" s="2" t="s">
        <v>659</v>
      </c>
      <c r="B406" s="2" t="s">
        <v>266</v>
      </c>
      <c r="C406" s="2" t="s">
        <v>2964</v>
      </c>
      <c r="D406" s="2"/>
    </row>
    <row r="407" spans="1:4" x14ac:dyDescent="0.3">
      <c r="A407" s="2" t="s">
        <v>661</v>
      </c>
      <c r="B407" s="2" t="s">
        <v>266</v>
      </c>
      <c r="C407" s="2" t="s">
        <v>2964</v>
      </c>
      <c r="D407" s="2"/>
    </row>
    <row r="408" spans="1:4" x14ac:dyDescent="0.3">
      <c r="A408" s="2" t="s">
        <v>663</v>
      </c>
      <c r="B408" s="2" t="s">
        <v>266</v>
      </c>
      <c r="C408" s="2" t="s">
        <v>2964</v>
      </c>
      <c r="D408" s="2"/>
    </row>
    <row r="409" spans="1:4" x14ac:dyDescent="0.3">
      <c r="A409" s="2" t="s">
        <v>664</v>
      </c>
      <c r="B409" s="2" t="s">
        <v>266</v>
      </c>
      <c r="C409" s="2" t="s">
        <v>2964</v>
      </c>
      <c r="D409" s="2"/>
    </row>
    <row r="410" spans="1:4" x14ac:dyDescent="0.3">
      <c r="A410" s="2" t="s">
        <v>666</v>
      </c>
      <c r="B410" s="2" t="s">
        <v>266</v>
      </c>
      <c r="C410" s="2" t="s">
        <v>2964</v>
      </c>
      <c r="D410" s="2"/>
    </row>
    <row r="411" spans="1:4" x14ac:dyDescent="0.3">
      <c r="A411" s="2" t="s">
        <v>668</v>
      </c>
      <c r="B411" s="2" t="s">
        <v>266</v>
      </c>
      <c r="C411" s="2" t="s">
        <v>2964</v>
      </c>
      <c r="D411" s="2"/>
    </row>
    <row r="412" spans="1:4" x14ac:dyDescent="0.3">
      <c r="A412" s="2" t="s">
        <v>670</v>
      </c>
      <c r="B412" s="2" t="s">
        <v>266</v>
      </c>
      <c r="C412" s="2" t="s">
        <v>2964</v>
      </c>
      <c r="D412" s="2"/>
    </row>
    <row r="413" spans="1:4" x14ac:dyDescent="0.3">
      <c r="A413" s="2" t="s">
        <v>672</v>
      </c>
      <c r="B413" s="2" t="s">
        <v>266</v>
      </c>
      <c r="C413" s="2" t="s">
        <v>2964</v>
      </c>
      <c r="D413" s="2"/>
    </row>
    <row r="414" spans="1:4" x14ac:dyDescent="0.3">
      <c r="A414" s="2" t="s">
        <v>674</v>
      </c>
      <c r="B414" s="2" t="s">
        <v>266</v>
      </c>
      <c r="C414" s="2" t="s">
        <v>2964</v>
      </c>
      <c r="D414" s="2"/>
    </row>
    <row r="415" spans="1:4" x14ac:dyDescent="0.3">
      <c r="A415" s="2" t="s">
        <v>676</v>
      </c>
      <c r="B415" s="2" t="s">
        <v>266</v>
      </c>
      <c r="C415" s="2" t="s">
        <v>2964</v>
      </c>
      <c r="D415" s="2"/>
    </row>
    <row r="416" spans="1:4" x14ac:dyDescent="0.3">
      <c r="A416" s="2" t="s">
        <v>678</v>
      </c>
      <c r="B416" s="2" t="s">
        <v>266</v>
      </c>
      <c r="C416" s="2" t="s">
        <v>2964</v>
      </c>
      <c r="D416" s="2"/>
    </row>
    <row r="417" spans="1:4" x14ac:dyDescent="0.3">
      <c r="A417" s="2" t="s">
        <v>680</v>
      </c>
      <c r="B417" s="2" t="s">
        <v>266</v>
      </c>
      <c r="C417" s="2" t="s">
        <v>2964</v>
      </c>
      <c r="D417" s="2"/>
    </row>
    <row r="418" spans="1:4" x14ac:dyDescent="0.3">
      <c r="A418" s="2" t="s">
        <v>682</v>
      </c>
      <c r="B418" s="2" t="s">
        <v>266</v>
      </c>
      <c r="C418" s="2" t="s">
        <v>2964</v>
      </c>
      <c r="D418" s="2"/>
    </row>
    <row r="419" spans="1:4" x14ac:dyDescent="0.3">
      <c r="A419" s="2" t="s">
        <v>684</v>
      </c>
      <c r="B419" s="2" t="s">
        <v>266</v>
      </c>
      <c r="C419" s="2" t="s">
        <v>2964</v>
      </c>
      <c r="D419" s="2"/>
    </row>
    <row r="420" spans="1:4" x14ac:dyDescent="0.3">
      <c r="A420" s="2" t="s">
        <v>686</v>
      </c>
      <c r="B420" s="2" t="s">
        <v>266</v>
      </c>
      <c r="C420" s="2" t="s">
        <v>2964</v>
      </c>
      <c r="D420" s="2"/>
    </row>
    <row r="421" spans="1:4" x14ac:dyDescent="0.3">
      <c r="A421" s="2" t="s">
        <v>688</v>
      </c>
      <c r="B421" s="2" t="s">
        <v>266</v>
      </c>
      <c r="C421" s="2" t="s">
        <v>2964</v>
      </c>
      <c r="D421" s="2"/>
    </row>
    <row r="422" spans="1:4" x14ac:dyDescent="0.3">
      <c r="A422" s="2" t="s">
        <v>690</v>
      </c>
      <c r="B422" s="2" t="s">
        <v>266</v>
      </c>
      <c r="C422" s="2" t="s">
        <v>2964</v>
      </c>
      <c r="D422" s="2"/>
    </row>
    <row r="423" spans="1:4" x14ac:dyDescent="0.3">
      <c r="A423" s="2" t="s">
        <v>692</v>
      </c>
      <c r="B423" s="2" t="s">
        <v>266</v>
      </c>
      <c r="C423" s="2" t="s">
        <v>2964</v>
      </c>
      <c r="D423" s="2"/>
    </row>
    <row r="424" spans="1:4" x14ac:dyDescent="0.3">
      <c r="A424" s="2" t="s">
        <v>694</v>
      </c>
      <c r="B424" s="2" t="s">
        <v>266</v>
      </c>
      <c r="C424" s="2" t="s">
        <v>2964</v>
      </c>
      <c r="D424" s="2"/>
    </row>
    <row r="425" spans="1:4" x14ac:dyDescent="0.3">
      <c r="A425" s="2" t="s">
        <v>695</v>
      </c>
      <c r="B425" s="2" t="s">
        <v>266</v>
      </c>
      <c r="C425" s="2" t="s">
        <v>2964</v>
      </c>
      <c r="D425" s="2"/>
    </row>
    <row r="426" spans="1:4" x14ac:dyDescent="0.3">
      <c r="A426" s="2" t="s">
        <v>697</v>
      </c>
      <c r="B426" s="2" t="s">
        <v>266</v>
      </c>
      <c r="C426" s="2" t="s">
        <v>2964</v>
      </c>
      <c r="D426" s="2"/>
    </row>
    <row r="427" spans="1:4" x14ac:dyDescent="0.3">
      <c r="A427" s="2" t="s">
        <v>698</v>
      </c>
      <c r="B427" s="2" t="s">
        <v>266</v>
      </c>
      <c r="C427" s="2" t="s">
        <v>2964</v>
      </c>
      <c r="D427" s="2"/>
    </row>
    <row r="428" spans="1:4" x14ac:dyDescent="0.3">
      <c r="A428" s="2" t="s">
        <v>700</v>
      </c>
      <c r="B428" s="2" t="s">
        <v>266</v>
      </c>
      <c r="C428" s="2" t="s">
        <v>2964</v>
      </c>
      <c r="D428" s="2"/>
    </row>
    <row r="429" spans="1:4" x14ac:dyDescent="0.3">
      <c r="A429" s="2" t="s">
        <v>702</v>
      </c>
      <c r="B429" s="2" t="s">
        <v>266</v>
      </c>
      <c r="C429" s="2" t="s">
        <v>2964</v>
      </c>
      <c r="D429" s="2"/>
    </row>
    <row r="430" spans="1:4" x14ac:dyDescent="0.3">
      <c r="A430" s="2" t="s">
        <v>704</v>
      </c>
      <c r="B430" s="2" t="s">
        <v>266</v>
      </c>
      <c r="C430" s="2" t="s">
        <v>2964</v>
      </c>
      <c r="D430" s="2"/>
    </row>
    <row r="431" spans="1:4" x14ac:dyDescent="0.3">
      <c r="A431" s="2" t="s">
        <v>705</v>
      </c>
      <c r="B431" s="2" t="s">
        <v>266</v>
      </c>
      <c r="C431" s="2" t="s">
        <v>2964</v>
      </c>
      <c r="D431" s="2"/>
    </row>
    <row r="432" spans="1:4" x14ac:dyDescent="0.3">
      <c r="A432" s="2" t="s">
        <v>707</v>
      </c>
      <c r="B432" s="2" t="s">
        <v>266</v>
      </c>
      <c r="C432" s="2" t="s">
        <v>2964</v>
      </c>
      <c r="D432" s="2"/>
    </row>
    <row r="433" spans="1:4" x14ac:dyDescent="0.3">
      <c r="A433" s="2" t="s">
        <v>709</v>
      </c>
      <c r="B433" s="2" t="s">
        <v>266</v>
      </c>
      <c r="C433" s="2" t="s">
        <v>2964</v>
      </c>
      <c r="D433" s="2"/>
    </row>
    <row r="434" spans="1:4" x14ac:dyDescent="0.3">
      <c r="A434" s="2" t="s">
        <v>711</v>
      </c>
      <c r="B434" s="2" t="s">
        <v>266</v>
      </c>
      <c r="C434" s="2" t="s">
        <v>2964</v>
      </c>
      <c r="D434" s="2"/>
    </row>
    <row r="435" spans="1:4" x14ac:dyDescent="0.3">
      <c r="A435" s="2" t="s">
        <v>713</v>
      </c>
      <c r="B435" s="2" t="s">
        <v>266</v>
      </c>
      <c r="C435" s="2" t="s">
        <v>2964</v>
      </c>
      <c r="D435" s="2"/>
    </row>
    <row r="436" spans="1:4" x14ac:dyDescent="0.3">
      <c r="A436" s="2" t="s">
        <v>715</v>
      </c>
      <c r="B436" s="2" t="s">
        <v>266</v>
      </c>
      <c r="C436" s="2" t="s">
        <v>2964</v>
      </c>
      <c r="D436" s="2"/>
    </row>
    <row r="437" spans="1:4" x14ac:dyDescent="0.3">
      <c r="A437" s="2" t="s">
        <v>717</v>
      </c>
      <c r="B437" s="2" t="s">
        <v>266</v>
      </c>
      <c r="C437" s="2" t="s">
        <v>2964</v>
      </c>
      <c r="D437" s="2"/>
    </row>
    <row r="438" spans="1:4" x14ac:dyDescent="0.3">
      <c r="A438" s="2" t="s">
        <v>719</v>
      </c>
      <c r="B438" s="2" t="s">
        <v>266</v>
      </c>
      <c r="C438" s="2" t="s">
        <v>2964</v>
      </c>
      <c r="D438" s="2"/>
    </row>
    <row r="439" spans="1:4" x14ac:dyDescent="0.3">
      <c r="A439" s="2" t="s">
        <v>721</v>
      </c>
      <c r="B439" s="2" t="s">
        <v>266</v>
      </c>
      <c r="C439" s="2" t="s">
        <v>2964</v>
      </c>
      <c r="D439" s="2"/>
    </row>
    <row r="440" spans="1:4" x14ac:dyDescent="0.3">
      <c r="A440" s="2" t="s">
        <v>723</v>
      </c>
      <c r="B440" s="2" t="s">
        <v>266</v>
      </c>
      <c r="C440" s="2" t="s">
        <v>2964</v>
      </c>
      <c r="D440" s="2"/>
    </row>
    <row r="441" spans="1:4" x14ac:dyDescent="0.3">
      <c r="A441" s="2" t="s">
        <v>724</v>
      </c>
      <c r="B441" s="2" t="s">
        <v>266</v>
      </c>
      <c r="C441" s="2" t="s">
        <v>2964</v>
      </c>
      <c r="D441" s="2"/>
    </row>
    <row r="442" spans="1:4" x14ac:dyDescent="0.3">
      <c r="A442" s="2" t="s">
        <v>726</v>
      </c>
      <c r="B442" s="2" t="s">
        <v>266</v>
      </c>
      <c r="C442" s="2" t="s">
        <v>2964</v>
      </c>
      <c r="D442" s="2"/>
    </row>
    <row r="443" spans="1:4" x14ac:dyDescent="0.3">
      <c r="A443" s="2" t="s">
        <v>728</v>
      </c>
      <c r="B443" s="2" t="s">
        <v>266</v>
      </c>
      <c r="C443" s="2" t="s">
        <v>2964</v>
      </c>
      <c r="D443" s="2"/>
    </row>
    <row r="444" spans="1:4" x14ac:dyDescent="0.3">
      <c r="A444" s="2" t="s">
        <v>730</v>
      </c>
      <c r="B444" s="2" t="s">
        <v>266</v>
      </c>
      <c r="C444" s="2" t="s">
        <v>2964</v>
      </c>
      <c r="D444" s="2"/>
    </row>
    <row r="445" spans="1:4" x14ac:dyDescent="0.3">
      <c r="A445" s="2" t="s">
        <v>732</v>
      </c>
      <c r="B445" s="2" t="s">
        <v>266</v>
      </c>
      <c r="C445" s="2" t="s">
        <v>2964</v>
      </c>
      <c r="D445" s="2"/>
    </row>
    <row r="446" spans="1:4" x14ac:dyDescent="0.3">
      <c r="A446" s="2" t="s">
        <v>734</v>
      </c>
      <c r="B446" s="2" t="s">
        <v>266</v>
      </c>
      <c r="C446" s="2" t="s">
        <v>2964</v>
      </c>
      <c r="D446" s="2"/>
    </row>
    <row r="447" spans="1:4" x14ac:dyDescent="0.3">
      <c r="A447" s="2" t="s">
        <v>735</v>
      </c>
      <c r="B447" s="2" t="s">
        <v>266</v>
      </c>
      <c r="C447" s="2" t="s">
        <v>2964</v>
      </c>
      <c r="D447" s="2"/>
    </row>
    <row r="448" spans="1:4" x14ac:dyDescent="0.3">
      <c r="A448" s="2" t="s">
        <v>737</v>
      </c>
      <c r="B448" s="2" t="s">
        <v>266</v>
      </c>
      <c r="C448" s="2" t="s">
        <v>2964</v>
      </c>
      <c r="D448" s="2"/>
    </row>
    <row r="449" spans="1:4" x14ac:dyDescent="0.3">
      <c r="A449" s="2" t="s">
        <v>739</v>
      </c>
      <c r="B449" s="2" t="s">
        <v>266</v>
      </c>
      <c r="C449" s="2" t="s">
        <v>2964</v>
      </c>
      <c r="D449" s="2"/>
    </row>
    <row r="450" spans="1:4" x14ac:dyDescent="0.3">
      <c r="A450" s="2" t="s">
        <v>741</v>
      </c>
      <c r="B450" s="2" t="s">
        <v>266</v>
      </c>
      <c r="C450" s="2" t="s">
        <v>2964</v>
      </c>
      <c r="D450" s="2"/>
    </row>
    <row r="451" spans="1:4" x14ac:dyDescent="0.3">
      <c r="A451" s="2" t="s">
        <v>743</v>
      </c>
      <c r="B451" s="2" t="s">
        <v>266</v>
      </c>
      <c r="C451" s="2" t="s">
        <v>2964</v>
      </c>
      <c r="D451" s="2"/>
    </row>
    <row r="452" spans="1:4" x14ac:dyDescent="0.3">
      <c r="A452" s="2" t="s">
        <v>745</v>
      </c>
      <c r="B452" s="2" t="s">
        <v>266</v>
      </c>
      <c r="C452" s="2" t="s">
        <v>2964</v>
      </c>
      <c r="D452" s="2"/>
    </row>
    <row r="453" spans="1:4" x14ac:dyDescent="0.3">
      <c r="A453" s="2" t="s">
        <v>747</v>
      </c>
      <c r="B453" s="2" t="s">
        <v>266</v>
      </c>
      <c r="C453" s="2" t="s">
        <v>2964</v>
      </c>
      <c r="D453" s="2"/>
    </row>
    <row r="454" spans="1:4" x14ac:dyDescent="0.3">
      <c r="A454" s="2" t="s">
        <v>748</v>
      </c>
      <c r="B454" s="2" t="s">
        <v>266</v>
      </c>
      <c r="C454" s="2" t="s">
        <v>2964</v>
      </c>
      <c r="D454" s="2"/>
    </row>
    <row r="455" spans="1:4" x14ac:dyDescent="0.3">
      <c r="A455" s="2" t="s">
        <v>749</v>
      </c>
      <c r="B455" s="2" t="s">
        <v>266</v>
      </c>
      <c r="C455" s="2" t="s">
        <v>2964</v>
      </c>
      <c r="D455" s="2"/>
    </row>
    <row r="456" spans="1:4" x14ac:dyDescent="0.3">
      <c r="A456" s="2" t="s">
        <v>750</v>
      </c>
      <c r="B456" s="2" t="s">
        <v>266</v>
      </c>
      <c r="C456" s="2" t="s">
        <v>2964</v>
      </c>
      <c r="D456" s="2"/>
    </row>
    <row r="457" spans="1:4" x14ac:dyDescent="0.3">
      <c r="A457" s="2" t="s">
        <v>752</v>
      </c>
      <c r="B457" s="2" t="s">
        <v>266</v>
      </c>
      <c r="C457" s="2" t="s">
        <v>2964</v>
      </c>
      <c r="D457" s="2"/>
    </row>
    <row r="458" spans="1:4" x14ac:dyDescent="0.3">
      <c r="A458" s="2" t="s">
        <v>754</v>
      </c>
      <c r="B458" s="2" t="s">
        <v>266</v>
      </c>
      <c r="C458" s="2" t="s">
        <v>2964</v>
      </c>
      <c r="D458" s="2"/>
    </row>
    <row r="459" spans="1:4" x14ac:dyDescent="0.3">
      <c r="A459" s="2" t="s">
        <v>756</v>
      </c>
      <c r="B459" s="2" t="s">
        <v>266</v>
      </c>
      <c r="C459" s="2" t="s">
        <v>2964</v>
      </c>
      <c r="D459" s="2"/>
    </row>
    <row r="460" spans="1:4" x14ac:dyDescent="0.3">
      <c r="A460" s="2" t="s">
        <v>758</v>
      </c>
      <c r="B460" s="2" t="s">
        <v>266</v>
      </c>
      <c r="C460" s="2" t="s">
        <v>2964</v>
      </c>
      <c r="D460" s="2"/>
    </row>
    <row r="461" spans="1:4" x14ac:dyDescent="0.3">
      <c r="A461" s="2" t="s">
        <v>760</v>
      </c>
      <c r="B461" s="2" t="s">
        <v>266</v>
      </c>
      <c r="C461" s="2" t="s">
        <v>2964</v>
      </c>
      <c r="D461" s="2"/>
    </row>
    <row r="462" spans="1:4" x14ac:dyDescent="0.3">
      <c r="A462" s="2" t="s">
        <v>762</v>
      </c>
      <c r="B462" s="2" t="s">
        <v>266</v>
      </c>
      <c r="C462" s="2" t="s">
        <v>2964</v>
      </c>
      <c r="D462" s="2"/>
    </row>
    <row r="463" spans="1:4" x14ac:dyDescent="0.3">
      <c r="A463" s="2" t="s">
        <v>764</v>
      </c>
      <c r="B463" s="2" t="s">
        <v>266</v>
      </c>
      <c r="C463" s="2" t="s">
        <v>2964</v>
      </c>
      <c r="D463" s="2"/>
    </row>
    <row r="464" spans="1:4" x14ac:dyDescent="0.3">
      <c r="A464" s="2" t="s">
        <v>766</v>
      </c>
      <c r="B464" s="2" t="s">
        <v>266</v>
      </c>
      <c r="C464" s="2" t="s">
        <v>2964</v>
      </c>
      <c r="D464" s="2"/>
    </row>
    <row r="465" spans="1:4" x14ac:dyDescent="0.3">
      <c r="A465" s="2" t="s">
        <v>768</v>
      </c>
      <c r="B465" s="2" t="s">
        <v>266</v>
      </c>
      <c r="C465" s="2" t="s">
        <v>2964</v>
      </c>
      <c r="D465" s="2"/>
    </row>
    <row r="466" spans="1:4" x14ac:dyDescent="0.3">
      <c r="A466" s="2" t="s">
        <v>770</v>
      </c>
      <c r="B466" s="2" t="s">
        <v>266</v>
      </c>
      <c r="C466" s="2" t="s">
        <v>2964</v>
      </c>
      <c r="D466" s="2"/>
    </row>
    <row r="467" spans="1:4" x14ac:dyDescent="0.3">
      <c r="A467" s="2" t="s">
        <v>772</v>
      </c>
      <c r="B467" s="2" t="s">
        <v>266</v>
      </c>
      <c r="C467" s="2" t="s">
        <v>2964</v>
      </c>
      <c r="D467" s="2"/>
    </row>
    <row r="468" spans="1:4" x14ac:dyDescent="0.3">
      <c r="A468" s="2" t="s">
        <v>774</v>
      </c>
      <c r="B468" s="2" t="s">
        <v>266</v>
      </c>
      <c r="C468" s="2" t="s">
        <v>2964</v>
      </c>
      <c r="D468" s="2"/>
    </row>
    <row r="469" spans="1:4" x14ac:dyDescent="0.3">
      <c r="A469" s="2" t="s">
        <v>776</v>
      </c>
      <c r="B469" s="2" t="s">
        <v>266</v>
      </c>
      <c r="C469" s="2" t="s">
        <v>2964</v>
      </c>
      <c r="D469" s="2"/>
    </row>
    <row r="470" spans="1:4" x14ac:dyDescent="0.3">
      <c r="A470" s="2" t="s">
        <v>778</v>
      </c>
      <c r="B470" s="2" t="s">
        <v>266</v>
      </c>
      <c r="C470" s="2" t="s">
        <v>2964</v>
      </c>
      <c r="D470" s="2"/>
    </row>
    <row r="471" spans="1:4" x14ac:dyDescent="0.3">
      <c r="A471" s="2" t="s">
        <v>780</v>
      </c>
      <c r="B471" s="2" t="s">
        <v>266</v>
      </c>
      <c r="C471" s="2" t="s">
        <v>2964</v>
      </c>
      <c r="D471" s="2"/>
    </row>
    <row r="472" spans="1:4" x14ac:dyDescent="0.3">
      <c r="A472" s="2" t="s">
        <v>782</v>
      </c>
      <c r="B472" s="2" t="s">
        <v>266</v>
      </c>
      <c r="C472" s="2" t="s">
        <v>2964</v>
      </c>
      <c r="D472" s="2"/>
    </row>
    <row r="473" spans="1:4" x14ac:dyDescent="0.3">
      <c r="A473" s="2" t="s">
        <v>784</v>
      </c>
      <c r="B473" s="2" t="s">
        <v>266</v>
      </c>
      <c r="C473" s="2" t="s">
        <v>2964</v>
      </c>
      <c r="D473" s="2"/>
    </row>
    <row r="474" spans="1:4" x14ac:dyDescent="0.3">
      <c r="A474" s="2" t="s">
        <v>786</v>
      </c>
      <c r="B474" s="2" t="s">
        <v>266</v>
      </c>
      <c r="C474" s="2" t="s">
        <v>2964</v>
      </c>
      <c r="D474" s="2"/>
    </row>
    <row r="475" spans="1:4" x14ac:dyDescent="0.3">
      <c r="A475" s="2" t="s">
        <v>788</v>
      </c>
      <c r="B475" s="2" t="s">
        <v>266</v>
      </c>
      <c r="C475" s="2" t="s">
        <v>2964</v>
      </c>
      <c r="D475" s="2"/>
    </row>
    <row r="476" spans="1:4" x14ac:dyDescent="0.3">
      <c r="A476" s="2" t="s">
        <v>790</v>
      </c>
      <c r="B476" s="2" t="s">
        <v>266</v>
      </c>
      <c r="C476" s="2" t="s">
        <v>2964</v>
      </c>
      <c r="D476" s="2"/>
    </row>
    <row r="477" spans="1:4" x14ac:dyDescent="0.3">
      <c r="A477" s="2" t="s">
        <v>791</v>
      </c>
      <c r="B477" s="2" t="s">
        <v>266</v>
      </c>
      <c r="C477" s="2" t="s">
        <v>2964</v>
      </c>
      <c r="D477" s="2"/>
    </row>
    <row r="478" spans="1:4" x14ac:dyDescent="0.3">
      <c r="A478" s="2" t="s">
        <v>793</v>
      </c>
      <c r="B478" s="2" t="s">
        <v>266</v>
      </c>
      <c r="C478" s="2" t="s">
        <v>2964</v>
      </c>
      <c r="D478" s="2"/>
    </row>
    <row r="479" spans="1:4" x14ac:dyDescent="0.3">
      <c r="A479" s="2" t="s">
        <v>794</v>
      </c>
      <c r="B479" s="2" t="s">
        <v>266</v>
      </c>
      <c r="C479" s="2" t="s">
        <v>2964</v>
      </c>
      <c r="D479" s="2"/>
    </row>
    <row r="480" spans="1:4" x14ac:dyDescent="0.3">
      <c r="A480" s="2" t="s">
        <v>796</v>
      </c>
      <c r="B480" s="2" t="s">
        <v>266</v>
      </c>
      <c r="C480" s="2" t="s">
        <v>2964</v>
      </c>
      <c r="D480" s="2"/>
    </row>
    <row r="481" spans="1:4" x14ac:dyDescent="0.3">
      <c r="A481" s="2" t="s">
        <v>798</v>
      </c>
      <c r="B481" s="2" t="s">
        <v>266</v>
      </c>
      <c r="C481" s="2" t="s">
        <v>2964</v>
      </c>
      <c r="D481" s="2"/>
    </row>
    <row r="482" spans="1:4" x14ac:dyDescent="0.3">
      <c r="A482" s="2" t="s">
        <v>800</v>
      </c>
      <c r="B482" s="2" t="s">
        <v>266</v>
      </c>
      <c r="C482" s="2" t="s">
        <v>2964</v>
      </c>
      <c r="D482" s="2"/>
    </row>
    <row r="483" spans="1:4" x14ac:dyDescent="0.3">
      <c r="A483" s="2" t="s">
        <v>802</v>
      </c>
      <c r="B483" s="2" t="s">
        <v>266</v>
      </c>
      <c r="C483" s="2" t="s">
        <v>2964</v>
      </c>
      <c r="D483" s="2"/>
    </row>
    <row r="484" spans="1:4" x14ac:dyDescent="0.3">
      <c r="A484" s="2" t="s">
        <v>804</v>
      </c>
      <c r="B484" s="2" t="s">
        <v>266</v>
      </c>
      <c r="C484" s="2" t="s">
        <v>2964</v>
      </c>
      <c r="D484" s="2"/>
    </row>
    <row r="485" spans="1:4" x14ac:dyDescent="0.3">
      <c r="A485" s="2" t="s">
        <v>806</v>
      </c>
      <c r="B485" s="2" t="s">
        <v>266</v>
      </c>
      <c r="C485" s="2" t="s">
        <v>2964</v>
      </c>
      <c r="D485" s="2"/>
    </row>
    <row r="486" spans="1:4" x14ac:dyDescent="0.3">
      <c r="A486" s="2" t="s">
        <v>808</v>
      </c>
      <c r="B486" s="2" t="s">
        <v>266</v>
      </c>
      <c r="C486" s="2" t="s">
        <v>2964</v>
      </c>
      <c r="D486" s="2"/>
    </row>
    <row r="487" spans="1:4" x14ac:dyDescent="0.3">
      <c r="A487" s="2" t="s">
        <v>810</v>
      </c>
      <c r="B487" s="2" t="s">
        <v>266</v>
      </c>
      <c r="C487" s="2" t="s">
        <v>2964</v>
      </c>
      <c r="D487" s="2"/>
    </row>
    <row r="488" spans="1:4" x14ac:dyDescent="0.3">
      <c r="A488" s="2" t="s">
        <v>812</v>
      </c>
      <c r="B488" s="2" t="s">
        <v>266</v>
      </c>
      <c r="C488" s="2" t="s">
        <v>2964</v>
      </c>
      <c r="D488" s="2"/>
    </row>
    <row r="489" spans="1:4" x14ac:dyDescent="0.3">
      <c r="A489" s="2" t="s">
        <v>814</v>
      </c>
      <c r="B489" s="2" t="s">
        <v>266</v>
      </c>
      <c r="C489" s="2" t="s">
        <v>2964</v>
      </c>
      <c r="D489" s="2"/>
    </row>
    <row r="490" spans="1:4" x14ac:dyDescent="0.3">
      <c r="A490" s="2" t="s">
        <v>816</v>
      </c>
      <c r="B490" s="2" t="s">
        <v>266</v>
      </c>
      <c r="C490" s="2" t="s">
        <v>2964</v>
      </c>
      <c r="D490" s="2"/>
    </row>
    <row r="491" spans="1:4" x14ac:dyDescent="0.3">
      <c r="A491" s="2" t="s">
        <v>817</v>
      </c>
      <c r="B491" s="2" t="s">
        <v>266</v>
      </c>
      <c r="C491" s="2" t="s">
        <v>2964</v>
      </c>
      <c r="D491" s="2"/>
    </row>
    <row r="492" spans="1:4" x14ac:dyDescent="0.3">
      <c r="A492" s="2" t="s">
        <v>819</v>
      </c>
      <c r="B492" s="2" t="s">
        <v>266</v>
      </c>
      <c r="C492" s="2" t="s">
        <v>2964</v>
      </c>
      <c r="D492" s="2"/>
    </row>
    <row r="493" spans="1:4" x14ac:dyDescent="0.3">
      <c r="A493" s="2" t="s">
        <v>821</v>
      </c>
      <c r="B493" s="2" t="s">
        <v>266</v>
      </c>
      <c r="C493" s="2" t="s">
        <v>2964</v>
      </c>
      <c r="D493" s="2"/>
    </row>
    <row r="494" spans="1:4" x14ac:dyDescent="0.3">
      <c r="A494" s="2" t="s">
        <v>822</v>
      </c>
      <c r="B494" s="2" t="s">
        <v>266</v>
      </c>
      <c r="C494" s="2" t="s">
        <v>2964</v>
      </c>
      <c r="D494" s="2"/>
    </row>
    <row r="495" spans="1:4" x14ac:dyDescent="0.3">
      <c r="A495" s="2" t="s">
        <v>824</v>
      </c>
      <c r="B495" s="2" t="s">
        <v>266</v>
      </c>
      <c r="C495" s="2" t="s">
        <v>2964</v>
      </c>
      <c r="D495" s="2"/>
    </row>
    <row r="496" spans="1:4" x14ac:dyDescent="0.3">
      <c r="A496" s="2" t="s">
        <v>826</v>
      </c>
      <c r="B496" s="2" t="s">
        <v>266</v>
      </c>
      <c r="C496" s="2" t="s">
        <v>2964</v>
      </c>
      <c r="D496" s="2"/>
    </row>
    <row r="497" spans="1:4" x14ac:dyDescent="0.3">
      <c r="A497" s="2" t="s">
        <v>828</v>
      </c>
      <c r="B497" s="2" t="s">
        <v>266</v>
      </c>
      <c r="C497" s="2" t="s">
        <v>2964</v>
      </c>
      <c r="D497" s="2"/>
    </row>
    <row r="498" spans="1:4" x14ac:dyDescent="0.3">
      <c r="A498" s="2" t="s">
        <v>830</v>
      </c>
      <c r="B498" s="2" t="s">
        <v>266</v>
      </c>
      <c r="C498" s="2" t="s">
        <v>2964</v>
      </c>
      <c r="D498" s="2"/>
    </row>
    <row r="499" spans="1:4" x14ac:dyDescent="0.3">
      <c r="A499" s="2" t="s">
        <v>831</v>
      </c>
      <c r="B499" s="2" t="s">
        <v>266</v>
      </c>
      <c r="C499" s="2" t="s">
        <v>2964</v>
      </c>
      <c r="D499" s="2"/>
    </row>
    <row r="500" spans="1:4" x14ac:dyDescent="0.3">
      <c r="A500" s="2" t="s">
        <v>833</v>
      </c>
      <c r="B500" s="2" t="s">
        <v>266</v>
      </c>
      <c r="C500" s="2" t="s">
        <v>2964</v>
      </c>
      <c r="D500" s="2"/>
    </row>
    <row r="501" spans="1:4" x14ac:dyDescent="0.3">
      <c r="A501" s="2" t="s">
        <v>835</v>
      </c>
      <c r="B501" s="2" t="s">
        <v>266</v>
      </c>
      <c r="C501" s="2" t="s">
        <v>2964</v>
      </c>
      <c r="D501" s="2"/>
    </row>
    <row r="502" spans="1:4" x14ac:dyDescent="0.3">
      <c r="A502" s="2" t="s">
        <v>837</v>
      </c>
      <c r="B502" s="2" t="s">
        <v>266</v>
      </c>
      <c r="C502" s="2" t="s">
        <v>2964</v>
      </c>
      <c r="D502" s="2"/>
    </row>
    <row r="503" spans="1:4" x14ac:dyDescent="0.3">
      <c r="A503" s="2" t="s">
        <v>839</v>
      </c>
      <c r="B503" s="2" t="s">
        <v>266</v>
      </c>
      <c r="C503" s="2" t="s">
        <v>2964</v>
      </c>
      <c r="D503" s="2"/>
    </row>
    <row r="504" spans="1:4" x14ac:dyDescent="0.3">
      <c r="A504" s="2" t="s">
        <v>841</v>
      </c>
      <c r="B504" s="2" t="s">
        <v>266</v>
      </c>
      <c r="C504" s="2" t="s">
        <v>2964</v>
      </c>
      <c r="D504" s="2"/>
    </row>
    <row r="505" spans="1:4" x14ac:dyDescent="0.3">
      <c r="A505" s="2" t="s">
        <v>843</v>
      </c>
      <c r="B505" s="2" t="s">
        <v>266</v>
      </c>
      <c r="C505" s="2" t="s">
        <v>2964</v>
      </c>
      <c r="D505" s="2"/>
    </row>
    <row r="506" spans="1:4" x14ac:dyDescent="0.3">
      <c r="A506" s="2" t="s">
        <v>845</v>
      </c>
      <c r="B506" s="2" t="s">
        <v>266</v>
      </c>
      <c r="C506" s="2" t="s">
        <v>2964</v>
      </c>
      <c r="D506" s="2"/>
    </row>
    <row r="507" spans="1:4" x14ac:dyDescent="0.3">
      <c r="A507" s="2" t="s">
        <v>847</v>
      </c>
      <c r="B507" s="2" t="s">
        <v>266</v>
      </c>
      <c r="C507" s="2" t="s">
        <v>2964</v>
      </c>
      <c r="D507" s="2"/>
    </row>
    <row r="508" spans="1:4" x14ac:dyDescent="0.3">
      <c r="A508" s="2" t="s">
        <v>848</v>
      </c>
      <c r="B508" s="2" t="s">
        <v>266</v>
      </c>
      <c r="C508" s="2" t="s">
        <v>2964</v>
      </c>
      <c r="D508" s="2"/>
    </row>
    <row r="509" spans="1:4" x14ac:dyDescent="0.3">
      <c r="A509" s="2" t="s">
        <v>849</v>
      </c>
      <c r="B509" s="2" t="s">
        <v>266</v>
      </c>
      <c r="C509" s="2" t="s">
        <v>2964</v>
      </c>
      <c r="D509" s="2"/>
    </row>
    <row r="510" spans="1:4" x14ac:dyDescent="0.3">
      <c r="A510" s="2" t="s">
        <v>850</v>
      </c>
      <c r="B510" s="2" t="s">
        <v>266</v>
      </c>
      <c r="C510" s="2" t="s">
        <v>2964</v>
      </c>
      <c r="D510" s="2"/>
    </row>
    <row r="511" spans="1:4" x14ac:dyDescent="0.3">
      <c r="A511" s="2" t="s">
        <v>851</v>
      </c>
      <c r="B511" s="2" t="s">
        <v>266</v>
      </c>
      <c r="C511" s="2" t="s">
        <v>2964</v>
      </c>
      <c r="D511" s="2"/>
    </row>
    <row r="512" spans="1:4" x14ac:dyDescent="0.3">
      <c r="A512" s="2" t="s">
        <v>853</v>
      </c>
      <c r="B512" s="2" t="s">
        <v>266</v>
      </c>
      <c r="C512" s="2" t="s">
        <v>2964</v>
      </c>
      <c r="D512" s="2"/>
    </row>
    <row r="513" spans="1:4" x14ac:dyDescent="0.3">
      <c r="A513" s="2" t="s">
        <v>855</v>
      </c>
      <c r="B513" s="2" t="s">
        <v>266</v>
      </c>
      <c r="C513" s="2" t="s">
        <v>2964</v>
      </c>
      <c r="D513" s="2"/>
    </row>
    <row r="514" spans="1:4" x14ac:dyDescent="0.3">
      <c r="A514" s="2" t="s">
        <v>857</v>
      </c>
      <c r="B514" s="2" t="s">
        <v>266</v>
      </c>
      <c r="C514" s="2" t="s">
        <v>2964</v>
      </c>
      <c r="D514" s="2"/>
    </row>
    <row r="515" spans="1:4" x14ac:dyDescent="0.3">
      <c r="A515" s="2" t="s">
        <v>859</v>
      </c>
      <c r="B515" s="2" t="s">
        <v>266</v>
      </c>
      <c r="C515" s="2" t="s">
        <v>2964</v>
      </c>
      <c r="D515" s="2"/>
    </row>
    <row r="516" spans="1:4" x14ac:dyDescent="0.3">
      <c r="A516" s="2" t="s">
        <v>861</v>
      </c>
      <c r="B516" s="2" t="s">
        <v>266</v>
      </c>
      <c r="C516" s="2" t="s">
        <v>2964</v>
      </c>
      <c r="D516" s="2"/>
    </row>
    <row r="517" spans="1:4" x14ac:dyDescent="0.3">
      <c r="A517" s="2" t="s">
        <v>863</v>
      </c>
      <c r="B517" s="2" t="s">
        <v>266</v>
      </c>
      <c r="C517" s="2" t="s">
        <v>2964</v>
      </c>
      <c r="D517" s="2"/>
    </row>
    <row r="518" spans="1:4" x14ac:dyDescent="0.3">
      <c r="A518" s="2" t="s">
        <v>865</v>
      </c>
      <c r="B518" s="2" t="s">
        <v>266</v>
      </c>
      <c r="C518" s="2" t="s">
        <v>2964</v>
      </c>
      <c r="D518" s="2"/>
    </row>
    <row r="519" spans="1:4" x14ac:dyDescent="0.3">
      <c r="A519" s="2" t="s">
        <v>867</v>
      </c>
      <c r="B519" s="2" t="s">
        <v>266</v>
      </c>
      <c r="C519" s="2" t="s">
        <v>2964</v>
      </c>
      <c r="D519" s="2"/>
    </row>
    <row r="520" spans="1:4" x14ac:dyDescent="0.3">
      <c r="A520" s="2" t="s">
        <v>869</v>
      </c>
      <c r="B520" s="2" t="s">
        <v>266</v>
      </c>
      <c r="C520" s="2" t="s">
        <v>2964</v>
      </c>
      <c r="D520" s="2"/>
    </row>
    <row r="521" spans="1:4" x14ac:dyDescent="0.3">
      <c r="A521" s="2" t="s">
        <v>871</v>
      </c>
      <c r="B521" s="2" t="s">
        <v>266</v>
      </c>
      <c r="C521" s="2" t="s">
        <v>2964</v>
      </c>
      <c r="D521" s="2"/>
    </row>
    <row r="522" spans="1:4" x14ac:dyDescent="0.3">
      <c r="A522" s="2" t="s">
        <v>873</v>
      </c>
      <c r="B522" s="2" t="s">
        <v>266</v>
      </c>
      <c r="C522" s="2" t="s">
        <v>2964</v>
      </c>
      <c r="D522" s="2"/>
    </row>
    <row r="523" spans="1:4" x14ac:dyDescent="0.3">
      <c r="A523" s="2" t="s">
        <v>875</v>
      </c>
      <c r="B523" s="2" t="s">
        <v>266</v>
      </c>
      <c r="C523" s="2" t="s">
        <v>2964</v>
      </c>
      <c r="D523" s="2"/>
    </row>
    <row r="524" spans="1:4" x14ac:dyDescent="0.3">
      <c r="A524" s="2" t="s">
        <v>877</v>
      </c>
      <c r="B524" s="2" t="s">
        <v>266</v>
      </c>
      <c r="C524" s="2" t="s">
        <v>2964</v>
      </c>
      <c r="D524" s="2"/>
    </row>
    <row r="525" spans="1:4" x14ac:dyDescent="0.3">
      <c r="A525" s="2" t="s">
        <v>879</v>
      </c>
      <c r="B525" s="2" t="s">
        <v>266</v>
      </c>
      <c r="C525" s="2" t="s">
        <v>2964</v>
      </c>
      <c r="D525" s="2"/>
    </row>
    <row r="526" spans="1:4" x14ac:dyDescent="0.3">
      <c r="A526" s="2" t="s">
        <v>881</v>
      </c>
      <c r="B526" s="2" t="s">
        <v>266</v>
      </c>
      <c r="C526" s="2" t="s">
        <v>2964</v>
      </c>
      <c r="D526" s="2"/>
    </row>
    <row r="527" spans="1:4" x14ac:dyDescent="0.3">
      <c r="A527" s="2" t="s">
        <v>883</v>
      </c>
      <c r="B527" s="2" t="s">
        <v>266</v>
      </c>
      <c r="C527" s="2" t="s">
        <v>2964</v>
      </c>
      <c r="D527" s="2"/>
    </row>
    <row r="528" spans="1:4" x14ac:dyDescent="0.3">
      <c r="A528" s="2" t="s">
        <v>885</v>
      </c>
      <c r="B528" s="2" t="s">
        <v>266</v>
      </c>
      <c r="C528" s="2" t="s">
        <v>2964</v>
      </c>
      <c r="D528" s="2"/>
    </row>
    <row r="529" spans="1:4" x14ac:dyDescent="0.3">
      <c r="A529" s="2" t="s">
        <v>887</v>
      </c>
      <c r="B529" s="2" t="s">
        <v>266</v>
      </c>
      <c r="C529" s="2" t="s">
        <v>2964</v>
      </c>
      <c r="D529" s="2"/>
    </row>
    <row r="530" spans="1:4" x14ac:dyDescent="0.3">
      <c r="A530" s="2" t="s">
        <v>888</v>
      </c>
      <c r="B530" s="2" t="s">
        <v>266</v>
      </c>
      <c r="C530" s="2" t="s">
        <v>2964</v>
      </c>
      <c r="D530" s="2"/>
    </row>
    <row r="531" spans="1:4" x14ac:dyDescent="0.3">
      <c r="A531" s="2" t="s">
        <v>890</v>
      </c>
      <c r="B531" s="2" t="s">
        <v>266</v>
      </c>
      <c r="C531" s="2" t="s">
        <v>2964</v>
      </c>
      <c r="D531" s="2"/>
    </row>
    <row r="532" spans="1:4" x14ac:dyDescent="0.3">
      <c r="A532" s="2" t="s">
        <v>892</v>
      </c>
      <c r="B532" s="2" t="s">
        <v>266</v>
      </c>
      <c r="C532" s="2" t="s">
        <v>2964</v>
      </c>
      <c r="D532" s="2"/>
    </row>
    <row r="533" spans="1:4" x14ac:dyDescent="0.3">
      <c r="A533" s="2" t="s">
        <v>893</v>
      </c>
      <c r="B533" s="2" t="s">
        <v>266</v>
      </c>
      <c r="C533" s="2" t="s">
        <v>2964</v>
      </c>
      <c r="D533" s="2"/>
    </row>
    <row r="534" spans="1:4" x14ac:dyDescent="0.3">
      <c r="A534" s="2" t="s">
        <v>895</v>
      </c>
      <c r="B534" s="2" t="s">
        <v>266</v>
      </c>
      <c r="C534" s="2" t="s">
        <v>2964</v>
      </c>
      <c r="D534" s="2"/>
    </row>
    <row r="535" spans="1:4" x14ac:dyDescent="0.3">
      <c r="A535" s="2" t="s">
        <v>896</v>
      </c>
      <c r="B535" s="2" t="s">
        <v>266</v>
      </c>
      <c r="C535" s="2" t="s">
        <v>2964</v>
      </c>
      <c r="D535" s="2"/>
    </row>
    <row r="536" spans="1:4" x14ac:dyDescent="0.3">
      <c r="A536" s="2" t="s">
        <v>898</v>
      </c>
      <c r="B536" s="2" t="s">
        <v>266</v>
      </c>
      <c r="C536" s="2" t="s">
        <v>2964</v>
      </c>
      <c r="D536" s="2"/>
    </row>
    <row r="537" spans="1:4" x14ac:dyDescent="0.3">
      <c r="A537" s="2" t="s">
        <v>900</v>
      </c>
      <c r="B537" s="2" t="s">
        <v>266</v>
      </c>
      <c r="C537" s="2" t="s">
        <v>2964</v>
      </c>
      <c r="D537" s="2"/>
    </row>
    <row r="538" spans="1:4" x14ac:dyDescent="0.3">
      <c r="A538" s="2" t="s">
        <v>902</v>
      </c>
      <c r="B538" s="2" t="s">
        <v>266</v>
      </c>
      <c r="C538" s="2" t="s">
        <v>2964</v>
      </c>
      <c r="D538" s="2"/>
    </row>
    <row r="539" spans="1:4" x14ac:dyDescent="0.3">
      <c r="A539" s="2" t="s">
        <v>904</v>
      </c>
      <c r="B539" s="2" t="s">
        <v>266</v>
      </c>
      <c r="C539" s="2" t="s">
        <v>2964</v>
      </c>
      <c r="D539" s="2"/>
    </row>
    <row r="540" spans="1:4" x14ac:dyDescent="0.3">
      <c r="A540" s="2" t="s">
        <v>906</v>
      </c>
      <c r="B540" s="2" t="s">
        <v>266</v>
      </c>
      <c r="C540" s="2" t="s">
        <v>2964</v>
      </c>
      <c r="D540" s="2"/>
    </row>
    <row r="541" spans="1:4" x14ac:dyDescent="0.3">
      <c r="A541" s="2" t="s">
        <v>908</v>
      </c>
      <c r="B541" s="2" t="s">
        <v>266</v>
      </c>
      <c r="C541" s="2" t="s">
        <v>2964</v>
      </c>
      <c r="D541" s="2"/>
    </row>
    <row r="542" spans="1:4" x14ac:dyDescent="0.3">
      <c r="A542" s="2" t="s">
        <v>910</v>
      </c>
      <c r="B542" s="2" t="s">
        <v>266</v>
      </c>
      <c r="C542" s="2" t="s">
        <v>2964</v>
      </c>
      <c r="D542" s="2"/>
    </row>
    <row r="543" spans="1:4" x14ac:dyDescent="0.3">
      <c r="A543" s="2" t="s">
        <v>912</v>
      </c>
      <c r="B543" s="2" t="s">
        <v>266</v>
      </c>
      <c r="C543" s="2" t="s">
        <v>2964</v>
      </c>
      <c r="D543" s="2"/>
    </row>
    <row r="544" spans="1:4" x14ac:dyDescent="0.3">
      <c r="A544" s="2" t="s">
        <v>914</v>
      </c>
      <c r="B544" s="2" t="s">
        <v>266</v>
      </c>
      <c r="C544" s="2" t="s">
        <v>2964</v>
      </c>
      <c r="D544" s="2"/>
    </row>
    <row r="545" spans="1:4" x14ac:dyDescent="0.3">
      <c r="A545" s="2" t="s">
        <v>916</v>
      </c>
      <c r="B545" s="2" t="s">
        <v>266</v>
      </c>
      <c r="C545" s="2" t="s">
        <v>2964</v>
      </c>
      <c r="D545" s="2"/>
    </row>
    <row r="546" spans="1:4" x14ac:dyDescent="0.3">
      <c r="A546" s="2" t="s">
        <v>918</v>
      </c>
      <c r="B546" s="2" t="s">
        <v>266</v>
      </c>
      <c r="C546" s="2" t="s">
        <v>2964</v>
      </c>
      <c r="D546" s="2"/>
    </row>
    <row r="547" spans="1:4" x14ac:dyDescent="0.3">
      <c r="A547" s="2" t="s">
        <v>920</v>
      </c>
      <c r="B547" s="2" t="s">
        <v>266</v>
      </c>
      <c r="C547" s="2" t="s">
        <v>2964</v>
      </c>
      <c r="D547" s="2"/>
    </row>
    <row r="548" spans="1:4" x14ac:dyDescent="0.3">
      <c r="A548" s="2" t="s">
        <v>922</v>
      </c>
      <c r="B548" s="2" t="s">
        <v>266</v>
      </c>
      <c r="C548" s="2" t="s">
        <v>2964</v>
      </c>
      <c r="D548" s="2"/>
    </row>
    <row r="549" spans="1:4" x14ac:dyDescent="0.3">
      <c r="A549" s="2" t="s">
        <v>924</v>
      </c>
      <c r="B549" s="2" t="s">
        <v>266</v>
      </c>
      <c r="C549" s="2" t="s">
        <v>2964</v>
      </c>
      <c r="D549" s="2"/>
    </row>
    <row r="550" spans="1:4" x14ac:dyDescent="0.3">
      <c r="A550" s="2" t="s">
        <v>925</v>
      </c>
      <c r="B550" s="2" t="s">
        <v>266</v>
      </c>
      <c r="C550" s="2" t="s">
        <v>2964</v>
      </c>
      <c r="D550" s="2"/>
    </row>
    <row r="551" spans="1:4" x14ac:dyDescent="0.3">
      <c r="A551" s="2" t="s">
        <v>927</v>
      </c>
      <c r="B551" s="2" t="s">
        <v>266</v>
      </c>
      <c r="C551" s="2" t="s">
        <v>2964</v>
      </c>
      <c r="D551" s="2"/>
    </row>
    <row r="552" spans="1:4" x14ac:dyDescent="0.3">
      <c r="A552" s="2" t="s">
        <v>929</v>
      </c>
      <c r="B552" s="2" t="s">
        <v>266</v>
      </c>
      <c r="C552" s="2" t="s">
        <v>2964</v>
      </c>
      <c r="D552" s="2"/>
    </row>
    <row r="553" spans="1:4" x14ac:dyDescent="0.3">
      <c r="A553" s="2" t="s">
        <v>931</v>
      </c>
      <c r="B553" s="2" t="s">
        <v>266</v>
      </c>
      <c r="C553" s="2" t="s">
        <v>2964</v>
      </c>
      <c r="D553" s="2"/>
    </row>
    <row r="554" spans="1:4" x14ac:dyDescent="0.3">
      <c r="A554" s="2" t="s">
        <v>933</v>
      </c>
      <c r="B554" s="2" t="s">
        <v>266</v>
      </c>
      <c r="C554" s="2" t="s">
        <v>2964</v>
      </c>
      <c r="D554" s="2"/>
    </row>
    <row r="555" spans="1:4" x14ac:dyDescent="0.3">
      <c r="A555" s="2" t="s">
        <v>935</v>
      </c>
      <c r="B555" s="2" t="s">
        <v>266</v>
      </c>
      <c r="C555" s="2" t="s">
        <v>2964</v>
      </c>
      <c r="D555" s="2"/>
    </row>
    <row r="556" spans="1:4" x14ac:dyDescent="0.3">
      <c r="A556" s="2" t="s">
        <v>937</v>
      </c>
      <c r="B556" s="2" t="s">
        <v>266</v>
      </c>
      <c r="C556" s="2" t="s">
        <v>2964</v>
      </c>
      <c r="D556" s="2"/>
    </row>
    <row r="557" spans="1:4" x14ac:dyDescent="0.3">
      <c r="A557" s="2" t="s">
        <v>939</v>
      </c>
      <c r="B557" s="2" t="s">
        <v>266</v>
      </c>
      <c r="C557" s="2" t="s">
        <v>2964</v>
      </c>
      <c r="D557" s="2"/>
    </row>
    <row r="558" spans="1:4" x14ac:dyDescent="0.3">
      <c r="A558" s="2" t="s">
        <v>941</v>
      </c>
      <c r="B558" s="2" t="s">
        <v>266</v>
      </c>
      <c r="C558" s="2" t="s">
        <v>2964</v>
      </c>
      <c r="D558" s="2"/>
    </row>
    <row r="559" spans="1:4" x14ac:dyDescent="0.3">
      <c r="A559" s="2" t="s">
        <v>943</v>
      </c>
      <c r="B559" s="2" t="s">
        <v>266</v>
      </c>
      <c r="C559" s="2" t="s">
        <v>2964</v>
      </c>
      <c r="D559" s="2"/>
    </row>
    <row r="560" spans="1:4" x14ac:dyDescent="0.3">
      <c r="A560" s="2" t="s">
        <v>945</v>
      </c>
      <c r="B560" s="2" t="s">
        <v>266</v>
      </c>
      <c r="C560" s="2" t="s">
        <v>2964</v>
      </c>
      <c r="D560" s="2"/>
    </row>
    <row r="561" spans="1:4" x14ac:dyDescent="0.3">
      <c r="A561" s="2" t="s">
        <v>946</v>
      </c>
      <c r="B561" s="2" t="s">
        <v>266</v>
      </c>
      <c r="C561" s="2" t="s">
        <v>2964</v>
      </c>
      <c r="D561" s="2"/>
    </row>
    <row r="562" spans="1:4" x14ac:dyDescent="0.3">
      <c r="A562" s="2" t="s">
        <v>947</v>
      </c>
      <c r="B562" s="2" t="s">
        <v>266</v>
      </c>
      <c r="C562" s="2" t="s">
        <v>2964</v>
      </c>
      <c r="D562" s="2"/>
    </row>
    <row r="563" spans="1:4" x14ac:dyDescent="0.3">
      <c r="A563" s="2" t="s">
        <v>949</v>
      </c>
      <c r="B563" s="2" t="s">
        <v>266</v>
      </c>
      <c r="C563" s="2" t="s">
        <v>2964</v>
      </c>
      <c r="D563" s="2"/>
    </row>
    <row r="564" spans="1:4" x14ac:dyDescent="0.3">
      <c r="A564" s="2" t="s">
        <v>951</v>
      </c>
      <c r="B564" s="2" t="s">
        <v>266</v>
      </c>
      <c r="C564" s="2" t="s">
        <v>2964</v>
      </c>
      <c r="D564" s="2"/>
    </row>
    <row r="565" spans="1:4" x14ac:dyDescent="0.3">
      <c r="A565" s="2" t="s">
        <v>953</v>
      </c>
      <c r="B565" s="2" t="s">
        <v>266</v>
      </c>
      <c r="C565" s="2" t="s">
        <v>2964</v>
      </c>
      <c r="D565" s="2"/>
    </row>
    <row r="566" spans="1:4" x14ac:dyDescent="0.3">
      <c r="A566" s="2" t="s">
        <v>955</v>
      </c>
      <c r="B566" s="2" t="s">
        <v>266</v>
      </c>
      <c r="C566" s="2" t="s">
        <v>2964</v>
      </c>
      <c r="D566" s="2"/>
    </row>
    <row r="567" spans="1:4" x14ac:dyDescent="0.3">
      <c r="A567" s="2" t="s">
        <v>957</v>
      </c>
      <c r="B567" s="2" t="s">
        <v>266</v>
      </c>
      <c r="C567" s="2" t="s">
        <v>2964</v>
      </c>
      <c r="D567" s="2"/>
    </row>
    <row r="568" spans="1:4" x14ac:dyDescent="0.3">
      <c r="A568" s="2" t="s">
        <v>959</v>
      </c>
      <c r="B568" s="2" t="s">
        <v>266</v>
      </c>
      <c r="C568" s="2" t="s">
        <v>2964</v>
      </c>
      <c r="D568" s="2"/>
    </row>
    <row r="569" spans="1:4" x14ac:dyDescent="0.3">
      <c r="A569" s="2" t="s">
        <v>961</v>
      </c>
      <c r="B569" s="2" t="s">
        <v>266</v>
      </c>
      <c r="C569" s="2" t="s">
        <v>2964</v>
      </c>
      <c r="D569" s="2"/>
    </row>
    <row r="570" spans="1:4" x14ac:dyDescent="0.3">
      <c r="A570" s="2" t="s">
        <v>963</v>
      </c>
      <c r="B570" s="2" t="s">
        <v>266</v>
      </c>
      <c r="C570" s="2" t="s">
        <v>2964</v>
      </c>
    </row>
    <row r="571" spans="1:4" x14ac:dyDescent="0.3">
      <c r="A571" s="2" t="s">
        <v>965</v>
      </c>
      <c r="B571" s="2" t="s">
        <v>266</v>
      </c>
      <c r="C571" s="2" t="s">
        <v>2964</v>
      </c>
    </row>
    <row r="572" spans="1:4" x14ac:dyDescent="0.3">
      <c r="A572" s="2" t="s">
        <v>967</v>
      </c>
      <c r="B572" s="2" t="s">
        <v>266</v>
      </c>
      <c r="C572" s="2" t="s">
        <v>2964</v>
      </c>
    </row>
    <row r="573" spans="1:4" x14ac:dyDescent="0.3">
      <c r="A573" s="2" t="s">
        <v>969</v>
      </c>
      <c r="B573" s="2" t="s">
        <v>266</v>
      </c>
      <c r="C573" s="2" t="s">
        <v>2964</v>
      </c>
    </row>
    <row r="574" spans="1:4" x14ac:dyDescent="0.3">
      <c r="A574" s="2" t="s">
        <v>971</v>
      </c>
      <c r="B574" s="2" t="s">
        <v>266</v>
      </c>
      <c r="C574" s="2" t="s">
        <v>2964</v>
      </c>
    </row>
    <row r="575" spans="1:4" x14ac:dyDescent="0.3">
      <c r="A575" s="2" t="s">
        <v>973</v>
      </c>
      <c r="B575" s="2" t="s">
        <v>266</v>
      </c>
      <c r="C575" s="2" t="s">
        <v>2964</v>
      </c>
    </row>
    <row r="576" spans="1:4" x14ac:dyDescent="0.3">
      <c r="A576" s="2" t="s">
        <v>974</v>
      </c>
      <c r="B576" s="2" t="s">
        <v>266</v>
      </c>
      <c r="C576" s="2" t="s">
        <v>2964</v>
      </c>
    </row>
    <row r="577" spans="1:3" x14ac:dyDescent="0.3">
      <c r="A577" s="2" t="s">
        <v>976</v>
      </c>
      <c r="B577" s="2" t="s">
        <v>266</v>
      </c>
      <c r="C577" s="2" t="s">
        <v>2964</v>
      </c>
    </row>
    <row r="578" spans="1:3" x14ac:dyDescent="0.3">
      <c r="A578" s="2" t="s">
        <v>978</v>
      </c>
      <c r="B578" s="2" t="s">
        <v>266</v>
      </c>
      <c r="C578" s="2" t="s">
        <v>2964</v>
      </c>
    </row>
    <row r="579" spans="1:3" x14ac:dyDescent="0.3">
      <c r="A579" s="2" t="s">
        <v>979</v>
      </c>
      <c r="B579" s="2" t="s">
        <v>266</v>
      </c>
      <c r="C579" s="2" t="s">
        <v>2964</v>
      </c>
    </row>
    <row r="580" spans="1:3" x14ac:dyDescent="0.3">
      <c r="A580" s="2" t="s">
        <v>980</v>
      </c>
      <c r="B580" s="2" t="s">
        <v>266</v>
      </c>
      <c r="C580" s="2" t="s">
        <v>2964</v>
      </c>
    </row>
    <row r="581" spans="1:3" x14ac:dyDescent="0.3">
      <c r="A581" s="2" t="s">
        <v>982</v>
      </c>
      <c r="B581" s="2" t="s">
        <v>266</v>
      </c>
      <c r="C581" s="2" t="s">
        <v>2964</v>
      </c>
    </row>
    <row r="582" spans="1:3" x14ac:dyDescent="0.3">
      <c r="A582" s="2" t="s">
        <v>983</v>
      </c>
      <c r="B582" s="2" t="s">
        <v>266</v>
      </c>
      <c r="C582" s="2" t="s">
        <v>2964</v>
      </c>
    </row>
    <row r="583" spans="1:3" x14ac:dyDescent="0.3">
      <c r="A583" s="2" t="s">
        <v>985</v>
      </c>
      <c r="B583" s="2" t="s">
        <v>266</v>
      </c>
      <c r="C583" s="2" t="s">
        <v>2964</v>
      </c>
    </row>
    <row r="584" spans="1:3" x14ac:dyDescent="0.3">
      <c r="A584" s="2" t="s">
        <v>987</v>
      </c>
      <c r="B584" s="2" t="s">
        <v>266</v>
      </c>
      <c r="C584" s="2" t="s">
        <v>2964</v>
      </c>
    </row>
    <row r="585" spans="1:3" x14ac:dyDescent="0.3">
      <c r="A585" s="2" t="s">
        <v>989</v>
      </c>
      <c r="B585" s="2" t="s">
        <v>266</v>
      </c>
      <c r="C585" s="2" t="s">
        <v>2964</v>
      </c>
    </row>
    <row r="586" spans="1:3" x14ac:dyDescent="0.3">
      <c r="A586" s="2" t="s">
        <v>991</v>
      </c>
      <c r="B586" s="2" t="s">
        <v>266</v>
      </c>
      <c r="C586" s="2" t="s">
        <v>2964</v>
      </c>
    </row>
    <row r="587" spans="1:3" x14ac:dyDescent="0.3">
      <c r="A587" s="2" t="s">
        <v>993</v>
      </c>
      <c r="B587" s="2" t="s">
        <v>266</v>
      </c>
      <c r="C587" s="2" t="s">
        <v>2964</v>
      </c>
    </row>
    <row r="588" spans="1:3" x14ac:dyDescent="0.3">
      <c r="A588" s="2" t="s">
        <v>995</v>
      </c>
      <c r="B588" s="2" t="s">
        <v>266</v>
      </c>
      <c r="C588" s="2" t="s">
        <v>2964</v>
      </c>
    </row>
    <row r="589" spans="1:3" x14ac:dyDescent="0.3">
      <c r="A589" s="2" t="s">
        <v>996</v>
      </c>
      <c r="B589" s="2" t="s">
        <v>266</v>
      </c>
      <c r="C589" s="2" t="s">
        <v>2964</v>
      </c>
    </row>
    <row r="590" spans="1:3" x14ac:dyDescent="0.3">
      <c r="A590" s="2" t="s">
        <v>997</v>
      </c>
      <c r="B590" s="2" t="s">
        <v>266</v>
      </c>
      <c r="C590" s="2" t="s">
        <v>2964</v>
      </c>
    </row>
    <row r="591" spans="1:3" x14ac:dyDescent="0.3">
      <c r="A591" s="2" t="s">
        <v>999</v>
      </c>
      <c r="B591" s="2" t="s">
        <v>266</v>
      </c>
      <c r="C591" s="2" t="s">
        <v>2964</v>
      </c>
    </row>
    <row r="592" spans="1:3" x14ac:dyDescent="0.3">
      <c r="A592" s="2" t="s">
        <v>1001</v>
      </c>
      <c r="B592" s="2" t="s">
        <v>266</v>
      </c>
      <c r="C592" s="2" t="s">
        <v>2964</v>
      </c>
    </row>
    <row r="593" spans="1:3" x14ac:dyDescent="0.3">
      <c r="A593" s="2" t="s">
        <v>1003</v>
      </c>
      <c r="B593" s="2" t="s">
        <v>266</v>
      </c>
      <c r="C593" s="2" t="s">
        <v>2964</v>
      </c>
    </row>
    <row r="594" spans="1:3" x14ac:dyDescent="0.3">
      <c r="A594" s="2" t="s">
        <v>1005</v>
      </c>
      <c r="B594" s="2" t="s">
        <v>266</v>
      </c>
      <c r="C594" s="2" t="s">
        <v>2964</v>
      </c>
    </row>
    <row r="595" spans="1:3" x14ac:dyDescent="0.3">
      <c r="A595" s="2" t="s">
        <v>1007</v>
      </c>
      <c r="B595" s="2" t="s">
        <v>266</v>
      </c>
      <c r="C595" s="2" t="s">
        <v>2964</v>
      </c>
    </row>
    <row r="596" spans="1:3" x14ac:dyDescent="0.3">
      <c r="A596" s="2" t="s">
        <v>1009</v>
      </c>
      <c r="B596" s="2" t="s">
        <v>266</v>
      </c>
      <c r="C596" s="2" t="s">
        <v>2964</v>
      </c>
    </row>
    <row r="597" spans="1:3" x14ac:dyDescent="0.3">
      <c r="A597" s="2" t="s">
        <v>1011</v>
      </c>
      <c r="B597" s="2" t="s">
        <v>266</v>
      </c>
      <c r="C597" s="2" t="s">
        <v>2964</v>
      </c>
    </row>
    <row r="598" spans="1:3" x14ac:dyDescent="0.3">
      <c r="A598" s="2" t="s">
        <v>1013</v>
      </c>
      <c r="B598" s="2" t="s">
        <v>266</v>
      </c>
      <c r="C598" s="2" t="s">
        <v>2964</v>
      </c>
    </row>
    <row r="599" spans="1:3" x14ac:dyDescent="0.3">
      <c r="A599" s="2" t="s">
        <v>1015</v>
      </c>
      <c r="B599" s="2" t="s">
        <v>266</v>
      </c>
      <c r="C599" s="2" t="s">
        <v>2964</v>
      </c>
    </row>
    <row r="600" spans="1:3" x14ac:dyDescent="0.3">
      <c r="A600" s="2" t="s">
        <v>1017</v>
      </c>
      <c r="B600" s="2" t="s">
        <v>266</v>
      </c>
      <c r="C600" s="2" t="s">
        <v>2964</v>
      </c>
    </row>
    <row r="601" spans="1:3" x14ac:dyDescent="0.3">
      <c r="A601" s="2" t="s">
        <v>1019</v>
      </c>
      <c r="B601" s="2" t="s">
        <v>266</v>
      </c>
      <c r="C601" s="2" t="s">
        <v>2964</v>
      </c>
    </row>
    <row r="602" spans="1:3" x14ac:dyDescent="0.3">
      <c r="A602" s="2" t="s">
        <v>1021</v>
      </c>
      <c r="B602" s="2" t="s">
        <v>266</v>
      </c>
      <c r="C602" s="2" t="s">
        <v>2964</v>
      </c>
    </row>
    <row r="603" spans="1:3" x14ac:dyDescent="0.3">
      <c r="A603" s="2" t="s">
        <v>1023</v>
      </c>
      <c r="B603" s="2" t="s">
        <v>266</v>
      </c>
      <c r="C603" s="2" t="s">
        <v>2964</v>
      </c>
    </row>
    <row r="604" spans="1:3" x14ac:dyDescent="0.3">
      <c r="A604" s="2" t="s">
        <v>1025</v>
      </c>
      <c r="B604" s="2" t="s">
        <v>266</v>
      </c>
      <c r="C604" s="2" t="s">
        <v>2964</v>
      </c>
    </row>
    <row r="605" spans="1:3" x14ac:dyDescent="0.3">
      <c r="A605" s="2" t="s">
        <v>1027</v>
      </c>
      <c r="B605" s="2" t="s">
        <v>266</v>
      </c>
      <c r="C605" s="2" t="s">
        <v>2964</v>
      </c>
    </row>
    <row r="606" spans="1:3" x14ac:dyDescent="0.3">
      <c r="A606" s="2" t="s">
        <v>1029</v>
      </c>
      <c r="B606" s="2" t="s">
        <v>266</v>
      </c>
      <c r="C606" s="2" t="s">
        <v>2964</v>
      </c>
    </row>
    <row r="607" spans="1:3" x14ac:dyDescent="0.3">
      <c r="A607" s="2" t="s">
        <v>1031</v>
      </c>
      <c r="B607" s="2" t="s">
        <v>266</v>
      </c>
      <c r="C607" s="2" t="s">
        <v>2964</v>
      </c>
    </row>
    <row r="608" spans="1:3" x14ac:dyDescent="0.3">
      <c r="A608" s="2" t="s">
        <v>1032</v>
      </c>
      <c r="B608" s="2" t="s">
        <v>266</v>
      </c>
      <c r="C608" s="2" t="s">
        <v>2964</v>
      </c>
    </row>
    <row r="609" spans="1:3" x14ac:dyDescent="0.3">
      <c r="A609" s="2" t="s">
        <v>1034</v>
      </c>
      <c r="B609" s="2" t="s">
        <v>266</v>
      </c>
      <c r="C609" s="2" t="s">
        <v>2964</v>
      </c>
    </row>
    <row r="610" spans="1:3" x14ac:dyDescent="0.3">
      <c r="A610" s="2" t="s">
        <v>1035</v>
      </c>
      <c r="B610" s="2" t="s">
        <v>266</v>
      </c>
      <c r="C610" s="2" t="s">
        <v>2964</v>
      </c>
    </row>
    <row r="611" spans="1:3" x14ac:dyDescent="0.3">
      <c r="A611" s="2" t="s">
        <v>1037</v>
      </c>
      <c r="B611" s="2" t="s">
        <v>266</v>
      </c>
      <c r="C611" s="2" t="s">
        <v>2964</v>
      </c>
    </row>
    <row r="612" spans="1:3" x14ac:dyDescent="0.3">
      <c r="A612" s="2" t="s">
        <v>1039</v>
      </c>
      <c r="B612" s="2" t="s">
        <v>266</v>
      </c>
      <c r="C612" s="2" t="s">
        <v>2964</v>
      </c>
    </row>
    <row r="613" spans="1:3" x14ac:dyDescent="0.3">
      <c r="A613" s="2" t="s">
        <v>1041</v>
      </c>
      <c r="B613" s="2" t="s">
        <v>266</v>
      </c>
      <c r="C613" s="2" t="s">
        <v>2964</v>
      </c>
    </row>
    <row r="614" spans="1:3" x14ac:dyDescent="0.3">
      <c r="A614" s="2" t="s">
        <v>1043</v>
      </c>
      <c r="B614" s="2" t="s">
        <v>266</v>
      </c>
      <c r="C614" s="2" t="s">
        <v>2964</v>
      </c>
    </row>
    <row r="615" spans="1:3" x14ac:dyDescent="0.3">
      <c r="A615" s="2" t="s">
        <v>1045</v>
      </c>
      <c r="B615" s="2" t="s">
        <v>266</v>
      </c>
      <c r="C615" s="2" t="s">
        <v>2964</v>
      </c>
    </row>
    <row r="616" spans="1:3" x14ac:dyDescent="0.3">
      <c r="A616" s="2" t="s">
        <v>1047</v>
      </c>
      <c r="B616" s="2" t="s">
        <v>266</v>
      </c>
      <c r="C616" s="2" t="s">
        <v>2964</v>
      </c>
    </row>
    <row r="617" spans="1:3" x14ac:dyDescent="0.3">
      <c r="A617" s="2" t="s">
        <v>1049</v>
      </c>
      <c r="B617" s="2" t="s">
        <v>266</v>
      </c>
      <c r="C617" s="2" t="s">
        <v>2964</v>
      </c>
    </row>
    <row r="618" spans="1:3" x14ac:dyDescent="0.3">
      <c r="A618" s="2" t="s">
        <v>1051</v>
      </c>
      <c r="B618" s="2" t="s">
        <v>266</v>
      </c>
      <c r="C618" s="2" t="s">
        <v>2964</v>
      </c>
    </row>
    <row r="619" spans="1:3" x14ac:dyDescent="0.3">
      <c r="A619" s="2" t="s">
        <v>1053</v>
      </c>
      <c r="B619" s="2" t="s">
        <v>266</v>
      </c>
      <c r="C619" s="2" t="s">
        <v>2964</v>
      </c>
    </row>
    <row r="620" spans="1:3" x14ac:dyDescent="0.3">
      <c r="A620" s="2" t="s">
        <v>1055</v>
      </c>
      <c r="B620" s="2" t="s">
        <v>266</v>
      </c>
      <c r="C620" s="2" t="s">
        <v>2964</v>
      </c>
    </row>
    <row r="621" spans="1:3" x14ac:dyDescent="0.3">
      <c r="A621" s="2" t="s">
        <v>1056</v>
      </c>
      <c r="B621" s="2" t="s">
        <v>266</v>
      </c>
      <c r="C621" s="2" t="s">
        <v>2964</v>
      </c>
    </row>
    <row r="622" spans="1:3" x14ac:dyDescent="0.3">
      <c r="A622" s="2" t="s">
        <v>1057</v>
      </c>
      <c r="B622" s="2" t="s">
        <v>266</v>
      </c>
      <c r="C622" s="2" t="s">
        <v>2964</v>
      </c>
    </row>
    <row r="623" spans="1:3" x14ac:dyDescent="0.3">
      <c r="A623" s="2" t="s">
        <v>1059</v>
      </c>
      <c r="B623" s="2" t="s">
        <v>266</v>
      </c>
      <c r="C623" s="2" t="s">
        <v>2964</v>
      </c>
    </row>
    <row r="624" spans="1:3" x14ac:dyDescent="0.3">
      <c r="A624" s="2" t="s">
        <v>1060</v>
      </c>
      <c r="B624" s="2" t="s">
        <v>266</v>
      </c>
      <c r="C624" s="2" t="s">
        <v>2964</v>
      </c>
    </row>
    <row r="625" spans="1:3" x14ac:dyDescent="0.3">
      <c r="A625" s="2" t="s">
        <v>1061</v>
      </c>
      <c r="B625" s="2" t="s">
        <v>266</v>
      </c>
      <c r="C625" s="2" t="s">
        <v>2964</v>
      </c>
    </row>
    <row r="626" spans="1:3" x14ac:dyDescent="0.3">
      <c r="A626" s="2" t="s">
        <v>1062</v>
      </c>
      <c r="B626" s="2" t="s">
        <v>266</v>
      </c>
      <c r="C626" s="2" t="s">
        <v>2964</v>
      </c>
    </row>
    <row r="627" spans="1:3" x14ac:dyDescent="0.3">
      <c r="A627" s="2" t="s">
        <v>1063</v>
      </c>
      <c r="B627" s="2" t="s">
        <v>266</v>
      </c>
      <c r="C627" s="2" t="s">
        <v>2964</v>
      </c>
    </row>
    <row r="628" spans="1:3" x14ac:dyDescent="0.3">
      <c r="A628" s="2" t="s">
        <v>1065</v>
      </c>
      <c r="B628" s="2" t="s">
        <v>266</v>
      </c>
      <c r="C628" s="2" t="s">
        <v>2964</v>
      </c>
    </row>
    <row r="629" spans="1:3" x14ac:dyDescent="0.3">
      <c r="A629" s="2" t="s">
        <v>1067</v>
      </c>
      <c r="B629" s="2" t="s">
        <v>266</v>
      </c>
      <c r="C629" s="2" t="s">
        <v>2964</v>
      </c>
    </row>
    <row r="630" spans="1:3" x14ac:dyDescent="0.3">
      <c r="A630" s="2" t="s">
        <v>1068</v>
      </c>
      <c r="B630" s="2" t="s">
        <v>266</v>
      </c>
      <c r="C630" s="2" t="s">
        <v>2964</v>
      </c>
    </row>
    <row r="631" spans="1:3" x14ac:dyDescent="0.3">
      <c r="A631" s="2" t="s">
        <v>1069</v>
      </c>
      <c r="B631" s="2" t="s">
        <v>266</v>
      </c>
      <c r="C631" s="2" t="s">
        <v>2964</v>
      </c>
    </row>
    <row r="632" spans="1:3" x14ac:dyDescent="0.3">
      <c r="A632" s="2" t="s">
        <v>1070</v>
      </c>
      <c r="B632" s="2" t="s">
        <v>266</v>
      </c>
      <c r="C632" s="2" t="s">
        <v>2964</v>
      </c>
    </row>
    <row r="633" spans="1:3" x14ac:dyDescent="0.3">
      <c r="A633" s="2" t="s">
        <v>1071</v>
      </c>
      <c r="B633" s="2" t="s">
        <v>266</v>
      </c>
      <c r="C633" s="2" t="s">
        <v>2964</v>
      </c>
    </row>
    <row r="634" spans="1:3" x14ac:dyDescent="0.3">
      <c r="A634" s="2" t="s">
        <v>1073</v>
      </c>
      <c r="B634" s="2" t="s">
        <v>266</v>
      </c>
      <c r="C634" s="2" t="s">
        <v>2964</v>
      </c>
    </row>
    <row r="635" spans="1:3" x14ac:dyDescent="0.3">
      <c r="A635" s="2" t="s">
        <v>1075</v>
      </c>
      <c r="B635" s="2" t="s">
        <v>266</v>
      </c>
      <c r="C635" s="2" t="s">
        <v>2964</v>
      </c>
    </row>
    <row r="636" spans="1:3" x14ac:dyDescent="0.3">
      <c r="A636" s="2" t="s">
        <v>1077</v>
      </c>
      <c r="B636" s="2" t="s">
        <v>266</v>
      </c>
      <c r="C636" s="2" t="s">
        <v>2964</v>
      </c>
    </row>
    <row r="637" spans="1:3" x14ac:dyDescent="0.3">
      <c r="A637" s="2" t="s">
        <v>1079</v>
      </c>
      <c r="B637" s="2" t="s">
        <v>266</v>
      </c>
      <c r="C637" s="2" t="s">
        <v>2964</v>
      </c>
    </row>
    <row r="638" spans="1:3" x14ac:dyDescent="0.3">
      <c r="A638" s="2" t="s">
        <v>1081</v>
      </c>
      <c r="B638" s="2" t="s">
        <v>266</v>
      </c>
      <c r="C638" s="2" t="s">
        <v>2964</v>
      </c>
    </row>
    <row r="639" spans="1:3" x14ac:dyDescent="0.3">
      <c r="A639" s="2" t="s">
        <v>1083</v>
      </c>
      <c r="B639" s="2" t="s">
        <v>266</v>
      </c>
      <c r="C639" s="2" t="s">
        <v>2964</v>
      </c>
    </row>
    <row r="640" spans="1:3" x14ac:dyDescent="0.3">
      <c r="A640" s="2" t="s">
        <v>1085</v>
      </c>
      <c r="B640" s="2" t="s">
        <v>266</v>
      </c>
      <c r="C640" s="2" t="s">
        <v>2964</v>
      </c>
    </row>
    <row r="641" spans="1:3" x14ac:dyDescent="0.3">
      <c r="A641" s="2" t="s">
        <v>1087</v>
      </c>
      <c r="B641" s="2" t="s">
        <v>266</v>
      </c>
      <c r="C641" s="2" t="s">
        <v>2964</v>
      </c>
    </row>
    <row r="642" spans="1:3" x14ac:dyDescent="0.3">
      <c r="A642" s="2" t="s">
        <v>1089</v>
      </c>
      <c r="B642" s="2" t="s">
        <v>266</v>
      </c>
      <c r="C642" s="2" t="s">
        <v>2964</v>
      </c>
    </row>
    <row r="643" spans="1:3" x14ac:dyDescent="0.3">
      <c r="A643" s="2" t="s">
        <v>1091</v>
      </c>
      <c r="B643" s="2" t="s">
        <v>266</v>
      </c>
      <c r="C643" s="2" t="s">
        <v>2964</v>
      </c>
    </row>
    <row r="644" spans="1:3" x14ac:dyDescent="0.3">
      <c r="A644" s="2" t="s">
        <v>1093</v>
      </c>
      <c r="B644" s="2" t="s">
        <v>266</v>
      </c>
      <c r="C644" s="2" t="s">
        <v>2964</v>
      </c>
    </row>
    <row r="645" spans="1:3" x14ac:dyDescent="0.3">
      <c r="A645" s="2" t="s">
        <v>1095</v>
      </c>
      <c r="B645" s="2" t="s">
        <v>266</v>
      </c>
      <c r="C645" s="2" t="s">
        <v>2964</v>
      </c>
    </row>
    <row r="646" spans="1:3" x14ac:dyDescent="0.3">
      <c r="A646" s="2" t="s">
        <v>1097</v>
      </c>
      <c r="B646" s="2" t="s">
        <v>266</v>
      </c>
      <c r="C646" s="2" t="s">
        <v>2964</v>
      </c>
    </row>
    <row r="647" spans="1:3" x14ac:dyDescent="0.3">
      <c r="A647" s="2" t="s">
        <v>1099</v>
      </c>
      <c r="B647" s="2" t="s">
        <v>266</v>
      </c>
      <c r="C647" s="2" t="s">
        <v>2964</v>
      </c>
    </row>
    <row r="648" spans="1:3" x14ac:dyDescent="0.3">
      <c r="A648" s="2" t="s">
        <v>1101</v>
      </c>
      <c r="B648" s="2" t="s">
        <v>266</v>
      </c>
      <c r="C648" s="2" t="s">
        <v>2964</v>
      </c>
    </row>
    <row r="649" spans="1:3" x14ac:dyDescent="0.3">
      <c r="A649" s="2" t="s">
        <v>1102</v>
      </c>
      <c r="B649" s="2" t="s">
        <v>266</v>
      </c>
      <c r="C649" s="2" t="s">
        <v>2964</v>
      </c>
    </row>
    <row r="650" spans="1:3" x14ac:dyDescent="0.3">
      <c r="A650" s="2" t="s">
        <v>1104</v>
      </c>
      <c r="B650" s="2" t="s">
        <v>266</v>
      </c>
      <c r="C650" s="2" t="s">
        <v>2964</v>
      </c>
    </row>
    <row r="651" spans="1:3" x14ac:dyDescent="0.3">
      <c r="A651" s="2" t="s">
        <v>1106</v>
      </c>
      <c r="B651" s="2" t="s">
        <v>266</v>
      </c>
      <c r="C651" s="2" t="s">
        <v>2964</v>
      </c>
    </row>
    <row r="652" spans="1:3" x14ac:dyDescent="0.3">
      <c r="A652" s="2" t="s">
        <v>1108</v>
      </c>
      <c r="B652" s="2" t="s">
        <v>266</v>
      </c>
      <c r="C652" s="2" t="s">
        <v>2964</v>
      </c>
    </row>
    <row r="653" spans="1:3" x14ac:dyDescent="0.3">
      <c r="A653" s="2" t="s">
        <v>1110</v>
      </c>
      <c r="B653" s="2" t="s">
        <v>266</v>
      </c>
      <c r="C653" s="2" t="s">
        <v>2964</v>
      </c>
    </row>
    <row r="654" spans="1:3" x14ac:dyDescent="0.3">
      <c r="A654" s="2" t="s">
        <v>1112</v>
      </c>
      <c r="B654" s="2" t="s">
        <v>266</v>
      </c>
      <c r="C654" s="2" t="s">
        <v>2964</v>
      </c>
    </row>
    <row r="655" spans="1:3" x14ac:dyDescent="0.3">
      <c r="A655" s="2" t="s">
        <v>1114</v>
      </c>
      <c r="B655" s="2" t="s">
        <v>266</v>
      </c>
      <c r="C655" s="2" t="s">
        <v>2964</v>
      </c>
    </row>
    <row r="656" spans="1:3" x14ac:dyDescent="0.3">
      <c r="A656" s="2" t="s">
        <v>1116</v>
      </c>
      <c r="B656" s="2" t="s">
        <v>266</v>
      </c>
      <c r="C656" s="2" t="s">
        <v>2964</v>
      </c>
    </row>
    <row r="657" spans="1:3" x14ac:dyDescent="0.3">
      <c r="A657" s="2" t="s">
        <v>1118</v>
      </c>
      <c r="B657" s="2" t="s">
        <v>266</v>
      </c>
      <c r="C657" s="2" t="s">
        <v>2964</v>
      </c>
    </row>
    <row r="658" spans="1:3" x14ac:dyDescent="0.3">
      <c r="A658" s="2" t="s">
        <v>1120</v>
      </c>
      <c r="B658" s="2" t="s">
        <v>266</v>
      </c>
      <c r="C658" s="2" t="s">
        <v>2964</v>
      </c>
    </row>
    <row r="659" spans="1:3" x14ac:dyDescent="0.3">
      <c r="A659" s="2" t="s">
        <v>1122</v>
      </c>
      <c r="B659" s="2" t="s">
        <v>266</v>
      </c>
      <c r="C659" s="2" t="s">
        <v>2964</v>
      </c>
    </row>
    <row r="660" spans="1:3" x14ac:dyDescent="0.3">
      <c r="A660" s="2" t="s">
        <v>1124</v>
      </c>
      <c r="B660" s="2" t="s">
        <v>266</v>
      </c>
      <c r="C660" s="2" t="s">
        <v>2964</v>
      </c>
    </row>
    <row r="661" spans="1:3" x14ac:dyDescent="0.3">
      <c r="A661" s="2" t="s">
        <v>1126</v>
      </c>
      <c r="B661" s="2" t="s">
        <v>266</v>
      </c>
      <c r="C661" s="2" t="s">
        <v>2964</v>
      </c>
    </row>
    <row r="662" spans="1:3" x14ac:dyDescent="0.3">
      <c r="A662" s="2" t="s">
        <v>1128</v>
      </c>
      <c r="B662" s="2" t="s">
        <v>266</v>
      </c>
      <c r="C662" s="2" t="s">
        <v>2964</v>
      </c>
    </row>
    <row r="663" spans="1:3" x14ac:dyDescent="0.3">
      <c r="A663" s="2" t="s">
        <v>1129</v>
      </c>
      <c r="B663" s="2" t="s">
        <v>266</v>
      </c>
      <c r="C663" s="2" t="s">
        <v>2964</v>
      </c>
    </row>
    <row r="664" spans="1:3" x14ac:dyDescent="0.3">
      <c r="A664" s="2" t="s">
        <v>1130</v>
      </c>
      <c r="B664" s="2" t="s">
        <v>266</v>
      </c>
      <c r="C664" s="2" t="s">
        <v>2964</v>
      </c>
    </row>
    <row r="665" spans="1:3" x14ac:dyDescent="0.3">
      <c r="A665" s="2" t="s">
        <v>1132</v>
      </c>
      <c r="B665" s="2" t="s">
        <v>266</v>
      </c>
      <c r="C665" s="2" t="s">
        <v>2964</v>
      </c>
    </row>
    <row r="666" spans="1:3" x14ac:dyDescent="0.3">
      <c r="A666" s="2" t="s">
        <v>1134</v>
      </c>
      <c r="B666" s="2" t="s">
        <v>266</v>
      </c>
      <c r="C666" s="2" t="s">
        <v>2964</v>
      </c>
    </row>
    <row r="667" spans="1:3" x14ac:dyDescent="0.3">
      <c r="A667" s="2" t="s">
        <v>1136</v>
      </c>
      <c r="B667" s="2" t="s">
        <v>266</v>
      </c>
      <c r="C667" s="2" t="s">
        <v>2964</v>
      </c>
    </row>
    <row r="668" spans="1:3" x14ac:dyDescent="0.3">
      <c r="A668" s="2" t="s">
        <v>1137</v>
      </c>
      <c r="B668" s="2" t="s">
        <v>266</v>
      </c>
      <c r="C668" s="2" t="s">
        <v>2964</v>
      </c>
    </row>
    <row r="669" spans="1:3" x14ac:dyDescent="0.3">
      <c r="A669" s="2" t="s">
        <v>1139</v>
      </c>
      <c r="B669" s="2" t="s">
        <v>266</v>
      </c>
      <c r="C669" s="2" t="s">
        <v>2964</v>
      </c>
    </row>
    <row r="670" spans="1:3" x14ac:dyDescent="0.3">
      <c r="A670" s="2" t="s">
        <v>1141</v>
      </c>
      <c r="B670" s="2" t="s">
        <v>266</v>
      </c>
      <c r="C670" s="2" t="s">
        <v>2964</v>
      </c>
    </row>
    <row r="671" spans="1:3" x14ac:dyDescent="0.3">
      <c r="A671" s="2" t="s">
        <v>1143</v>
      </c>
      <c r="B671" s="2" t="s">
        <v>266</v>
      </c>
      <c r="C671" s="2" t="s">
        <v>2964</v>
      </c>
    </row>
    <row r="672" spans="1:3" x14ac:dyDescent="0.3">
      <c r="A672" s="2" t="s">
        <v>1145</v>
      </c>
      <c r="B672" s="2" t="s">
        <v>266</v>
      </c>
      <c r="C672" s="2" t="s">
        <v>2964</v>
      </c>
    </row>
    <row r="673" spans="1:3" x14ac:dyDescent="0.3">
      <c r="A673" s="2" t="s">
        <v>1147</v>
      </c>
      <c r="B673" s="2" t="s">
        <v>266</v>
      </c>
      <c r="C673" s="2" t="s">
        <v>2964</v>
      </c>
    </row>
    <row r="674" spans="1:3" x14ac:dyDescent="0.3">
      <c r="A674" s="2" t="s">
        <v>1149</v>
      </c>
      <c r="B674" s="2" t="s">
        <v>266</v>
      </c>
      <c r="C674" s="2" t="s">
        <v>2964</v>
      </c>
    </row>
    <row r="675" spans="1:3" x14ac:dyDescent="0.3">
      <c r="A675" s="2" t="s">
        <v>1151</v>
      </c>
      <c r="B675" s="2" t="s">
        <v>266</v>
      </c>
      <c r="C675" s="2" t="s">
        <v>2964</v>
      </c>
    </row>
    <row r="676" spans="1:3" x14ac:dyDescent="0.3">
      <c r="A676" s="2" t="s">
        <v>1153</v>
      </c>
      <c r="B676" s="2" t="s">
        <v>266</v>
      </c>
      <c r="C676" s="2" t="s">
        <v>2964</v>
      </c>
    </row>
    <row r="677" spans="1:3" x14ac:dyDescent="0.3">
      <c r="A677" s="2" t="s">
        <v>1155</v>
      </c>
      <c r="B677" s="2" t="s">
        <v>266</v>
      </c>
      <c r="C677" s="2" t="s">
        <v>2964</v>
      </c>
    </row>
    <row r="678" spans="1:3" x14ac:dyDescent="0.3">
      <c r="A678" s="2" t="s">
        <v>1157</v>
      </c>
      <c r="B678" s="2" t="s">
        <v>266</v>
      </c>
      <c r="C678" s="2" t="s">
        <v>2964</v>
      </c>
    </row>
    <row r="679" spans="1:3" x14ac:dyDescent="0.3">
      <c r="A679" s="2" t="s">
        <v>1159</v>
      </c>
      <c r="B679" s="2" t="s">
        <v>266</v>
      </c>
      <c r="C679" s="2" t="s">
        <v>2964</v>
      </c>
    </row>
    <row r="680" spans="1:3" x14ac:dyDescent="0.3">
      <c r="A680" s="2" t="s">
        <v>1161</v>
      </c>
      <c r="B680" s="2" t="s">
        <v>266</v>
      </c>
      <c r="C680" s="2" t="s">
        <v>2964</v>
      </c>
    </row>
    <row r="681" spans="1:3" x14ac:dyDescent="0.3">
      <c r="A681" s="2" t="s">
        <v>1163</v>
      </c>
      <c r="B681" s="2" t="s">
        <v>266</v>
      </c>
      <c r="C681" s="2" t="s">
        <v>2964</v>
      </c>
    </row>
    <row r="682" spans="1:3" x14ac:dyDescent="0.3">
      <c r="A682" s="2" t="s">
        <v>1164</v>
      </c>
      <c r="B682" s="2" t="s">
        <v>266</v>
      </c>
      <c r="C682" s="2" t="s">
        <v>2964</v>
      </c>
    </row>
    <row r="683" spans="1:3" x14ac:dyDescent="0.3">
      <c r="A683" s="2" t="s">
        <v>1166</v>
      </c>
      <c r="B683" s="2" t="s">
        <v>266</v>
      </c>
      <c r="C683" s="2" t="s">
        <v>2964</v>
      </c>
    </row>
    <row r="684" spans="1:3" x14ac:dyDescent="0.3">
      <c r="A684" s="2" t="s">
        <v>1167</v>
      </c>
      <c r="B684" s="2" t="s">
        <v>266</v>
      </c>
      <c r="C684" s="2" t="s">
        <v>2964</v>
      </c>
    </row>
    <row r="685" spans="1:3" x14ac:dyDescent="0.3">
      <c r="A685" s="2" t="s">
        <v>1169</v>
      </c>
      <c r="B685" s="2" t="s">
        <v>266</v>
      </c>
      <c r="C685" s="2" t="s">
        <v>2964</v>
      </c>
    </row>
    <row r="686" spans="1:3" x14ac:dyDescent="0.3">
      <c r="A686" s="2" t="s">
        <v>1171</v>
      </c>
      <c r="B686" s="2" t="s">
        <v>266</v>
      </c>
      <c r="C686" s="2" t="s">
        <v>2964</v>
      </c>
    </row>
    <row r="687" spans="1:3" x14ac:dyDescent="0.3">
      <c r="A687" s="2" t="s">
        <v>1172</v>
      </c>
      <c r="B687" s="2" t="s">
        <v>266</v>
      </c>
      <c r="C687" s="2" t="s">
        <v>2964</v>
      </c>
    </row>
    <row r="688" spans="1:3" x14ac:dyDescent="0.3">
      <c r="A688" s="2" t="s">
        <v>1174</v>
      </c>
      <c r="B688" s="2" t="s">
        <v>266</v>
      </c>
      <c r="C688" s="2" t="s">
        <v>2964</v>
      </c>
    </row>
    <row r="689" spans="1:3" x14ac:dyDescent="0.3">
      <c r="A689" s="2" t="s">
        <v>1176</v>
      </c>
      <c r="B689" s="2" t="s">
        <v>266</v>
      </c>
      <c r="C689" s="2" t="s">
        <v>2964</v>
      </c>
    </row>
    <row r="690" spans="1:3" x14ac:dyDescent="0.3">
      <c r="A690" s="2" t="s">
        <v>1178</v>
      </c>
      <c r="B690" s="2" t="s">
        <v>266</v>
      </c>
      <c r="C690" s="2" t="s">
        <v>2964</v>
      </c>
    </row>
    <row r="691" spans="1:3" x14ac:dyDescent="0.3">
      <c r="A691" s="2" t="s">
        <v>1180</v>
      </c>
      <c r="B691" s="2" t="s">
        <v>266</v>
      </c>
      <c r="C691" s="2" t="s">
        <v>2964</v>
      </c>
    </row>
    <row r="692" spans="1:3" x14ac:dyDescent="0.3">
      <c r="A692" s="2" t="s">
        <v>1182</v>
      </c>
      <c r="B692" s="2" t="s">
        <v>266</v>
      </c>
      <c r="C692" s="2" t="s">
        <v>2964</v>
      </c>
    </row>
    <row r="693" spans="1:3" x14ac:dyDescent="0.3">
      <c r="A693" s="2" t="s">
        <v>1184</v>
      </c>
      <c r="B693" s="2" t="s">
        <v>266</v>
      </c>
      <c r="C693" s="2" t="s">
        <v>2964</v>
      </c>
    </row>
    <row r="694" spans="1:3" x14ac:dyDescent="0.3">
      <c r="A694" s="2" t="s">
        <v>1186</v>
      </c>
      <c r="B694" s="2" t="s">
        <v>266</v>
      </c>
      <c r="C694" s="2" t="s">
        <v>2964</v>
      </c>
    </row>
    <row r="695" spans="1:3" x14ac:dyDescent="0.3">
      <c r="A695" s="2" t="s">
        <v>1188</v>
      </c>
      <c r="B695" s="2" t="s">
        <v>266</v>
      </c>
      <c r="C695" s="2" t="s">
        <v>2964</v>
      </c>
    </row>
    <row r="696" spans="1:3" x14ac:dyDescent="0.3">
      <c r="A696" s="2" t="s">
        <v>1190</v>
      </c>
      <c r="B696" s="2" t="s">
        <v>266</v>
      </c>
      <c r="C696" s="2" t="s">
        <v>2964</v>
      </c>
    </row>
    <row r="697" spans="1:3" x14ac:dyDescent="0.3">
      <c r="A697" s="2" t="s">
        <v>1192</v>
      </c>
      <c r="B697" s="2" t="s">
        <v>266</v>
      </c>
      <c r="C697" s="2" t="s">
        <v>2964</v>
      </c>
    </row>
    <row r="698" spans="1:3" x14ac:dyDescent="0.3">
      <c r="A698" s="2" t="s">
        <v>1194</v>
      </c>
      <c r="B698" s="2" t="s">
        <v>266</v>
      </c>
      <c r="C698" s="2" t="s">
        <v>2964</v>
      </c>
    </row>
    <row r="699" spans="1:3" x14ac:dyDescent="0.3">
      <c r="A699" s="2" t="s">
        <v>1196</v>
      </c>
      <c r="B699" s="2" t="s">
        <v>266</v>
      </c>
      <c r="C699" s="2" t="s">
        <v>2964</v>
      </c>
    </row>
    <row r="700" spans="1:3" x14ac:dyDescent="0.3">
      <c r="A700" s="2" t="s">
        <v>1198</v>
      </c>
      <c r="B700" s="2" t="s">
        <v>266</v>
      </c>
      <c r="C700" s="2" t="s">
        <v>2964</v>
      </c>
    </row>
    <row r="701" spans="1:3" x14ac:dyDescent="0.3">
      <c r="A701" s="2" t="s">
        <v>1200</v>
      </c>
      <c r="B701" s="2" t="s">
        <v>266</v>
      </c>
      <c r="C701" s="2" t="s">
        <v>2964</v>
      </c>
    </row>
    <row r="702" spans="1:3" x14ac:dyDescent="0.3">
      <c r="A702" s="2" t="s">
        <v>1202</v>
      </c>
      <c r="B702" s="2" t="s">
        <v>266</v>
      </c>
      <c r="C702" s="2" t="s">
        <v>2964</v>
      </c>
    </row>
    <row r="703" spans="1:3" x14ac:dyDescent="0.3">
      <c r="A703" s="2" t="s">
        <v>1204</v>
      </c>
      <c r="B703" s="2" t="s">
        <v>266</v>
      </c>
      <c r="C703" s="2" t="s">
        <v>2964</v>
      </c>
    </row>
    <row r="704" spans="1:3" x14ac:dyDescent="0.3">
      <c r="A704" s="2" t="s">
        <v>1206</v>
      </c>
      <c r="B704" s="2" t="s">
        <v>266</v>
      </c>
      <c r="C704" s="2" t="s">
        <v>2964</v>
      </c>
    </row>
    <row r="705" spans="1:3" x14ac:dyDescent="0.3">
      <c r="A705" s="2" t="s">
        <v>1208</v>
      </c>
      <c r="B705" s="2" t="s">
        <v>266</v>
      </c>
      <c r="C705" s="2" t="s">
        <v>2964</v>
      </c>
    </row>
    <row r="706" spans="1:3" x14ac:dyDescent="0.3">
      <c r="A706" s="2" t="s">
        <v>1210</v>
      </c>
      <c r="B706" s="2" t="s">
        <v>266</v>
      </c>
      <c r="C706" s="2" t="s">
        <v>2964</v>
      </c>
    </row>
    <row r="707" spans="1:3" x14ac:dyDescent="0.3">
      <c r="A707" s="2" t="s">
        <v>1212</v>
      </c>
      <c r="B707" s="2" t="s">
        <v>266</v>
      </c>
      <c r="C707" s="2" t="s">
        <v>2964</v>
      </c>
    </row>
    <row r="708" spans="1:3" x14ac:dyDescent="0.3">
      <c r="A708" s="2" t="s">
        <v>1214</v>
      </c>
      <c r="B708" s="2" t="s">
        <v>266</v>
      </c>
      <c r="C708" s="2" t="s">
        <v>2964</v>
      </c>
    </row>
    <row r="709" spans="1:3" x14ac:dyDescent="0.3">
      <c r="A709" s="2" t="s">
        <v>1216</v>
      </c>
      <c r="B709" s="2" t="s">
        <v>266</v>
      </c>
      <c r="C709" s="2" t="s">
        <v>2964</v>
      </c>
    </row>
    <row r="710" spans="1:3" x14ac:dyDescent="0.3">
      <c r="A710" s="2" t="s">
        <v>1218</v>
      </c>
      <c r="B710" s="2" t="s">
        <v>266</v>
      </c>
      <c r="C710" s="2" t="s">
        <v>2964</v>
      </c>
    </row>
    <row r="711" spans="1:3" x14ac:dyDescent="0.3">
      <c r="A711" s="2" t="s">
        <v>1220</v>
      </c>
      <c r="B711" s="2" t="s">
        <v>266</v>
      </c>
      <c r="C711" s="2" t="s">
        <v>2964</v>
      </c>
    </row>
    <row r="712" spans="1:3" x14ac:dyDescent="0.3">
      <c r="A712" s="2" t="s">
        <v>1221</v>
      </c>
      <c r="B712" s="2" t="s">
        <v>266</v>
      </c>
      <c r="C712" s="2" t="s">
        <v>2964</v>
      </c>
    </row>
    <row r="713" spans="1:3" x14ac:dyDescent="0.3">
      <c r="A713" s="2" t="s">
        <v>1223</v>
      </c>
      <c r="B713" s="2" t="s">
        <v>266</v>
      </c>
      <c r="C713" s="2" t="s">
        <v>2964</v>
      </c>
    </row>
    <row r="714" spans="1:3" x14ac:dyDescent="0.3">
      <c r="A714" s="2" t="s">
        <v>1225</v>
      </c>
      <c r="B714" s="2" t="s">
        <v>266</v>
      </c>
      <c r="C714" s="2" t="s">
        <v>2964</v>
      </c>
    </row>
    <row r="715" spans="1:3" x14ac:dyDescent="0.3">
      <c r="A715" s="2" t="s">
        <v>1227</v>
      </c>
      <c r="B715" s="2" t="s">
        <v>266</v>
      </c>
      <c r="C715" s="2" t="s">
        <v>2964</v>
      </c>
    </row>
    <row r="716" spans="1:3" x14ac:dyDescent="0.3">
      <c r="A716" s="2" t="s">
        <v>1229</v>
      </c>
      <c r="B716" s="2" t="s">
        <v>266</v>
      </c>
      <c r="C716" s="2" t="s">
        <v>2964</v>
      </c>
    </row>
    <row r="717" spans="1:3" x14ac:dyDescent="0.3">
      <c r="A717" s="2" t="s">
        <v>1231</v>
      </c>
      <c r="B717" s="2" t="s">
        <v>266</v>
      </c>
      <c r="C717" s="2" t="s">
        <v>2964</v>
      </c>
    </row>
    <row r="718" spans="1:3" x14ac:dyDescent="0.3">
      <c r="A718" s="2" t="s">
        <v>1233</v>
      </c>
      <c r="B718" s="2" t="s">
        <v>266</v>
      </c>
      <c r="C718" s="2" t="s">
        <v>2964</v>
      </c>
    </row>
    <row r="719" spans="1:3" x14ac:dyDescent="0.3">
      <c r="A719" s="2" t="s">
        <v>1235</v>
      </c>
      <c r="B719" s="2" t="s">
        <v>266</v>
      </c>
      <c r="C719" s="2" t="s">
        <v>2964</v>
      </c>
    </row>
    <row r="720" spans="1:3" x14ac:dyDescent="0.3">
      <c r="A720" s="2" t="s">
        <v>1237</v>
      </c>
      <c r="B720" s="2" t="s">
        <v>266</v>
      </c>
      <c r="C720" s="2" t="s">
        <v>2964</v>
      </c>
    </row>
    <row r="721" spans="1:3" x14ac:dyDescent="0.3">
      <c r="A721" s="2" t="s">
        <v>1238</v>
      </c>
      <c r="B721" s="2" t="s">
        <v>266</v>
      </c>
      <c r="C721" s="2" t="s">
        <v>2964</v>
      </c>
    </row>
    <row r="722" spans="1:3" x14ac:dyDescent="0.3">
      <c r="A722" s="2" t="s">
        <v>1239</v>
      </c>
      <c r="B722" s="2" t="s">
        <v>266</v>
      </c>
      <c r="C722" s="2" t="s">
        <v>2964</v>
      </c>
    </row>
    <row r="723" spans="1:3" x14ac:dyDescent="0.3">
      <c r="A723" s="2" t="s">
        <v>1241</v>
      </c>
      <c r="B723" s="2" t="s">
        <v>266</v>
      </c>
      <c r="C723" s="2" t="s">
        <v>2964</v>
      </c>
    </row>
    <row r="724" spans="1:3" x14ac:dyDescent="0.3">
      <c r="A724" s="2" t="s">
        <v>1242</v>
      </c>
      <c r="B724" s="2" t="s">
        <v>266</v>
      </c>
      <c r="C724" s="2" t="s">
        <v>2964</v>
      </c>
    </row>
    <row r="725" spans="1:3" x14ac:dyDescent="0.3">
      <c r="A725" s="2" t="s">
        <v>1244</v>
      </c>
      <c r="B725" s="2" t="s">
        <v>266</v>
      </c>
      <c r="C725" s="2" t="s">
        <v>2964</v>
      </c>
    </row>
    <row r="726" spans="1:3" x14ac:dyDescent="0.3">
      <c r="A726" s="2" t="s">
        <v>1246</v>
      </c>
      <c r="B726" s="2" t="s">
        <v>266</v>
      </c>
      <c r="C726" s="2" t="s">
        <v>2964</v>
      </c>
    </row>
    <row r="727" spans="1:3" x14ac:dyDescent="0.3">
      <c r="A727" s="2" t="s">
        <v>1248</v>
      </c>
      <c r="B727" s="2" t="s">
        <v>266</v>
      </c>
      <c r="C727" s="2" t="s">
        <v>2964</v>
      </c>
    </row>
    <row r="728" spans="1:3" x14ac:dyDescent="0.3">
      <c r="A728" s="2" t="s">
        <v>1250</v>
      </c>
      <c r="B728" s="2" t="s">
        <v>266</v>
      </c>
      <c r="C728" s="2" t="s">
        <v>2964</v>
      </c>
    </row>
    <row r="729" spans="1:3" x14ac:dyDescent="0.3">
      <c r="A729" s="2" t="s">
        <v>1252</v>
      </c>
      <c r="B729" s="2" t="s">
        <v>266</v>
      </c>
      <c r="C729" s="2" t="s">
        <v>2964</v>
      </c>
    </row>
    <row r="730" spans="1:3" x14ac:dyDescent="0.3">
      <c r="A730" s="2" t="s">
        <v>1253</v>
      </c>
      <c r="B730" s="2" t="s">
        <v>266</v>
      </c>
      <c r="C730" s="2" t="s">
        <v>2964</v>
      </c>
    </row>
    <row r="731" spans="1:3" x14ac:dyDescent="0.3">
      <c r="A731" s="2" t="s">
        <v>1255</v>
      </c>
      <c r="B731" s="2" t="s">
        <v>266</v>
      </c>
      <c r="C731" s="2" t="s">
        <v>2964</v>
      </c>
    </row>
    <row r="732" spans="1:3" x14ac:dyDescent="0.3">
      <c r="A732" s="2" t="s">
        <v>1256</v>
      </c>
      <c r="B732" s="2" t="s">
        <v>266</v>
      </c>
      <c r="C732" s="2" t="s">
        <v>2964</v>
      </c>
    </row>
    <row r="733" spans="1:3" x14ac:dyDescent="0.3">
      <c r="A733" s="2" t="s">
        <v>1257</v>
      </c>
      <c r="B733" s="2" t="s">
        <v>266</v>
      </c>
      <c r="C733" s="2" t="s">
        <v>2964</v>
      </c>
    </row>
    <row r="734" spans="1:3" x14ac:dyDescent="0.3">
      <c r="A734" s="2" t="s">
        <v>1258</v>
      </c>
      <c r="B734" s="2" t="s">
        <v>266</v>
      </c>
      <c r="C734" s="2" t="s">
        <v>2964</v>
      </c>
    </row>
    <row r="735" spans="1:3" x14ac:dyDescent="0.3">
      <c r="A735" s="2" t="s">
        <v>1259</v>
      </c>
      <c r="B735" s="2" t="s">
        <v>266</v>
      </c>
      <c r="C735" s="2" t="s">
        <v>2964</v>
      </c>
    </row>
    <row r="736" spans="1:3" x14ac:dyDescent="0.3">
      <c r="A736" s="2" t="s">
        <v>1260</v>
      </c>
      <c r="B736" s="2" t="s">
        <v>266</v>
      </c>
      <c r="C736" s="2" t="s">
        <v>2964</v>
      </c>
    </row>
    <row r="737" spans="1:3" x14ac:dyDescent="0.3">
      <c r="A737" s="2" t="s">
        <v>1262</v>
      </c>
      <c r="B737" s="2" t="s">
        <v>266</v>
      </c>
      <c r="C737" s="2" t="s">
        <v>2964</v>
      </c>
    </row>
    <row r="738" spans="1:3" x14ac:dyDescent="0.3">
      <c r="A738" s="2" t="s">
        <v>1264</v>
      </c>
      <c r="B738" s="2" t="s">
        <v>266</v>
      </c>
      <c r="C738" s="2" t="s">
        <v>2964</v>
      </c>
    </row>
    <row r="739" spans="1:3" x14ac:dyDescent="0.3">
      <c r="A739" s="2" t="s">
        <v>1266</v>
      </c>
      <c r="B739" s="2" t="s">
        <v>266</v>
      </c>
      <c r="C739" s="2" t="s">
        <v>2964</v>
      </c>
    </row>
    <row r="740" spans="1:3" x14ac:dyDescent="0.3">
      <c r="A740" s="2" t="s">
        <v>1268</v>
      </c>
      <c r="B740" s="2" t="s">
        <v>266</v>
      </c>
      <c r="C740" s="2" t="s">
        <v>2964</v>
      </c>
    </row>
    <row r="741" spans="1:3" x14ac:dyDescent="0.3">
      <c r="A741" s="2" t="s">
        <v>1270</v>
      </c>
      <c r="B741" s="2" t="s">
        <v>266</v>
      </c>
      <c r="C741" s="2" t="s">
        <v>2964</v>
      </c>
    </row>
    <row r="742" spans="1:3" x14ac:dyDescent="0.3">
      <c r="A742" s="2" t="s">
        <v>1272</v>
      </c>
      <c r="B742" s="2" t="s">
        <v>266</v>
      </c>
      <c r="C742" s="2" t="s">
        <v>2964</v>
      </c>
    </row>
    <row r="743" spans="1:3" x14ac:dyDescent="0.3">
      <c r="A743" s="2" t="s">
        <v>1274</v>
      </c>
      <c r="B743" s="2" t="s">
        <v>266</v>
      </c>
      <c r="C743" s="2" t="s">
        <v>2964</v>
      </c>
    </row>
    <row r="744" spans="1:3" x14ac:dyDescent="0.3">
      <c r="A744" s="2" t="s">
        <v>1276</v>
      </c>
      <c r="B744" s="2" t="s">
        <v>266</v>
      </c>
      <c r="C744" s="2" t="s">
        <v>2964</v>
      </c>
    </row>
    <row r="745" spans="1:3" x14ac:dyDescent="0.3">
      <c r="A745" s="2" t="s">
        <v>1278</v>
      </c>
      <c r="B745" s="2" t="s">
        <v>266</v>
      </c>
      <c r="C745" s="2" t="s">
        <v>2964</v>
      </c>
    </row>
    <row r="746" spans="1:3" x14ac:dyDescent="0.3">
      <c r="A746" s="2" t="s">
        <v>1280</v>
      </c>
      <c r="B746" s="2" t="s">
        <v>266</v>
      </c>
      <c r="C746" s="2" t="s">
        <v>2964</v>
      </c>
    </row>
    <row r="747" spans="1:3" x14ac:dyDescent="0.3">
      <c r="A747" s="2" t="s">
        <v>1282</v>
      </c>
      <c r="B747" s="2" t="s">
        <v>266</v>
      </c>
      <c r="C747" s="2" t="s">
        <v>2964</v>
      </c>
    </row>
    <row r="748" spans="1:3" x14ac:dyDescent="0.3">
      <c r="A748" s="2" t="s">
        <v>1283</v>
      </c>
      <c r="B748" s="2" t="s">
        <v>266</v>
      </c>
      <c r="C748" s="2" t="s">
        <v>2964</v>
      </c>
    </row>
    <row r="749" spans="1:3" x14ac:dyDescent="0.3">
      <c r="A749" s="2" t="s">
        <v>1285</v>
      </c>
      <c r="B749" s="2" t="s">
        <v>266</v>
      </c>
      <c r="C749" s="2" t="s">
        <v>2964</v>
      </c>
    </row>
    <row r="750" spans="1:3" x14ac:dyDescent="0.3">
      <c r="A750" s="2" t="s">
        <v>1287</v>
      </c>
      <c r="B750" s="2" t="s">
        <v>266</v>
      </c>
      <c r="C750" s="2" t="s">
        <v>2964</v>
      </c>
    </row>
    <row r="751" spans="1:3" x14ac:dyDescent="0.3">
      <c r="A751" s="2" t="s">
        <v>1289</v>
      </c>
      <c r="B751" s="2" t="s">
        <v>266</v>
      </c>
      <c r="C751" s="2" t="s">
        <v>2964</v>
      </c>
    </row>
    <row r="752" spans="1:3" x14ac:dyDescent="0.3">
      <c r="A752" s="2" t="s">
        <v>1291</v>
      </c>
      <c r="B752" s="2" t="s">
        <v>266</v>
      </c>
      <c r="C752" s="2" t="s">
        <v>2964</v>
      </c>
    </row>
    <row r="753" spans="1:3" x14ac:dyDescent="0.3">
      <c r="A753" s="2" t="s">
        <v>1293</v>
      </c>
      <c r="B753" s="2" t="s">
        <v>266</v>
      </c>
      <c r="C753" s="2" t="s">
        <v>2964</v>
      </c>
    </row>
    <row r="754" spans="1:3" x14ac:dyDescent="0.3">
      <c r="A754" s="2" t="s">
        <v>1294</v>
      </c>
      <c r="B754" s="2" t="s">
        <v>266</v>
      </c>
      <c r="C754" s="2" t="s">
        <v>2964</v>
      </c>
    </row>
    <row r="755" spans="1:3" x14ac:dyDescent="0.3">
      <c r="A755" s="2" t="s">
        <v>1296</v>
      </c>
      <c r="B755" s="2" t="s">
        <v>266</v>
      </c>
      <c r="C755" s="2" t="s">
        <v>2964</v>
      </c>
    </row>
    <row r="756" spans="1:3" x14ac:dyDescent="0.3">
      <c r="A756" s="2" t="s">
        <v>1298</v>
      </c>
      <c r="B756" s="2" t="s">
        <v>266</v>
      </c>
      <c r="C756" s="2" t="s">
        <v>2964</v>
      </c>
    </row>
    <row r="757" spans="1:3" x14ac:dyDescent="0.3">
      <c r="A757" s="2" t="s">
        <v>1300</v>
      </c>
      <c r="B757" s="2" t="s">
        <v>266</v>
      </c>
      <c r="C757" s="2" t="s">
        <v>2964</v>
      </c>
    </row>
    <row r="758" spans="1:3" x14ac:dyDescent="0.3">
      <c r="A758" s="2" t="s">
        <v>1302</v>
      </c>
      <c r="B758" s="2" t="s">
        <v>266</v>
      </c>
      <c r="C758" s="2" t="s">
        <v>2964</v>
      </c>
    </row>
    <row r="759" spans="1:3" x14ac:dyDescent="0.3">
      <c r="A759" s="2" t="s">
        <v>1304</v>
      </c>
      <c r="B759" s="2" t="s">
        <v>266</v>
      </c>
      <c r="C759" s="2" t="s">
        <v>2964</v>
      </c>
    </row>
    <row r="760" spans="1:3" x14ac:dyDescent="0.3">
      <c r="A760" s="2" t="s">
        <v>1306</v>
      </c>
      <c r="B760" s="2" t="s">
        <v>266</v>
      </c>
      <c r="C760" s="2" t="s">
        <v>2964</v>
      </c>
    </row>
    <row r="761" spans="1:3" x14ac:dyDescent="0.3">
      <c r="A761" s="2" t="s">
        <v>1308</v>
      </c>
      <c r="B761" s="2" t="s">
        <v>266</v>
      </c>
      <c r="C761" s="2" t="s">
        <v>2964</v>
      </c>
    </row>
    <row r="762" spans="1:3" x14ac:dyDescent="0.3">
      <c r="A762" s="2" t="s">
        <v>1310</v>
      </c>
      <c r="B762" s="2" t="s">
        <v>266</v>
      </c>
      <c r="C762" s="2" t="s">
        <v>2964</v>
      </c>
    </row>
    <row r="763" spans="1:3" x14ac:dyDescent="0.3">
      <c r="A763" s="2" t="s">
        <v>1312</v>
      </c>
      <c r="B763" s="2" t="s">
        <v>266</v>
      </c>
      <c r="C763" s="2" t="s">
        <v>2964</v>
      </c>
    </row>
    <row r="764" spans="1:3" x14ac:dyDescent="0.3">
      <c r="A764" s="2" t="s">
        <v>1314</v>
      </c>
      <c r="B764" s="2" t="s">
        <v>266</v>
      </c>
      <c r="C764" s="2" t="s">
        <v>2964</v>
      </c>
    </row>
    <row r="765" spans="1:3" x14ac:dyDescent="0.3">
      <c r="A765" s="2" t="s">
        <v>1316</v>
      </c>
      <c r="B765" s="2" t="s">
        <v>266</v>
      </c>
      <c r="C765" s="2" t="s">
        <v>2964</v>
      </c>
    </row>
    <row r="766" spans="1:3" x14ac:dyDescent="0.3">
      <c r="A766" s="2" t="s">
        <v>1318</v>
      </c>
      <c r="B766" s="2" t="s">
        <v>266</v>
      </c>
      <c r="C766" s="2" t="s">
        <v>2964</v>
      </c>
    </row>
    <row r="767" spans="1:3" x14ac:dyDescent="0.3">
      <c r="A767" s="2" t="s">
        <v>1319</v>
      </c>
      <c r="B767" s="2" t="s">
        <v>266</v>
      </c>
      <c r="C767" s="2" t="s">
        <v>2964</v>
      </c>
    </row>
    <row r="768" spans="1:3" x14ac:dyDescent="0.3">
      <c r="A768" s="2" t="s">
        <v>1321</v>
      </c>
      <c r="B768" s="2" t="s">
        <v>266</v>
      </c>
      <c r="C768" s="2" t="s">
        <v>2964</v>
      </c>
    </row>
    <row r="769" spans="1:3" x14ac:dyDescent="0.3">
      <c r="A769" s="2" t="s">
        <v>1322</v>
      </c>
      <c r="B769" s="2" t="s">
        <v>266</v>
      </c>
      <c r="C769" s="2" t="s">
        <v>2964</v>
      </c>
    </row>
    <row r="770" spans="1:3" x14ac:dyDescent="0.3">
      <c r="A770" s="2" t="s">
        <v>1324</v>
      </c>
      <c r="B770" s="2" t="s">
        <v>266</v>
      </c>
      <c r="C770" s="2" t="s">
        <v>2964</v>
      </c>
    </row>
    <row r="771" spans="1:3" x14ac:dyDescent="0.3">
      <c r="A771" s="2" t="s">
        <v>1325</v>
      </c>
      <c r="B771" s="2" t="s">
        <v>266</v>
      </c>
      <c r="C771" s="2" t="s">
        <v>2964</v>
      </c>
    </row>
    <row r="772" spans="1:3" x14ac:dyDescent="0.3">
      <c r="A772" s="2" t="s">
        <v>1326</v>
      </c>
      <c r="B772" s="2" t="s">
        <v>266</v>
      </c>
      <c r="C772" s="2" t="s">
        <v>2964</v>
      </c>
    </row>
    <row r="773" spans="1:3" x14ac:dyDescent="0.3">
      <c r="A773" s="2" t="s">
        <v>1327</v>
      </c>
      <c r="B773" s="2" t="s">
        <v>266</v>
      </c>
      <c r="C773" s="2" t="s">
        <v>2964</v>
      </c>
    </row>
    <row r="774" spans="1:3" x14ac:dyDescent="0.3">
      <c r="A774" s="2" t="s">
        <v>1329</v>
      </c>
      <c r="B774" s="2" t="s">
        <v>266</v>
      </c>
      <c r="C774" s="2" t="s">
        <v>2964</v>
      </c>
    </row>
    <row r="775" spans="1:3" x14ac:dyDescent="0.3">
      <c r="A775" s="2" t="s">
        <v>1330</v>
      </c>
      <c r="B775" s="2" t="s">
        <v>266</v>
      </c>
      <c r="C775" s="2" t="s">
        <v>2964</v>
      </c>
    </row>
    <row r="776" spans="1:3" x14ac:dyDescent="0.3">
      <c r="A776" s="2" t="s">
        <v>1332</v>
      </c>
      <c r="B776" s="2" t="s">
        <v>266</v>
      </c>
      <c r="C776" s="2" t="s">
        <v>2964</v>
      </c>
    </row>
    <row r="777" spans="1:3" x14ac:dyDescent="0.3">
      <c r="A777" s="2" t="s">
        <v>1333</v>
      </c>
      <c r="B777" s="2" t="s">
        <v>266</v>
      </c>
      <c r="C777" s="2" t="s">
        <v>2964</v>
      </c>
    </row>
    <row r="778" spans="1:3" x14ac:dyDescent="0.3">
      <c r="A778" s="2" t="s">
        <v>1335</v>
      </c>
      <c r="B778" s="2" t="s">
        <v>266</v>
      </c>
      <c r="C778" s="2" t="s">
        <v>2964</v>
      </c>
    </row>
    <row r="779" spans="1:3" x14ac:dyDescent="0.3">
      <c r="A779" s="2" t="s">
        <v>1336</v>
      </c>
      <c r="B779" s="2" t="s">
        <v>266</v>
      </c>
      <c r="C779" s="2" t="s">
        <v>2964</v>
      </c>
    </row>
    <row r="780" spans="1:3" x14ac:dyDescent="0.3">
      <c r="A780" s="2" t="s">
        <v>1337</v>
      </c>
      <c r="B780" s="2" t="s">
        <v>266</v>
      </c>
      <c r="C780" s="2" t="s">
        <v>2964</v>
      </c>
    </row>
    <row r="781" spans="1:3" x14ac:dyDescent="0.3">
      <c r="A781" s="2" t="s">
        <v>1339</v>
      </c>
      <c r="B781" s="2" t="s">
        <v>266</v>
      </c>
      <c r="C781" s="2" t="s">
        <v>2964</v>
      </c>
    </row>
    <row r="782" spans="1:3" x14ac:dyDescent="0.3">
      <c r="A782" s="2" t="s">
        <v>1341</v>
      </c>
      <c r="B782" s="2" t="s">
        <v>266</v>
      </c>
      <c r="C782" s="2" t="s">
        <v>2964</v>
      </c>
    </row>
    <row r="783" spans="1:3" x14ac:dyDescent="0.3">
      <c r="A783" s="2" t="s">
        <v>1343</v>
      </c>
      <c r="B783" s="2" t="s">
        <v>266</v>
      </c>
      <c r="C783" s="2" t="s">
        <v>2964</v>
      </c>
    </row>
    <row r="784" spans="1:3" x14ac:dyDescent="0.3">
      <c r="A784" s="2" t="s">
        <v>1345</v>
      </c>
      <c r="B784" s="2" t="s">
        <v>266</v>
      </c>
      <c r="C784" s="2" t="s">
        <v>2964</v>
      </c>
    </row>
    <row r="785" spans="1:3" x14ac:dyDescent="0.3">
      <c r="A785" s="2" t="s">
        <v>1347</v>
      </c>
      <c r="B785" s="2" t="s">
        <v>266</v>
      </c>
      <c r="C785" s="2" t="s">
        <v>2964</v>
      </c>
    </row>
    <row r="786" spans="1:3" x14ac:dyDescent="0.3">
      <c r="A786" s="2" t="s">
        <v>1349</v>
      </c>
      <c r="B786" s="2" t="s">
        <v>266</v>
      </c>
      <c r="C786" s="2" t="s">
        <v>2964</v>
      </c>
    </row>
    <row r="787" spans="1:3" x14ac:dyDescent="0.3">
      <c r="A787" s="2" t="s">
        <v>1351</v>
      </c>
      <c r="B787" s="2" t="s">
        <v>266</v>
      </c>
      <c r="C787" s="2" t="s">
        <v>2964</v>
      </c>
    </row>
    <row r="788" spans="1:3" x14ac:dyDescent="0.3">
      <c r="A788" s="2" t="s">
        <v>1353</v>
      </c>
      <c r="B788" s="2" t="s">
        <v>266</v>
      </c>
      <c r="C788" s="2" t="s">
        <v>2964</v>
      </c>
    </row>
    <row r="789" spans="1:3" x14ac:dyDescent="0.3">
      <c r="A789" s="2" t="s">
        <v>1354</v>
      </c>
      <c r="B789" s="2" t="s">
        <v>266</v>
      </c>
      <c r="C789" s="2" t="s">
        <v>2964</v>
      </c>
    </row>
    <row r="790" spans="1:3" x14ac:dyDescent="0.3">
      <c r="A790" s="2" t="s">
        <v>1355</v>
      </c>
      <c r="B790" s="2" t="s">
        <v>266</v>
      </c>
      <c r="C790" s="2" t="s">
        <v>2964</v>
      </c>
    </row>
    <row r="791" spans="1:3" x14ac:dyDescent="0.3">
      <c r="A791" s="2" t="s">
        <v>1357</v>
      </c>
      <c r="B791" s="2" t="s">
        <v>266</v>
      </c>
      <c r="C791" s="2" t="s">
        <v>2964</v>
      </c>
    </row>
    <row r="792" spans="1:3" x14ac:dyDescent="0.3">
      <c r="A792" s="2" t="s">
        <v>1358</v>
      </c>
      <c r="B792" s="2" t="s">
        <v>266</v>
      </c>
      <c r="C792" s="2" t="s">
        <v>2964</v>
      </c>
    </row>
    <row r="793" spans="1:3" x14ac:dyDescent="0.3">
      <c r="A793" s="2" t="s">
        <v>3023</v>
      </c>
      <c r="B793" s="2" t="s">
        <v>2967</v>
      </c>
      <c r="C793" s="2" t="s">
        <v>2967</v>
      </c>
    </row>
    <row r="794" spans="1:3" x14ac:dyDescent="0.3">
      <c r="A794" s="2" t="s">
        <v>3024</v>
      </c>
      <c r="B794" s="2" t="s">
        <v>2967</v>
      </c>
      <c r="C794" s="2" t="s">
        <v>2967</v>
      </c>
    </row>
    <row r="795" spans="1:3" x14ac:dyDescent="0.3">
      <c r="A795" s="2" t="s">
        <v>3025</v>
      </c>
      <c r="B795" s="2" t="s">
        <v>2967</v>
      </c>
      <c r="C795" s="2" t="s">
        <v>2967</v>
      </c>
    </row>
    <row r="796" spans="1:3" x14ac:dyDescent="0.3">
      <c r="A796" s="2" t="s">
        <v>3026</v>
      </c>
      <c r="B796" s="2" t="s">
        <v>2967</v>
      </c>
      <c r="C796" s="2" t="s">
        <v>2967</v>
      </c>
    </row>
    <row r="797" spans="1:3" x14ac:dyDescent="0.3">
      <c r="A797" s="2" t="s">
        <v>3027</v>
      </c>
      <c r="B797" s="2" t="s">
        <v>2967</v>
      </c>
      <c r="C797" s="2" t="s">
        <v>2967</v>
      </c>
    </row>
    <row r="798" spans="1:3" x14ac:dyDescent="0.3">
      <c r="A798" s="2" t="s">
        <v>3028</v>
      </c>
      <c r="B798" s="2" t="s">
        <v>2967</v>
      </c>
      <c r="C798" s="2" t="s">
        <v>2967</v>
      </c>
    </row>
    <row r="799" spans="1:3" x14ac:dyDescent="0.3">
      <c r="A799" s="2" t="s">
        <v>3029</v>
      </c>
      <c r="B799" s="2" t="s">
        <v>2967</v>
      </c>
      <c r="C799" s="2" t="s">
        <v>2967</v>
      </c>
    </row>
    <row r="800" spans="1:3" x14ac:dyDescent="0.3">
      <c r="A800" s="2" t="s">
        <v>3030</v>
      </c>
      <c r="B800" s="2" t="s">
        <v>2967</v>
      </c>
      <c r="C800" s="2" t="s">
        <v>2967</v>
      </c>
    </row>
    <row r="801" spans="1:3" x14ac:dyDescent="0.3">
      <c r="A801" s="2" t="s">
        <v>3031</v>
      </c>
      <c r="B801" s="2" t="s">
        <v>2967</v>
      </c>
      <c r="C801" s="2" t="s">
        <v>2967</v>
      </c>
    </row>
    <row r="802" spans="1:3" x14ac:dyDescent="0.3">
      <c r="A802" s="2" t="s">
        <v>3032</v>
      </c>
      <c r="B802" s="2" t="s">
        <v>2967</v>
      </c>
      <c r="C802" s="2" t="s">
        <v>2967</v>
      </c>
    </row>
    <row r="803" spans="1:3" x14ac:dyDescent="0.3">
      <c r="A803" s="2" t="s">
        <v>3033</v>
      </c>
      <c r="B803" s="2" t="s">
        <v>2967</v>
      </c>
      <c r="C803" s="2" t="s">
        <v>2967</v>
      </c>
    </row>
    <row r="804" spans="1:3" x14ac:dyDescent="0.3">
      <c r="A804" s="2" t="s">
        <v>3034</v>
      </c>
      <c r="B804" s="2" t="s">
        <v>2969</v>
      </c>
      <c r="C804" s="2" t="s">
        <v>2969</v>
      </c>
    </row>
    <row r="805" spans="1:3" x14ac:dyDescent="0.3">
      <c r="A805" s="2" t="s">
        <v>3035</v>
      </c>
      <c r="B805" s="2" t="s">
        <v>2969</v>
      </c>
      <c r="C805" s="2" t="s">
        <v>2969</v>
      </c>
    </row>
    <row r="806" spans="1:3" x14ac:dyDescent="0.3">
      <c r="A806" s="2" t="s">
        <v>3036</v>
      </c>
      <c r="B806" s="2" t="s">
        <v>2969</v>
      </c>
      <c r="C806" s="2" t="s">
        <v>2969</v>
      </c>
    </row>
    <row r="807" spans="1:3" x14ac:dyDescent="0.3">
      <c r="A807" s="2" t="s">
        <v>3037</v>
      </c>
      <c r="B807" s="2" t="s">
        <v>2969</v>
      </c>
      <c r="C807" s="2" t="s">
        <v>2969</v>
      </c>
    </row>
    <row r="808" spans="1:3" x14ac:dyDescent="0.3">
      <c r="A808" s="2" t="s">
        <v>3038</v>
      </c>
      <c r="B808" s="2" t="s">
        <v>2969</v>
      </c>
      <c r="C808" s="2" t="s">
        <v>2969</v>
      </c>
    </row>
    <row r="809" spans="1:3" x14ac:dyDescent="0.3">
      <c r="A809" s="2" t="s">
        <v>3039</v>
      </c>
      <c r="B809" s="2" t="s">
        <v>2969</v>
      </c>
      <c r="C809" s="2" t="s">
        <v>2969</v>
      </c>
    </row>
    <row r="810" spans="1:3" x14ac:dyDescent="0.3">
      <c r="A810" s="2" t="s">
        <v>3040</v>
      </c>
      <c r="B810" s="2" t="s">
        <v>2969</v>
      </c>
      <c r="C810" s="2" t="s">
        <v>2969</v>
      </c>
    </row>
    <row r="811" spans="1:3" x14ac:dyDescent="0.3">
      <c r="A811" s="2" t="s">
        <v>3041</v>
      </c>
      <c r="B811" s="2" t="s">
        <v>2969</v>
      </c>
      <c r="C811" s="2" t="s">
        <v>2969</v>
      </c>
    </row>
    <row r="812" spans="1:3" x14ac:dyDescent="0.3">
      <c r="A812" s="2" t="s">
        <v>3042</v>
      </c>
      <c r="B812" s="2" t="s">
        <v>2969</v>
      </c>
      <c r="C812" s="2" t="s">
        <v>2969</v>
      </c>
    </row>
    <row r="813" spans="1:3" x14ac:dyDescent="0.3">
      <c r="A813" s="2" t="s">
        <v>3043</v>
      </c>
      <c r="B813" s="2" t="s">
        <v>2969</v>
      </c>
      <c r="C813" s="2" t="s">
        <v>2969</v>
      </c>
    </row>
    <row r="814" spans="1:3" x14ac:dyDescent="0.3">
      <c r="A814" s="2" t="s">
        <v>3044</v>
      </c>
      <c r="B814" s="2" t="s">
        <v>2969</v>
      </c>
      <c r="C814" s="2" t="s">
        <v>2969</v>
      </c>
    </row>
    <row r="815" spans="1:3" x14ac:dyDescent="0.3">
      <c r="A815" s="2" t="s">
        <v>3045</v>
      </c>
      <c r="B815" s="2" t="s">
        <v>2969</v>
      </c>
      <c r="C815" s="2" t="s">
        <v>2969</v>
      </c>
    </row>
    <row r="816" spans="1:3" x14ac:dyDescent="0.3">
      <c r="A816" s="2" t="s">
        <v>3046</v>
      </c>
      <c r="B816" s="2" t="s">
        <v>2969</v>
      </c>
      <c r="C816" s="2" t="s">
        <v>2969</v>
      </c>
    </row>
    <row r="817" spans="1:3" x14ac:dyDescent="0.3">
      <c r="A817" s="2" t="s">
        <v>3047</v>
      </c>
      <c r="B817" s="2" t="s">
        <v>2968</v>
      </c>
      <c r="C817" s="2" t="s">
        <v>3048</v>
      </c>
    </row>
    <row r="818" spans="1:3" x14ac:dyDescent="0.3">
      <c r="A818" s="2" t="s">
        <v>3049</v>
      </c>
      <c r="B818" s="2" t="s">
        <v>2968</v>
      </c>
      <c r="C818" s="2" t="s">
        <v>3048</v>
      </c>
    </row>
    <row r="819" spans="1:3" x14ac:dyDescent="0.3">
      <c r="A819" s="2" t="s">
        <v>3050</v>
      </c>
      <c r="B819" s="2" t="s">
        <v>2968</v>
      </c>
      <c r="C819" s="2" t="s">
        <v>3048</v>
      </c>
    </row>
    <row r="820" spans="1:3" x14ac:dyDescent="0.3">
      <c r="A820" s="2" t="s">
        <v>3051</v>
      </c>
      <c r="B820" s="2" t="s">
        <v>2968</v>
      </c>
      <c r="C820" s="2" t="s">
        <v>3048</v>
      </c>
    </row>
    <row r="821" spans="1:3" x14ac:dyDescent="0.3">
      <c r="A821" s="2" t="s">
        <v>3052</v>
      </c>
      <c r="B821" s="2" t="s">
        <v>2968</v>
      </c>
      <c r="C821" s="2" t="s">
        <v>3048</v>
      </c>
    </row>
    <row r="822" spans="1:3" x14ac:dyDescent="0.3">
      <c r="A822" s="2" t="s">
        <v>3053</v>
      </c>
      <c r="B822" s="2" t="s">
        <v>2968</v>
      </c>
      <c r="C822" s="2" t="s">
        <v>3048</v>
      </c>
    </row>
    <row r="823" spans="1:3" x14ac:dyDescent="0.3">
      <c r="A823" s="2" t="s">
        <v>3054</v>
      </c>
      <c r="B823" s="2" t="s">
        <v>2968</v>
      </c>
      <c r="C823" s="2" t="s">
        <v>3048</v>
      </c>
    </row>
    <row r="824" spans="1:3" x14ac:dyDescent="0.3">
      <c r="A824" s="2" t="s">
        <v>3055</v>
      </c>
      <c r="B824" s="2" t="s">
        <v>2968</v>
      </c>
      <c r="C824" s="2" t="s">
        <v>3048</v>
      </c>
    </row>
    <row r="825" spans="1:3" x14ac:dyDescent="0.3">
      <c r="A825" s="2" t="s">
        <v>3056</v>
      </c>
      <c r="B825" s="2" t="s">
        <v>2968</v>
      </c>
      <c r="C825" s="2" t="s">
        <v>3048</v>
      </c>
    </row>
    <row r="826" spans="1:3" x14ac:dyDescent="0.3">
      <c r="A826" s="2" t="s">
        <v>3057</v>
      </c>
      <c r="B826" s="2" t="s">
        <v>2968</v>
      </c>
      <c r="C826" s="2" t="s">
        <v>3048</v>
      </c>
    </row>
    <row r="827" spans="1:3" x14ac:dyDescent="0.3">
      <c r="A827" s="2" t="s">
        <v>3058</v>
      </c>
      <c r="B827" s="2" t="s">
        <v>2968</v>
      </c>
      <c r="C827" s="2" t="s">
        <v>3048</v>
      </c>
    </row>
    <row r="828" spans="1:3" x14ac:dyDescent="0.3">
      <c r="A828" s="2" t="s">
        <v>3059</v>
      </c>
      <c r="B828" s="2" t="s">
        <v>2968</v>
      </c>
      <c r="C828" s="2" t="s">
        <v>3048</v>
      </c>
    </row>
    <row r="829" spans="1:3" x14ac:dyDescent="0.3">
      <c r="A829" s="2" t="s">
        <v>3060</v>
      </c>
      <c r="B829" s="2" t="s">
        <v>2970</v>
      </c>
      <c r="C829" s="2" t="s">
        <v>2970</v>
      </c>
    </row>
    <row r="830" spans="1:3" x14ac:dyDescent="0.3">
      <c r="A830" s="2" t="s">
        <v>3061</v>
      </c>
      <c r="B830" s="2" t="s">
        <v>2970</v>
      </c>
      <c r="C830" s="2" t="s">
        <v>2970</v>
      </c>
    </row>
    <row r="831" spans="1:3" x14ac:dyDescent="0.3">
      <c r="A831" s="2" t="s">
        <v>3062</v>
      </c>
      <c r="B831" s="2" t="s">
        <v>2970</v>
      </c>
      <c r="C831" s="2" t="s">
        <v>2970</v>
      </c>
    </row>
    <row r="832" spans="1:3" x14ac:dyDescent="0.3">
      <c r="A832" s="2" t="s">
        <v>3063</v>
      </c>
      <c r="B832" s="2" t="s">
        <v>2970</v>
      </c>
      <c r="C832" s="2" t="s">
        <v>2970</v>
      </c>
    </row>
    <row r="833" spans="1:3" x14ac:dyDescent="0.3">
      <c r="A833" s="2" t="s">
        <v>3064</v>
      </c>
      <c r="B833" s="2" t="s">
        <v>2971</v>
      </c>
      <c r="C833" s="2" t="s">
        <v>2971</v>
      </c>
    </row>
    <row r="834" spans="1:3" x14ac:dyDescent="0.3">
      <c r="A834" s="2" t="s">
        <v>3065</v>
      </c>
      <c r="B834" s="2" t="s">
        <v>2971</v>
      </c>
      <c r="C834" s="2" t="s">
        <v>2971</v>
      </c>
    </row>
    <row r="835" spans="1:3" x14ac:dyDescent="0.3">
      <c r="A835" s="2" t="s">
        <v>3066</v>
      </c>
      <c r="B835" s="2" t="s">
        <v>2971</v>
      </c>
      <c r="C835" s="2" t="s">
        <v>2971</v>
      </c>
    </row>
    <row r="836" spans="1:3" x14ac:dyDescent="0.3">
      <c r="A836" s="2" t="s">
        <v>3067</v>
      </c>
      <c r="B836" s="2" t="s">
        <v>2971</v>
      </c>
      <c r="C836" s="2" t="s">
        <v>2971</v>
      </c>
    </row>
    <row r="837" spans="1:3" x14ac:dyDescent="0.3">
      <c r="A837" s="2" t="s">
        <v>3068</v>
      </c>
      <c r="B837" s="2" t="s">
        <v>2971</v>
      </c>
      <c r="C837" s="2" t="s">
        <v>2971</v>
      </c>
    </row>
    <row r="838" spans="1:3" x14ac:dyDescent="0.3">
      <c r="A838" s="2" t="s">
        <v>3069</v>
      </c>
      <c r="B838" s="2" t="s">
        <v>2971</v>
      </c>
      <c r="C838" s="2" t="s">
        <v>2971</v>
      </c>
    </row>
    <row r="839" spans="1:3" x14ac:dyDescent="0.3">
      <c r="A839" s="2" t="s">
        <v>3070</v>
      </c>
      <c r="B839" s="2" t="s">
        <v>2971</v>
      </c>
      <c r="C839" s="2" t="s">
        <v>2971</v>
      </c>
    </row>
    <row r="840" spans="1:3" x14ac:dyDescent="0.3">
      <c r="A840" s="2" t="s">
        <v>3071</v>
      </c>
      <c r="B840" s="2" t="s">
        <v>2971</v>
      </c>
      <c r="C840" s="2" t="s">
        <v>2971</v>
      </c>
    </row>
    <row r="841" spans="1:3" x14ac:dyDescent="0.3">
      <c r="A841" s="2" t="s">
        <v>3072</v>
      </c>
      <c r="B841" s="2" t="s">
        <v>2971</v>
      </c>
      <c r="C841" s="2" t="s">
        <v>2971</v>
      </c>
    </row>
    <row r="842" spans="1:3" x14ac:dyDescent="0.3">
      <c r="A842" s="2" t="s">
        <v>3073</v>
      </c>
      <c r="B842" s="2" t="s">
        <v>2971</v>
      </c>
      <c r="C842" s="2" t="s">
        <v>2971</v>
      </c>
    </row>
    <row r="843" spans="1:3" x14ac:dyDescent="0.3">
      <c r="A843" s="2" t="s">
        <v>3074</v>
      </c>
      <c r="B843" s="2" t="s">
        <v>2971</v>
      </c>
      <c r="C843" s="2" t="s">
        <v>2971</v>
      </c>
    </row>
    <row r="844" spans="1:3" x14ac:dyDescent="0.3">
      <c r="A844" s="2" t="s">
        <v>3075</v>
      </c>
      <c r="B844" s="2" t="s">
        <v>2971</v>
      </c>
      <c r="C844" s="2" t="s">
        <v>2971</v>
      </c>
    </row>
    <row r="845" spans="1:3" x14ac:dyDescent="0.3">
      <c r="A845" s="2" t="s">
        <v>3076</v>
      </c>
      <c r="B845" s="2" t="s">
        <v>2971</v>
      </c>
      <c r="C845" s="2" t="s">
        <v>2971</v>
      </c>
    </row>
    <row r="846" spans="1:3" x14ac:dyDescent="0.3">
      <c r="A846" s="2" t="s">
        <v>3077</v>
      </c>
      <c r="B846" s="2" t="s">
        <v>2971</v>
      </c>
      <c r="C846" s="2" t="s">
        <v>2971</v>
      </c>
    </row>
    <row r="847" spans="1:3" x14ac:dyDescent="0.3">
      <c r="A847" s="2" t="s">
        <v>3078</v>
      </c>
      <c r="B847" s="2" t="s">
        <v>2971</v>
      </c>
      <c r="C847" s="2" t="s">
        <v>2971</v>
      </c>
    </row>
    <row r="848" spans="1:3" x14ac:dyDescent="0.3">
      <c r="A848" s="2" t="s">
        <v>3079</v>
      </c>
      <c r="B848" s="2" t="s">
        <v>2971</v>
      </c>
      <c r="C848" s="2" t="s">
        <v>2971</v>
      </c>
    </row>
    <row r="849" spans="1:3" x14ac:dyDescent="0.3">
      <c r="A849" s="2" t="s">
        <v>3080</v>
      </c>
      <c r="B849" s="2" t="s">
        <v>2971</v>
      </c>
      <c r="C849" s="2" t="s">
        <v>2971</v>
      </c>
    </row>
    <row r="850" spans="1:3" x14ac:dyDescent="0.3">
      <c r="A850" s="2" t="s">
        <v>3081</v>
      </c>
      <c r="B850" s="2" t="s">
        <v>2971</v>
      </c>
      <c r="C850" s="2" t="s">
        <v>2971</v>
      </c>
    </row>
    <row r="851" spans="1:3" x14ac:dyDescent="0.3">
      <c r="A851" s="2" t="s">
        <v>3082</v>
      </c>
      <c r="B851" s="2" t="s">
        <v>2971</v>
      </c>
      <c r="C851" s="2" t="s">
        <v>2971</v>
      </c>
    </row>
    <row r="852" spans="1:3" x14ac:dyDescent="0.3">
      <c r="A852" s="2" t="s">
        <v>3083</v>
      </c>
      <c r="B852" s="2" t="s">
        <v>2971</v>
      </c>
      <c r="C852" s="2" t="s">
        <v>2971</v>
      </c>
    </row>
    <row r="853" spans="1:3" x14ac:dyDescent="0.3">
      <c r="A853" s="2" t="s">
        <v>3084</v>
      </c>
      <c r="B853" s="2" t="s">
        <v>2971</v>
      </c>
      <c r="C853" s="2" t="s">
        <v>2971</v>
      </c>
    </row>
    <row r="854" spans="1:3" x14ac:dyDescent="0.3">
      <c r="A854" s="2" t="s">
        <v>3085</v>
      </c>
      <c r="B854" s="2" t="s">
        <v>2971</v>
      </c>
      <c r="C854" s="2" t="s">
        <v>2971</v>
      </c>
    </row>
    <row r="855" spans="1:3" x14ac:dyDescent="0.3">
      <c r="A855" s="2" t="s">
        <v>3086</v>
      </c>
      <c r="B855" s="2" t="s">
        <v>2971</v>
      </c>
      <c r="C855" s="2" t="s">
        <v>2971</v>
      </c>
    </row>
    <row r="856" spans="1:3" x14ac:dyDescent="0.3">
      <c r="A856" s="2" t="s">
        <v>3087</v>
      </c>
      <c r="B856" s="2" t="s">
        <v>2971</v>
      </c>
      <c r="C856" s="2" t="s">
        <v>2971</v>
      </c>
    </row>
    <row r="857" spans="1:3" x14ac:dyDescent="0.3">
      <c r="A857" s="2" t="s">
        <v>3088</v>
      </c>
      <c r="B857" s="2" t="s">
        <v>2971</v>
      </c>
      <c r="C857" s="2" t="s">
        <v>2971</v>
      </c>
    </row>
    <row r="858" spans="1:3" x14ac:dyDescent="0.3">
      <c r="A858" s="2" t="s">
        <v>3089</v>
      </c>
      <c r="B858" s="2" t="s">
        <v>2971</v>
      </c>
      <c r="C858" s="2" t="s">
        <v>2971</v>
      </c>
    </row>
    <row r="859" spans="1:3" x14ac:dyDescent="0.3">
      <c r="A859" s="2" t="s">
        <v>3090</v>
      </c>
      <c r="B859" s="2" t="s">
        <v>2971</v>
      </c>
      <c r="C859" s="2" t="s">
        <v>2971</v>
      </c>
    </row>
    <row r="860" spans="1:3" x14ac:dyDescent="0.3">
      <c r="A860" s="2" t="s">
        <v>3091</v>
      </c>
      <c r="B860" s="2" t="s">
        <v>2971</v>
      </c>
      <c r="C860" s="2" t="s">
        <v>2971</v>
      </c>
    </row>
    <row r="861" spans="1:3" x14ac:dyDescent="0.3">
      <c r="A861" s="2" t="s">
        <v>3092</v>
      </c>
      <c r="B861" s="2" t="s">
        <v>2971</v>
      </c>
      <c r="C861" s="2" t="s">
        <v>2971</v>
      </c>
    </row>
    <row r="862" spans="1:3" x14ac:dyDescent="0.3">
      <c r="A862" s="2" t="s">
        <v>3093</v>
      </c>
      <c r="B862" s="2" t="s">
        <v>2971</v>
      </c>
      <c r="C862" s="2" t="s">
        <v>2971</v>
      </c>
    </row>
    <row r="863" spans="1:3" x14ac:dyDescent="0.3">
      <c r="A863" s="2" t="s">
        <v>3094</v>
      </c>
      <c r="B863" s="2" t="s">
        <v>2971</v>
      </c>
      <c r="C863" s="2" t="s">
        <v>2971</v>
      </c>
    </row>
    <row r="864" spans="1:3" x14ac:dyDescent="0.3">
      <c r="A864" s="2" t="s">
        <v>3095</v>
      </c>
      <c r="B864" s="2" t="s">
        <v>2971</v>
      </c>
      <c r="C864" s="2" t="s">
        <v>2971</v>
      </c>
    </row>
    <row r="865" spans="1:3" x14ac:dyDescent="0.3">
      <c r="A865" s="2" t="s">
        <v>3096</v>
      </c>
      <c r="B865" s="2" t="s">
        <v>2971</v>
      </c>
      <c r="C865" s="2" t="s">
        <v>2971</v>
      </c>
    </row>
    <row r="866" spans="1:3" x14ac:dyDescent="0.3">
      <c r="A866" s="2" t="s">
        <v>3097</v>
      </c>
      <c r="B866" s="2" t="s">
        <v>2971</v>
      </c>
      <c r="C866" s="2" t="s">
        <v>2971</v>
      </c>
    </row>
    <row r="867" spans="1:3" x14ac:dyDescent="0.3">
      <c r="A867" s="2" t="s">
        <v>3098</v>
      </c>
      <c r="B867" s="2" t="s">
        <v>2971</v>
      </c>
      <c r="C867" s="2" t="s">
        <v>2971</v>
      </c>
    </row>
    <row r="868" spans="1:3" x14ac:dyDescent="0.3">
      <c r="A868" s="2" t="s">
        <v>3099</v>
      </c>
      <c r="B868" s="2" t="s">
        <v>2971</v>
      </c>
      <c r="C868" s="2" t="s">
        <v>2971</v>
      </c>
    </row>
    <row r="869" spans="1:3" x14ac:dyDescent="0.3">
      <c r="A869" s="2" t="s">
        <v>3100</v>
      </c>
      <c r="B869" s="2" t="s">
        <v>2971</v>
      </c>
      <c r="C869" s="2" t="s">
        <v>2971</v>
      </c>
    </row>
    <row r="870" spans="1:3" x14ac:dyDescent="0.3">
      <c r="A870" s="2" t="s">
        <v>3101</v>
      </c>
      <c r="B870" s="2" t="s">
        <v>2971</v>
      </c>
      <c r="C870" s="2" t="s">
        <v>2971</v>
      </c>
    </row>
    <row r="871" spans="1:3" x14ac:dyDescent="0.3">
      <c r="A871" s="2" t="s">
        <v>3102</v>
      </c>
      <c r="B871" s="2" t="s">
        <v>2971</v>
      </c>
      <c r="C871" s="2" t="s">
        <v>2971</v>
      </c>
    </row>
    <row r="872" spans="1:3" x14ac:dyDescent="0.3">
      <c r="A872" s="2" t="s">
        <v>3103</v>
      </c>
      <c r="B872" s="2" t="s">
        <v>2971</v>
      </c>
      <c r="C872" s="2" t="s">
        <v>2971</v>
      </c>
    </row>
    <row r="873" spans="1:3" x14ac:dyDescent="0.3">
      <c r="A873" s="2" t="s">
        <v>3104</v>
      </c>
      <c r="B873" s="2" t="s">
        <v>2971</v>
      </c>
      <c r="C873" s="2" t="s">
        <v>2971</v>
      </c>
    </row>
    <row r="874" spans="1:3" x14ac:dyDescent="0.3">
      <c r="A874" s="2" t="s">
        <v>3105</v>
      </c>
      <c r="B874" s="2" t="s">
        <v>2971</v>
      </c>
      <c r="C874" s="2" t="s">
        <v>2971</v>
      </c>
    </row>
    <row r="875" spans="1:3" x14ac:dyDescent="0.3">
      <c r="A875" s="2" t="s">
        <v>3106</v>
      </c>
      <c r="B875" s="2" t="s">
        <v>2971</v>
      </c>
      <c r="C875" s="2" t="s">
        <v>2971</v>
      </c>
    </row>
    <row r="876" spans="1:3" x14ac:dyDescent="0.3">
      <c r="A876" s="2" t="s">
        <v>3107</v>
      </c>
      <c r="B876" s="2" t="s">
        <v>2971</v>
      </c>
      <c r="C876" s="2" t="s">
        <v>2971</v>
      </c>
    </row>
    <row r="877" spans="1:3" x14ac:dyDescent="0.3">
      <c r="A877" s="2" t="s">
        <v>3108</v>
      </c>
      <c r="B877" s="2" t="s">
        <v>2971</v>
      </c>
      <c r="C877" s="2" t="s">
        <v>2971</v>
      </c>
    </row>
    <row r="878" spans="1:3" x14ac:dyDescent="0.3">
      <c r="A878" s="2" t="s">
        <v>3109</v>
      </c>
      <c r="B878" s="2" t="s">
        <v>2971</v>
      </c>
      <c r="C878" s="2" t="s">
        <v>2971</v>
      </c>
    </row>
    <row r="879" spans="1:3" x14ac:dyDescent="0.3">
      <c r="A879" s="2" t="s">
        <v>3110</v>
      </c>
      <c r="B879" s="2" t="s">
        <v>2971</v>
      </c>
      <c r="C879" s="2" t="s">
        <v>2971</v>
      </c>
    </row>
    <row r="880" spans="1:3" x14ac:dyDescent="0.3">
      <c r="A880" s="2" t="s">
        <v>3111</v>
      </c>
      <c r="B880" s="2" t="s">
        <v>2971</v>
      </c>
      <c r="C880" s="2" t="s">
        <v>2971</v>
      </c>
    </row>
    <row r="881" spans="1:3" x14ac:dyDescent="0.3">
      <c r="A881" s="2" t="s">
        <v>3112</v>
      </c>
      <c r="B881" s="2" t="s">
        <v>2971</v>
      </c>
      <c r="C881" s="2" t="s">
        <v>2971</v>
      </c>
    </row>
    <row r="882" spans="1:3" x14ac:dyDescent="0.3">
      <c r="A882" s="2" t="s">
        <v>3113</v>
      </c>
      <c r="B882" s="2" t="s">
        <v>2971</v>
      </c>
      <c r="C882" s="2" t="s">
        <v>2971</v>
      </c>
    </row>
    <row r="883" spans="1:3" x14ac:dyDescent="0.3">
      <c r="A883" s="2" t="s">
        <v>3114</v>
      </c>
      <c r="B883" s="2" t="s">
        <v>2971</v>
      </c>
      <c r="C883" s="2" t="s">
        <v>2971</v>
      </c>
    </row>
    <row r="884" spans="1:3" x14ac:dyDescent="0.3">
      <c r="A884" s="2" t="s">
        <v>3115</v>
      </c>
      <c r="B884" s="2" t="s">
        <v>2971</v>
      </c>
      <c r="C884" s="2" t="s">
        <v>2971</v>
      </c>
    </row>
    <row r="885" spans="1:3" x14ac:dyDescent="0.3">
      <c r="A885" s="2" t="s">
        <v>3116</v>
      </c>
      <c r="B885" s="2" t="s">
        <v>2971</v>
      </c>
      <c r="C885" s="2" t="s">
        <v>2971</v>
      </c>
    </row>
    <row r="886" spans="1:3" x14ac:dyDescent="0.3">
      <c r="A886" s="2" t="s">
        <v>3117</v>
      </c>
      <c r="B886" s="2" t="s">
        <v>2971</v>
      </c>
      <c r="C886" s="2" t="s">
        <v>2971</v>
      </c>
    </row>
    <row r="887" spans="1:3" x14ac:dyDescent="0.3">
      <c r="A887" s="2" t="s">
        <v>3118</v>
      </c>
      <c r="B887" s="2" t="s">
        <v>2971</v>
      </c>
      <c r="C887" s="2" t="s">
        <v>2971</v>
      </c>
    </row>
    <row r="888" spans="1:3" x14ac:dyDescent="0.3">
      <c r="A888" s="2" t="s">
        <v>3119</v>
      </c>
      <c r="B888" s="2" t="s">
        <v>2971</v>
      </c>
      <c r="C888" s="2" t="s">
        <v>2971</v>
      </c>
    </row>
    <row r="889" spans="1:3" x14ac:dyDescent="0.3">
      <c r="A889" s="2" t="s">
        <v>3120</v>
      </c>
      <c r="B889" s="2" t="s">
        <v>2971</v>
      </c>
      <c r="C889" s="2" t="s">
        <v>2971</v>
      </c>
    </row>
    <row r="890" spans="1:3" x14ac:dyDescent="0.3">
      <c r="A890" s="2" t="s">
        <v>3121</v>
      </c>
      <c r="B890" s="2" t="s">
        <v>2971</v>
      </c>
      <c r="C890" s="2" t="s">
        <v>2971</v>
      </c>
    </row>
    <row r="891" spans="1:3" x14ac:dyDescent="0.3">
      <c r="A891" s="2" t="s">
        <v>3122</v>
      </c>
      <c r="B891" s="2" t="s">
        <v>2971</v>
      </c>
      <c r="C891" s="2" t="s">
        <v>2971</v>
      </c>
    </row>
    <row r="892" spans="1:3" x14ac:dyDescent="0.3">
      <c r="A892" s="2" t="s">
        <v>3123</v>
      </c>
      <c r="B892" s="2" t="s">
        <v>2971</v>
      </c>
      <c r="C892" s="2" t="s">
        <v>2971</v>
      </c>
    </row>
    <row r="893" spans="1:3" x14ac:dyDescent="0.3">
      <c r="A893" s="2" t="s">
        <v>3124</v>
      </c>
      <c r="B893" s="2" t="s">
        <v>2963</v>
      </c>
      <c r="C893" s="2" t="s">
        <v>3125</v>
      </c>
    </row>
    <row r="894" spans="1:3" x14ac:dyDescent="0.3">
      <c r="A894" s="2" t="s">
        <v>3126</v>
      </c>
      <c r="B894" s="2" t="s">
        <v>2963</v>
      </c>
      <c r="C894" s="2" t="s">
        <v>3125</v>
      </c>
    </row>
    <row r="895" spans="1:3" x14ac:dyDescent="0.3">
      <c r="A895" s="2" t="s">
        <v>3127</v>
      </c>
      <c r="B895" s="2" t="s">
        <v>2963</v>
      </c>
      <c r="C895" s="2" t="s">
        <v>3125</v>
      </c>
    </row>
    <row r="896" spans="1:3" x14ac:dyDescent="0.3">
      <c r="A896" s="2" t="s">
        <v>3128</v>
      </c>
      <c r="B896" s="2" t="s">
        <v>2963</v>
      </c>
      <c r="C896" s="2" t="s">
        <v>3125</v>
      </c>
    </row>
    <row r="897" spans="1:3" x14ac:dyDescent="0.3">
      <c r="A897" s="2" t="s">
        <v>3129</v>
      </c>
      <c r="B897" s="2" t="s">
        <v>2972</v>
      </c>
      <c r="C897" s="2" t="s">
        <v>3130</v>
      </c>
    </row>
    <row r="898" spans="1:3" x14ac:dyDescent="0.3">
      <c r="A898" s="2" t="s">
        <v>3131</v>
      </c>
      <c r="B898" s="2" t="s">
        <v>2972</v>
      </c>
      <c r="C898" s="2" t="s">
        <v>3130</v>
      </c>
    </row>
    <row r="899" spans="1:3" x14ac:dyDescent="0.3">
      <c r="A899" s="2" t="s">
        <v>3132</v>
      </c>
      <c r="B899" s="2" t="s">
        <v>2972</v>
      </c>
      <c r="C899" s="2" t="s">
        <v>3130</v>
      </c>
    </row>
    <row r="900" spans="1:3" x14ac:dyDescent="0.3">
      <c r="A900" s="2" t="s">
        <v>3133</v>
      </c>
      <c r="B900" s="2" t="s">
        <v>2972</v>
      </c>
      <c r="C900" s="2" t="s">
        <v>3130</v>
      </c>
    </row>
    <row r="901" spans="1:3" x14ac:dyDescent="0.3">
      <c r="A901" s="2" t="s">
        <v>3134</v>
      </c>
      <c r="B901" s="2" t="s">
        <v>2972</v>
      </c>
      <c r="C901" s="2" t="s">
        <v>3130</v>
      </c>
    </row>
    <row r="902" spans="1:3" x14ac:dyDescent="0.3">
      <c r="A902" s="2" t="s">
        <v>3135</v>
      </c>
      <c r="B902" s="2" t="s">
        <v>2972</v>
      </c>
      <c r="C902" s="2" t="s">
        <v>3130</v>
      </c>
    </row>
    <row r="903" spans="1:3" x14ac:dyDescent="0.3">
      <c r="A903" s="2" t="s">
        <v>3136</v>
      </c>
      <c r="B903" s="2" t="s">
        <v>2972</v>
      </c>
      <c r="C903" s="2" t="s">
        <v>3130</v>
      </c>
    </row>
    <row r="904" spans="1:3" x14ac:dyDescent="0.3">
      <c r="A904" s="2" t="s">
        <v>3137</v>
      </c>
      <c r="B904" s="2" t="s">
        <v>2972</v>
      </c>
      <c r="C904" s="2" t="s">
        <v>3130</v>
      </c>
    </row>
    <row r="905" spans="1:3" x14ac:dyDescent="0.3">
      <c r="A905" s="2" t="s">
        <v>3138</v>
      </c>
      <c r="B905" s="2" t="s">
        <v>2972</v>
      </c>
      <c r="C905" s="2" t="s">
        <v>3130</v>
      </c>
    </row>
    <row r="906" spans="1:3" x14ac:dyDescent="0.3">
      <c r="A906" s="2" t="s">
        <v>3139</v>
      </c>
      <c r="B906" s="2" t="s">
        <v>2972</v>
      </c>
      <c r="C906" s="2" t="s">
        <v>3130</v>
      </c>
    </row>
    <row r="907" spans="1:3" x14ac:dyDescent="0.3">
      <c r="A907" s="2" t="s">
        <v>3140</v>
      </c>
      <c r="B907" s="2" t="s">
        <v>2972</v>
      </c>
      <c r="C907" s="2" t="s">
        <v>3130</v>
      </c>
    </row>
    <row r="908" spans="1:3" x14ac:dyDescent="0.3">
      <c r="A908" s="2" t="s">
        <v>3141</v>
      </c>
      <c r="B908" s="2" t="s">
        <v>2972</v>
      </c>
      <c r="C908" s="2" t="s">
        <v>3130</v>
      </c>
    </row>
    <row r="909" spans="1:3" x14ac:dyDescent="0.3">
      <c r="A909" s="2" t="s">
        <v>3142</v>
      </c>
      <c r="B909" s="2" t="s">
        <v>2972</v>
      </c>
      <c r="C909" s="2" t="s">
        <v>3130</v>
      </c>
    </row>
    <row r="910" spans="1:3" x14ac:dyDescent="0.3">
      <c r="A910" s="2" t="s">
        <v>3143</v>
      </c>
      <c r="B910" s="2" t="s">
        <v>2972</v>
      </c>
      <c r="C910" s="2" t="s">
        <v>3130</v>
      </c>
    </row>
    <row r="911" spans="1:3" x14ac:dyDescent="0.3">
      <c r="A911" s="2" t="s">
        <v>3144</v>
      </c>
      <c r="B911" s="2" t="s">
        <v>2972</v>
      </c>
      <c r="C911" s="2" t="s">
        <v>3130</v>
      </c>
    </row>
    <row r="912" spans="1:3" x14ac:dyDescent="0.3">
      <c r="A912" s="2" t="s">
        <v>3145</v>
      </c>
      <c r="B912" s="2" t="s">
        <v>2972</v>
      </c>
      <c r="C912" s="2" t="s">
        <v>3130</v>
      </c>
    </row>
    <row r="913" spans="1:3" x14ac:dyDescent="0.3">
      <c r="A913" s="2" t="s">
        <v>3146</v>
      </c>
      <c r="B913" s="2" t="s">
        <v>2973</v>
      </c>
      <c r="C913" s="2" t="s">
        <v>2973</v>
      </c>
    </row>
    <row r="914" spans="1:3" x14ac:dyDescent="0.3">
      <c r="A914" s="2" t="s">
        <v>3147</v>
      </c>
      <c r="B914" s="2" t="s">
        <v>2973</v>
      </c>
      <c r="C914" s="2" t="s">
        <v>2973</v>
      </c>
    </row>
  </sheetData>
  <mergeCells count="26">
    <mergeCell ref="G42:G43"/>
    <mergeCell ref="I36:I37"/>
    <mergeCell ref="F42:F43"/>
    <mergeCell ref="I28:I29"/>
    <mergeCell ref="F32:F33"/>
    <mergeCell ref="G28:G29"/>
    <mergeCell ref="F40:F41"/>
    <mergeCell ref="I32:I33"/>
    <mergeCell ref="I30:I31"/>
    <mergeCell ref="F36:F37"/>
    <mergeCell ref="A1:D1"/>
    <mergeCell ref="G30:G31"/>
    <mergeCell ref="F38:F39"/>
    <mergeCell ref="I42:I43"/>
    <mergeCell ref="F28:F29"/>
    <mergeCell ref="I38:I39"/>
    <mergeCell ref="I34:I35"/>
    <mergeCell ref="G32:G33"/>
    <mergeCell ref="F34:F35"/>
    <mergeCell ref="G40:G41"/>
    <mergeCell ref="G36:G37"/>
    <mergeCell ref="I40:I41"/>
    <mergeCell ref="F6:G6"/>
    <mergeCell ref="G38:G39"/>
    <mergeCell ref="G34:G35"/>
    <mergeCell ref="F30:F3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3"/>
  <sheetViews>
    <sheetView topLeftCell="A477" workbookViewId="0">
      <selection activeCell="A483" sqref="A483:B553"/>
    </sheetView>
  </sheetViews>
  <sheetFormatPr defaultColWidth="8.6640625" defaultRowHeight="14.4" x14ac:dyDescent="0.3"/>
  <cols>
    <col min="1" max="1" width="39.5546875" bestFit="1" customWidth="1"/>
    <col min="2" max="2" width="54.5546875" customWidth="1"/>
    <col min="3" max="3" width="60" customWidth="1"/>
    <col min="4" max="4" width="67" customWidth="1"/>
    <col min="8" max="8" width="27.109375" customWidth="1"/>
    <col min="9" max="10" width="29" customWidth="1"/>
    <col min="11" max="11" width="63.33203125" bestFit="1" customWidth="1"/>
  </cols>
  <sheetData>
    <row r="1" spans="1:9" ht="19.2" customHeight="1" x14ac:dyDescent="0.3">
      <c r="A1" s="26" t="s">
        <v>2958</v>
      </c>
      <c r="B1" s="27"/>
      <c r="C1" s="27"/>
      <c r="D1" s="27"/>
    </row>
    <row r="2" spans="1:9" ht="30" customHeight="1" x14ac:dyDescent="0.3">
      <c r="A2" s="1" t="s">
        <v>1</v>
      </c>
      <c r="B2" s="1" t="s">
        <v>2</v>
      </c>
      <c r="C2" s="1" t="s">
        <v>2959</v>
      </c>
      <c r="D2" s="1" t="s">
        <v>2960</v>
      </c>
    </row>
    <row r="3" spans="1:9" ht="18" customHeight="1" x14ac:dyDescent="0.3">
      <c r="A3" s="2" t="s">
        <v>1362</v>
      </c>
      <c r="B3" s="2" t="s">
        <v>7</v>
      </c>
      <c r="C3" s="2" t="s">
        <v>2961</v>
      </c>
      <c r="D3" s="2"/>
    </row>
    <row r="4" spans="1:9" ht="18" customHeight="1" x14ac:dyDescent="0.3">
      <c r="A4" s="2" t="s">
        <v>1363</v>
      </c>
      <c r="B4" s="2" t="s">
        <v>7</v>
      </c>
      <c r="C4" s="2" t="s">
        <v>2961</v>
      </c>
      <c r="D4" s="2"/>
    </row>
    <row r="5" spans="1:9" ht="18" customHeight="1" x14ac:dyDescent="0.3">
      <c r="A5" s="2" t="s">
        <v>1364</v>
      </c>
      <c r="B5" s="2" t="s">
        <v>7</v>
      </c>
      <c r="C5" s="2" t="s">
        <v>2961</v>
      </c>
      <c r="D5" s="2"/>
    </row>
    <row r="6" spans="1:9" ht="18" customHeight="1" x14ac:dyDescent="0.3">
      <c r="A6" s="2" t="s">
        <v>1365</v>
      </c>
      <c r="B6" s="2" t="s">
        <v>7</v>
      </c>
      <c r="C6" s="2" t="s">
        <v>2961</v>
      </c>
      <c r="D6" s="2"/>
      <c r="H6" s="31" t="s">
        <v>2962</v>
      </c>
      <c r="I6" s="32"/>
    </row>
    <row r="7" spans="1:9" ht="18" customHeight="1" x14ac:dyDescent="0.3">
      <c r="A7" s="2" t="s">
        <v>1366</v>
      </c>
      <c r="B7" s="2" t="s">
        <v>7</v>
      </c>
      <c r="C7" s="2" t="s">
        <v>2961</v>
      </c>
      <c r="D7" s="2"/>
      <c r="H7" s="3" t="s">
        <v>7</v>
      </c>
      <c r="I7" s="4">
        <f>COUNTIF(B:B,"AHU")</f>
        <v>15</v>
      </c>
    </row>
    <row r="8" spans="1:9" ht="18" customHeight="1" x14ac:dyDescent="0.3">
      <c r="A8" s="2" t="s">
        <v>1367</v>
      </c>
      <c r="B8" s="2" t="s">
        <v>7</v>
      </c>
      <c r="C8" s="2" t="s">
        <v>2961</v>
      </c>
      <c r="D8" s="2"/>
      <c r="H8" s="3" t="s">
        <v>45</v>
      </c>
      <c r="I8" s="4">
        <f>COUNTIF(B:B,"FCU")</f>
        <v>137</v>
      </c>
    </row>
    <row r="9" spans="1:9" ht="18" customHeight="1" x14ac:dyDescent="0.3">
      <c r="A9" s="2" t="s">
        <v>1368</v>
      </c>
      <c r="B9" s="2" t="s">
        <v>7</v>
      </c>
      <c r="C9" s="2" t="s">
        <v>2961</v>
      </c>
      <c r="D9" s="2"/>
      <c r="H9" s="3" t="s">
        <v>2963</v>
      </c>
      <c r="I9" s="4">
        <f>COUNTIF(B:B,"CHW Pump")</f>
        <v>6</v>
      </c>
    </row>
    <row r="10" spans="1:9" ht="18" customHeight="1" x14ac:dyDescent="0.3">
      <c r="A10" s="2" t="s">
        <v>1369</v>
      </c>
      <c r="B10" s="2" t="s">
        <v>7</v>
      </c>
      <c r="C10" s="2" t="s">
        <v>2961</v>
      </c>
      <c r="D10" s="2"/>
      <c r="H10" s="3" t="s">
        <v>2964</v>
      </c>
      <c r="I10" s="4">
        <f>COUNTIF(B:B,"VAV")</f>
        <v>248</v>
      </c>
    </row>
    <row r="11" spans="1:9" ht="18" customHeight="1" x14ac:dyDescent="0.3">
      <c r="A11" s="2" t="s">
        <v>1370</v>
      </c>
      <c r="B11" s="2" t="s">
        <v>7</v>
      </c>
      <c r="C11" s="2" t="s">
        <v>2961</v>
      </c>
      <c r="D11" s="2"/>
      <c r="H11" s="3" t="s">
        <v>3148</v>
      </c>
      <c r="I11" s="4">
        <f>COUNTIF(B:B,"CAV")</f>
        <v>51</v>
      </c>
    </row>
    <row r="12" spans="1:9" ht="18" customHeight="1" x14ac:dyDescent="0.3">
      <c r="A12" s="2" t="s">
        <v>1371</v>
      </c>
      <c r="B12" s="2" t="s">
        <v>7</v>
      </c>
      <c r="C12" s="2" t="s">
        <v>2961</v>
      </c>
      <c r="D12" s="2"/>
      <c r="H12" s="3" t="s">
        <v>2965</v>
      </c>
      <c r="I12" s="4">
        <f>COUNTIF(B:B,"DX Unit")</f>
        <v>24</v>
      </c>
    </row>
    <row r="13" spans="1:9" ht="18" customHeight="1" x14ac:dyDescent="0.3">
      <c r="A13" s="2" t="s">
        <v>1372</v>
      </c>
      <c r="B13" s="2" t="s">
        <v>7</v>
      </c>
      <c r="C13" s="2" t="s">
        <v>2961</v>
      </c>
      <c r="D13" s="2"/>
      <c r="H13" s="3" t="s">
        <v>2966</v>
      </c>
      <c r="I13" s="4">
        <f>COUNTIF(B:B,"HEX")</f>
        <v>5</v>
      </c>
    </row>
    <row r="14" spans="1:9" ht="18" customHeight="1" x14ac:dyDescent="0.3">
      <c r="A14" s="2" t="s">
        <v>1373</v>
      </c>
      <c r="B14" s="2" t="s">
        <v>7</v>
      </c>
      <c r="C14" s="2" t="s">
        <v>2961</v>
      </c>
      <c r="D14" s="2"/>
      <c r="H14" s="3" t="s">
        <v>2967</v>
      </c>
      <c r="I14" s="4">
        <f>COUNTIF(B:B,"CCU")</f>
        <v>22</v>
      </c>
    </row>
    <row r="15" spans="1:9" ht="18" customHeight="1" x14ac:dyDescent="0.3">
      <c r="A15" s="2" t="s">
        <v>1374</v>
      </c>
      <c r="B15" s="2" t="s">
        <v>7</v>
      </c>
      <c r="C15" s="2" t="s">
        <v>2961</v>
      </c>
      <c r="D15" s="2"/>
      <c r="H15" s="3" t="s">
        <v>2968</v>
      </c>
      <c r="I15" s="4">
        <f>COUNTIF(B:B,"EF")</f>
        <v>18</v>
      </c>
    </row>
    <row r="16" spans="1:9" ht="18" customHeight="1" x14ac:dyDescent="0.3">
      <c r="A16" s="2" t="s">
        <v>1375</v>
      </c>
      <c r="B16" s="2" t="s">
        <v>7</v>
      </c>
      <c r="C16" s="2" t="s">
        <v>2961</v>
      </c>
      <c r="D16" s="2"/>
      <c r="H16" s="3" t="s">
        <v>3149</v>
      </c>
      <c r="I16" s="4">
        <f>COUNTIF(B:B,"SEF")</f>
        <v>12</v>
      </c>
    </row>
    <row r="17" spans="1:11" ht="18" customHeight="1" x14ac:dyDescent="0.3">
      <c r="A17" s="2" t="s">
        <v>1376</v>
      </c>
      <c r="B17" s="2" t="s">
        <v>7</v>
      </c>
      <c r="C17" s="2" t="s">
        <v>2961</v>
      </c>
      <c r="D17" s="2"/>
      <c r="H17" s="3" t="s">
        <v>2970</v>
      </c>
      <c r="I17" s="4">
        <f>COUNTIF(B:B,"TEF")</f>
        <v>8</v>
      </c>
    </row>
    <row r="18" spans="1:11" ht="18" customHeight="1" x14ac:dyDescent="0.3">
      <c r="A18" s="2" t="s">
        <v>3150</v>
      </c>
      <c r="B18" s="2" t="s">
        <v>2965</v>
      </c>
      <c r="C18" s="2" t="s">
        <v>2965</v>
      </c>
      <c r="D18" s="2"/>
      <c r="H18" s="3" t="s">
        <v>3151</v>
      </c>
      <c r="I18" s="4">
        <f>COUNTIF(B:B,"KEF")</f>
        <v>4</v>
      </c>
    </row>
    <row r="19" spans="1:11" ht="18" customHeight="1" x14ac:dyDescent="0.3">
      <c r="A19" s="2" t="s">
        <v>3152</v>
      </c>
      <c r="B19" s="2" t="s">
        <v>2965</v>
      </c>
      <c r="C19" s="2" t="s">
        <v>2965</v>
      </c>
      <c r="D19" s="2"/>
      <c r="H19" s="3" t="s">
        <v>2973</v>
      </c>
      <c r="I19" s="4">
        <f>COUNTIF(B:B,"Generator")</f>
        <v>1</v>
      </c>
    </row>
    <row r="20" spans="1:11" ht="18" customHeight="1" x14ac:dyDescent="0.3">
      <c r="A20" s="2" t="s">
        <v>3153</v>
      </c>
      <c r="B20" s="2" t="s">
        <v>2965</v>
      </c>
      <c r="C20" s="2" t="s">
        <v>2965</v>
      </c>
      <c r="D20" s="2"/>
      <c r="H20" s="5" t="s">
        <v>2974</v>
      </c>
      <c r="I20" s="5">
        <f>SUM(I7:I18)</f>
        <v>550</v>
      </c>
    </row>
    <row r="21" spans="1:11" ht="18" customHeight="1" x14ac:dyDescent="0.3">
      <c r="A21" s="2" t="s">
        <v>3154</v>
      </c>
      <c r="B21" s="2" t="s">
        <v>2965</v>
      </c>
      <c r="C21" s="2" t="s">
        <v>2965</v>
      </c>
      <c r="D21" s="2"/>
    </row>
    <row r="22" spans="1:11" ht="18" customHeight="1" x14ac:dyDescent="0.3">
      <c r="A22" s="2" t="s">
        <v>3155</v>
      </c>
      <c r="B22" s="2" t="s">
        <v>2965</v>
      </c>
      <c r="C22" s="2" t="s">
        <v>2965</v>
      </c>
      <c r="D22" s="2"/>
    </row>
    <row r="23" spans="1:11" ht="18" customHeight="1" x14ac:dyDescent="0.3">
      <c r="A23" s="2" t="s">
        <v>3156</v>
      </c>
      <c r="B23" s="2" t="s">
        <v>2965</v>
      </c>
      <c r="C23" s="2" t="s">
        <v>2965</v>
      </c>
      <c r="D23" s="2"/>
    </row>
    <row r="24" spans="1:11" ht="18" customHeight="1" x14ac:dyDescent="0.3">
      <c r="A24" s="2" t="s">
        <v>3157</v>
      </c>
      <c r="B24" s="2" t="s">
        <v>2965</v>
      </c>
      <c r="C24" s="2" t="s">
        <v>2965</v>
      </c>
      <c r="D24" s="2"/>
      <c r="H24" s="6" t="s">
        <v>2975</v>
      </c>
      <c r="I24" s="6" t="s">
        <v>2976</v>
      </c>
      <c r="J24" s="6" t="s">
        <v>2977</v>
      </c>
      <c r="K24" s="6" t="s">
        <v>2978</v>
      </c>
    </row>
    <row r="25" spans="1:11" ht="18" customHeight="1" x14ac:dyDescent="0.3">
      <c r="A25" s="2" t="s">
        <v>3158</v>
      </c>
      <c r="B25" s="2" t="s">
        <v>2965</v>
      </c>
      <c r="C25" s="2" t="s">
        <v>2965</v>
      </c>
      <c r="D25" s="2"/>
      <c r="H25" s="2">
        <v>1</v>
      </c>
      <c r="I25" s="2" t="s">
        <v>2968</v>
      </c>
      <c r="J25" s="2" t="s">
        <v>3159</v>
      </c>
      <c r="K25" s="2" t="s">
        <v>3160</v>
      </c>
    </row>
    <row r="26" spans="1:11" ht="18" customHeight="1" x14ac:dyDescent="0.3">
      <c r="A26" s="2" t="s">
        <v>3161</v>
      </c>
      <c r="B26" s="2" t="s">
        <v>2965</v>
      </c>
      <c r="C26" s="2" t="s">
        <v>2965</v>
      </c>
      <c r="D26" s="2"/>
      <c r="H26" s="2">
        <v>2</v>
      </c>
      <c r="I26" s="2" t="s">
        <v>2968</v>
      </c>
      <c r="J26" s="2" t="s">
        <v>3162</v>
      </c>
      <c r="K26" s="2" t="s">
        <v>3163</v>
      </c>
    </row>
    <row r="27" spans="1:11" ht="18" customHeight="1" x14ac:dyDescent="0.3">
      <c r="A27" s="2" t="s">
        <v>3164</v>
      </c>
      <c r="B27" s="2" t="s">
        <v>2965</v>
      </c>
      <c r="C27" s="2" t="s">
        <v>2965</v>
      </c>
      <c r="D27" s="2"/>
      <c r="H27" s="2">
        <v>3</v>
      </c>
      <c r="I27" s="2" t="s">
        <v>2968</v>
      </c>
      <c r="J27" s="2" t="s">
        <v>3165</v>
      </c>
      <c r="K27" s="2" t="s">
        <v>3166</v>
      </c>
    </row>
    <row r="28" spans="1:11" ht="18" customHeight="1" x14ac:dyDescent="0.3">
      <c r="A28" s="2" t="s">
        <v>3167</v>
      </c>
      <c r="B28" s="2" t="s">
        <v>2965</v>
      </c>
      <c r="C28" s="2" t="s">
        <v>2965</v>
      </c>
      <c r="D28" s="2"/>
      <c r="H28" s="2">
        <v>4</v>
      </c>
      <c r="I28" s="2" t="s">
        <v>2968</v>
      </c>
      <c r="J28" s="2" t="s">
        <v>3168</v>
      </c>
      <c r="K28" s="2" t="s">
        <v>3169</v>
      </c>
    </row>
    <row r="29" spans="1:11" ht="18" customHeight="1" x14ac:dyDescent="0.3">
      <c r="A29" s="2" t="s">
        <v>3170</v>
      </c>
      <c r="B29" s="2" t="s">
        <v>2965</v>
      </c>
      <c r="C29" s="2" t="s">
        <v>2965</v>
      </c>
      <c r="D29" s="2"/>
      <c r="H29" s="2">
        <v>5</v>
      </c>
      <c r="I29" s="2" t="s">
        <v>2968</v>
      </c>
      <c r="J29" s="2" t="s">
        <v>3171</v>
      </c>
      <c r="K29" s="2" t="s">
        <v>3172</v>
      </c>
    </row>
    <row r="30" spans="1:11" ht="18" customHeight="1" x14ac:dyDescent="0.3">
      <c r="A30" s="2" t="s">
        <v>3173</v>
      </c>
      <c r="B30" s="2" t="s">
        <v>2965</v>
      </c>
      <c r="C30" s="2" t="s">
        <v>2965</v>
      </c>
      <c r="D30" s="2"/>
      <c r="H30" s="2">
        <v>6</v>
      </c>
      <c r="I30" s="2" t="s">
        <v>2965</v>
      </c>
      <c r="J30" s="2" t="s">
        <v>2995</v>
      </c>
      <c r="K30" s="2" t="s">
        <v>3174</v>
      </c>
    </row>
    <row r="31" spans="1:11" ht="18" customHeight="1" x14ac:dyDescent="0.3">
      <c r="A31" s="2" t="s">
        <v>3175</v>
      </c>
      <c r="B31" s="2" t="s">
        <v>2965</v>
      </c>
      <c r="C31" s="2" t="s">
        <v>2965</v>
      </c>
      <c r="D31" s="2"/>
      <c r="H31" s="2">
        <v>7</v>
      </c>
      <c r="I31" s="2" t="s">
        <v>2965</v>
      </c>
      <c r="J31" s="2" t="s">
        <v>2997</v>
      </c>
      <c r="K31" s="2" t="s">
        <v>3176</v>
      </c>
    </row>
    <row r="32" spans="1:11" ht="18" customHeight="1" x14ac:dyDescent="0.3">
      <c r="A32" s="2" t="s">
        <v>3177</v>
      </c>
      <c r="B32" s="2" t="s">
        <v>2965</v>
      </c>
      <c r="C32" s="2" t="s">
        <v>2965</v>
      </c>
      <c r="D32" s="2"/>
      <c r="H32" s="2">
        <v>8</v>
      </c>
      <c r="I32" s="2" t="s">
        <v>2965</v>
      </c>
      <c r="J32" s="2" t="s">
        <v>2998</v>
      </c>
      <c r="K32" s="2" t="s">
        <v>3178</v>
      </c>
    </row>
    <row r="33" spans="1:11" ht="18" customHeight="1" x14ac:dyDescent="0.3">
      <c r="A33" s="2" t="s">
        <v>3179</v>
      </c>
      <c r="B33" s="2" t="s">
        <v>2965</v>
      </c>
      <c r="C33" s="2" t="s">
        <v>2965</v>
      </c>
      <c r="D33" s="2"/>
      <c r="H33" s="2">
        <v>9</v>
      </c>
      <c r="I33" s="2" t="s">
        <v>2965</v>
      </c>
      <c r="J33" s="2" t="s">
        <v>3180</v>
      </c>
      <c r="K33" s="2" t="s">
        <v>3181</v>
      </c>
    </row>
    <row r="34" spans="1:11" ht="18" customHeight="1" x14ac:dyDescent="0.3">
      <c r="A34" s="2" t="s">
        <v>3182</v>
      </c>
      <c r="B34" s="2" t="s">
        <v>2965</v>
      </c>
      <c r="C34" s="2" t="s">
        <v>2965</v>
      </c>
      <c r="D34" s="2"/>
      <c r="H34" s="2">
        <v>10</v>
      </c>
      <c r="I34" s="2" t="s">
        <v>2965</v>
      </c>
      <c r="J34" s="2" t="s">
        <v>3183</v>
      </c>
      <c r="K34" s="2" t="s">
        <v>3184</v>
      </c>
    </row>
    <row r="35" spans="1:11" ht="18" customHeight="1" x14ac:dyDescent="0.3">
      <c r="A35" s="2" t="s">
        <v>3185</v>
      </c>
      <c r="B35" s="2" t="s">
        <v>2965</v>
      </c>
      <c r="C35" s="2" t="s">
        <v>2965</v>
      </c>
      <c r="D35" s="2"/>
      <c r="H35" s="2">
        <v>11</v>
      </c>
      <c r="I35" s="2" t="s">
        <v>2965</v>
      </c>
      <c r="J35" s="2" t="s">
        <v>3186</v>
      </c>
      <c r="K35" s="2" t="s">
        <v>3187</v>
      </c>
    </row>
    <row r="36" spans="1:11" ht="18" customHeight="1" x14ac:dyDescent="0.3">
      <c r="A36" s="2" t="s">
        <v>3188</v>
      </c>
      <c r="B36" s="2" t="s">
        <v>2965</v>
      </c>
      <c r="C36" s="2" t="s">
        <v>2965</v>
      </c>
      <c r="D36" s="2"/>
      <c r="H36" s="2">
        <v>12</v>
      </c>
      <c r="I36" s="2" t="s">
        <v>2965</v>
      </c>
      <c r="J36" s="2" t="s">
        <v>3189</v>
      </c>
      <c r="K36" s="2" t="s">
        <v>3006</v>
      </c>
    </row>
    <row r="37" spans="1:11" ht="18" customHeight="1" x14ac:dyDescent="0.3">
      <c r="A37" s="2" t="s">
        <v>3190</v>
      </c>
      <c r="B37" s="2" t="s">
        <v>2965</v>
      </c>
      <c r="C37" s="2" t="s">
        <v>2965</v>
      </c>
      <c r="D37" s="2"/>
      <c r="H37" s="2">
        <v>13</v>
      </c>
      <c r="I37" s="2" t="s">
        <v>2965</v>
      </c>
      <c r="J37" s="2" t="s">
        <v>3191</v>
      </c>
      <c r="K37" s="2" t="s">
        <v>3006</v>
      </c>
    </row>
    <row r="38" spans="1:11" ht="18" customHeight="1" x14ac:dyDescent="0.3">
      <c r="A38" s="2" t="s">
        <v>3192</v>
      </c>
      <c r="B38" s="2" t="s">
        <v>2965</v>
      </c>
      <c r="C38" s="2" t="s">
        <v>2965</v>
      </c>
      <c r="D38" s="2"/>
      <c r="H38" s="2">
        <v>14</v>
      </c>
      <c r="I38" s="2" t="s">
        <v>2965</v>
      </c>
      <c r="J38" s="2" t="s">
        <v>3193</v>
      </c>
      <c r="K38" s="2" t="s">
        <v>3006</v>
      </c>
    </row>
    <row r="39" spans="1:11" ht="18" customHeight="1" x14ac:dyDescent="0.3">
      <c r="A39" s="2" t="s">
        <v>3189</v>
      </c>
      <c r="B39" s="2" t="s">
        <v>2965</v>
      </c>
      <c r="C39" s="2" t="s">
        <v>2965</v>
      </c>
      <c r="D39" s="7" t="s">
        <v>3194</v>
      </c>
      <c r="H39" s="2">
        <v>15</v>
      </c>
      <c r="I39" s="2" t="s">
        <v>3018</v>
      </c>
      <c r="J39" s="2" t="s">
        <v>3022</v>
      </c>
      <c r="K39" s="2" t="s">
        <v>3195</v>
      </c>
    </row>
    <row r="40" spans="1:11" ht="18" customHeight="1" x14ac:dyDescent="0.3">
      <c r="A40" s="2" t="s">
        <v>3191</v>
      </c>
      <c r="B40" s="2" t="s">
        <v>2965</v>
      </c>
      <c r="C40" s="2" t="s">
        <v>2965</v>
      </c>
      <c r="D40" s="7" t="s">
        <v>3194</v>
      </c>
      <c r="H40" s="2">
        <v>16</v>
      </c>
      <c r="I40" s="2" t="s">
        <v>2967</v>
      </c>
      <c r="J40" s="2" t="s">
        <v>3196</v>
      </c>
      <c r="K40" s="2" t="s">
        <v>3197</v>
      </c>
    </row>
    <row r="41" spans="1:11" ht="18" customHeight="1" x14ac:dyDescent="0.3">
      <c r="A41" s="2" t="s">
        <v>3193</v>
      </c>
      <c r="B41" s="2" t="s">
        <v>2965</v>
      </c>
      <c r="C41" s="2" t="s">
        <v>2965</v>
      </c>
      <c r="D41" s="7" t="s">
        <v>3194</v>
      </c>
    </row>
    <row r="42" spans="1:11" ht="18" customHeight="1" x14ac:dyDescent="0.3">
      <c r="A42" s="2" t="s">
        <v>1377</v>
      </c>
      <c r="B42" s="2" t="s">
        <v>45</v>
      </c>
      <c r="C42" s="2" t="s">
        <v>3015</v>
      </c>
      <c r="D42" s="2"/>
    </row>
    <row r="43" spans="1:11" ht="18" customHeight="1" x14ac:dyDescent="0.3">
      <c r="A43" s="2" t="s">
        <v>1378</v>
      </c>
      <c r="B43" s="2" t="s">
        <v>45</v>
      </c>
      <c r="C43" s="2" t="s">
        <v>3015</v>
      </c>
      <c r="D43" s="2"/>
    </row>
    <row r="44" spans="1:11" ht="18" customHeight="1" x14ac:dyDescent="0.3">
      <c r="A44" s="2" t="s">
        <v>1379</v>
      </c>
      <c r="B44" s="2" t="s">
        <v>45</v>
      </c>
      <c r="C44" s="2" t="s">
        <v>3015</v>
      </c>
      <c r="D44" s="2"/>
    </row>
    <row r="45" spans="1:11" ht="18" customHeight="1" x14ac:dyDescent="0.3">
      <c r="A45" s="2" t="s">
        <v>1380</v>
      </c>
      <c r="B45" s="2" t="s">
        <v>45</v>
      </c>
      <c r="C45" s="2" t="s">
        <v>3015</v>
      </c>
      <c r="D45" s="2"/>
    </row>
    <row r="46" spans="1:11" ht="18" customHeight="1" x14ac:dyDescent="0.3">
      <c r="A46" s="2" t="s">
        <v>1381</v>
      </c>
      <c r="B46" s="2" t="s">
        <v>45</v>
      </c>
      <c r="C46" s="2" t="s">
        <v>3015</v>
      </c>
      <c r="D46" s="2"/>
    </row>
    <row r="47" spans="1:11" ht="18" customHeight="1" x14ac:dyDescent="0.3">
      <c r="A47" s="2" t="s">
        <v>1382</v>
      </c>
      <c r="B47" s="2" t="s">
        <v>45</v>
      </c>
      <c r="C47" s="2" t="s">
        <v>3015</v>
      </c>
      <c r="D47" s="2"/>
    </row>
    <row r="48" spans="1:11" ht="18" customHeight="1" x14ac:dyDescent="0.3">
      <c r="A48" s="2" t="s">
        <v>1383</v>
      </c>
      <c r="B48" s="2" t="s">
        <v>45</v>
      </c>
      <c r="C48" s="2" t="s">
        <v>3015</v>
      </c>
      <c r="D48" s="2"/>
    </row>
    <row r="49" spans="1:4" ht="18" customHeight="1" x14ac:dyDescent="0.3">
      <c r="A49" s="2" t="s">
        <v>1384</v>
      </c>
      <c r="B49" s="2" t="s">
        <v>45</v>
      </c>
      <c r="C49" s="2" t="s">
        <v>3015</v>
      </c>
      <c r="D49" s="2"/>
    </row>
    <row r="50" spans="1:4" ht="18" customHeight="1" x14ac:dyDescent="0.3">
      <c r="A50" s="2" t="s">
        <v>1385</v>
      </c>
      <c r="B50" s="2" t="s">
        <v>45</v>
      </c>
      <c r="C50" s="2" t="s">
        <v>3015</v>
      </c>
      <c r="D50" s="2"/>
    </row>
    <row r="51" spans="1:4" ht="18" customHeight="1" x14ac:dyDescent="0.3">
      <c r="A51" s="2" t="s">
        <v>1386</v>
      </c>
      <c r="B51" s="2" t="s">
        <v>45</v>
      </c>
      <c r="C51" s="2" t="s">
        <v>3015</v>
      </c>
      <c r="D51" s="2"/>
    </row>
    <row r="52" spans="1:4" ht="18" customHeight="1" x14ac:dyDescent="0.3">
      <c r="A52" s="2" t="s">
        <v>1387</v>
      </c>
      <c r="B52" s="2" t="s">
        <v>45</v>
      </c>
      <c r="C52" s="2" t="s">
        <v>3015</v>
      </c>
      <c r="D52" s="2"/>
    </row>
    <row r="53" spans="1:4" ht="18" customHeight="1" x14ac:dyDescent="0.3">
      <c r="A53" s="2" t="s">
        <v>1388</v>
      </c>
      <c r="B53" s="2" t="s">
        <v>45</v>
      </c>
      <c r="C53" s="2" t="s">
        <v>3015</v>
      </c>
      <c r="D53" s="2"/>
    </row>
    <row r="54" spans="1:4" ht="18" customHeight="1" x14ac:dyDescent="0.3">
      <c r="A54" s="2" t="s">
        <v>1389</v>
      </c>
      <c r="B54" s="2" t="s">
        <v>45</v>
      </c>
      <c r="C54" s="2" t="s">
        <v>3015</v>
      </c>
      <c r="D54" s="2"/>
    </row>
    <row r="55" spans="1:4" ht="18" customHeight="1" x14ac:dyDescent="0.3">
      <c r="A55" s="2" t="s">
        <v>1390</v>
      </c>
      <c r="B55" s="2" t="s">
        <v>45</v>
      </c>
      <c r="C55" s="2" t="s">
        <v>3015</v>
      </c>
      <c r="D55" s="2"/>
    </row>
    <row r="56" spans="1:4" ht="18" customHeight="1" x14ac:dyDescent="0.3">
      <c r="A56" s="2" t="s">
        <v>1391</v>
      </c>
      <c r="B56" s="2" t="s">
        <v>45</v>
      </c>
      <c r="C56" s="2" t="s">
        <v>3015</v>
      </c>
      <c r="D56" s="2"/>
    </row>
    <row r="57" spans="1:4" ht="18" customHeight="1" x14ac:dyDescent="0.3">
      <c r="A57" s="2" t="s">
        <v>1392</v>
      </c>
      <c r="B57" s="2" t="s">
        <v>45</v>
      </c>
      <c r="C57" s="2" t="s">
        <v>3015</v>
      </c>
      <c r="D57" s="2"/>
    </row>
    <row r="58" spans="1:4" ht="18" customHeight="1" x14ac:dyDescent="0.3">
      <c r="A58" s="2" t="s">
        <v>1393</v>
      </c>
      <c r="B58" s="2" t="s">
        <v>45</v>
      </c>
      <c r="C58" s="2" t="s">
        <v>3015</v>
      </c>
      <c r="D58" s="2"/>
    </row>
    <row r="59" spans="1:4" ht="18" customHeight="1" x14ac:dyDescent="0.3">
      <c r="A59" s="2" t="s">
        <v>1394</v>
      </c>
      <c r="B59" s="2" t="s">
        <v>45</v>
      </c>
      <c r="C59" s="2" t="s">
        <v>3015</v>
      </c>
      <c r="D59" s="2"/>
    </row>
    <row r="60" spans="1:4" ht="18" customHeight="1" x14ac:dyDescent="0.3">
      <c r="A60" s="2" t="s">
        <v>1395</v>
      </c>
      <c r="B60" s="2" t="s">
        <v>45</v>
      </c>
      <c r="C60" s="2" t="s">
        <v>3015</v>
      </c>
      <c r="D60" s="2"/>
    </row>
    <row r="61" spans="1:4" ht="18" customHeight="1" x14ac:dyDescent="0.3">
      <c r="A61" s="2" t="s">
        <v>1396</v>
      </c>
      <c r="B61" s="2" t="s">
        <v>45</v>
      </c>
      <c r="C61" s="2" t="s">
        <v>3015</v>
      </c>
      <c r="D61" s="2"/>
    </row>
    <row r="62" spans="1:4" ht="18" customHeight="1" x14ac:dyDescent="0.3">
      <c r="A62" s="2" t="s">
        <v>1397</v>
      </c>
      <c r="B62" s="2" t="s">
        <v>45</v>
      </c>
      <c r="C62" s="2" t="s">
        <v>3015</v>
      </c>
      <c r="D62" s="2"/>
    </row>
    <row r="63" spans="1:4" ht="18" customHeight="1" x14ac:dyDescent="0.3">
      <c r="A63" s="2" t="s">
        <v>1398</v>
      </c>
      <c r="B63" s="2" t="s">
        <v>45</v>
      </c>
      <c r="C63" s="2" t="s">
        <v>3015</v>
      </c>
      <c r="D63" s="2"/>
    </row>
    <row r="64" spans="1:4" ht="18" customHeight="1" x14ac:dyDescent="0.3">
      <c r="A64" s="2" t="s">
        <v>1399</v>
      </c>
      <c r="B64" s="2" t="s">
        <v>45</v>
      </c>
      <c r="C64" s="2" t="s">
        <v>3015</v>
      </c>
      <c r="D64" s="2"/>
    </row>
    <row r="65" spans="1:4" ht="18" customHeight="1" x14ac:dyDescent="0.3">
      <c r="A65" s="2" t="s">
        <v>1400</v>
      </c>
      <c r="B65" s="2" t="s">
        <v>45</v>
      </c>
      <c r="C65" s="2" t="s">
        <v>3015</v>
      </c>
      <c r="D65" s="2"/>
    </row>
    <row r="66" spans="1:4" ht="18" customHeight="1" x14ac:dyDescent="0.3">
      <c r="A66" s="2" t="s">
        <v>1401</v>
      </c>
      <c r="B66" s="2" t="s">
        <v>45</v>
      </c>
      <c r="C66" s="2" t="s">
        <v>3015</v>
      </c>
      <c r="D66" s="2"/>
    </row>
    <row r="67" spans="1:4" ht="18" customHeight="1" x14ac:dyDescent="0.3">
      <c r="A67" s="2" t="s">
        <v>1402</v>
      </c>
      <c r="B67" s="2" t="s">
        <v>45</v>
      </c>
      <c r="C67" s="2" t="s">
        <v>3015</v>
      </c>
      <c r="D67" s="2"/>
    </row>
    <row r="68" spans="1:4" ht="18" customHeight="1" x14ac:dyDescent="0.3">
      <c r="A68" s="2" t="s">
        <v>1403</v>
      </c>
      <c r="B68" s="2" t="s">
        <v>45</v>
      </c>
      <c r="C68" s="2" t="s">
        <v>3015</v>
      </c>
      <c r="D68" s="2"/>
    </row>
    <row r="69" spans="1:4" ht="18" customHeight="1" x14ac:dyDescent="0.3">
      <c r="A69" s="2" t="s">
        <v>1404</v>
      </c>
      <c r="B69" s="2" t="s">
        <v>45</v>
      </c>
      <c r="C69" s="2" t="s">
        <v>3015</v>
      </c>
      <c r="D69" s="2"/>
    </row>
    <row r="70" spans="1:4" ht="18" customHeight="1" x14ac:dyDescent="0.3">
      <c r="A70" s="2" t="s">
        <v>1405</v>
      </c>
      <c r="B70" s="2" t="s">
        <v>45</v>
      </c>
      <c r="C70" s="2" t="s">
        <v>3015</v>
      </c>
      <c r="D70" s="2"/>
    </row>
    <row r="71" spans="1:4" ht="18" customHeight="1" x14ac:dyDescent="0.3">
      <c r="A71" s="2" t="s">
        <v>1406</v>
      </c>
      <c r="B71" s="2" t="s">
        <v>45</v>
      </c>
      <c r="C71" s="2" t="s">
        <v>3015</v>
      </c>
      <c r="D71" s="2"/>
    </row>
    <row r="72" spans="1:4" ht="18" customHeight="1" x14ac:dyDescent="0.3">
      <c r="A72" s="2" t="s">
        <v>1407</v>
      </c>
      <c r="B72" s="2" t="s">
        <v>45</v>
      </c>
      <c r="C72" s="2" t="s">
        <v>3015</v>
      </c>
      <c r="D72" s="2"/>
    </row>
    <row r="73" spans="1:4" ht="18" customHeight="1" x14ac:dyDescent="0.3">
      <c r="A73" s="2" t="s">
        <v>1408</v>
      </c>
      <c r="B73" s="2" t="s">
        <v>45</v>
      </c>
      <c r="C73" s="2" t="s">
        <v>3015</v>
      </c>
      <c r="D73" s="2"/>
    </row>
    <row r="74" spans="1:4" ht="18" customHeight="1" x14ac:dyDescent="0.3">
      <c r="A74" s="2" t="s">
        <v>1409</v>
      </c>
      <c r="B74" s="2" t="s">
        <v>45</v>
      </c>
      <c r="C74" s="2" t="s">
        <v>3015</v>
      </c>
      <c r="D74" s="2"/>
    </row>
    <row r="75" spans="1:4" ht="18" customHeight="1" x14ac:dyDescent="0.3">
      <c r="A75" s="2" t="s">
        <v>1410</v>
      </c>
      <c r="B75" s="2" t="s">
        <v>45</v>
      </c>
      <c r="C75" s="2" t="s">
        <v>3015</v>
      </c>
      <c r="D75" s="2"/>
    </row>
    <row r="76" spans="1:4" ht="18" customHeight="1" x14ac:dyDescent="0.3">
      <c r="A76" s="2" t="s">
        <v>1411</v>
      </c>
      <c r="B76" s="2" t="s">
        <v>45</v>
      </c>
      <c r="C76" s="2" t="s">
        <v>3015</v>
      </c>
      <c r="D76" s="2"/>
    </row>
    <row r="77" spans="1:4" ht="18" customHeight="1" x14ac:dyDescent="0.3">
      <c r="A77" s="2" t="s">
        <v>1412</v>
      </c>
      <c r="B77" s="2" t="s">
        <v>45</v>
      </c>
      <c r="C77" s="2" t="s">
        <v>3015</v>
      </c>
      <c r="D77" s="2"/>
    </row>
    <row r="78" spans="1:4" ht="18" customHeight="1" x14ac:dyDescent="0.3">
      <c r="A78" s="2" t="s">
        <v>1413</v>
      </c>
      <c r="B78" s="2" t="s">
        <v>45</v>
      </c>
      <c r="C78" s="2" t="s">
        <v>3015</v>
      </c>
      <c r="D78" s="2"/>
    </row>
    <row r="79" spans="1:4" ht="18" customHeight="1" x14ac:dyDescent="0.3">
      <c r="A79" s="2" t="s">
        <v>1414</v>
      </c>
      <c r="B79" s="2" t="s">
        <v>45</v>
      </c>
      <c r="C79" s="2" t="s">
        <v>3015</v>
      </c>
      <c r="D79" s="2"/>
    </row>
    <row r="80" spans="1:4" ht="18" customHeight="1" x14ac:dyDescent="0.3">
      <c r="A80" s="2" t="s">
        <v>1415</v>
      </c>
      <c r="B80" s="2" t="s">
        <v>45</v>
      </c>
      <c r="C80" s="2" t="s">
        <v>3015</v>
      </c>
      <c r="D80" s="2"/>
    </row>
    <row r="81" spans="1:4" ht="18" customHeight="1" x14ac:dyDescent="0.3">
      <c r="A81" s="2" t="s">
        <v>1416</v>
      </c>
      <c r="B81" s="2" t="s">
        <v>45</v>
      </c>
      <c r="C81" s="2" t="s">
        <v>3015</v>
      </c>
      <c r="D81" s="2"/>
    </row>
    <row r="82" spans="1:4" ht="18" customHeight="1" x14ac:dyDescent="0.3">
      <c r="A82" s="2" t="s">
        <v>1417</v>
      </c>
      <c r="B82" s="2" t="s">
        <v>45</v>
      </c>
      <c r="C82" s="2" t="s">
        <v>3015</v>
      </c>
      <c r="D82" s="2"/>
    </row>
    <row r="83" spans="1:4" ht="18" customHeight="1" x14ac:dyDescent="0.3">
      <c r="A83" s="2" t="s">
        <v>1418</v>
      </c>
      <c r="B83" s="2" t="s">
        <v>45</v>
      </c>
      <c r="C83" s="2" t="s">
        <v>3015</v>
      </c>
      <c r="D83" s="2"/>
    </row>
    <row r="84" spans="1:4" ht="18" customHeight="1" x14ac:dyDescent="0.3">
      <c r="A84" s="2" t="s">
        <v>1419</v>
      </c>
      <c r="B84" s="2" t="s">
        <v>45</v>
      </c>
      <c r="C84" s="2" t="s">
        <v>3015</v>
      </c>
      <c r="D84" s="2"/>
    </row>
    <row r="85" spans="1:4" ht="18" customHeight="1" x14ac:dyDescent="0.3">
      <c r="A85" s="2" t="s">
        <v>1420</v>
      </c>
      <c r="B85" s="2" t="s">
        <v>45</v>
      </c>
      <c r="C85" s="2" t="s">
        <v>3015</v>
      </c>
      <c r="D85" s="2"/>
    </row>
    <row r="86" spans="1:4" ht="18" customHeight="1" x14ac:dyDescent="0.3">
      <c r="A86" s="2" t="s">
        <v>1421</v>
      </c>
      <c r="B86" s="2" t="s">
        <v>45</v>
      </c>
      <c r="C86" s="2" t="s">
        <v>3015</v>
      </c>
      <c r="D86" s="2"/>
    </row>
    <row r="87" spans="1:4" ht="18" customHeight="1" x14ac:dyDescent="0.3">
      <c r="A87" s="2" t="s">
        <v>1422</v>
      </c>
      <c r="B87" s="2" t="s">
        <v>45</v>
      </c>
      <c r="C87" s="2" t="s">
        <v>3015</v>
      </c>
      <c r="D87" s="2"/>
    </row>
    <row r="88" spans="1:4" ht="18" customHeight="1" x14ac:dyDescent="0.3">
      <c r="A88" s="2" t="s">
        <v>1423</v>
      </c>
      <c r="B88" s="2" t="s">
        <v>45</v>
      </c>
      <c r="C88" s="2" t="s">
        <v>3015</v>
      </c>
      <c r="D88" s="2"/>
    </row>
    <row r="89" spans="1:4" ht="18" customHeight="1" x14ac:dyDescent="0.3">
      <c r="A89" s="2" t="s">
        <v>1424</v>
      </c>
      <c r="B89" s="2" t="s">
        <v>45</v>
      </c>
      <c r="C89" s="2" t="s">
        <v>3015</v>
      </c>
      <c r="D89" s="2"/>
    </row>
    <row r="90" spans="1:4" ht="18" customHeight="1" x14ac:dyDescent="0.3">
      <c r="A90" s="2" t="s">
        <v>1425</v>
      </c>
      <c r="B90" s="2" t="s">
        <v>45</v>
      </c>
      <c r="C90" s="2" t="s">
        <v>3015</v>
      </c>
      <c r="D90" s="2"/>
    </row>
    <row r="91" spans="1:4" ht="18" customHeight="1" x14ac:dyDescent="0.3">
      <c r="A91" s="2" t="s">
        <v>1426</v>
      </c>
      <c r="B91" s="2" t="s">
        <v>45</v>
      </c>
      <c r="C91" s="2" t="s">
        <v>3015</v>
      </c>
      <c r="D91" s="2"/>
    </row>
    <row r="92" spans="1:4" ht="18" customHeight="1" x14ac:dyDescent="0.3">
      <c r="A92" s="2" t="s">
        <v>1427</v>
      </c>
      <c r="B92" s="2" t="s">
        <v>45</v>
      </c>
      <c r="C92" s="2" t="s">
        <v>3015</v>
      </c>
      <c r="D92" s="2"/>
    </row>
    <row r="93" spans="1:4" ht="18" customHeight="1" x14ac:dyDescent="0.3">
      <c r="A93" s="2" t="s">
        <v>1428</v>
      </c>
      <c r="B93" s="2" t="s">
        <v>45</v>
      </c>
      <c r="C93" s="2" t="s">
        <v>3015</v>
      </c>
      <c r="D93" s="2"/>
    </row>
    <row r="94" spans="1:4" ht="18" customHeight="1" x14ac:dyDescent="0.3">
      <c r="A94" s="2" t="s">
        <v>1429</v>
      </c>
      <c r="B94" s="2" t="s">
        <v>45</v>
      </c>
      <c r="C94" s="2" t="s">
        <v>3015</v>
      </c>
      <c r="D94" s="2"/>
    </row>
    <row r="95" spans="1:4" ht="18" customHeight="1" x14ac:dyDescent="0.3">
      <c r="A95" s="2" t="s">
        <v>1430</v>
      </c>
      <c r="B95" s="2" t="s">
        <v>45</v>
      </c>
      <c r="C95" s="2" t="s">
        <v>3015</v>
      </c>
      <c r="D95" s="2"/>
    </row>
    <row r="96" spans="1:4" ht="18" customHeight="1" x14ac:dyDescent="0.3">
      <c r="A96" s="2" t="s">
        <v>1431</v>
      </c>
      <c r="B96" s="2" t="s">
        <v>45</v>
      </c>
      <c r="C96" s="2" t="s">
        <v>3015</v>
      </c>
      <c r="D96" s="2"/>
    </row>
    <row r="97" spans="1:4" ht="18" customHeight="1" x14ac:dyDescent="0.3">
      <c r="A97" s="2" t="s">
        <v>1432</v>
      </c>
      <c r="B97" s="2" t="s">
        <v>45</v>
      </c>
      <c r="C97" s="2" t="s">
        <v>3015</v>
      </c>
      <c r="D97" s="2"/>
    </row>
    <row r="98" spans="1:4" ht="18" customHeight="1" x14ac:dyDescent="0.3">
      <c r="A98" s="2" t="s">
        <v>1433</v>
      </c>
      <c r="B98" s="2" t="s">
        <v>45</v>
      </c>
      <c r="C98" s="2" t="s">
        <v>3015</v>
      </c>
      <c r="D98" s="2"/>
    </row>
    <row r="99" spans="1:4" ht="18" customHeight="1" x14ac:dyDescent="0.3">
      <c r="A99" s="2" t="s">
        <v>1434</v>
      </c>
      <c r="B99" s="2" t="s">
        <v>45</v>
      </c>
      <c r="C99" s="2" t="s">
        <v>3015</v>
      </c>
      <c r="D99" s="2"/>
    </row>
    <row r="100" spans="1:4" ht="18" customHeight="1" x14ac:dyDescent="0.3">
      <c r="A100" s="2" t="s">
        <v>1435</v>
      </c>
      <c r="B100" s="2" t="s">
        <v>45</v>
      </c>
      <c r="C100" s="2" t="s">
        <v>3015</v>
      </c>
      <c r="D100" s="2"/>
    </row>
    <row r="101" spans="1:4" ht="18" customHeight="1" x14ac:dyDescent="0.3">
      <c r="A101" s="2" t="s">
        <v>1436</v>
      </c>
      <c r="B101" s="2" t="s">
        <v>45</v>
      </c>
      <c r="C101" s="2" t="s">
        <v>3015</v>
      </c>
      <c r="D101" s="2"/>
    </row>
    <row r="102" spans="1:4" ht="18" customHeight="1" x14ac:dyDescent="0.3">
      <c r="A102" s="2" t="s">
        <v>1437</v>
      </c>
      <c r="B102" s="2" t="s">
        <v>45</v>
      </c>
      <c r="C102" s="2" t="s">
        <v>3015</v>
      </c>
      <c r="D102" s="2"/>
    </row>
    <row r="103" spans="1:4" ht="18" customHeight="1" x14ac:dyDescent="0.3">
      <c r="A103" s="2" t="s">
        <v>1438</v>
      </c>
      <c r="B103" s="2" t="s">
        <v>45</v>
      </c>
      <c r="C103" s="2" t="s">
        <v>3015</v>
      </c>
      <c r="D103" s="2"/>
    </row>
    <row r="104" spans="1:4" ht="18" customHeight="1" x14ac:dyDescent="0.3">
      <c r="A104" s="2" t="s">
        <v>1439</v>
      </c>
      <c r="B104" s="2" t="s">
        <v>45</v>
      </c>
      <c r="C104" s="2" t="s">
        <v>3015</v>
      </c>
      <c r="D104" s="2"/>
    </row>
    <row r="105" spans="1:4" ht="18" customHeight="1" x14ac:dyDescent="0.3">
      <c r="A105" s="2" t="s">
        <v>1440</v>
      </c>
      <c r="B105" s="2" t="s">
        <v>45</v>
      </c>
      <c r="C105" s="2" t="s">
        <v>3015</v>
      </c>
      <c r="D105" s="2"/>
    </row>
    <row r="106" spans="1:4" ht="18" customHeight="1" x14ac:dyDescent="0.3">
      <c r="A106" s="2" t="s">
        <v>1441</v>
      </c>
      <c r="B106" s="2" t="s">
        <v>45</v>
      </c>
      <c r="C106" s="2" t="s">
        <v>3015</v>
      </c>
      <c r="D106" s="2"/>
    </row>
    <row r="107" spans="1:4" ht="18" customHeight="1" x14ac:dyDescent="0.3">
      <c r="A107" s="2" t="s">
        <v>1442</v>
      </c>
      <c r="B107" s="2" t="s">
        <v>45</v>
      </c>
      <c r="C107" s="2" t="s">
        <v>3015</v>
      </c>
      <c r="D107" s="2"/>
    </row>
    <row r="108" spans="1:4" ht="18" customHeight="1" x14ac:dyDescent="0.3">
      <c r="A108" s="2" t="s">
        <v>1443</v>
      </c>
      <c r="B108" s="2" t="s">
        <v>45</v>
      </c>
      <c r="C108" s="2" t="s">
        <v>3015</v>
      </c>
      <c r="D108" s="2"/>
    </row>
    <row r="109" spans="1:4" ht="18" customHeight="1" x14ac:dyDescent="0.3">
      <c r="A109" s="2" t="s">
        <v>1444</v>
      </c>
      <c r="B109" s="2" t="s">
        <v>45</v>
      </c>
      <c r="C109" s="2" t="s">
        <v>3015</v>
      </c>
      <c r="D109" s="2"/>
    </row>
    <row r="110" spans="1:4" ht="18" customHeight="1" x14ac:dyDescent="0.3">
      <c r="A110" s="2" t="s">
        <v>1445</v>
      </c>
      <c r="B110" s="2" t="s">
        <v>45</v>
      </c>
      <c r="C110" s="2" t="s">
        <v>3015</v>
      </c>
      <c r="D110" s="2"/>
    </row>
    <row r="111" spans="1:4" ht="18" customHeight="1" x14ac:dyDescent="0.3">
      <c r="A111" s="2" t="s">
        <v>1446</v>
      </c>
      <c r="B111" s="2" t="s">
        <v>45</v>
      </c>
      <c r="C111" s="2" t="s">
        <v>3015</v>
      </c>
      <c r="D111" s="2"/>
    </row>
    <row r="112" spans="1:4" ht="18" customHeight="1" x14ac:dyDescent="0.3">
      <c r="A112" s="2" t="s">
        <v>1447</v>
      </c>
      <c r="B112" s="2" t="s">
        <v>45</v>
      </c>
      <c r="C112" s="2" t="s">
        <v>3015</v>
      </c>
      <c r="D112" s="2"/>
    </row>
    <row r="113" spans="1:4" ht="18" customHeight="1" x14ac:dyDescent="0.3">
      <c r="A113" s="2" t="s">
        <v>1448</v>
      </c>
      <c r="B113" s="2" t="s">
        <v>45</v>
      </c>
      <c r="C113" s="2" t="s">
        <v>3015</v>
      </c>
      <c r="D113" s="2"/>
    </row>
    <row r="114" spans="1:4" ht="18" customHeight="1" x14ac:dyDescent="0.3">
      <c r="A114" s="2" t="s">
        <v>1449</v>
      </c>
      <c r="B114" s="2" t="s">
        <v>45</v>
      </c>
      <c r="C114" s="2" t="s">
        <v>3015</v>
      </c>
      <c r="D114" s="2"/>
    </row>
    <row r="115" spans="1:4" ht="18" customHeight="1" x14ac:dyDescent="0.3">
      <c r="A115" s="2" t="s">
        <v>1450</v>
      </c>
      <c r="B115" s="2" t="s">
        <v>45</v>
      </c>
      <c r="C115" s="2" t="s">
        <v>3015</v>
      </c>
      <c r="D115" s="2"/>
    </row>
    <row r="116" spans="1:4" ht="18" customHeight="1" x14ac:dyDescent="0.3">
      <c r="A116" s="2" t="s">
        <v>1451</v>
      </c>
      <c r="B116" s="2" t="s">
        <v>45</v>
      </c>
      <c r="C116" s="2" t="s">
        <v>3015</v>
      </c>
      <c r="D116" s="2"/>
    </row>
    <row r="117" spans="1:4" ht="18" customHeight="1" x14ac:dyDescent="0.3">
      <c r="A117" s="2" t="s">
        <v>1452</v>
      </c>
      <c r="B117" s="2" t="s">
        <v>45</v>
      </c>
      <c r="C117" s="2" t="s">
        <v>3015</v>
      </c>
      <c r="D117" s="2"/>
    </row>
    <row r="118" spans="1:4" ht="18" customHeight="1" x14ac:dyDescent="0.3">
      <c r="A118" s="2" t="s">
        <v>1453</v>
      </c>
      <c r="B118" s="2" t="s">
        <v>45</v>
      </c>
      <c r="C118" s="2" t="s">
        <v>3015</v>
      </c>
      <c r="D118" s="2"/>
    </row>
    <row r="119" spans="1:4" ht="18" customHeight="1" x14ac:dyDescent="0.3">
      <c r="A119" s="2" t="s">
        <v>1454</v>
      </c>
      <c r="B119" s="2" t="s">
        <v>45</v>
      </c>
      <c r="C119" s="2" t="s">
        <v>3015</v>
      </c>
      <c r="D119" s="2"/>
    </row>
    <row r="120" spans="1:4" ht="18" customHeight="1" x14ac:dyDescent="0.3">
      <c r="A120" s="2" t="s">
        <v>1455</v>
      </c>
      <c r="B120" s="2" t="s">
        <v>45</v>
      </c>
      <c r="C120" s="2" t="s">
        <v>3015</v>
      </c>
      <c r="D120" s="2"/>
    </row>
    <row r="121" spans="1:4" ht="18" customHeight="1" x14ac:dyDescent="0.3">
      <c r="A121" s="2" t="s">
        <v>1456</v>
      </c>
      <c r="B121" s="2" t="s">
        <v>45</v>
      </c>
      <c r="C121" s="2" t="s">
        <v>3015</v>
      </c>
      <c r="D121" s="2"/>
    </row>
    <row r="122" spans="1:4" ht="18" customHeight="1" x14ac:dyDescent="0.3">
      <c r="A122" s="2" t="s">
        <v>1457</v>
      </c>
      <c r="B122" s="2" t="s">
        <v>45</v>
      </c>
      <c r="C122" s="2" t="s">
        <v>3015</v>
      </c>
      <c r="D122" s="2"/>
    </row>
    <row r="123" spans="1:4" ht="18" customHeight="1" x14ac:dyDescent="0.3">
      <c r="A123" s="2" t="s">
        <v>1458</v>
      </c>
      <c r="B123" s="2" t="s">
        <v>45</v>
      </c>
      <c r="C123" s="2" t="s">
        <v>3015</v>
      </c>
      <c r="D123" s="2"/>
    </row>
    <row r="124" spans="1:4" ht="18" customHeight="1" x14ac:dyDescent="0.3">
      <c r="A124" s="2" t="s">
        <v>1459</v>
      </c>
      <c r="B124" s="2" t="s">
        <v>45</v>
      </c>
      <c r="C124" s="2" t="s">
        <v>3015</v>
      </c>
      <c r="D124" s="2"/>
    </row>
    <row r="125" spans="1:4" ht="18" customHeight="1" x14ac:dyDescent="0.3">
      <c r="A125" s="2" t="s">
        <v>1460</v>
      </c>
      <c r="B125" s="2" t="s">
        <v>45</v>
      </c>
      <c r="C125" s="2" t="s">
        <v>3015</v>
      </c>
      <c r="D125" s="2"/>
    </row>
    <row r="126" spans="1:4" ht="18" customHeight="1" x14ac:dyDescent="0.3">
      <c r="A126" s="2" t="s">
        <v>1461</v>
      </c>
      <c r="B126" s="2" t="s">
        <v>45</v>
      </c>
      <c r="C126" s="2" t="s">
        <v>3015</v>
      </c>
      <c r="D126" s="2"/>
    </row>
    <row r="127" spans="1:4" ht="18" customHeight="1" x14ac:dyDescent="0.3">
      <c r="A127" s="2" t="s">
        <v>1462</v>
      </c>
      <c r="B127" s="2" t="s">
        <v>45</v>
      </c>
      <c r="C127" s="2" t="s">
        <v>3015</v>
      </c>
      <c r="D127" s="2"/>
    </row>
    <row r="128" spans="1:4" ht="18" customHeight="1" x14ac:dyDescent="0.3">
      <c r="A128" s="2" t="s">
        <v>1463</v>
      </c>
      <c r="B128" s="2" t="s">
        <v>45</v>
      </c>
      <c r="C128" s="2" t="s">
        <v>3015</v>
      </c>
      <c r="D128" s="2"/>
    </row>
    <row r="129" spans="1:4" ht="18" customHeight="1" x14ac:dyDescent="0.3">
      <c r="A129" s="2" t="s">
        <v>1464</v>
      </c>
      <c r="B129" s="2" t="s">
        <v>45</v>
      </c>
      <c r="C129" s="2" t="s">
        <v>3015</v>
      </c>
      <c r="D129" s="2"/>
    </row>
    <row r="130" spans="1:4" ht="18" customHeight="1" x14ac:dyDescent="0.3">
      <c r="A130" s="2" t="s">
        <v>1465</v>
      </c>
      <c r="B130" s="2" t="s">
        <v>45</v>
      </c>
      <c r="C130" s="2" t="s">
        <v>3015</v>
      </c>
      <c r="D130" s="2"/>
    </row>
    <row r="131" spans="1:4" ht="18" customHeight="1" x14ac:dyDescent="0.3">
      <c r="A131" s="2" t="s">
        <v>1466</v>
      </c>
      <c r="B131" s="2" t="s">
        <v>45</v>
      </c>
      <c r="C131" s="2" t="s">
        <v>3015</v>
      </c>
      <c r="D131" s="2"/>
    </row>
    <row r="132" spans="1:4" ht="18" customHeight="1" x14ac:dyDescent="0.3">
      <c r="A132" s="2" t="s">
        <v>1467</v>
      </c>
      <c r="B132" s="2" t="s">
        <v>45</v>
      </c>
      <c r="C132" s="2" t="s">
        <v>3015</v>
      </c>
      <c r="D132" s="2"/>
    </row>
    <row r="133" spans="1:4" ht="18" customHeight="1" x14ac:dyDescent="0.3">
      <c r="A133" s="2" t="s">
        <v>1468</v>
      </c>
      <c r="B133" s="2" t="s">
        <v>45</v>
      </c>
      <c r="C133" s="2" t="s">
        <v>3015</v>
      </c>
      <c r="D133" s="2"/>
    </row>
    <row r="134" spans="1:4" ht="18" customHeight="1" x14ac:dyDescent="0.3">
      <c r="A134" s="2" t="s">
        <v>1469</v>
      </c>
      <c r="B134" s="2" t="s">
        <v>45</v>
      </c>
      <c r="C134" s="2" t="s">
        <v>3015</v>
      </c>
      <c r="D134" s="2"/>
    </row>
    <row r="135" spans="1:4" ht="18" customHeight="1" x14ac:dyDescent="0.3">
      <c r="A135" s="2" t="s">
        <v>1470</v>
      </c>
      <c r="B135" s="2" t="s">
        <v>45</v>
      </c>
      <c r="C135" s="2" t="s">
        <v>3015</v>
      </c>
      <c r="D135" s="2"/>
    </row>
    <row r="136" spans="1:4" ht="18" customHeight="1" x14ac:dyDescent="0.3">
      <c r="A136" s="2" t="s">
        <v>1471</v>
      </c>
      <c r="B136" s="2" t="s">
        <v>45</v>
      </c>
      <c r="C136" s="2" t="s">
        <v>3015</v>
      </c>
      <c r="D136" s="2"/>
    </row>
    <row r="137" spans="1:4" ht="18" customHeight="1" x14ac:dyDescent="0.3">
      <c r="A137" s="2" t="s">
        <v>1472</v>
      </c>
      <c r="B137" s="2" t="s">
        <v>45</v>
      </c>
      <c r="C137" s="2" t="s">
        <v>3015</v>
      </c>
      <c r="D137" s="2"/>
    </row>
    <row r="138" spans="1:4" ht="18" customHeight="1" x14ac:dyDescent="0.3">
      <c r="A138" s="2" t="s">
        <v>1473</v>
      </c>
      <c r="B138" s="2" t="s">
        <v>45</v>
      </c>
      <c r="C138" s="2" t="s">
        <v>3015</v>
      </c>
      <c r="D138" s="2"/>
    </row>
    <row r="139" spans="1:4" ht="18" customHeight="1" x14ac:dyDescent="0.3">
      <c r="A139" s="2" t="s">
        <v>1474</v>
      </c>
      <c r="B139" s="2" t="s">
        <v>45</v>
      </c>
      <c r="C139" s="2" t="s">
        <v>3015</v>
      </c>
      <c r="D139" s="2"/>
    </row>
    <row r="140" spans="1:4" ht="18" customHeight="1" x14ac:dyDescent="0.3">
      <c r="A140" s="2" t="s">
        <v>1475</v>
      </c>
      <c r="B140" s="2" t="s">
        <v>45</v>
      </c>
      <c r="C140" s="2" t="s">
        <v>3015</v>
      </c>
      <c r="D140" s="2"/>
    </row>
    <row r="141" spans="1:4" ht="18" customHeight="1" x14ac:dyDescent="0.3">
      <c r="A141" s="2" t="s">
        <v>1476</v>
      </c>
      <c r="B141" s="2" t="s">
        <v>45</v>
      </c>
      <c r="C141" s="2" t="s">
        <v>3015</v>
      </c>
      <c r="D141" s="2"/>
    </row>
    <row r="142" spans="1:4" ht="18" customHeight="1" x14ac:dyDescent="0.3">
      <c r="A142" s="2" t="s">
        <v>1477</v>
      </c>
      <c r="B142" s="2" t="s">
        <v>45</v>
      </c>
      <c r="C142" s="2" t="s">
        <v>3015</v>
      </c>
      <c r="D142" s="2"/>
    </row>
    <row r="143" spans="1:4" ht="18" customHeight="1" x14ac:dyDescent="0.3">
      <c r="A143" s="2" t="s">
        <v>1478</v>
      </c>
      <c r="B143" s="2" t="s">
        <v>45</v>
      </c>
      <c r="C143" s="2" t="s">
        <v>3015</v>
      </c>
      <c r="D143" s="2"/>
    </row>
    <row r="144" spans="1:4" ht="18" customHeight="1" x14ac:dyDescent="0.3">
      <c r="A144" s="2" t="s">
        <v>1479</v>
      </c>
      <c r="B144" s="2" t="s">
        <v>45</v>
      </c>
      <c r="C144" s="2" t="s">
        <v>3015</v>
      </c>
      <c r="D144" s="2"/>
    </row>
    <row r="145" spans="1:4" ht="18" customHeight="1" x14ac:dyDescent="0.3">
      <c r="A145" s="2" t="s">
        <v>1480</v>
      </c>
      <c r="B145" s="2" t="s">
        <v>45</v>
      </c>
      <c r="C145" s="2" t="s">
        <v>3015</v>
      </c>
      <c r="D145" s="2"/>
    </row>
    <row r="146" spans="1:4" ht="18" customHeight="1" x14ac:dyDescent="0.3">
      <c r="A146" s="2" t="s">
        <v>1481</v>
      </c>
      <c r="B146" s="2" t="s">
        <v>45</v>
      </c>
      <c r="C146" s="2" t="s">
        <v>3015</v>
      </c>
      <c r="D146" s="2"/>
    </row>
    <row r="147" spans="1:4" ht="18" customHeight="1" x14ac:dyDescent="0.3">
      <c r="A147" s="2" t="s">
        <v>1482</v>
      </c>
      <c r="B147" s="2" t="s">
        <v>45</v>
      </c>
      <c r="C147" s="2" t="s">
        <v>3015</v>
      </c>
      <c r="D147" s="2"/>
    </row>
    <row r="148" spans="1:4" ht="18" customHeight="1" x14ac:dyDescent="0.3">
      <c r="A148" s="2" t="s">
        <v>1483</v>
      </c>
      <c r="B148" s="2" t="s">
        <v>45</v>
      </c>
      <c r="C148" s="2" t="s">
        <v>3015</v>
      </c>
      <c r="D148" s="2"/>
    </row>
    <row r="149" spans="1:4" ht="18" customHeight="1" x14ac:dyDescent="0.3">
      <c r="A149" s="2" t="s">
        <v>1484</v>
      </c>
      <c r="B149" s="2" t="s">
        <v>45</v>
      </c>
      <c r="C149" s="2" t="s">
        <v>3015</v>
      </c>
      <c r="D149" s="2"/>
    </row>
    <row r="150" spans="1:4" ht="18" customHeight="1" x14ac:dyDescent="0.3">
      <c r="A150" s="2" t="s">
        <v>1485</v>
      </c>
      <c r="B150" s="2" t="s">
        <v>45</v>
      </c>
      <c r="C150" s="2" t="s">
        <v>3015</v>
      </c>
      <c r="D150" s="2"/>
    </row>
    <row r="151" spans="1:4" ht="18" customHeight="1" x14ac:dyDescent="0.3">
      <c r="A151" s="2" t="s">
        <v>1486</v>
      </c>
      <c r="B151" s="2" t="s">
        <v>45</v>
      </c>
      <c r="C151" s="2" t="s">
        <v>3015</v>
      </c>
      <c r="D151" s="2"/>
    </row>
    <row r="152" spans="1:4" ht="18" customHeight="1" x14ac:dyDescent="0.3">
      <c r="A152" s="2" t="s">
        <v>1487</v>
      </c>
      <c r="B152" s="2" t="s">
        <v>45</v>
      </c>
      <c r="C152" s="2" t="s">
        <v>3015</v>
      </c>
      <c r="D152" s="2"/>
    </row>
    <row r="153" spans="1:4" ht="18" customHeight="1" x14ac:dyDescent="0.3">
      <c r="A153" s="2" t="s">
        <v>1488</v>
      </c>
      <c r="B153" s="2" t="s">
        <v>45</v>
      </c>
      <c r="C153" s="2" t="s">
        <v>3015</v>
      </c>
      <c r="D153" s="2"/>
    </row>
    <row r="154" spans="1:4" ht="18" customHeight="1" x14ac:dyDescent="0.3">
      <c r="A154" s="2" t="s">
        <v>1489</v>
      </c>
      <c r="B154" s="2" t="s">
        <v>45</v>
      </c>
      <c r="C154" s="2" t="s">
        <v>3015</v>
      </c>
      <c r="D154" s="2"/>
    </row>
    <row r="155" spans="1:4" ht="18" customHeight="1" x14ac:dyDescent="0.3">
      <c r="A155" s="2" t="s">
        <v>1490</v>
      </c>
      <c r="B155" s="2" t="s">
        <v>45</v>
      </c>
      <c r="C155" s="2" t="s">
        <v>3015</v>
      </c>
      <c r="D155" s="2"/>
    </row>
    <row r="156" spans="1:4" ht="18" customHeight="1" x14ac:dyDescent="0.3">
      <c r="A156" s="2" t="s">
        <v>1491</v>
      </c>
      <c r="B156" s="2" t="s">
        <v>45</v>
      </c>
      <c r="C156" s="2" t="s">
        <v>3015</v>
      </c>
      <c r="D156" s="2"/>
    </row>
    <row r="157" spans="1:4" ht="18" customHeight="1" x14ac:dyDescent="0.3">
      <c r="A157" s="2" t="s">
        <v>1492</v>
      </c>
      <c r="B157" s="2" t="s">
        <v>45</v>
      </c>
      <c r="C157" s="2" t="s">
        <v>3015</v>
      </c>
      <c r="D157" s="2"/>
    </row>
    <row r="158" spans="1:4" ht="18" customHeight="1" x14ac:dyDescent="0.3">
      <c r="A158" s="2" t="s">
        <v>1493</v>
      </c>
      <c r="B158" s="2" t="s">
        <v>45</v>
      </c>
      <c r="C158" s="2" t="s">
        <v>3015</v>
      </c>
      <c r="D158" s="2"/>
    </row>
    <row r="159" spans="1:4" ht="18" customHeight="1" x14ac:dyDescent="0.3">
      <c r="A159" s="2" t="s">
        <v>1494</v>
      </c>
      <c r="B159" s="2" t="s">
        <v>45</v>
      </c>
      <c r="C159" s="2" t="s">
        <v>3015</v>
      </c>
      <c r="D159" s="2"/>
    </row>
    <row r="160" spans="1:4" ht="18" customHeight="1" x14ac:dyDescent="0.3">
      <c r="A160" s="2" t="s">
        <v>1495</v>
      </c>
      <c r="B160" s="2" t="s">
        <v>45</v>
      </c>
      <c r="C160" s="2" t="s">
        <v>3015</v>
      </c>
      <c r="D160" s="2"/>
    </row>
    <row r="161" spans="1:4" ht="18" customHeight="1" x14ac:dyDescent="0.3">
      <c r="A161" s="2" t="s">
        <v>1496</v>
      </c>
      <c r="B161" s="2" t="s">
        <v>45</v>
      </c>
      <c r="C161" s="2" t="s">
        <v>3015</v>
      </c>
      <c r="D161" s="2"/>
    </row>
    <row r="162" spans="1:4" ht="18" customHeight="1" x14ac:dyDescent="0.3">
      <c r="A162" s="2" t="s">
        <v>1497</v>
      </c>
      <c r="B162" s="2" t="s">
        <v>45</v>
      </c>
      <c r="C162" s="2" t="s">
        <v>3015</v>
      </c>
      <c r="D162" s="2"/>
    </row>
    <row r="163" spans="1:4" ht="18" customHeight="1" x14ac:dyDescent="0.3">
      <c r="A163" s="2" t="s">
        <v>1498</v>
      </c>
      <c r="B163" s="2" t="s">
        <v>45</v>
      </c>
      <c r="C163" s="2" t="s">
        <v>3015</v>
      </c>
      <c r="D163" s="2"/>
    </row>
    <row r="164" spans="1:4" ht="18" customHeight="1" x14ac:dyDescent="0.3">
      <c r="A164" s="2" t="s">
        <v>1499</v>
      </c>
      <c r="B164" s="2" t="s">
        <v>45</v>
      </c>
      <c r="C164" s="2" t="s">
        <v>3015</v>
      </c>
      <c r="D164" s="2"/>
    </row>
    <row r="165" spans="1:4" ht="18" customHeight="1" x14ac:dyDescent="0.3">
      <c r="A165" s="2" t="s">
        <v>1500</v>
      </c>
      <c r="B165" s="2" t="s">
        <v>45</v>
      </c>
      <c r="C165" s="2" t="s">
        <v>3015</v>
      </c>
      <c r="D165" s="2"/>
    </row>
    <row r="166" spans="1:4" ht="18" customHeight="1" x14ac:dyDescent="0.3">
      <c r="A166" s="2" t="s">
        <v>1501</v>
      </c>
      <c r="B166" s="2" t="s">
        <v>45</v>
      </c>
      <c r="C166" s="2" t="s">
        <v>3015</v>
      </c>
      <c r="D166" s="2"/>
    </row>
    <row r="167" spans="1:4" ht="18" customHeight="1" x14ac:dyDescent="0.3">
      <c r="A167" s="2" t="s">
        <v>1502</v>
      </c>
      <c r="B167" s="2" t="s">
        <v>45</v>
      </c>
      <c r="C167" s="2" t="s">
        <v>3015</v>
      </c>
      <c r="D167" s="2"/>
    </row>
    <row r="168" spans="1:4" ht="18" customHeight="1" x14ac:dyDescent="0.3">
      <c r="A168" s="2" t="s">
        <v>1503</v>
      </c>
      <c r="B168" s="2" t="s">
        <v>45</v>
      </c>
      <c r="C168" s="2" t="s">
        <v>3015</v>
      </c>
      <c r="D168" s="2"/>
    </row>
    <row r="169" spans="1:4" ht="18" customHeight="1" x14ac:dyDescent="0.3">
      <c r="A169" s="2" t="s">
        <v>1504</v>
      </c>
      <c r="B169" s="2" t="s">
        <v>45</v>
      </c>
      <c r="C169" s="2" t="s">
        <v>3015</v>
      </c>
      <c r="D169" s="2"/>
    </row>
    <row r="170" spans="1:4" ht="18" customHeight="1" x14ac:dyDescent="0.3">
      <c r="A170" s="2" t="s">
        <v>1505</v>
      </c>
      <c r="B170" s="2" t="s">
        <v>45</v>
      </c>
      <c r="C170" s="2" t="s">
        <v>3015</v>
      </c>
      <c r="D170" s="2"/>
    </row>
    <row r="171" spans="1:4" ht="18" customHeight="1" x14ac:dyDescent="0.3">
      <c r="A171" s="2" t="s">
        <v>1506</v>
      </c>
      <c r="B171" s="2" t="s">
        <v>45</v>
      </c>
      <c r="C171" s="2" t="s">
        <v>3015</v>
      </c>
      <c r="D171" s="2"/>
    </row>
    <row r="172" spans="1:4" ht="18" customHeight="1" x14ac:dyDescent="0.3">
      <c r="A172" s="2" t="s">
        <v>1507</v>
      </c>
      <c r="B172" s="2" t="s">
        <v>45</v>
      </c>
      <c r="C172" s="2" t="s">
        <v>3015</v>
      </c>
      <c r="D172" s="2"/>
    </row>
    <row r="173" spans="1:4" ht="18" customHeight="1" x14ac:dyDescent="0.3">
      <c r="A173" s="2" t="s">
        <v>1508</v>
      </c>
      <c r="B173" s="2" t="s">
        <v>45</v>
      </c>
      <c r="C173" s="2" t="s">
        <v>3015</v>
      </c>
      <c r="D173" s="2"/>
    </row>
    <row r="174" spans="1:4" ht="18" customHeight="1" x14ac:dyDescent="0.3">
      <c r="A174" s="2" t="s">
        <v>1509</v>
      </c>
      <c r="B174" s="2" t="s">
        <v>45</v>
      </c>
      <c r="C174" s="2" t="s">
        <v>3015</v>
      </c>
      <c r="D174" s="2"/>
    </row>
    <row r="175" spans="1:4" ht="18" customHeight="1" x14ac:dyDescent="0.3">
      <c r="A175" s="2" t="s">
        <v>1510</v>
      </c>
      <c r="B175" s="2" t="s">
        <v>45</v>
      </c>
      <c r="C175" s="2" t="s">
        <v>3015</v>
      </c>
      <c r="D175" s="2"/>
    </row>
    <row r="176" spans="1:4" ht="18" customHeight="1" x14ac:dyDescent="0.3">
      <c r="A176" s="2" t="s">
        <v>1511</v>
      </c>
      <c r="B176" s="2" t="s">
        <v>45</v>
      </c>
      <c r="C176" s="2" t="s">
        <v>3015</v>
      </c>
      <c r="D176" s="2"/>
    </row>
    <row r="177" spans="1:4" ht="18" customHeight="1" x14ac:dyDescent="0.3">
      <c r="A177" s="2" t="s">
        <v>1512</v>
      </c>
      <c r="B177" s="2" t="s">
        <v>45</v>
      </c>
      <c r="C177" s="2" t="s">
        <v>3015</v>
      </c>
      <c r="D177" s="2"/>
    </row>
    <row r="178" spans="1:4" ht="18" customHeight="1" x14ac:dyDescent="0.3">
      <c r="A178" s="2" t="s">
        <v>1513</v>
      </c>
      <c r="B178" s="2" t="s">
        <v>45</v>
      </c>
      <c r="C178" s="2" t="s">
        <v>3015</v>
      </c>
      <c r="D178" s="2"/>
    </row>
    <row r="179" spans="1:4" ht="18" customHeight="1" x14ac:dyDescent="0.3">
      <c r="A179" s="2" t="s">
        <v>3017</v>
      </c>
      <c r="B179" s="2" t="s">
        <v>3018</v>
      </c>
      <c r="C179" s="2" t="s">
        <v>2966</v>
      </c>
      <c r="D179" s="2"/>
    </row>
    <row r="180" spans="1:4" ht="18" customHeight="1" x14ac:dyDescent="0.3">
      <c r="A180" s="2" t="s">
        <v>3019</v>
      </c>
      <c r="B180" s="2" t="s">
        <v>3018</v>
      </c>
      <c r="C180" s="2" t="s">
        <v>2966</v>
      </c>
      <c r="D180" s="2"/>
    </row>
    <row r="181" spans="1:4" ht="18" customHeight="1" x14ac:dyDescent="0.3">
      <c r="A181" s="2" t="s">
        <v>3020</v>
      </c>
      <c r="B181" s="2" t="s">
        <v>3018</v>
      </c>
      <c r="C181" s="2" t="s">
        <v>2966</v>
      </c>
      <c r="D181" s="2"/>
    </row>
    <row r="182" spans="1:4" ht="18" customHeight="1" x14ac:dyDescent="0.3">
      <c r="A182" s="2" t="s">
        <v>3021</v>
      </c>
      <c r="B182" s="2" t="s">
        <v>3018</v>
      </c>
      <c r="C182" s="2" t="s">
        <v>2966</v>
      </c>
      <c r="D182" s="2"/>
    </row>
    <row r="183" spans="1:4" ht="18" customHeight="1" x14ac:dyDescent="0.3">
      <c r="A183" s="2" t="s">
        <v>3022</v>
      </c>
      <c r="B183" s="2" t="s">
        <v>3018</v>
      </c>
      <c r="C183" s="2" t="s">
        <v>2966</v>
      </c>
      <c r="D183" s="7" t="s">
        <v>3194</v>
      </c>
    </row>
    <row r="184" spans="1:4" ht="18" customHeight="1" x14ac:dyDescent="0.3">
      <c r="A184" s="2" t="s">
        <v>265</v>
      </c>
      <c r="B184" s="2" t="s">
        <v>266</v>
      </c>
      <c r="C184" s="2" t="s">
        <v>2964</v>
      </c>
      <c r="D184" s="2"/>
    </row>
    <row r="185" spans="1:4" ht="18" customHeight="1" x14ac:dyDescent="0.3">
      <c r="A185" s="2" t="s">
        <v>1514</v>
      </c>
      <c r="B185" s="2" t="s">
        <v>266</v>
      </c>
      <c r="C185" s="2" t="s">
        <v>2964</v>
      </c>
      <c r="D185" s="2"/>
    </row>
    <row r="186" spans="1:4" ht="18" customHeight="1" x14ac:dyDescent="0.3">
      <c r="A186" s="2" t="s">
        <v>1515</v>
      </c>
      <c r="B186" s="2" t="s">
        <v>266</v>
      </c>
      <c r="C186" s="2" t="s">
        <v>2964</v>
      </c>
      <c r="D186" s="2"/>
    </row>
    <row r="187" spans="1:4" ht="18" customHeight="1" x14ac:dyDescent="0.3">
      <c r="A187" s="2" t="s">
        <v>1516</v>
      </c>
      <c r="B187" s="2" t="s">
        <v>266</v>
      </c>
      <c r="C187" s="2" t="s">
        <v>2964</v>
      </c>
      <c r="D187" s="2"/>
    </row>
    <row r="188" spans="1:4" ht="18" customHeight="1" x14ac:dyDescent="0.3">
      <c r="A188" s="2" t="s">
        <v>1517</v>
      </c>
      <c r="B188" s="2" t="s">
        <v>266</v>
      </c>
      <c r="C188" s="2" t="s">
        <v>2964</v>
      </c>
      <c r="D188" s="2"/>
    </row>
    <row r="189" spans="1:4" ht="18" customHeight="1" x14ac:dyDescent="0.3">
      <c r="A189" s="2" t="s">
        <v>1518</v>
      </c>
      <c r="B189" s="2" t="s">
        <v>266</v>
      </c>
      <c r="C189" s="2" t="s">
        <v>2964</v>
      </c>
      <c r="D189" s="2"/>
    </row>
    <row r="190" spans="1:4" ht="18" customHeight="1" x14ac:dyDescent="0.3">
      <c r="A190" s="2" t="s">
        <v>1519</v>
      </c>
      <c r="B190" s="2" t="s">
        <v>266</v>
      </c>
      <c r="C190" s="2" t="s">
        <v>2964</v>
      </c>
      <c r="D190" s="2"/>
    </row>
    <row r="191" spans="1:4" ht="18" customHeight="1" x14ac:dyDescent="0.3">
      <c r="A191" s="2" t="s">
        <v>1520</v>
      </c>
      <c r="B191" s="2" t="s">
        <v>266</v>
      </c>
      <c r="C191" s="2" t="s">
        <v>2964</v>
      </c>
      <c r="D191" s="2"/>
    </row>
    <row r="192" spans="1:4" ht="18" customHeight="1" x14ac:dyDescent="0.3">
      <c r="A192" s="2" t="s">
        <v>1521</v>
      </c>
      <c r="B192" s="2" t="s">
        <v>266</v>
      </c>
      <c r="C192" s="2" t="s">
        <v>2964</v>
      </c>
      <c r="D192" s="2"/>
    </row>
    <row r="193" spans="1:4" ht="18" customHeight="1" x14ac:dyDescent="0.3">
      <c r="A193" s="2" t="s">
        <v>1522</v>
      </c>
      <c r="B193" s="2" t="s">
        <v>266</v>
      </c>
      <c r="C193" s="2" t="s">
        <v>2964</v>
      </c>
      <c r="D193" s="2"/>
    </row>
    <row r="194" spans="1:4" ht="18" customHeight="1" x14ac:dyDescent="0.3">
      <c r="A194" s="2" t="s">
        <v>1523</v>
      </c>
      <c r="B194" s="2" t="s">
        <v>266</v>
      </c>
      <c r="C194" s="2" t="s">
        <v>2964</v>
      </c>
      <c r="D194" s="2"/>
    </row>
    <row r="195" spans="1:4" ht="18" customHeight="1" x14ac:dyDescent="0.3">
      <c r="A195" s="2" t="s">
        <v>1524</v>
      </c>
      <c r="B195" s="2" t="s">
        <v>266</v>
      </c>
      <c r="C195" s="2" t="s">
        <v>2964</v>
      </c>
      <c r="D195" s="2"/>
    </row>
    <row r="196" spans="1:4" ht="18" customHeight="1" x14ac:dyDescent="0.3">
      <c r="A196" s="2" t="s">
        <v>1525</v>
      </c>
      <c r="B196" s="2" t="s">
        <v>266</v>
      </c>
      <c r="C196" s="2" t="s">
        <v>2964</v>
      </c>
      <c r="D196" s="2"/>
    </row>
    <row r="197" spans="1:4" ht="18" customHeight="1" x14ac:dyDescent="0.3">
      <c r="A197" s="2" t="s">
        <v>1526</v>
      </c>
      <c r="B197" s="2" t="s">
        <v>266</v>
      </c>
      <c r="C197" s="2" t="s">
        <v>2964</v>
      </c>
      <c r="D197" s="2"/>
    </row>
    <row r="198" spans="1:4" ht="18" customHeight="1" x14ac:dyDescent="0.3">
      <c r="A198" s="2" t="s">
        <v>1527</v>
      </c>
      <c r="B198" s="2" t="s">
        <v>266</v>
      </c>
      <c r="C198" s="2" t="s">
        <v>2964</v>
      </c>
      <c r="D198" s="2"/>
    </row>
    <row r="199" spans="1:4" ht="18" customHeight="1" x14ac:dyDescent="0.3">
      <c r="A199" s="2" t="s">
        <v>1528</v>
      </c>
      <c r="B199" s="2" t="s">
        <v>266</v>
      </c>
      <c r="C199" s="2" t="s">
        <v>2964</v>
      </c>
      <c r="D199" s="2"/>
    </row>
    <row r="200" spans="1:4" ht="18" customHeight="1" x14ac:dyDescent="0.3">
      <c r="A200" s="2" t="s">
        <v>1529</v>
      </c>
      <c r="B200" s="2" t="s">
        <v>266</v>
      </c>
      <c r="C200" s="2" t="s">
        <v>2964</v>
      </c>
      <c r="D200" s="2"/>
    </row>
    <row r="201" spans="1:4" ht="18" customHeight="1" x14ac:dyDescent="0.3">
      <c r="A201" s="2" t="s">
        <v>1530</v>
      </c>
      <c r="B201" s="2" t="s">
        <v>266</v>
      </c>
      <c r="C201" s="2" t="s">
        <v>2964</v>
      </c>
      <c r="D201" s="2"/>
    </row>
    <row r="202" spans="1:4" ht="18" customHeight="1" x14ac:dyDescent="0.3">
      <c r="A202" s="2" t="s">
        <v>1531</v>
      </c>
      <c r="B202" s="2" t="s">
        <v>266</v>
      </c>
      <c r="C202" s="2" t="s">
        <v>2964</v>
      </c>
      <c r="D202" s="2"/>
    </row>
    <row r="203" spans="1:4" ht="18" customHeight="1" x14ac:dyDescent="0.3">
      <c r="A203" s="2" t="s">
        <v>1532</v>
      </c>
      <c r="B203" s="2" t="s">
        <v>266</v>
      </c>
      <c r="C203" s="2" t="s">
        <v>2964</v>
      </c>
      <c r="D203" s="2"/>
    </row>
    <row r="204" spans="1:4" ht="18" customHeight="1" x14ac:dyDescent="0.3">
      <c r="A204" s="2" t="s">
        <v>1533</v>
      </c>
      <c r="B204" s="2" t="s">
        <v>266</v>
      </c>
      <c r="C204" s="2" t="s">
        <v>2964</v>
      </c>
      <c r="D204" s="2"/>
    </row>
    <row r="205" spans="1:4" ht="18" customHeight="1" x14ac:dyDescent="0.3">
      <c r="A205" s="2" t="s">
        <v>1534</v>
      </c>
      <c r="B205" s="2" t="s">
        <v>266</v>
      </c>
      <c r="C205" s="2" t="s">
        <v>2964</v>
      </c>
      <c r="D205" s="2"/>
    </row>
    <row r="206" spans="1:4" ht="18" customHeight="1" x14ac:dyDescent="0.3">
      <c r="A206" s="2" t="s">
        <v>1535</v>
      </c>
      <c r="B206" s="2" t="s">
        <v>266</v>
      </c>
      <c r="C206" s="2" t="s">
        <v>2964</v>
      </c>
      <c r="D206" s="2"/>
    </row>
    <row r="207" spans="1:4" ht="18" customHeight="1" x14ac:dyDescent="0.3">
      <c r="A207" s="2" t="s">
        <v>1536</v>
      </c>
      <c r="B207" s="2" t="s">
        <v>266</v>
      </c>
      <c r="C207" s="2" t="s">
        <v>2964</v>
      </c>
      <c r="D207" s="2"/>
    </row>
    <row r="208" spans="1:4" ht="18" customHeight="1" x14ac:dyDescent="0.3">
      <c r="A208" s="2" t="s">
        <v>1537</v>
      </c>
      <c r="B208" s="2" t="s">
        <v>266</v>
      </c>
      <c r="C208" s="2" t="s">
        <v>2964</v>
      </c>
      <c r="D208" s="2"/>
    </row>
    <row r="209" spans="1:4" ht="18" customHeight="1" x14ac:dyDescent="0.3">
      <c r="A209" s="2" t="s">
        <v>1538</v>
      </c>
      <c r="B209" s="2" t="s">
        <v>266</v>
      </c>
      <c r="C209" s="2" t="s">
        <v>2964</v>
      </c>
      <c r="D209" s="2"/>
    </row>
    <row r="210" spans="1:4" ht="18" customHeight="1" x14ac:dyDescent="0.3">
      <c r="A210" s="2" t="s">
        <v>1539</v>
      </c>
      <c r="B210" s="2" t="s">
        <v>266</v>
      </c>
      <c r="C210" s="2" t="s">
        <v>2964</v>
      </c>
      <c r="D210" s="2"/>
    </row>
    <row r="211" spans="1:4" ht="18" customHeight="1" x14ac:dyDescent="0.3">
      <c r="A211" s="2" t="s">
        <v>1540</v>
      </c>
      <c r="B211" s="2" t="s">
        <v>266</v>
      </c>
      <c r="C211" s="2" t="s">
        <v>2964</v>
      </c>
      <c r="D211" s="2"/>
    </row>
    <row r="212" spans="1:4" ht="18" customHeight="1" x14ac:dyDescent="0.3">
      <c r="A212" s="2" t="s">
        <v>1541</v>
      </c>
      <c r="B212" s="2" t="s">
        <v>266</v>
      </c>
      <c r="C212" s="2" t="s">
        <v>2964</v>
      </c>
      <c r="D212" s="2"/>
    </row>
    <row r="213" spans="1:4" ht="18" customHeight="1" x14ac:dyDescent="0.3">
      <c r="A213" s="2" t="s">
        <v>1542</v>
      </c>
      <c r="B213" s="2" t="s">
        <v>266</v>
      </c>
      <c r="C213" s="2" t="s">
        <v>2964</v>
      </c>
      <c r="D213" s="2"/>
    </row>
    <row r="214" spans="1:4" ht="18" customHeight="1" x14ac:dyDescent="0.3">
      <c r="A214" s="2" t="s">
        <v>1543</v>
      </c>
      <c r="B214" s="2" t="s">
        <v>266</v>
      </c>
      <c r="C214" s="2" t="s">
        <v>2964</v>
      </c>
      <c r="D214" s="2"/>
    </row>
    <row r="215" spans="1:4" ht="18" customHeight="1" x14ac:dyDescent="0.3">
      <c r="A215" s="2" t="s">
        <v>1544</v>
      </c>
      <c r="B215" s="2" t="s">
        <v>266</v>
      </c>
      <c r="C215" s="2" t="s">
        <v>2964</v>
      </c>
      <c r="D215" s="2"/>
    </row>
    <row r="216" spans="1:4" ht="18" customHeight="1" x14ac:dyDescent="0.3">
      <c r="A216" s="2" t="s">
        <v>1545</v>
      </c>
      <c r="B216" s="2" t="s">
        <v>266</v>
      </c>
      <c r="C216" s="2" t="s">
        <v>2964</v>
      </c>
      <c r="D216" s="2"/>
    </row>
    <row r="217" spans="1:4" ht="18" customHeight="1" x14ac:dyDescent="0.3">
      <c r="A217" s="2" t="s">
        <v>1546</v>
      </c>
      <c r="B217" s="2" t="s">
        <v>266</v>
      </c>
      <c r="C217" s="2" t="s">
        <v>2964</v>
      </c>
      <c r="D217" s="2"/>
    </row>
    <row r="218" spans="1:4" ht="18" customHeight="1" x14ac:dyDescent="0.3">
      <c r="A218" s="2" t="s">
        <v>1547</v>
      </c>
      <c r="B218" s="2" t="s">
        <v>266</v>
      </c>
      <c r="C218" s="2" t="s">
        <v>2964</v>
      </c>
      <c r="D218" s="2"/>
    </row>
    <row r="219" spans="1:4" ht="18" customHeight="1" x14ac:dyDescent="0.3">
      <c r="A219" s="2" t="s">
        <v>1548</v>
      </c>
      <c r="B219" s="2" t="s">
        <v>266</v>
      </c>
      <c r="C219" s="2" t="s">
        <v>2964</v>
      </c>
      <c r="D219" s="2"/>
    </row>
    <row r="220" spans="1:4" ht="18" customHeight="1" x14ac:dyDescent="0.3">
      <c r="A220" s="2" t="s">
        <v>1549</v>
      </c>
      <c r="B220" s="2" t="s">
        <v>266</v>
      </c>
      <c r="C220" s="2" t="s">
        <v>2964</v>
      </c>
      <c r="D220" s="2"/>
    </row>
    <row r="221" spans="1:4" ht="18" customHeight="1" x14ac:dyDescent="0.3">
      <c r="A221" s="2" t="s">
        <v>1550</v>
      </c>
      <c r="B221" s="2" t="s">
        <v>266</v>
      </c>
      <c r="C221" s="2" t="s">
        <v>2964</v>
      </c>
      <c r="D221" s="2"/>
    </row>
    <row r="222" spans="1:4" ht="18" customHeight="1" x14ac:dyDescent="0.3">
      <c r="A222" s="2" t="s">
        <v>1551</v>
      </c>
      <c r="B222" s="2" t="s">
        <v>266</v>
      </c>
      <c r="C222" s="2" t="s">
        <v>2964</v>
      </c>
      <c r="D222" s="2"/>
    </row>
    <row r="223" spans="1:4" ht="18" customHeight="1" x14ac:dyDescent="0.3">
      <c r="A223" s="2" t="s">
        <v>1552</v>
      </c>
      <c r="B223" s="2" t="s">
        <v>266</v>
      </c>
      <c r="C223" s="2" t="s">
        <v>2964</v>
      </c>
      <c r="D223" s="2"/>
    </row>
    <row r="224" spans="1:4" ht="18" customHeight="1" x14ac:dyDescent="0.3">
      <c r="A224" s="2" t="s">
        <v>1553</v>
      </c>
      <c r="B224" s="2" t="s">
        <v>266</v>
      </c>
      <c r="C224" s="2" t="s">
        <v>2964</v>
      </c>
      <c r="D224" s="2"/>
    </row>
    <row r="225" spans="1:4" ht="18" customHeight="1" x14ac:dyDescent="0.3">
      <c r="A225" s="2" t="s">
        <v>1554</v>
      </c>
      <c r="B225" s="2" t="s">
        <v>266</v>
      </c>
      <c r="C225" s="2" t="s">
        <v>2964</v>
      </c>
      <c r="D225" s="2"/>
    </row>
    <row r="226" spans="1:4" ht="18" customHeight="1" x14ac:dyDescent="0.3">
      <c r="A226" s="2" t="s">
        <v>1555</v>
      </c>
      <c r="B226" s="2" t="s">
        <v>266</v>
      </c>
      <c r="C226" s="2" t="s">
        <v>2964</v>
      </c>
      <c r="D226" s="2"/>
    </row>
    <row r="227" spans="1:4" ht="18" customHeight="1" x14ac:dyDescent="0.3">
      <c r="A227" s="2" t="s">
        <v>1556</v>
      </c>
      <c r="B227" s="2" t="s">
        <v>266</v>
      </c>
      <c r="C227" s="2" t="s">
        <v>2964</v>
      </c>
      <c r="D227" s="2"/>
    </row>
    <row r="228" spans="1:4" ht="18" customHeight="1" x14ac:dyDescent="0.3">
      <c r="A228" s="2" t="s">
        <v>1557</v>
      </c>
      <c r="B228" s="2" t="s">
        <v>266</v>
      </c>
      <c r="C228" s="2" t="s">
        <v>2964</v>
      </c>
      <c r="D228" s="2"/>
    </row>
    <row r="229" spans="1:4" ht="18" customHeight="1" x14ac:dyDescent="0.3">
      <c r="A229" s="2" t="s">
        <v>1558</v>
      </c>
      <c r="B229" s="2" t="s">
        <v>266</v>
      </c>
      <c r="C229" s="2" t="s">
        <v>2964</v>
      </c>
      <c r="D229" s="2"/>
    </row>
    <row r="230" spans="1:4" ht="18" customHeight="1" x14ac:dyDescent="0.3">
      <c r="A230" s="2" t="s">
        <v>1559</v>
      </c>
      <c r="B230" s="2" t="s">
        <v>266</v>
      </c>
      <c r="C230" s="2" t="s">
        <v>2964</v>
      </c>
      <c r="D230" s="2"/>
    </row>
    <row r="231" spans="1:4" ht="18" customHeight="1" x14ac:dyDescent="0.3">
      <c r="A231" s="2" t="s">
        <v>1560</v>
      </c>
      <c r="B231" s="2" t="s">
        <v>266</v>
      </c>
      <c r="C231" s="2" t="s">
        <v>2964</v>
      </c>
      <c r="D231" s="2"/>
    </row>
    <row r="232" spans="1:4" ht="18" customHeight="1" x14ac:dyDescent="0.3">
      <c r="A232" s="2" t="s">
        <v>1561</v>
      </c>
      <c r="B232" s="2" t="s">
        <v>266</v>
      </c>
      <c r="C232" s="2" t="s">
        <v>2964</v>
      </c>
      <c r="D232" s="2"/>
    </row>
    <row r="233" spans="1:4" ht="18" customHeight="1" x14ac:dyDescent="0.3">
      <c r="A233" s="2" t="s">
        <v>1562</v>
      </c>
      <c r="B233" s="2" t="s">
        <v>266</v>
      </c>
      <c r="C233" s="2" t="s">
        <v>2964</v>
      </c>
      <c r="D233" s="2"/>
    </row>
    <row r="234" spans="1:4" ht="18" customHeight="1" x14ac:dyDescent="0.3">
      <c r="A234" s="2" t="s">
        <v>1563</v>
      </c>
      <c r="B234" s="2" t="s">
        <v>266</v>
      </c>
      <c r="C234" s="2" t="s">
        <v>2964</v>
      </c>
      <c r="D234" s="2"/>
    </row>
    <row r="235" spans="1:4" ht="18" customHeight="1" x14ac:dyDescent="0.3">
      <c r="A235" s="2" t="s">
        <v>1564</v>
      </c>
      <c r="B235" s="2" t="s">
        <v>266</v>
      </c>
      <c r="C235" s="2" t="s">
        <v>2964</v>
      </c>
      <c r="D235" s="2"/>
    </row>
    <row r="236" spans="1:4" ht="18" customHeight="1" x14ac:dyDescent="0.3">
      <c r="A236" s="2" t="s">
        <v>1565</v>
      </c>
      <c r="B236" s="2" t="s">
        <v>266</v>
      </c>
      <c r="C236" s="2" t="s">
        <v>2964</v>
      </c>
      <c r="D236" s="2"/>
    </row>
    <row r="237" spans="1:4" ht="18" customHeight="1" x14ac:dyDescent="0.3">
      <c r="A237" s="2" t="s">
        <v>1566</v>
      </c>
      <c r="B237" s="2" t="s">
        <v>266</v>
      </c>
      <c r="C237" s="2" t="s">
        <v>2964</v>
      </c>
      <c r="D237" s="2"/>
    </row>
    <row r="238" spans="1:4" ht="18" customHeight="1" x14ac:dyDescent="0.3">
      <c r="A238" s="2" t="s">
        <v>1567</v>
      </c>
      <c r="B238" s="2" t="s">
        <v>266</v>
      </c>
      <c r="C238" s="2" t="s">
        <v>2964</v>
      </c>
      <c r="D238" s="2"/>
    </row>
    <row r="239" spans="1:4" ht="18" customHeight="1" x14ac:dyDescent="0.3">
      <c r="A239" s="2" t="s">
        <v>1568</v>
      </c>
      <c r="B239" s="2" t="s">
        <v>266</v>
      </c>
      <c r="C239" s="2" t="s">
        <v>2964</v>
      </c>
      <c r="D239" s="2"/>
    </row>
    <row r="240" spans="1:4" ht="18" customHeight="1" x14ac:dyDescent="0.3">
      <c r="A240" s="2" t="s">
        <v>1569</v>
      </c>
      <c r="B240" s="2" t="s">
        <v>266</v>
      </c>
      <c r="C240" s="2" t="s">
        <v>2964</v>
      </c>
      <c r="D240" s="2"/>
    </row>
    <row r="241" spans="1:4" ht="18" customHeight="1" x14ac:dyDescent="0.3">
      <c r="A241" s="2" t="s">
        <v>1570</v>
      </c>
      <c r="B241" s="2" t="s">
        <v>266</v>
      </c>
      <c r="C241" s="2" t="s">
        <v>2964</v>
      </c>
      <c r="D241" s="2"/>
    </row>
    <row r="242" spans="1:4" ht="18" customHeight="1" x14ac:dyDescent="0.3">
      <c r="A242" s="2" t="s">
        <v>1571</v>
      </c>
      <c r="B242" s="2" t="s">
        <v>266</v>
      </c>
      <c r="C242" s="2" t="s">
        <v>2964</v>
      </c>
      <c r="D242" s="2"/>
    </row>
    <row r="243" spans="1:4" ht="18" customHeight="1" x14ac:dyDescent="0.3">
      <c r="A243" s="2" t="s">
        <v>1572</v>
      </c>
      <c r="B243" s="2" t="s">
        <v>266</v>
      </c>
      <c r="C243" s="2" t="s">
        <v>2964</v>
      </c>
      <c r="D243" s="2"/>
    </row>
    <row r="244" spans="1:4" ht="18" customHeight="1" x14ac:dyDescent="0.3">
      <c r="A244" s="2" t="s">
        <v>1573</v>
      </c>
      <c r="B244" s="2" t="s">
        <v>266</v>
      </c>
      <c r="C244" s="2" t="s">
        <v>2964</v>
      </c>
      <c r="D244" s="2"/>
    </row>
    <row r="245" spans="1:4" ht="18" customHeight="1" x14ac:dyDescent="0.3">
      <c r="A245" s="2" t="s">
        <v>1574</v>
      </c>
      <c r="B245" s="2" t="s">
        <v>266</v>
      </c>
      <c r="C245" s="2" t="s">
        <v>2964</v>
      </c>
      <c r="D245" s="2"/>
    </row>
    <row r="246" spans="1:4" ht="18" customHeight="1" x14ac:dyDescent="0.3">
      <c r="A246" s="2" t="s">
        <v>1575</v>
      </c>
      <c r="B246" s="2" t="s">
        <v>266</v>
      </c>
      <c r="C246" s="2" t="s">
        <v>2964</v>
      </c>
      <c r="D246" s="2"/>
    </row>
    <row r="247" spans="1:4" ht="18" customHeight="1" x14ac:dyDescent="0.3">
      <c r="A247" s="2" t="s">
        <v>1576</v>
      </c>
      <c r="B247" s="2" t="s">
        <v>266</v>
      </c>
      <c r="C247" s="2" t="s">
        <v>2964</v>
      </c>
      <c r="D247" s="2"/>
    </row>
    <row r="248" spans="1:4" ht="18" customHeight="1" x14ac:dyDescent="0.3">
      <c r="A248" s="2" t="s">
        <v>1577</v>
      </c>
      <c r="B248" s="2" t="s">
        <v>266</v>
      </c>
      <c r="C248" s="2" t="s">
        <v>2964</v>
      </c>
      <c r="D248" s="2"/>
    </row>
    <row r="249" spans="1:4" ht="18" customHeight="1" x14ac:dyDescent="0.3">
      <c r="A249" s="2" t="s">
        <v>1578</v>
      </c>
      <c r="B249" s="2" t="s">
        <v>266</v>
      </c>
      <c r="C249" s="2" t="s">
        <v>2964</v>
      </c>
      <c r="D249" s="2"/>
    </row>
    <row r="250" spans="1:4" ht="18" customHeight="1" x14ac:dyDescent="0.3">
      <c r="A250" s="2" t="s">
        <v>1579</v>
      </c>
      <c r="B250" s="2" t="s">
        <v>266</v>
      </c>
      <c r="C250" s="2" t="s">
        <v>2964</v>
      </c>
      <c r="D250" s="2"/>
    </row>
    <row r="251" spans="1:4" ht="18" customHeight="1" x14ac:dyDescent="0.3">
      <c r="A251" s="2" t="s">
        <v>1580</v>
      </c>
      <c r="B251" s="2" t="s">
        <v>266</v>
      </c>
      <c r="C251" s="2" t="s">
        <v>2964</v>
      </c>
      <c r="D251" s="2"/>
    </row>
    <row r="252" spans="1:4" ht="18" customHeight="1" x14ac:dyDescent="0.3">
      <c r="A252" s="2" t="s">
        <v>1581</v>
      </c>
      <c r="B252" s="2" t="s">
        <v>266</v>
      </c>
      <c r="C252" s="2" t="s">
        <v>2964</v>
      </c>
      <c r="D252" s="2"/>
    </row>
    <row r="253" spans="1:4" ht="18" customHeight="1" x14ac:dyDescent="0.3">
      <c r="A253" s="2" t="s">
        <v>1582</v>
      </c>
      <c r="B253" s="2" t="s">
        <v>266</v>
      </c>
      <c r="C253" s="2" t="s">
        <v>2964</v>
      </c>
      <c r="D253" s="2"/>
    </row>
    <row r="254" spans="1:4" ht="18" customHeight="1" x14ac:dyDescent="0.3">
      <c r="A254" s="2" t="s">
        <v>1583</v>
      </c>
      <c r="B254" s="2" t="s">
        <v>266</v>
      </c>
      <c r="C254" s="2" t="s">
        <v>2964</v>
      </c>
      <c r="D254" s="2"/>
    </row>
    <row r="255" spans="1:4" ht="18" customHeight="1" x14ac:dyDescent="0.3">
      <c r="A255" s="2" t="s">
        <v>1584</v>
      </c>
      <c r="B255" s="2" t="s">
        <v>266</v>
      </c>
      <c r="C255" s="2" t="s">
        <v>2964</v>
      </c>
      <c r="D255" s="2"/>
    </row>
    <row r="256" spans="1:4" ht="18" customHeight="1" x14ac:dyDescent="0.3">
      <c r="A256" s="2" t="s">
        <v>1585</v>
      </c>
      <c r="B256" s="2" t="s">
        <v>266</v>
      </c>
      <c r="C256" s="2" t="s">
        <v>2964</v>
      </c>
      <c r="D256" s="2"/>
    </row>
    <row r="257" spans="1:4" ht="18" customHeight="1" x14ac:dyDescent="0.3">
      <c r="A257" s="2" t="s">
        <v>1586</v>
      </c>
      <c r="B257" s="2" t="s">
        <v>266</v>
      </c>
      <c r="C257" s="2" t="s">
        <v>2964</v>
      </c>
      <c r="D257" s="2"/>
    </row>
    <row r="258" spans="1:4" ht="18" customHeight="1" x14ac:dyDescent="0.3">
      <c r="A258" s="2" t="s">
        <v>1587</v>
      </c>
      <c r="B258" s="2" t="s">
        <v>266</v>
      </c>
      <c r="C258" s="2" t="s">
        <v>2964</v>
      </c>
      <c r="D258" s="2"/>
    </row>
    <row r="259" spans="1:4" ht="18" customHeight="1" x14ac:dyDescent="0.3">
      <c r="A259" s="2" t="s">
        <v>1588</v>
      </c>
      <c r="B259" s="2" t="s">
        <v>266</v>
      </c>
      <c r="C259" s="2" t="s">
        <v>2964</v>
      </c>
      <c r="D259" s="2"/>
    </row>
    <row r="260" spans="1:4" ht="18" customHeight="1" x14ac:dyDescent="0.3">
      <c r="A260" s="2" t="s">
        <v>1589</v>
      </c>
      <c r="B260" s="2" t="s">
        <v>266</v>
      </c>
      <c r="C260" s="2" t="s">
        <v>2964</v>
      </c>
      <c r="D260" s="2"/>
    </row>
    <row r="261" spans="1:4" ht="18" customHeight="1" x14ac:dyDescent="0.3">
      <c r="A261" s="2" t="s">
        <v>1590</v>
      </c>
      <c r="B261" s="2" t="s">
        <v>266</v>
      </c>
      <c r="C261" s="2" t="s">
        <v>2964</v>
      </c>
      <c r="D261" s="2"/>
    </row>
    <row r="262" spans="1:4" ht="18" customHeight="1" x14ac:dyDescent="0.3">
      <c r="A262" s="2" t="s">
        <v>1591</v>
      </c>
      <c r="B262" s="2" t="s">
        <v>266</v>
      </c>
      <c r="C262" s="2" t="s">
        <v>2964</v>
      </c>
      <c r="D262" s="2"/>
    </row>
    <row r="263" spans="1:4" ht="18" customHeight="1" x14ac:dyDescent="0.3">
      <c r="A263" s="2" t="s">
        <v>1592</v>
      </c>
      <c r="B263" s="2" t="s">
        <v>266</v>
      </c>
      <c r="C263" s="2" t="s">
        <v>2964</v>
      </c>
      <c r="D263" s="2"/>
    </row>
    <row r="264" spans="1:4" ht="18" customHeight="1" x14ac:dyDescent="0.3">
      <c r="A264" s="2" t="s">
        <v>1593</v>
      </c>
      <c r="B264" s="2" t="s">
        <v>266</v>
      </c>
      <c r="C264" s="2" t="s">
        <v>2964</v>
      </c>
      <c r="D264" s="2"/>
    </row>
    <row r="265" spans="1:4" ht="18" customHeight="1" x14ac:dyDescent="0.3">
      <c r="A265" s="2" t="s">
        <v>1594</v>
      </c>
      <c r="B265" s="2" t="s">
        <v>266</v>
      </c>
      <c r="C265" s="2" t="s">
        <v>2964</v>
      </c>
      <c r="D265" s="2"/>
    </row>
    <row r="266" spans="1:4" ht="18" customHeight="1" x14ac:dyDescent="0.3">
      <c r="A266" s="2" t="s">
        <v>1595</v>
      </c>
      <c r="B266" s="2" t="s">
        <v>266</v>
      </c>
      <c r="C266" s="2" t="s">
        <v>2964</v>
      </c>
      <c r="D266" s="2"/>
    </row>
    <row r="267" spans="1:4" ht="18" customHeight="1" x14ac:dyDescent="0.3">
      <c r="A267" s="2" t="s">
        <v>1596</v>
      </c>
      <c r="B267" s="2" t="s">
        <v>266</v>
      </c>
      <c r="C267" s="2" t="s">
        <v>2964</v>
      </c>
      <c r="D267" s="2"/>
    </row>
    <row r="268" spans="1:4" ht="18" customHeight="1" x14ac:dyDescent="0.3">
      <c r="A268" s="2" t="s">
        <v>1597</v>
      </c>
      <c r="B268" s="2" t="s">
        <v>266</v>
      </c>
      <c r="C268" s="2" t="s">
        <v>2964</v>
      </c>
      <c r="D268" s="2"/>
    </row>
    <row r="269" spans="1:4" ht="18" customHeight="1" x14ac:dyDescent="0.3">
      <c r="A269" s="2" t="s">
        <v>1598</v>
      </c>
      <c r="B269" s="2" t="s">
        <v>266</v>
      </c>
      <c r="C269" s="2" t="s">
        <v>2964</v>
      </c>
      <c r="D269" s="2"/>
    </row>
    <row r="270" spans="1:4" ht="18" customHeight="1" x14ac:dyDescent="0.3">
      <c r="A270" s="2" t="s">
        <v>1599</v>
      </c>
      <c r="B270" s="2" t="s">
        <v>266</v>
      </c>
      <c r="C270" s="2" t="s">
        <v>2964</v>
      </c>
      <c r="D270" s="2"/>
    </row>
    <row r="271" spans="1:4" ht="18" customHeight="1" x14ac:dyDescent="0.3">
      <c r="A271" s="2" t="s">
        <v>1600</v>
      </c>
      <c r="B271" s="2" t="s">
        <v>266</v>
      </c>
      <c r="C271" s="2" t="s">
        <v>2964</v>
      </c>
      <c r="D271" s="2"/>
    </row>
    <row r="272" spans="1:4" ht="18" customHeight="1" x14ac:dyDescent="0.3">
      <c r="A272" s="2" t="s">
        <v>1601</v>
      </c>
      <c r="B272" s="2" t="s">
        <v>266</v>
      </c>
      <c r="C272" s="2" t="s">
        <v>2964</v>
      </c>
      <c r="D272" s="2"/>
    </row>
    <row r="273" spans="1:4" ht="18" customHeight="1" x14ac:dyDescent="0.3">
      <c r="A273" s="2" t="s">
        <v>1602</v>
      </c>
      <c r="B273" s="2" t="s">
        <v>266</v>
      </c>
      <c r="C273" s="2" t="s">
        <v>2964</v>
      </c>
      <c r="D273" s="2"/>
    </row>
    <row r="274" spans="1:4" ht="18" customHeight="1" x14ac:dyDescent="0.3">
      <c r="A274" s="2" t="s">
        <v>1603</v>
      </c>
      <c r="B274" s="2" t="s">
        <v>266</v>
      </c>
      <c r="C274" s="2" t="s">
        <v>2964</v>
      </c>
      <c r="D274" s="2"/>
    </row>
    <row r="275" spans="1:4" ht="18" customHeight="1" x14ac:dyDescent="0.3">
      <c r="A275" s="2" t="s">
        <v>1604</v>
      </c>
      <c r="B275" s="2" t="s">
        <v>266</v>
      </c>
      <c r="C275" s="2" t="s">
        <v>2964</v>
      </c>
      <c r="D275" s="2"/>
    </row>
    <row r="276" spans="1:4" ht="18" customHeight="1" x14ac:dyDescent="0.3">
      <c r="A276" s="2" t="s">
        <v>1605</v>
      </c>
      <c r="B276" s="2" t="s">
        <v>266</v>
      </c>
      <c r="C276" s="2" t="s">
        <v>2964</v>
      </c>
      <c r="D276" s="2"/>
    </row>
    <row r="277" spans="1:4" ht="18" customHeight="1" x14ac:dyDescent="0.3">
      <c r="A277" s="2" t="s">
        <v>1606</v>
      </c>
      <c r="B277" s="2" t="s">
        <v>266</v>
      </c>
      <c r="C277" s="2" t="s">
        <v>2964</v>
      </c>
      <c r="D277" s="2"/>
    </row>
    <row r="278" spans="1:4" ht="18" customHeight="1" x14ac:dyDescent="0.3">
      <c r="A278" s="2" t="s">
        <v>1607</v>
      </c>
      <c r="B278" s="2" t="s">
        <v>266</v>
      </c>
      <c r="C278" s="2" t="s">
        <v>2964</v>
      </c>
      <c r="D278" s="2"/>
    </row>
    <row r="279" spans="1:4" ht="18" customHeight="1" x14ac:dyDescent="0.3">
      <c r="A279" s="2" t="s">
        <v>1608</v>
      </c>
      <c r="B279" s="2" t="s">
        <v>266</v>
      </c>
      <c r="C279" s="2" t="s">
        <v>2964</v>
      </c>
      <c r="D279" s="2"/>
    </row>
    <row r="280" spans="1:4" ht="18" customHeight="1" x14ac:dyDescent="0.3">
      <c r="A280" s="2" t="s">
        <v>1609</v>
      </c>
      <c r="B280" s="2" t="s">
        <v>266</v>
      </c>
      <c r="C280" s="2" t="s">
        <v>2964</v>
      </c>
      <c r="D280" s="2"/>
    </row>
    <row r="281" spans="1:4" ht="18" customHeight="1" x14ac:dyDescent="0.3">
      <c r="A281" s="2" t="s">
        <v>1610</v>
      </c>
      <c r="B281" s="2" t="s">
        <v>266</v>
      </c>
      <c r="C281" s="2" t="s">
        <v>2964</v>
      </c>
      <c r="D281" s="2"/>
    </row>
    <row r="282" spans="1:4" ht="18" customHeight="1" x14ac:dyDescent="0.3">
      <c r="A282" s="2" t="s">
        <v>1611</v>
      </c>
      <c r="B282" s="2" t="s">
        <v>266</v>
      </c>
      <c r="C282" s="2" t="s">
        <v>2964</v>
      </c>
      <c r="D282" s="2"/>
    </row>
    <row r="283" spans="1:4" ht="18" customHeight="1" x14ac:dyDescent="0.3">
      <c r="A283" s="2" t="s">
        <v>1612</v>
      </c>
      <c r="B283" s="2" t="s">
        <v>266</v>
      </c>
      <c r="C283" s="2" t="s">
        <v>2964</v>
      </c>
      <c r="D283" s="2"/>
    </row>
    <row r="284" spans="1:4" ht="18" customHeight="1" x14ac:dyDescent="0.3">
      <c r="A284" s="2" t="s">
        <v>1613</v>
      </c>
      <c r="B284" s="2" t="s">
        <v>266</v>
      </c>
      <c r="C284" s="2" t="s">
        <v>2964</v>
      </c>
      <c r="D284" s="2"/>
    </row>
    <row r="285" spans="1:4" ht="18" customHeight="1" x14ac:dyDescent="0.3">
      <c r="A285" s="2" t="s">
        <v>1614</v>
      </c>
      <c r="B285" s="2" t="s">
        <v>266</v>
      </c>
      <c r="C285" s="2" t="s">
        <v>2964</v>
      </c>
      <c r="D285" s="2"/>
    </row>
    <row r="286" spans="1:4" ht="18" customHeight="1" x14ac:dyDescent="0.3">
      <c r="A286" s="2" t="s">
        <v>1615</v>
      </c>
      <c r="B286" s="2" t="s">
        <v>266</v>
      </c>
      <c r="C286" s="2" t="s">
        <v>2964</v>
      </c>
      <c r="D286" s="2"/>
    </row>
    <row r="287" spans="1:4" ht="18" customHeight="1" x14ac:dyDescent="0.3">
      <c r="A287" s="2" t="s">
        <v>1616</v>
      </c>
      <c r="B287" s="2" t="s">
        <v>266</v>
      </c>
      <c r="C287" s="2" t="s">
        <v>2964</v>
      </c>
      <c r="D287" s="2"/>
    </row>
    <row r="288" spans="1:4" ht="18" customHeight="1" x14ac:dyDescent="0.3">
      <c r="A288" s="2" t="s">
        <v>1617</v>
      </c>
      <c r="B288" s="2" t="s">
        <v>266</v>
      </c>
      <c r="C288" s="2" t="s">
        <v>2964</v>
      </c>
      <c r="D288" s="2"/>
    </row>
    <row r="289" spans="1:4" ht="18" customHeight="1" x14ac:dyDescent="0.3">
      <c r="A289" s="2" t="s">
        <v>1618</v>
      </c>
      <c r="B289" s="2" t="s">
        <v>266</v>
      </c>
      <c r="C289" s="2" t="s">
        <v>2964</v>
      </c>
      <c r="D289" s="2"/>
    </row>
    <row r="290" spans="1:4" ht="18" customHeight="1" x14ac:dyDescent="0.3">
      <c r="A290" s="2" t="s">
        <v>1619</v>
      </c>
      <c r="B290" s="2" t="s">
        <v>266</v>
      </c>
      <c r="C290" s="2" t="s">
        <v>2964</v>
      </c>
      <c r="D290" s="2"/>
    </row>
    <row r="291" spans="1:4" ht="18" customHeight="1" x14ac:dyDescent="0.3">
      <c r="A291" s="2" t="s">
        <v>1620</v>
      </c>
      <c r="B291" s="2" t="s">
        <v>266</v>
      </c>
      <c r="C291" s="2" t="s">
        <v>2964</v>
      </c>
      <c r="D291" s="2"/>
    </row>
    <row r="292" spans="1:4" ht="18" customHeight="1" x14ac:dyDescent="0.3">
      <c r="A292" s="2" t="s">
        <v>1621</v>
      </c>
      <c r="B292" s="2" t="s">
        <v>266</v>
      </c>
      <c r="C292" s="2" t="s">
        <v>2964</v>
      </c>
      <c r="D292" s="2"/>
    </row>
    <row r="293" spans="1:4" ht="18" customHeight="1" x14ac:dyDescent="0.3">
      <c r="A293" s="2" t="s">
        <v>1622</v>
      </c>
      <c r="B293" s="2" t="s">
        <v>266</v>
      </c>
      <c r="C293" s="2" t="s">
        <v>2964</v>
      </c>
      <c r="D293" s="2"/>
    </row>
    <row r="294" spans="1:4" ht="18" customHeight="1" x14ac:dyDescent="0.3">
      <c r="A294" s="2" t="s">
        <v>1623</v>
      </c>
      <c r="B294" s="2" t="s">
        <v>266</v>
      </c>
      <c r="C294" s="2" t="s">
        <v>2964</v>
      </c>
      <c r="D294" s="2"/>
    </row>
    <row r="295" spans="1:4" ht="18" customHeight="1" x14ac:dyDescent="0.3">
      <c r="A295" s="2" t="s">
        <v>1624</v>
      </c>
      <c r="B295" s="2" t="s">
        <v>266</v>
      </c>
      <c r="C295" s="2" t="s">
        <v>2964</v>
      </c>
      <c r="D295" s="2"/>
    </row>
    <row r="296" spans="1:4" ht="18" customHeight="1" x14ac:dyDescent="0.3">
      <c r="A296" s="2" t="s">
        <v>1625</v>
      </c>
      <c r="B296" s="2" t="s">
        <v>266</v>
      </c>
      <c r="C296" s="2" t="s">
        <v>2964</v>
      </c>
      <c r="D296" s="2"/>
    </row>
    <row r="297" spans="1:4" ht="18" customHeight="1" x14ac:dyDescent="0.3">
      <c r="A297" s="2" t="s">
        <v>1626</v>
      </c>
      <c r="B297" s="2" t="s">
        <v>266</v>
      </c>
      <c r="C297" s="2" t="s">
        <v>2964</v>
      </c>
      <c r="D297" s="2"/>
    </row>
    <row r="298" spans="1:4" ht="18" customHeight="1" x14ac:dyDescent="0.3">
      <c r="A298" s="2" t="s">
        <v>1627</v>
      </c>
      <c r="B298" s="2" t="s">
        <v>266</v>
      </c>
      <c r="C298" s="2" t="s">
        <v>2964</v>
      </c>
      <c r="D298" s="2"/>
    </row>
    <row r="299" spans="1:4" ht="18" customHeight="1" x14ac:dyDescent="0.3">
      <c r="A299" s="2" t="s">
        <v>1628</v>
      </c>
      <c r="B299" s="2" t="s">
        <v>266</v>
      </c>
      <c r="C299" s="2" t="s">
        <v>2964</v>
      </c>
      <c r="D299" s="2"/>
    </row>
    <row r="300" spans="1:4" ht="18" customHeight="1" x14ac:dyDescent="0.3">
      <c r="A300" s="2" t="s">
        <v>1629</v>
      </c>
      <c r="B300" s="2" t="s">
        <v>266</v>
      </c>
      <c r="C300" s="2" t="s">
        <v>2964</v>
      </c>
      <c r="D300" s="2"/>
    </row>
    <row r="301" spans="1:4" x14ac:dyDescent="0.3">
      <c r="A301" s="2" t="s">
        <v>1630</v>
      </c>
      <c r="B301" s="2" t="s">
        <v>266</v>
      </c>
      <c r="C301" s="2" t="s">
        <v>2964</v>
      </c>
      <c r="D301" s="2"/>
    </row>
    <row r="302" spans="1:4" x14ac:dyDescent="0.3">
      <c r="A302" s="2" t="s">
        <v>1631</v>
      </c>
      <c r="B302" s="2" t="s">
        <v>266</v>
      </c>
      <c r="C302" s="2" t="s">
        <v>2964</v>
      </c>
      <c r="D302" s="2"/>
    </row>
    <row r="303" spans="1:4" x14ac:dyDescent="0.3">
      <c r="A303" s="2" t="s">
        <v>1632</v>
      </c>
      <c r="B303" s="2" t="s">
        <v>266</v>
      </c>
      <c r="C303" s="2" t="s">
        <v>2964</v>
      </c>
      <c r="D303" s="2"/>
    </row>
    <row r="304" spans="1:4" x14ac:dyDescent="0.3">
      <c r="A304" s="2" t="s">
        <v>1633</v>
      </c>
      <c r="B304" s="2" t="s">
        <v>266</v>
      </c>
      <c r="C304" s="2" t="s">
        <v>2964</v>
      </c>
      <c r="D304" s="2"/>
    </row>
    <row r="305" spans="1:4" x14ac:dyDescent="0.3">
      <c r="A305" s="2" t="s">
        <v>1634</v>
      </c>
      <c r="B305" s="2" t="s">
        <v>266</v>
      </c>
      <c r="C305" s="2" t="s">
        <v>2964</v>
      </c>
      <c r="D305" s="2"/>
    </row>
    <row r="306" spans="1:4" x14ac:dyDescent="0.3">
      <c r="A306" s="2" t="s">
        <v>1635</v>
      </c>
      <c r="B306" s="2" t="s">
        <v>266</v>
      </c>
      <c r="C306" s="2" t="s">
        <v>2964</v>
      </c>
      <c r="D306" s="2"/>
    </row>
    <row r="307" spans="1:4" x14ac:dyDescent="0.3">
      <c r="A307" s="2" t="s">
        <v>1636</v>
      </c>
      <c r="B307" s="2" t="s">
        <v>266</v>
      </c>
      <c r="C307" s="2" t="s">
        <v>2964</v>
      </c>
      <c r="D307" s="2"/>
    </row>
    <row r="308" spans="1:4" x14ac:dyDescent="0.3">
      <c r="A308" s="2" t="s">
        <v>1637</v>
      </c>
      <c r="B308" s="2" t="s">
        <v>266</v>
      </c>
      <c r="C308" s="2" t="s">
        <v>2964</v>
      </c>
      <c r="D308" s="2"/>
    </row>
    <row r="309" spans="1:4" x14ac:dyDescent="0.3">
      <c r="A309" s="2" t="s">
        <v>1638</v>
      </c>
      <c r="B309" s="2" t="s">
        <v>266</v>
      </c>
      <c r="C309" s="2" t="s">
        <v>2964</v>
      </c>
      <c r="D309" s="2"/>
    </row>
    <row r="310" spans="1:4" x14ac:dyDescent="0.3">
      <c r="A310" s="2" t="s">
        <v>1639</v>
      </c>
      <c r="B310" s="2" t="s">
        <v>266</v>
      </c>
      <c r="C310" s="2" t="s">
        <v>2964</v>
      </c>
      <c r="D310" s="2"/>
    </row>
    <row r="311" spans="1:4" x14ac:dyDescent="0.3">
      <c r="A311" s="2" t="s">
        <v>1640</v>
      </c>
      <c r="B311" s="2" t="s">
        <v>266</v>
      </c>
      <c r="C311" s="2" t="s">
        <v>2964</v>
      </c>
      <c r="D311" s="2"/>
    </row>
    <row r="312" spans="1:4" x14ac:dyDescent="0.3">
      <c r="A312" s="2" t="s">
        <v>1641</v>
      </c>
      <c r="B312" s="2" t="s">
        <v>266</v>
      </c>
      <c r="C312" s="2" t="s">
        <v>2964</v>
      </c>
      <c r="D312" s="2"/>
    </row>
    <row r="313" spans="1:4" x14ac:dyDescent="0.3">
      <c r="A313" s="2" t="s">
        <v>1642</v>
      </c>
      <c r="B313" s="2" t="s">
        <v>266</v>
      </c>
      <c r="C313" s="2" t="s">
        <v>2964</v>
      </c>
      <c r="D313" s="2"/>
    </row>
    <row r="314" spans="1:4" x14ac:dyDescent="0.3">
      <c r="A314" s="2" t="s">
        <v>1643</v>
      </c>
      <c r="B314" s="2" t="s">
        <v>266</v>
      </c>
      <c r="C314" s="2" t="s">
        <v>2964</v>
      </c>
      <c r="D314" s="2"/>
    </row>
    <row r="315" spans="1:4" x14ac:dyDescent="0.3">
      <c r="A315" s="2" t="s">
        <v>1644</v>
      </c>
      <c r="B315" s="2" t="s">
        <v>266</v>
      </c>
      <c r="C315" s="2" t="s">
        <v>2964</v>
      </c>
      <c r="D315" s="2"/>
    </row>
    <row r="316" spans="1:4" x14ac:dyDescent="0.3">
      <c r="A316" s="2" t="s">
        <v>1645</v>
      </c>
      <c r="B316" s="2" t="s">
        <v>266</v>
      </c>
      <c r="C316" s="2" t="s">
        <v>2964</v>
      </c>
      <c r="D316" s="2"/>
    </row>
    <row r="317" spans="1:4" x14ac:dyDescent="0.3">
      <c r="A317" s="2" t="s">
        <v>1646</v>
      </c>
      <c r="B317" s="2" t="s">
        <v>266</v>
      </c>
      <c r="C317" s="2" t="s">
        <v>2964</v>
      </c>
      <c r="D317" s="2"/>
    </row>
    <row r="318" spans="1:4" x14ac:dyDescent="0.3">
      <c r="A318" s="2" t="s">
        <v>1647</v>
      </c>
      <c r="B318" s="2" t="s">
        <v>266</v>
      </c>
      <c r="C318" s="2" t="s">
        <v>2964</v>
      </c>
      <c r="D318" s="2"/>
    </row>
    <row r="319" spans="1:4" x14ac:dyDescent="0.3">
      <c r="A319" s="2" t="s">
        <v>1648</v>
      </c>
      <c r="B319" s="2" t="s">
        <v>266</v>
      </c>
      <c r="C319" s="2" t="s">
        <v>2964</v>
      </c>
      <c r="D319" s="2"/>
    </row>
    <row r="320" spans="1:4" x14ac:dyDescent="0.3">
      <c r="A320" s="2" t="s">
        <v>1649</v>
      </c>
      <c r="B320" s="2" t="s">
        <v>266</v>
      </c>
      <c r="C320" s="2" t="s">
        <v>2964</v>
      </c>
      <c r="D320" s="2"/>
    </row>
    <row r="321" spans="1:4" x14ac:dyDescent="0.3">
      <c r="A321" s="2" t="s">
        <v>1650</v>
      </c>
      <c r="B321" s="2" t="s">
        <v>266</v>
      </c>
      <c r="C321" s="2" t="s">
        <v>2964</v>
      </c>
      <c r="D321" s="2"/>
    </row>
    <row r="322" spans="1:4" x14ac:dyDescent="0.3">
      <c r="A322" s="2" t="s">
        <v>1651</v>
      </c>
      <c r="B322" s="2" t="s">
        <v>266</v>
      </c>
      <c r="C322" s="2" t="s">
        <v>2964</v>
      </c>
      <c r="D322" s="2"/>
    </row>
    <row r="323" spans="1:4" x14ac:dyDescent="0.3">
      <c r="A323" s="2" t="s">
        <v>1652</v>
      </c>
      <c r="B323" s="2" t="s">
        <v>266</v>
      </c>
      <c r="C323" s="2" t="s">
        <v>2964</v>
      </c>
      <c r="D323" s="2"/>
    </row>
    <row r="324" spans="1:4" x14ac:dyDescent="0.3">
      <c r="A324" s="2" t="s">
        <v>1653</v>
      </c>
      <c r="B324" s="2" t="s">
        <v>266</v>
      </c>
      <c r="C324" s="2" t="s">
        <v>2964</v>
      </c>
      <c r="D324" s="2"/>
    </row>
    <row r="325" spans="1:4" x14ac:dyDescent="0.3">
      <c r="A325" s="2" t="s">
        <v>1654</v>
      </c>
      <c r="B325" s="2" t="s">
        <v>266</v>
      </c>
      <c r="C325" s="2" t="s">
        <v>2964</v>
      </c>
      <c r="D325" s="2"/>
    </row>
    <row r="326" spans="1:4" x14ac:dyDescent="0.3">
      <c r="A326" s="2" t="s">
        <v>1655</v>
      </c>
      <c r="B326" s="2" t="s">
        <v>266</v>
      </c>
      <c r="C326" s="2" t="s">
        <v>2964</v>
      </c>
      <c r="D326" s="2"/>
    </row>
    <row r="327" spans="1:4" x14ac:dyDescent="0.3">
      <c r="A327" s="2" t="s">
        <v>1656</v>
      </c>
      <c r="B327" s="2" t="s">
        <v>266</v>
      </c>
      <c r="C327" s="2" t="s">
        <v>2964</v>
      </c>
      <c r="D327" s="2"/>
    </row>
    <row r="328" spans="1:4" x14ac:dyDescent="0.3">
      <c r="A328" s="2" t="s">
        <v>1657</v>
      </c>
      <c r="B328" s="2" t="s">
        <v>266</v>
      </c>
      <c r="C328" s="2" t="s">
        <v>2964</v>
      </c>
      <c r="D328" s="2"/>
    </row>
    <row r="329" spans="1:4" x14ac:dyDescent="0.3">
      <c r="A329" s="2" t="s">
        <v>1658</v>
      </c>
      <c r="B329" s="2" t="s">
        <v>266</v>
      </c>
      <c r="C329" s="2" t="s">
        <v>2964</v>
      </c>
      <c r="D329" s="2"/>
    </row>
    <row r="330" spans="1:4" x14ac:dyDescent="0.3">
      <c r="A330" s="2" t="s">
        <v>1659</v>
      </c>
      <c r="B330" s="2" t="s">
        <v>266</v>
      </c>
      <c r="C330" s="2" t="s">
        <v>2964</v>
      </c>
      <c r="D330" s="2"/>
    </row>
    <row r="331" spans="1:4" x14ac:dyDescent="0.3">
      <c r="A331" s="2" t="s">
        <v>1660</v>
      </c>
      <c r="B331" s="2" t="s">
        <v>266</v>
      </c>
      <c r="C331" s="2" t="s">
        <v>2964</v>
      </c>
      <c r="D331" s="2"/>
    </row>
    <row r="332" spans="1:4" x14ac:dyDescent="0.3">
      <c r="A332" s="2" t="s">
        <v>1661</v>
      </c>
      <c r="B332" s="2" t="s">
        <v>266</v>
      </c>
      <c r="C332" s="2" t="s">
        <v>2964</v>
      </c>
      <c r="D332" s="2"/>
    </row>
    <row r="333" spans="1:4" x14ac:dyDescent="0.3">
      <c r="A333" s="2" t="s">
        <v>1662</v>
      </c>
      <c r="B333" s="2" t="s">
        <v>266</v>
      </c>
      <c r="C333" s="2" t="s">
        <v>2964</v>
      </c>
      <c r="D333" s="2"/>
    </row>
    <row r="334" spans="1:4" x14ac:dyDescent="0.3">
      <c r="A334" s="2" t="s">
        <v>1663</v>
      </c>
      <c r="B334" s="2" t="s">
        <v>266</v>
      </c>
      <c r="C334" s="2" t="s">
        <v>2964</v>
      </c>
      <c r="D334" s="2"/>
    </row>
    <row r="335" spans="1:4" x14ac:dyDescent="0.3">
      <c r="A335" s="2" t="s">
        <v>1664</v>
      </c>
      <c r="B335" s="2" t="s">
        <v>266</v>
      </c>
      <c r="C335" s="2" t="s">
        <v>2964</v>
      </c>
      <c r="D335" s="2"/>
    </row>
    <row r="336" spans="1:4" x14ac:dyDescent="0.3">
      <c r="A336" s="2" t="s">
        <v>1665</v>
      </c>
      <c r="B336" s="2" t="s">
        <v>266</v>
      </c>
      <c r="C336" s="2" t="s">
        <v>2964</v>
      </c>
      <c r="D336" s="2"/>
    </row>
    <row r="337" spans="1:4" x14ac:dyDescent="0.3">
      <c r="A337" s="2" t="s">
        <v>1666</v>
      </c>
      <c r="B337" s="2" t="s">
        <v>266</v>
      </c>
      <c r="C337" s="2" t="s">
        <v>2964</v>
      </c>
      <c r="D337" s="2"/>
    </row>
    <row r="338" spans="1:4" x14ac:dyDescent="0.3">
      <c r="A338" s="2" t="s">
        <v>1667</v>
      </c>
      <c r="B338" s="2" t="s">
        <v>266</v>
      </c>
      <c r="C338" s="2" t="s">
        <v>2964</v>
      </c>
      <c r="D338" s="2"/>
    </row>
    <row r="339" spans="1:4" x14ac:dyDescent="0.3">
      <c r="A339" s="2" t="s">
        <v>1668</v>
      </c>
      <c r="B339" s="2" t="s">
        <v>266</v>
      </c>
      <c r="C339" s="2" t="s">
        <v>2964</v>
      </c>
      <c r="D339" s="2"/>
    </row>
    <row r="340" spans="1:4" x14ac:dyDescent="0.3">
      <c r="A340" s="2" t="s">
        <v>1669</v>
      </c>
      <c r="B340" s="2" t="s">
        <v>266</v>
      </c>
      <c r="C340" s="2" t="s">
        <v>2964</v>
      </c>
      <c r="D340" s="2"/>
    </row>
    <row r="341" spans="1:4" x14ac:dyDescent="0.3">
      <c r="A341" s="2" t="s">
        <v>1670</v>
      </c>
      <c r="B341" s="2" t="s">
        <v>266</v>
      </c>
      <c r="C341" s="2" t="s">
        <v>2964</v>
      </c>
      <c r="D341" s="2"/>
    </row>
    <row r="342" spans="1:4" x14ac:dyDescent="0.3">
      <c r="A342" s="2" t="s">
        <v>1671</v>
      </c>
      <c r="B342" s="2" t="s">
        <v>266</v>
      </c>
      <c r="C342" s="2" t="s">
        <v>2964</v>
      </c>
      <c r="D342" s="2"/>
    </row>
    <row r="343" spans="1:4" x14ac:dyDescent="0.3">
      <c r="A343" s="2" t="s">
        <v>1672</v>
      </c>
      <c r="B343" s="2" t="s">
        <v>266</v>
      </c>
      <c r="C343" s="2" t="s">
        <v>2964</v>
      </c>
      <c r="D343" s="2"/>
    </row>
    <row r="344" spans="1:4" x14ac:dyDescent="0.3">
      <c r="A344" s="2" t="s">
        <v>1673</v>
      </c>
      <c r="B344" s="2" t="s">
        <v>266</v>
      </c>
      <c r="C344" s="2" t="s">
        <v>2964</v>
      </c>
      <c r="D344" s="2"/>
    </row>
    <row r="345" spans="1:4" x14ac:dyDescent="0.3">
      <c r="A345" s="2" t="s">
        <v>1674</v>
      </c>
      <c r="B345" s="2" t="s">
        <v>266</v>
      </c>
      <c r="C345" s="2" t="s">
        <v>2964</v>
      </c>
      <c r="D345" s="2"/>
    </row>
    <row r="346" spans="1:4" x14ac:dyDescent="0.3">
      <c r="A346" s="2" t="s">
        <v>1675</v>
      </c>
      <c r="B346" s="2" t="s">
        <v>266</v>
      </c>
      <c r="C346" s="2" t="s">
        <v>2964</v>
      </c>
      <c r="D346" s="2"/>
    </row>
    <row r="347" spans="1:4" x14ac:dyDescent="0.3">
      <c r="A347" s="2" t="s">
        <v>1676</v>
      </c>
      <c r="B347" s="2" t="s">
        <v>266</v>
      </c>
      <c r="C347" s="2" t="s">
        <v>2964</v>
      </c>
      <c r="D347" s="2"/>
    </row>
    <row r="348" spans="1:4" x14ac:dyDescent="0.3">
      <c r="A348" s="2" t="s">
        <v>1677</v>
      </c>
      <c r="B348" s="2" t="s">
        <v>266</v>
      </c>
      <c r="C348" s="2" t="s">
        <v>2964</v>
      </c>
      <c r="D348" s="2"/>
    </row>
    <row r="349" spans="1:4" x14ac:dyDescent="0.3">
      <c r="A349" s="2" t="s">
        <v>1678</v>
      </c>
      <c r="B349" s="2" t="s">
        <v>266</v>
      </c>
      <c r="C349" s="2" t="s">
        <v>2964</v>
      </c>
      <c r="D349" s="2"/>
    </row>
    <row r="350" spans="1:4" x14ac:dyDescent="0.3">
      <c r="A350" s="2" t="s">
        <v>1679</v>
      </c>
      <c r="B350" s="2" t="s">
        <v>266</v>
      </c>
      <c r="C350" s="2" t="s">
        <v>2964</v>
      </c>
      <c r="D350" s="2"/>
    </row>
    <row r="351" spans="1:4" x14ac:dyDescent="0.3">
      <c r="A351" s="2" t="s">
        <v>1680</v>
      </c>
      <c r="B351" s="2" t="s">
        <v>266</v>
      </c>
      <c r="C351" s="2" t="s">
        <v>2964</v>
      </c>
      <c r="D351" s="2"/>
    </row>
    <row r="352" spans="1:4" x14ac:dyDescent="0.3">
      <c r="A352" s="2" t="s">
        <v>1681</v>
      </c>
      <c r="B352" s="2" t="s">
        <v>266</v>
      </c>
      <c r="C352" s="2" t="s">
        <v>2964</v>
      </c>
      <c r="D352" s="2"/>
    </row>
    <row r="353" spans="1:4" x14ac:dyDescent="0.3">
      <c r="A353" s="2" t="s">
        <v>1682</v>
      </c>
      <c r="B353" s="2" t="s">
        <v>266</v>
      </c>
      <c r="C353" s="2" t="s">
        <v>2964</v>
      </c>
      <c r="D353" s="2"/>
    </row>
    <row r="354" spans="1:4" x14ac:dyDescent="0.3">
      <c r="A354" s="2" t="s">
        <v>1683</v>
      </c>
      <c r="B354" s="2" t="s">
        <v>266</v>
      </c>
      <c r="C354" s="2" t="s">
        <v>2964</v>
      </c>
      <c r="D354" s="2"/>
    </row>
    <row r="355" spans="1:4" x14ac:dyDescent="0.3">
      <c r="A355" s="2" t="s">
        <v>1684</v>
      </c>
      <c r="B355" s="2" t="s">
        <v>266</v>
      </c>
      <c r="C355" s="2" t="s">
        <v>2964</v>
      </c>
      <c r="D355" s="2"/>
    </row>
    <row r="356" spans="1:4" x14ac:dyDescent="0.3">
      <c r="A356" s="2" t="s">
        <v>1685</v>
      </c>
      <c r="B356" s="2" t="s">
        <v>266</v>
      </c>
      <c r="C356" s="2" t="s">
        <v>2964</v>
      </c>
      <c r="D356" s="2"/>
    </row>
    <row r="357" spans="1:4" x14ac:dyDescent="0.3">
      <c r="A357" s="2" t="s">
        <v>1686</v>
      </c>
      <c r="B357" s="2" t="s">
        <v>266</v>
      </c>
      <c r="C357" s="2" t="s">
        <v>2964</v>
      </c>
      <c r="D357" s="2"/>
    </row>
    <row r="358" spans="1:4" x14ac:dyDescent="0.3">
      <c r="A358" s="2" t="s">
        <v>1687</v>
      </c>
      <c r="B358" s="2" t="s">
        <v>266</v>
      </c>
      <c r="C358" s="2" t="s">
        <v>2964</v>
      </c>
      <c r="D358" s="2"/>
    </row>
    <row r="359" spans="1:4" x14ac:dyDescent="0.3">
      <c r="A359" s="2" t="s">
        <v>1688</v>
      </c>
      <c r="B359" s="2" t="s">
        <v>266</v>
      </c>
      <c r="C359" s="2" t="s">
        <v>2964</v>
      </c>
      <c r="D359" s="2"/>
    </row>
    <row r="360" spans="1:4" x14ac:dyDescent="0.3">
      <c r="A360" s="2" t="s">
        <v>1689</v>
      </c>
      <c r="B360" s="2" t="s">
        <v>266</v>
      </c>
      <c r="C360" s="2" t="s">
        <v>2964</v>
      </c>
      <c r="D360" s="2"/>
    </row>
    <row r="361" spans="1:4" x14ac:dyDescent="0.3">
      <c r="A361" s="2" t="s">
        <v>1690</v>
      </c>
      <c r="B361" s="2" t="s">
        <v>266</v>
      </c>
      <c r="C361" s="2" t="s">
        <v>2964</v>
      </c>
      <c r="D361" s="2"/>
    </row>
    <row r="362" spans="1:4" x14ac:dyDescent="0.3">
      <c r="A362" s="2" t="s">
        <v>1691</v>
      </c>
      <c r="B362" s="2" t="s">
        <v>266</v>
      </c>
      <c r="C362" s="2" t="s">
        <v>2964</v>
      </c>
      <c r="D362" s="2"/>
    </row>
    <row r="363" spans="1:4" x14ac:dyDescent="0.3">
      <c r="A363" s="2" t="s">
        <v>1692</v>
      </c>
      <c r="B363" s="2" t="s">
        <v>266</v>
      </c>
      <c r="C363" s="2" t="s">
        <v>2964</v>
      </c>
      <c r="D363" s="2"/>
    </row>
    <row r="364" spans="1:4" x14ac:dyDescent="0.3">
      <c r="A364" s="2" t="s">
        <v>1693</v>
      </c>
      <c r="B364" s="2" t="s">
        <v>266</v>
      </c>
      <c r="C364" s="2" t="s">
        <v>2964</v>
      </c>
      <c r="D364" s="2"/>
    </row>
    <row r="365" spans="1:4" x14ac:dyDescent="0.3">
      <c r="A365" s="2" t="s">
        <v>1694</v>
      </c>
      <c r="B365" s="2" t="s">
        <v>266</v>
      </c>
      <c r="C365" s="2" t="s">
        <v>2964</v>
      </c>
      <c r="D365" s="2"/>
    </row>
    <row r="366" spans="1:4" x14ac:dyDescent="0.3">
      <c r="A366" s="2" t="s">
        <v>1695</v>
      </c>
      <c r="B366" s="2" t="s">
        <v>266</v>
      </c>
      <c r="C366" s="2" t="s">
        <v>2964</v>
      </c>
      <c r="D366" s="2"/>
    </row>
    <row r="367" spans="1:4" x14ac:dyDescent="0.3">
      <c r="A367" s="2" t="s">
        <v>1696</v>
      </c>
      <c r="B367" s="2" t="s">
        <v>266</v>
      </c>
      <c r="C367" s="2" t="s">
        <v>2964</v>
      </c>
      <c r="D367" s="2"/>
    </row>
    <row r="368" spans="1:4" x14ac:dyDescent="0.3">
      <c r="A368" s="2" t="s">
        <v>1697</v>
      </c>
      <c r="B368" s="2" t="s">
        <v>266</v>
      </c>
      <c r="C368" s="2" t="s">
        <v>2964</v>
      </c>
      <c r="D368" s="2"/>
    </row>
    <row r="369" spans="1:4" x14ac:dyDescent="0.3">
      <c r="A369" s="2" t="s">
        <v>1698</v>
      </c>
      <c r="B369" s="2" t="s">
        <v>266</v>
      </c>
      <c r="C369" s="2" t="s">
        <v>2964</v>
      </c>
      <c r="D369" s="2"/>
    </row>
    <row r="370" spans="1:4" x14ac:dyDescent="0.3">
      <c r="A370" s="2" t="s">
        <v>1699</v>
      </c>
      <c r="B370" s="2" t="s">
        <v>266</v>
      </c>
      <c r="C370" s="2" t="s">
        <v>2964</v>
      </c>
      <c r="D370" s="2"/>
    </row>
    <row r="371" spans="1:4" x14ac:dyDescent="0.3">
      <c r="A371" s="2" t="s">
        <v>1700</v>
      </c>
      <c r="B371" s="2" t="s">
        <v>266</v>
      </c>
      <c r="C371" s="2" t="s">
        <v>2964</v>
      </c>
      <c r="D371" s="2"/>
    </row>
    <row r="372" spans="1:4" x14ac:dyDescent="0.3">
      <c r="A372" s="2" t="s">
        <v>1701</v>
      </c>
      <c r="B372" s="2" t="s">
        <v>266</v>
      </c>
      <c r="C372" s="2" t="s">
        <v>2964</v>
      </c>
      <c r="D372" s="2"/>
    </row>
    <row r="373" spans="1:4" x14ac:dyDescent="0.3">
      <c r="A373" s="2" t="s">
        <v>1702</v>
      </c>
      <c r="B373" s="2" t="s">
        <v>266</v>
      </c>
      <c r="C373" s="2" t="s">
        <v>2964</v>
      </c>
      <c r="D373" s="2"/>
    </row>
    <row r="374" spans="1:4" x14ac:dyDescent="0.3">
      <c r="A374" s="2" t="s">
        <v>1703</v>
      </c>
      <c r="B374" s="2" t="s">
        <v>266</v>
      </c>
      <c r="C374" s="2" t="s">
        <v>2964</v>
      </c>
      <c r="D374" s="2"/>
    </row>
    <row r="375" spans="1:4" x14ac:dyDescent="0.3">
      <c r="A375" s="2" t="s">
        <v>1704</v>
      </c>
      <c r="B375" s="2" t="s">
        <v>266</v>
      </c>
      <c r="C375" s="2" t="s">
        <v>2964</v>
      </c>
      <c r="D375" s="2"/>
    </row>
    <row r="376" spans="1:4" x14ac:dyDescent="0.3">
      <c r="A376" s="2" t="s">
        <v>1705</v>
      </c>
      <c r="B376" s="2" t="s">
        <v>266</v>
      </c>
      <c r="C376" s="2" t="s">
        <v>2964</v>
      </c>
      <c r="D376" s="2"/>
    </row>
    <row r="377" spans="1:4" x14ac:dyDescent="0.3">
      <c r="A377" s="2" t="s">
        <v>1706</v>
      </c>
      <c r="B377" s="2" t="s">
        <v>266</v>
      </c>
      <c r="C377" s="2" t="s">
        <v>2964</v>
      </c>
      <c r="D377" s="2"/>
    </row>
    <row r="378" spans="1:4" x14ac:dyDescent="0.3">
      <c r="A378" s="2" t="s">
        <v>1707</v>
      </c>
      <c r="B378" s="2" t="s">
        <v>266</v>
      </c>
      <c r="C378" s="2" t="s">
        <v>2964</v>
      </c>
      <c r="D378" s="2"/>
    </row>
    <row r="379" spans="1:4" x14ac:dyDescent="0.3">
      <c r="A379" s="2" t="s">
        <v>1708</v>
      </c>
      <c r="B379" s="2" t="s">
        <v>266</v>
      </c>
      <c r="C379" s="2" t="s">
        <v>2964</v>
      </c>
      <c r="D379" s="2"/>
    </row>
    <row r="380" spans="1:4" x14ac:dyDescent="0.3">
      <c r="A380" s="2" t="s">
        <v>1709</v>
      </c>
      <c r="B380" s="2" t="s">
        <v>266</v>
      </c>
      <c r="C380" s="2" t="s">
        <v>2964</v>
      </c>
      <c r="D380" s="2"/>
    </row>
    <row r="381" spans="1:4" x14ac:dyDescent="0.3">
      <c r="A381" s="2" t="s">
        <v>1710</v>
      </c>
      <c r="B381" s="2" t="s">
        <v>266</v>
      </c>
      <c r="C381" s="2" t="s">
        <v>2964</v>
      </c>
      <c r="D381" s="2"/>
    </row>
    <row r="382" spans="1:4" x14ac:dyDescent="0.3">
      <c r="A382" s="2" t="s">
        <v>1711</v>
      </c>
      <c r="B382" s="2" t="s">
        <v>266</v>
      </c>
      <c r="C382" s="2" t="s">
        <v>2964</v>
      </c>
      <c r="D382" s="2"/>
    </row>
    <row r="383" spans="1:4" x14ac:dyDescent="0.3">
      <c r="A383" s="2" t="s">
        <v>1712</v>
      </c>
      <c r="B383" s="2" t="s">
        <v>266</v>
      </c>
      <c r="C383" s="2" t="s">
        <v>2964</v>
      </c>
      <c r="D383" s="2"/>
    </row>
    <row r="384" spans="1:4" x14ac:dyDescent="0.3">
      <c r="A384" s="2" t="s">
        <v>1713</v>
      </c>
      <c r="B384" s="2" t="s">
        <v>266</v>
      </c>
      <c r="C384" s="2" t="s">
        <v>2964</v>
      </c>
      <c r="D384" s="2"/>
    </row>
    <row r="385" spans="1:4" x14ac:dyDescent="0.3">
      <c r="A385" s="2" t="s">
        <v>1714</v>
      </c>
      <c r="B385" s="2" t="s">
        <v>266</v>
      </c>
      <c r="C385" s="2" t="s">
        <v>2964</v>
      </c>
      <c r="D385" s="2"/>
    </row>
    <row r="386" spans="1:4" x14ac:dyDescent="0.3">
      <c r="A386" s="2" t="s">
        <v>1715</v>
      </c>
      <c r="B386" s="2" t="s">
        <v>266</v>
      </c>
      <c r="C386" s="2" t="s">
        <v>2964</v>
      </c>
      <c r="D386" s="2"/>
    </row>
    <row r="387" spans="1:4" x14ac:dyDescent="0.3">
      <c r="A387" s="2" t="s">
        <v>1716</v>
      </c>
      <c r="B387" s="2" t="s">
        <v>266</v>
      </c>
      <c r="C387" s="2" t="s">
        <v>2964</v>
      </c>
      <c r="D387" s="2"/>
    </row>
    <row r="388" spans="1:4" x14ac:dyDescent="0.3">
      <c r="A388" s="2" t="s">
        <v>1717</v>
      </c>
      <c r="B388" s="2" t="s">
        <v>266</v>
      </c>
      <c r="C388" s="2" t="s">
        <v>2964</v>
      </c>
      <c r="D388" s="2"/>
    </row>
    <row r="389" spans="1:4" x14ac:dyDescent="0.3">
      <c r="A389" s="2" t="s">
        <v>1718</v>
      </c>
      <c r="B389" s="2" t="s">
        <v>266</v>
      </c>
      <c r="C389" s="2" t="s">
        <v>2964</v>
      </c>
      <c r="D389" s="2"/>
    </row>
    <row r="390" spans="1:4" x14ac:dyDescent="0.3">
      <c r="A390" s="2" t="s">
        <v>1719</v>
      </c>
      <c r="B390" s="2" t="s">
        <v>266</v>
      </c>
      <c r="C390" s="2" t="s">
        <v>2964</v>
      </c>
      <c r="D390" s="2"/>
    </row>
    <row r="391" spans="1:4" x14ac:dyDescent="0.3">
      <c r="A391" s="2" t="s">
        <v>1720</v>
      </c>
      <c r="B391" s="2" t="s">
        <v>266</v>
      </c>
      <c r="C391" s="2" t="s">
        <v>2964</v>
      </c>
      <c r="D391" s="2"/>
    </row>
    <row r="392" spans="1:4" x14ac:dyDescent="0.3">
      <c r="A392" s="2" t="s">
        <v>1721</v>
      </c>
      <c r="B392" s="2" t="s">
        <v>266</v>
      </c>
      <c r="C392" s="2" t="s">
        <v>2964</v>
      </c>
      <c r="D392" s="2"/>
    </row>
    <row r="393" spans="1:4" x14ac:dyDescent="0.3">
      <c r="A393" s="2" t="s">
        <v>1722</v>
      </c>
      <c r="B393" s="2" t="s">
        <v>266</v>
      </c>
      <c r="C393" s="2" t="s">
        <v>2964</v>
      </c>
      <c r="D393" s="2"/>
    </row>
    <row r="394" spans="1:4" x14ac:dyDescent="0.3">
      <c r="A394" s="2" t="s">
        <v>1723</v>
      </c>
      <c r="B394" s="2" t="s">
        <v>266</v>
      </c>
      <c r="C394" s="2" t="s">
        <v>2964</v>
      </c>
      <c r="D394" s="2"/>
    </row>
    <row r="395" spans="1:4" x14ac:dyDescent="0.3">
      <c r="A395" s="2" t="s">
        <v>1724</v>
      </c>
      <c r="B395" s="2" t="s">
        <v>266</v>
      </c>
      <c r="C395" s="2" t="s">
        <v>2964</v>
      </c>
      <c r="D395" s="2"/>
    </row>
    <row r="396" spans="1:4" x14ac:dyDescent="0.3">
      <c r="A396" s="2" t="s">
        <v>1725</v>
      </c>
      <c r="B396" s="2" t="s">
        <v>266</v>
      </c>
      <c r="C396" s="2" t="s">
        <v>2964</v>
      </c>
      <c r="D396" s="2"/>
    </row>
    <row r="397" spans="1:4" x14ac:dyDescent="0.3">
      <c r="A397" s="2" t="s">
        <v>1726</v>
      </c>
      <c r="B397" s="2" t="s">
        <v>266</v>
      </c>
      <c r="C397" s="2" t="s">
        <v>2964</v>
      </c>
      <c r="D397" s="2"/>
    </row>
    <row r="398" spans="1:4" x14ac:dyDescent="0.3">
      <c r="A398" s="2" t="s">
        <v>1727</v>
      </c>
      <c r="B398" s="2" t="s">
        <v>266</v>
      </c>
      <c r="C398" s="2" t="s">
        <v>2964</v>
      </c>
      <c r="D398" s="2"/>
    </row>
    <row r="399" spans="1:4" x14ac:dyDescent="0.3">
      <c r="A399" s="2" t="s">
        <v>1728</v>
      </c>
      <c r="B399" s="2" t="s">
        <v>266</v>
      </c>
      <c r="C399" s="2" t="s">
        <v>2964</v>
      </c>
      <c r="D399" s="2"/>
    </row>
    <row r="400" spans="1:4" x14ac:dyDescent="0.3">
      <c r="A400" s="2" t="s">
        <v>1729</v>
      </c>
      <c r="B400" s="2" t="s">
        <v>266</v>
      </c>
      <c r="C400" s="2" t="s">
        <v>2964</v>
      </c>
      <c r="D400" s="2"/>
    </row>
    <row r="401" spans="1:4" x14ac:dyDescent="0.3">
      <c r="A401" s="2" t="s">
        <v>1730</v>
      </c>
      <c r="B401" s="2" t="s">
        <v>266</v>
      </c>
      <c r="C401" s="2" t="s">
        <v>2964</v>
      </c>
      <c r="D401" s="2"/>
    </row>
    <row r="402" spans="1:4" x14ac:dyDescent="0.3">
      <c r="A402" s="2" t="s">
        <v>1731</v>
      </c>
      <c r="B402" s="2" t="s">
        <v>266</v>
      </c>
      <c r="C402" s="2" t="s">
        <v>2964</v>
      </c>
      <c r="D402" s="2"/>
    </row>
    <row r="403" spans="1:4" x14ac:dyDescent="0.3">
      <c r="A403" s="2" t="s">
        <v>1732</v>
      </c>
      <c r="B403" s="2" t="s">
        <v>266</v>
      </c>
      <c r="C403" s="2" t="s">
        <v>2964</v>
      </c>
      <c r="D403" s="2"/>
    </row>
    <row r="404" spans="1:4" x14ac:dyDescent="0.3">
      <c r="A404" s="2" t="s">
        <v>1733</v>
      </c>
      <c r="B404" s="2" t="s">
        <v>266</v>
      </c>
      <c r="C404" s="2" t="s">
        <v>2964</v>
      </c>
      <c r="D404" s="2"/>
    </row>
    <row r="405" spans="1:4" x14ac:dyDescent="0.3">
      <c r="A405" s="2" t="s">
        <v>1734</v>
      </c>
      <c r="B405" s="2" t="s">
        <v>266</v>
      </c>
      <c r="C405" s="2" t="s">
        <v>2964</v>
      </c>
      <c r="D405" s="2"/>
    </row>
    <row r="406" spans="1:4" x14ac:dyDescent="0.3">
      <c r="A406" s="2" t="s">
        <v>1735</v>
      </c>
      <c r="B406" s="2" t="s">
        <v>266</v>
      </c>
      <c r="C406" s="2" t="s">
        <v>2964</v>
      </c>
      <c r="D406" s="2"/>
    </row>
    <row r="407" spans="1:4" x14ac:dyDescent="0.3">
      <c r="A407" s="2" t="s">
        <v>1736</v>
      </c>
      <c r="B407" s="2" t="s">
        <v>266</v>
      </c>
      <c r="C407" s="2" t="s">
        <v>2964</v>
      </c>
      <c r="D407" s="2"/>
    </row>
    <row r="408" spans="1:4" x14ac:dyDescent="0.3">
      <c r="A408" s="2" t="s">
        <v>1737</v>
      </c>
      <c r="B408" s="2" t="s">
        <v>266</v>
      </c>
      <c r="C408" s="2" t="s">
        <v>2964</v>
      </c>
      <c r="D408" s="2"/>
    </row>
    <row r="409" spans="1:4" x14ac:dyDescent="0.3">
      <c r="A409" s="2" t="s">
        <v>1738</v>
      </c>
      <c r="B409" s="2" t="s">
        <v>266</v>
      </c>
      <c r="C409" s="2" t="s">
        <v>2964</v>
      </c>
      <c r="D409" s="2"/>
    </row>
    <row r="410" spans="1:4" x14ac:dyDescent="0.3">
      <c r="A410" s="2" t="s">
        <v>1739</v>
      </c>
      <c r="B410" s="2" t="s">
        <v>266</v>
      </c>
      <c r="C410" s="2" t="s">
        <v>2964</v>
      </c>
      <c r="D410" s="2"/>
    </row>
    <row r="411" spans="1:4" x14ac:dyDescent="0.3">
      <c r="A411" s="2" t="s">
        <v>1740</v>
      </c>
      <c r="B411" s="2" t="s">
        <v>266</v>
      </c>
      <c r="C411" s="2" t="s">
        <v>2964</v>
      </c>
      <c r="D411" s="2"/>
    </row>
    <row r="412" spans="1:4" x14ac:dyDescent="0.3">
      <c r="A412" s="2" t="s">
        <v>1741</v>
      </c>
      <c r="B412" s="2" t="s">
        <v>266</v>
      </c>
      <c r="C412" s="2" t="s">
        <v>2964</v>
      </c>
      <c r="D412" s="2"/>
    </row>
    <row r="413" spans="1:4" x14ac:dyDescent="0.3">
      <c r="A413" s="2" t="s">
        <v>1742</v>
      </c>
      <c r="B413" s="2" t="s">
        <v>266</v>
      </c>
      <c r="C413" s="2" t="s">
        <v>2964</v>
      </c>
      <c r="D413" s="2"/>
    </row>
    <row r="414" spans="1:4" x14ac:dyDescent="0.3">
      <c r="A414" s="2" t="s">
        <v>1743</v>
      </c>
      <c r="B414" s="2" t="s">
        <v>266</v>
      </c>
      <c r="C414" s="2" t="s">
        <v>2964</v>
      </c>
      <c r="D414" s="2"/>
    </row>
    <row r="415" spans="1:4" x14ac:dyDescent="0.3">
      <c r="A415" s="2" t="s">
        <v>1744</v>
      </c>
      <c r="B415" s="2" t="s">
        <v>266</v>
      </c>
      <c r="C415" s="2" t="s">
        <v>2964</v>
      </c>
      <c r="D415" s="2"/>
    </row>
    <row r="416" spans="1:4" x14ac:dyDescent="0.3">
      <c r="A416" s="2" t="s">
        <v>1745</v>
      </c>
      <c r="B416" s="2" t="s">
        <v>266</v>
      </c>
      <c r="C416" s="2" t="s">
        <v>2964</v>
      </c>
      <c r="D416" s="2"/>
    </row>
    <row r="417" spans="1:4" x14ac:dyDescent="0.3">
      <c r="A417" s="2" t="s">
        <v>1746</v>
      </c>
      <c r="B417" s="2" t="s">
        <v>266</v>
      </c>
      <c r="C417" s="2" t="s">
        <v>2964</v>
      </c>
      <c r="D417" s="2"/>
    </row>
    <row r="418" spans="1:4" x14ac:dyDescent="0.3">
      <c r="A418" s="2" t="s">
        <v>1747</v>
      </c>
      <c r="B418" s="2" t="s">
        <v>266</v>
      </c>
      <c r="C418" s="2" t="s">
        <v>2964</v>
      </c>
      <c r="D418" s="2"/>
    </row>
    <row r="419" spans="1:4" x14ac:dyDescent="0.3">
      <c r="A419" s="2" t="s">
        <v>1748</v>
      </c>
      <c r="B419" s="2" t="s">
        <v>266</v>
      </c>
      <c r="C419" s="2" t="s">
        <v>2964</v>
      </c>
      <c r="D419" s="2"/>
    </row>
    <row r="420" spans="1:4" x14ac:dyDescent="0.3">
      <c r="A420" s="2" t="s">
        <v>1749</v>
      </c>
      <c r="B420" s="2" t="s">
        <v>266</v>
      </c>
      <c r="C420" s="2" t="s">
        <v>2964</v>
      </c>
      <c r="D420" s="2"/>
    </row>
    <row r="421" spans="1:4" x14ac:dyDescent="0.3">
      <c r="A421" s="2" t="s">
        <v>1750</v>
      </c>
      <c r="B421" s="2" t="s">
        <v>266</v>
      </c>
      <c r="C421" s="2" t="s">
        <v>2964</v>
      </c>
      <c r="D421" s="2"/>
    </row>
    <row r="422" spans="1:4" x14ac:dyDescent="0.3">
      <c r="A422" s="2" t="s">
        <v>1751</v>
      </c>
      <c r="B422" s="2" t="s">
        <v>266</v>
      </c>
      <c r="C422" s="2" t="s">
        <v>2964</v>
      </c>
      <c r="D422" s="2"/>
    </row>
    <row r="423" spans="1:4" x14ac:dyDescent="0.3">
      <c r="A423" s="2" t="s">
        <v>1752</v>
      </c>
      <c r="B423" s="2" t="s">
        <v>266</v>
      </c>
      <c r="C423" s="2" t="s">
        <v>2964</v>
      </c>
      <c r="D423" s="2"/>
    </row>
    <row r="424" spans="1:4" x14ac:dyDescent="0.3">
      <c r="A424" s="2" t="s">
        <v>1753</v>
      </c>
      <c r="B424" s="2" t="s">
        <v>266</v>
      </c>
      <c r="C424" s="2" t="s">
        <v>2964</v>
      </c>
      <c r="D424" s="2"/>
    </row>
    <row r="425" spans="1:4" x14ac:dyDescent="0.3">
      <c r="A425" s="2" t="s">
        <v>1754</v>
      </c>
      <c r="B425" s="2" t="s">
        <v>266</v>
      </c>
      <c r="C425" s="2" t="s">
        <v>2964</v>
      </c>
      <c r="D425" s="2"/>
    </row>
    <row r="426" spans="1:4" x14ac:dyDescent="0.3">
      <c r="A426" s="2" t="s">
        <v>1755</v>
      </c>
      <c r="B426" s="2" t="s">
        <v>266</v>
      </c>
      <c r="C426" s="2" t="s">
        <v>2964</v>
      </c>
      <c r="D426" s="2"/>
    </row>
    <row r="427" spans="1:4" x14ac:dyDescent="0.3">
      <c r="A427" s="2" t="s">
        <v>1756</v>
      </c>
      <c r="B427" s="2" t="s">
        <v>266</v>
      </c>
      <c r="C427" s="2" t="s">
        <v>2964</v>
      </c>
      <c r="D427" s="2"/>
    </row>
    <row r="428" spans="1:4" x14ac:dyDescent="0.3">
      <c r="A428" s="2" t="s">
        <v>1757</v>
      </c>
      <c r="B428" s="2" t="s">
        <v>266</v>
      </c>
      <c r="C428" s="2" t="s">
        <v>2964</v>
      </c>
      <c r="D428" s="2"/>
    </row>
    <row r="429" spans="1:4" x14ac:dyDescent="0.3">
      <c r="A429" s="2" t="s">
        <v>1758</v>
      </c>
      <c r="B429" s="2" t="s">
        <v>266</v>
      </c>
      <c r="C429" s="2" t="s">
        <v>2964</v>
      </c>
      <c r="D429" s="2"/>
    </row>
    <row r="430" spans="1:4" x14ac:dyDescent="0.3">
      <c r="A430" s="2" t="s">
        <v>1759</v>
      </c>
      <c r="B430" s="2" t="s">
        <v>266</v>
      </c>
      <c r="C430" s="2" t="s">
        <v>2964</v>
      </c>
      <c r="D430" s="2"/>
    </row>
    <row r="431" spans="1:4" x14ac:dyDescent="0.3">
      <c r="A431" s="2" t="s">
        <v>1760</v>
      </c>
      <c r="B431" s="2" t="s">
        <v>266</v>
      </c>
      <c r="C431" s="2" t="s">
        <v>2964</v>
      </c>
      <c r="D431" s="2"/>
    </row>
    <row r="432" spans="1:4" x14ac:dyDescent="0.3">
      <c r="A432" s="2" t="s">
        <v>1761</v>
      </c>
      <c r="B432" s="2" t="s">
        <v>1762</v>
      </c>
      <c r="C432" s="2" t="s">
        <v>3148</v>
      </c>
      <c r="D432" s="2"/>
    </row>
    <row r="433" spans="1:4" x14ac:dyDescent="0.3">
      <c r="A433" s="2" t="s">
        <v>1763</v>
      </c>
      <c r="B433" s="2" t="s">
        <v>1762</v>
      </c>
      <c r="C433" s="2" t="s">
        <v>3148</v>
      </c>
      <c r="D433" s="2"/>
    </row>
    <row r="434" spans="1:4" x14ac:dyDescent="0.3">
      <c r="A434" s="2" t="s">
        <v>1764</v>
      </c>
      <c r="B434" s="2" t="s">
        <v>1762</v>
      </c>
      <c r="C434" s="2" t="s">
        <v>3148</v>
      </c>
      <c r="D434" s="2"/>
    </row>
    <row r="435" spans="1:4" x14ac:dyDescent="0.3">
      <c r="A435" s="2" t="s">
        <v>1765</v>
      </c>
      <c r="B435" s="2" t="s">
        <v>1762</v>
      </c>
      <c r="C435" s="2" t="s">
        <v>3148</v>
      </c>
      <c r="D435" s="2"/>
    </row>
    <row r="436" spans="1:4" x14ac:dyDescent="0.3">
      <c r="A436" s="2" t="s">
        <v>1766</v>
      </c>
      <c r="B436" s="2" t="s">
        <v>1762</v>
      </c>
      <c r="C436" s="2" t="s">
        <v>3148</v>
      </c>
      <c r="D436" s="2"/>
    </row>
    <row r="437" spans="1:4" x14ac:dyDescent="0.3">
      <c r="A437" s="2" t="s">
        <v>1767</v>
      </c>
      <c r="B437" s="2" t="s">
        <v>1762</v>
      </c>
      <c r="C437" s="2" t="s">
        <v>3148</v>
      </c>
      <c r="D437" s="2"/>
    </row>
    <row r="438" spans="1:4" x14ac:dyDescent="0.3">
      <c r="A438" s="2" t="s">
        <v>3198</v>
      </c>
      <c r="B438" s="2" t="s">
        <v>1762</v>
      </c>
      <c r="C438" s="2" t="s">
        <v>3148</v>
      </c>
      <c r="D438" s="2"/>
    </row>
    <row r="439" spans="1:4" x14ac:dyDescent="0.3">
      <c r="A439" s="2" t="s">
        <v>1768</v>
      </c>
      <c r="B439" s="2" t="s">
        <v>1762</v>
      </c>
      <c r="C439" s="2" t="s">
        <v>3148</v>
      </c>
      <c r="D439" s="2"/>
    </row>
    <row r="440" spans="1:4" x14ac:dyDescent="0.3">
      <c r="A440" s="2" t="s">
        <v>1769</v>
      </c>
      <c r="B440" s="2" t="s">
        <v>1762</v>
      </c>
      <c r="C440" s="2" t="s">
        <v>3148</v>
      </c>
      <c r="D440" s="2"/>
    </row>
    <row r="441" spans="1:4" x14ac:dyDescent="0.3">
      <c r="A441" s="2" t="s">
        <v>1770</v>
      </c>
      <c r="B441" s="2" t="s">
        <v>1762</v>
      </c>
      <c r="C441" s="2" t="s">
        <v>3148</v>
      </c>
      <c r="D441" s="2"/>
    </row>
    <row r="442" spans="1:4" x14ac:dyDescent="0.3">
      <c r="A442" s="2" t="s">
        <v>1771</v>
      </c>
      <c r="B442" s="2" t="s">
        <v>1762</v>
      </c>
      <c r="C442" s="2" t="s">
        <v>3148</v>
      </c>
      <c r="D442" s="2"/>
    </row>
    <row r="443" spans="1:4" x14ac:dyDescent="0.3">
      <c r="A443" s="2" t="s">
        <v>1772</v>
      </c>
      <c r="B443" s="2" t="s">
        <v>1762</v>
      </c>
      <c r="C443" s="2" t="s">
        <v>3148</v>
      </c>
      <c r="D443" s="2"/>
    </row>
    <row r="444" spans="1:4" x14ac:dyDescent="0.3">
      <c r="A444" s="2" t="s">
        <v>1773</v>
      </c>
      <c r="B444" s="2" t="s">
        <v>1762</v>
      </c>
      <c r="C444" s="2" t="s">
        <v>3148</v>
      </c>
      <c r="D444" s="2"/>
    </row>
    <row r="445" spans="1:4" x14ac:dyDescent="0.3">
      <c r="A445" s="2" t="s">
        <v>1774</v>
      </c>
      <c r="B445" s="2" t="s">
        <v>1762</v>
      </c>
      <c r="C445" s="2" t="s">
        <v>3148</v>
      </c>
      <c r="D445" s="2"/>
    </row>
    <row r="446" spans="1:4" x14ac:dyDescent="0.3">
      <c r="A446" s="2" t="s">
        <v>1775</v>
      </c>
      <c r="B446" s="2" t="s">
        <v>1762</v>
      </c>
      <c r="C446" s="2" t="s">
        <v>3148</v>
      </c>
      <c r="D446" s="2"/>
    </row>
    <row r="447" spans="1:4" x14ac:dyDescent="0.3">
      <c r="A447" s="2" t="s">
        <v>1776</v>
      </c>
      <c r="B447" s="2" t="s">
        <v>1762</v>
      </c>
      <c r="C447" s="2" t="s">
        <v>3148</v>
      </c>
      <c r="D447" s="2"/>
    </row>
    <row r="448" spans="1:4" x14ac:dyDescent="0.3">
      <c r="A448" s="2" t="s">
        <v>1777</v>
      </c>
      <c r="B448" s="2" t="s">
        <v>1762</v>
      </c>
      <c r="C448" s="2" t="s">
        <v>3148</v>
      </c>
      <c r="D448" s="2"/>
    </row>
    <row r="449" spans="1:4" x14ac:dyDescent="0.3">
      <c r="A449" s="2" t="s">
        <v>1778</v>
      </c>
      <c r="B449" s="2" t="s">
        <v>1762</v>
      </c>
      <c r="C449" s="2" t="s">
        <v>3148</v>
      </c>
      <c r="D449" s="2"/>
    </row>
    <row r="450" spans="1:4" x14ac:dyDescent="0.3">
      <c r="A450" s="2" t="s">
        <v>1779</v>
      </c>
      <c r="B450" s="2" t="s">
        <v>1762</v>
      </c>
      <c r="C450" s="2" t="s">
        <v>3148</v>
      </c>
      <c r="D450" s="2"/>
    </row>
    <row r="451" spans="1:4" x14ac:dyDescent="0.3">
      <c r="A451" s="2" t="s">
        <v>1780</v>
      </c>
      <c r="B451" s="2" t="s">
        <v>1762</v>
      </c>
      <c r="C451" s="2" t="s">
        <v>3148</v>
      </c>
      <c r="D451" s="2"/>
    </row>
    <row r="452" spans="1:4" x14ac:dyDescent="0.3">
      <c r="A452" s="2" t="s">
        <v>1781</v>
      </c>
      <c r="B452" s="2" t="s">
        <v>1762</v>
      </c>
      <c r="C452" s="2" t="s">
        <v>3148</v>
      </c>
      <c r="D452" s="2"/>
    </row>
    <row r="453" spans="1:4" x14ac:dyDescent="0.3">
      <c r="A453" s="2" t="s">
        <v>1782</v>
      </c>
      <c r="B453" s="2" t="s">
        <v>1762</v>
      </c>
      <c r="C453" s="2" t="s">
        <v>3148</v>
      </c>
      <c r="D453" s="2"/>
    </row>
    <row r="454" spans="1:4" x14ac:dyDescent="0.3">
      <c r="A454" s="2" t="s">
        <v>1783</v>
      </c>
      <c r="B454" s="2" t="s">
        <v>1762</v>
      </c>
      <c r="C454" s="2" t="s">
        <v>3148</v>
      </c>
      <c r="D454" s="2"/>
    </row>
    <row r="455" spans="1:4" x14ac:dyDescent="0.3">
      <c r="A455" s="2" t="s">
        <v>1784</v>
      </c>
      <c r="B455" s="2" t="s">
        <v>1762</v>
      </c>
      <c r="C455" s="2" t="s">
        <v>3148</v>
      </c>
      <c r="D455" s="2"/>
    </row>
    <row r="456" spans="1:4" x14ac:dyDescent="0.3">
      <c r="A456" s="2" t="s">
        <v>1785</v>
      </c>
      <c r="B456" s="2" t="s">
        <v>1762</v>
      </c>
      <c r="C456" s="2" t="s">
        <v>3148</v>
      </c>
      <c r="D456" s="2"/>
    </row>
    <row r="457" spans="1:4" x14ac:dyDescent="0.3">
      <c r="A457" s="2" t="s">
        <v>1786</v>
      </c>
      <c r="B457" s="2" t="s">
        <v>1762</v>
      </c>
      <c r="C457" s="2" t="s">
        <v>3148</v>
      </c>
      <c r="D457" s="2"/>
    </row>
    <row r="458" spans="1:4" x14ac:dyDescent="0.3">
      <c r="A458" s="2" t="s">
        <v>1787</v>
      </c>
      <c r="B458" s="2" t="s">
        <v>1762</v>
      </c>
      <c r="C458" s="2" t="s">
        <v>3148</v>
      </c>
      <c r="D458" s="2"/>
    </row>
    <row r="459" spans="1:4" x14ac:dyDescent="0.3">
      <c r="A459" s="2" t="s">
        <v>1788</v>
      </c>
      <c r="B459" s="2" t="s">
        <v>1762</v>
      </c>
      <c r="C459" s="2" t="s">
        <v>3148</v>
      </c>
      <c r="D459" s="2"/>
    </row>
    <row r="460" spans="1:4" x14ac:dyDescent="0.3">
      <c r="A460" s="2" t="s">
        <v>1789</v>
      </c>
      <c r="B460" s="2" t="s">
        <v>1762</v>
      </c>
      <c r="C460" s="2" t="s">
        <v>3148</v>
      </c>
      <c r="D460" s="2"/>
    </row>
    <row r="461" spans="1:4" x14ac:dyDescent="0.3">
      <c r="A461" s="2" t="s">
        <v>1790</v>
      </c>
      <c r="B461" s="2" t="s">
        <v>1762</v>
      </c>
      <c r="C461" s="2" t="s">
        <v>3148</v>
      </c>
      <c r="D461" s="2"/>
    </row>
    <row r="462" spans="1:4" x14ac:dyDescent="0.3">
      <c r="A462" s="2" t="s">
        <v>1791</v>
      </c>
      <c r="B462" s="2" t="s">
        <v>1762</v>
      </c>
      <c r="C462" s="2" t="s">
        <v>3148</v>
      </c>
      <c r="D462" s="2"/>
    </row>
    <row r="463" spans="1:4" x14ac:dyDescent="0.3">
      <c r="A463" s="2" t="s">
        <v>1792</v>
      </c>
      <c r="B463" s="2" t="s">
        <v>1762</v>
      </c>
      <c r="C463" s="2" t="s">
        <v>3148</v>
      </c>
      <c r="D463" s="2"/>
    </row>
    <row r="464" spans="1:4" x14ac:dyDescent="0.3">
      <c r="A464" s="2" t="s">
        <v>1793</v>
      </c>
      <c r="B464" s="2" t="s">
        <v>1762</v>
      </c>
      <c r="C464" s="2" t="s">
        <v>3148</v>
      </c>
      <c r="D464" s="2"/>
    </row>
    <row r="465" spans="1:4" x14ac:dyDescent="0.3">
      <c r="A465" s="2" t="s">
        <v>1794</v>
      </c>
      <c r="B465" s="2" t="s">
        <v>1762</v>
      </c>
      <c r="C465" s="2" t="s">
        <v>3148</v>
      </c>
      <c r="D465" s="2"/>
    </row>
    <row r="466" spans="1:4" x14ac:dyDescent="0.3">
      <c r="A466" s="2" t="s">
        <v>1795</v>
      </c>
      <c r="B466" s="2" t="s">
        <v>1762</v>
      </c>
      <c r="C466" s="2" t="s">
        <v>3148</v>
      </c>
      <c r="D466" s="2"/>
    </row>
    <row r="467" spans="1:4" x14ac:dyDescent="0.3">
      <c r="A467" s="2" t="s">
        <v>1796</v>
      </c>
      <c r="B467" s="2" t="s">
        <v>1762</v>
      </c>
      <c r="C467" s="2" t="s">
        <v>3148</v>
      </c>
      <c r="D467" s="2"/>
    </row>
    <row r="468" spans="1:4" x14ac:dyDescent="0.3">
      <c r="A468" s="2" t="s">
        <v>1797</v>
      </c>
      <c r="B468" s="2" t="s">
        <v>1762</v>
      </c>
      <c r="C468" s="2" t="s">
        <v>3148</v>
      </c>
      <c r="D468" s="2"/>
    </row>
    <row r="469" spans="1:4" x14ac:dyDescent="0.3">
      <c r="A469" s="2" t="s">
        <v>1798</v>
      </c>
      <c r="B469" s="2" t="s">
        <v>1762</v>
      </c>
      <c r="C469" s="2" t="s">
        <v>3148</v>
      </c>
      <c r="D469" s="2"/>
    </row>
    <row r="470" spans="1:4" x14ac:dyDescent="0.3">
      <c r="A470" s="2" t="s">
        <v>1799</v>
      </c>
      <c r="B470" s="2" t="s">
        <v>1762</v>
      </c>
      <c r="C470" s="2" t="s">
        <v>3148</v>
      </c>
      <c r="D470" s="2"/>
    </row>
    <row r="471" spans="1:4" x14ac:dyDescent="0.3">
      <c r="A471" s="2" t="s">
        <v>1800</v>
      </c>
      <c r="B471" s="2" t="s">
        <v>1762</v>
      </c>
      <c r="C471" s="2" t="s">
        <v>3148</v>
      </c>
      <c r="D471" s="2"/>
    </row>
    <row r="472" spans="1:4" x14ac:dyDescent="0.3">
      <c r="A472" s="2" t="s">
        <v>1801</v>
      </c>
      <c r="B472" s="2" t="s">
        <v>1762</v>
      </c>
      <c r="C472" s="2" t="s">
        <v>3148</v>
      </c>
      <c r="D472" s="2"/>
    </row>
    <row r="473" spans="1:4" x14ac:dyDescent="0.3">
      <c r="A473" s="2" t="s">
        <v>1802</v>
      </c>
      <c r="B473" s="2" t="s">
        <v>1762</v>
      </c>
      <c r="C473" s="2" t="s">
        <v>3148</v>
      </c>
      <c r="D473" s="2"/>
    </row>
    <row r="474" spans="1:4" x14ac:dyDescent="0.3">
      <c r="A474" s="2" t="s">
        <v>1803</v>
      </c>
      <c r="B474" s="2" t="s">
        <v>1762</v>
      </c>
      <c r="C474" s="2" t="s">
        <v>3148</v>
      </c>
      <c r="D474" s="2"/>
    </row>
    <row r="475" spans="1:4" x14ac:dyDescent="0.3">
      <c r="A475" s="2" t="s">
        <v>1804</v>
      </c>
      <c r="B475" s="2" t="s">
        <v>1762</v>
      </c>
      <c r="C475" s="2" t="s">
        <v>3148</v>
      </c>
      <c r="D475" s="2"/>
    </row>
    <row r="476" spans="1:4" x14ac:dyDescent="0.3">
      <c r="A476" s="2" t="s">
        <v>1805</v>
      </c>
      <c r="B476" s="2" t="s">
        <v>1762</v>
      </c>
      <c r="C476" s="2" t="s">
        <v>3148</v>
      </c>
      <c r="D476" s="2"/>
    </row>
    <row r="477" spans="1:4" x14ac:dyDescent="0.3">
      <c r="A477" s="2" t="s">
        <v>1806</v>
      </c>
      <c r="B477" s="2" t="s">
        <v>1762</v>
      </c>
      <c r="C477" s="2" t="s">
        <v>3148</v>
      </c>
      <c r="D477" s="2"/>
    </row>
    <row r="478" spans="1:4" x14ac:dyDescent="0.3">
      <c r="A478" s="2" t="s">
        <v>1807</v>
      </c>
      <c r="B478" s="2" t="s">
        <v>1762</v>
      </c>
      <c r="C478" s="2" t="s">
        <v>3148</v>
      </c>
      <c r="D478" s="2"/>
    </row>
    <row r="479" spans="1:4" x14ac:dyDescent="0.3">
      <c r="A479" s="2" t="s">
        <v>1808</v>
      </c>
      <c r="B479" s="2" t="s">
        <v>1762</v>
      </c>
      <c r="C479" s="2" t="s">
        <v>3148</v>
      </c>
      <c r="D479" s="2"/>
    </row>
    <row r="480" spans="1:4" x14ac:dyDescent="0.3">
      <c r="A480" s="2" t="s">
        <v>1809</v>
      </c>
      <c r="B480" s="2" t="s">
        <v>1762</v>
      </c>
      <c r="C480" s="2" t="s">
        <v>3148</v>
      </c>
      <c r="D480" s="2"/>
    </row>
    <row r="481" spans="1:4" x14ac:dyDescent="0.3">
      <c r="A481" s="2" t="s">
        <v>1810</v>
      </c>
      <c r="B481" s="2" t="s">
        <v>1762</v>
      </c>
      <c r="C481" s="2" t="s">
        <v>3148</v>
      </c>
      <c r="D481" s="2"/>
    </row>
    <row r="482" spans="1:4" x14ac:dyDescent="0.3">
      <c r="A482" s="2" t="s">
        <v>1811</v>
      </c>
      <c r="B482" s="2" t="s">
        <v>1762</v>
      </c>
      <c r="C482" s="2" t="s">
        <v>3148</v>
      </c>
      <c r="D482" s="2"/>
    </row>
    <row r="483" spans="1:4" x14ac:dyDescent="0.3">
      <c r="A483" s="2" t="s">
        <v>3199</v>
      </c>
      <c r="B483" s="2" t="s">
        <v>2968</v>
      </c>
      <c r="C483" s="2" t="s">
        <v>2968</v>
      </c>
      <c r="D483" s="2"/>
    </row>
    <row r="484" spans="1:4" x14ac:dyDescent="0.3">
      <c r="A484" s="2" t="s">
        <v>3200</v>
      </c>
      <c r="B484" s="2" t="s">
        <v>2968</v>
      </c>
      <c r="C484" s="2" t="s">
        <v>2968</v>
      </c>
      <c r="D484" s="2"/>
    </row>
    <row r="485" spans="1:4" x14ac:dyDescent="0.3">
      <c r="A485" s="2" t="s">
        <v>3201</v>
      </c>
      <c r="B485" s="2" t="s">
        <v>2968</v>
      </c>
      <c r="C485" s="2" t="s">
        <v>2968</v>
      </c>
      <c r="D485" s="2"/>
    </row>
    <row r="486" spans="1:4" x14ac:dyDescent="0.3">
      <c r="A486" s="2" t="s">
        <v>3202</v>
      </c>
      <c r="B486" s="2" t="s">
        <v>2968</v>
      </c>
      <c r="C486" s="2" t="s">
        <v>2968</v>
      </c>
      <c r="D486" s="2"/>
    </row>
    <row r="487" spans="1:4" x14ac:dyDescent="0.3">
      <c r="A487" s="2" t="s">
        <v>3203</v>
      </c>
      <c r="B487" s="2" t="s">
        <v>2968</v>
      </c>
      <c r="C487" s="2" t="s">
        <v>2968</v>
      </c>
      <c r="D487" s="2"/>
    </row>
    <row r="488" spans="1:4" x14ac:dyDescent="0.3">
      <c r="A488" s="2" t="s">
        <v>3204</v>
      </c>
      <c r="B488" s="2" t="s">
        <v>2968</v>
      </c>
      <c r="C488" s="2" t="s">
        <v>2968</v>
      </c>
      <c r="D488" s="2"/>
    </row>
    <row r="489" spans="1:4" x14ac:dyDescent="0.3">
      <c r="A489" s="2" t="s">
        <v>3205</v>
      </c>
      <c r="B489" s="2" t="s">
        <v>2968</v>
      </c>
      <c r="C489" s="2" t="s">
        <v>2968</v>
      </c>
      <c r="D489" s="2"/>
    </row>
    <row r="490" spans="1:4" x14ac:dyDescent="0.3">
      <c r="A490" s="2" t="s">
        <v>3206</v>
      </c>
      <c r="B490" s="2" t="s">
        <v>2968</v>
      </c>
      <c r="C490" s="2" t="s">
        <v>2968</v>
      </c>
      <c r="D490" s="2"/>
    </row>
    <row r="491" spans="1:4" x14ac:dyDescent="0.3">
      <c r="A491" s="2" t="s">
        <v>3207</v>
      </c>
      <c r="B491" s="2" t="s">
        <v>2968</v>
      </c>
      <c r="C491" s="2" t="s">
        <v>2968</v>
      </c>
      <c r="D491" s="2"/>
    </row>
    <row r="492" spans="1:4" x14ac:dyDescent="0.3">
      <c r="A492" s="2" t="s">
        <v>3208</v>
      </c>
      <c r="B492" s="2" t="s">
        <v>2968</v>
      </c>
      <c r="C492" s="2" t="s">
        <v>2968</v>
      </c>
      <c r="D492" s="2"/>
    </row>
    <row r="493" spans="1:4" x14ac:dyDescent="0.3">
      <c r="A493" s="2" t="s">
        <v>3209</v>
      </c>
      <c r="B493" s="2" t="s">
        <v>2968</v>
      </c>
      <c r="C493" s="2" t="s">
        <v>2968</v>
      </c>
      <c r="D493" s="2"/>
    </row>
    <row r="494" spans="1:4" x14ac:dyDescent="0.3">
      <c r="A494" s="2" t="s">
        <v>3210</v>
      </c>
      <c r="B494" s="2" t="s">
        <v>2968</v>
      </c>
      <c r="C494" s="2" t="s">
        <v>2968</v>
      </c>
      <c r="D494" s="2"/>
    </row>
    <row r="495" spans="1:4" x14ac:dyDescent="0.3">
      <c r="A495" s="2" t="s">
        <v>3211</v>
      </c>
      <c r="B495" s="2" t="s">
        <v>2968</v>
      </c>
      <c r="C495" s="2" t="s">
        <v>2968</v>
      </c>
      <c r="D495" s="2"/>
    </row>
    <row r="496" spans="1:4" x14ac:dyDescent="0.3">
      <c r="A496" s="2" t="s">
        <v>3212</v>
      </c>
      <c r="B496" s="2" t="s">
        <v>2968</v>
      </c>
      <c r="C496" s="2" t="s">
        <v>2968</v>
      </c>
      <c r="D496" s="2"/>
    </row>
    <row r="497" spans="1:4" x14ac:dyDescent="0.3">
      <c r="A497" s="2" t="s">
        <v>3213</v>
      </c>
      <c r="B497" s="2" t="s">
        <v>2968</v>
      </c>
      <c r="C497" s="2" t="s">
        <v>2968</v>
      </c>
      <c r="D497" s="2"/>
    </row>
    <row r="498" spans="1:4" x14ac:dyDescent="0.3">
      <c r="A498" s="2" t="s">
        <v>3214</v>
      </c>
      <c r="B498" s="2" t="s">
        <v>2968</v>
      </c>
      <c r="C498" s="2" t="s">
        <v>2968</v>
      </c>
      <c r="D498" s="2"/>
    </row>
    <row r="499" spans="1:4" x14ac:dyDescent="0.3">
      <c r="A499" s="2" t="s">
        <v>3215</v>
      </c>
      <c r="B499" s="2" t="s">
        <v>2968</v>
      </c>
      <c r="C499" s="2" t="s">
        <v>2968</v>
      </c>
      <c r="D499" s="2"/>
    </row>
    <row r="500" spans="1:4" x14ac:dyDescent="0.3">
      <c r="A500" s="2" t="s">
        <v>3216</v>
      </c>
      <c r="B500" s="2" t="s">
        <v>2968</v>
      </c>
      <c r="C500" s="2" t="s">
        <v>2968</v>
      </c>
      <c r="D500" s="2"/>
    </row>
    <row r="501" spans="1:4" x14ac:dyDescent="0.3">
      <c r="A501" s="2" t="s">
        <v>3217</v>
      </c>
      <c r="B501" s="2" t="s">
        <v>3151</v>
      </c>
      <c r="C501" s="2" t="s">
        <v>3151</v>
      </c>
      <c r="D501" s="2"/>
    </row>
    <row r="502" spans="1:4" x14ac:dyDescent="0.3">
      <c r="A502" s="2" t="s">
        <v>3218</v>
      </c>
      <c r="B502" s="2" t="s">
        <v>3151</v>
      </c>
      <c r="C502" s="2" t="s">
        <v>3151</v>
      </c>
      <c r="D502" s="2"/>
    </row>
    <row r="503" spans="1:4" x14ac:dyDescent="0.3">
      <c r="A503" s="2" t="s">
        <v>3219</v>
      </c>
      <c r="B503" s="2" t="s">
        <v>3151</v>
      </c>
      <c r="C503" s="2" t="s">
        <v>3151</v>
      </c>
      <c r="D503" s="2"/>
    </row>
    <row r="504" spans="1:4" x14ac:dyDescent="0.3">
      <c r="A504" s="2" t="s">
        <v>3220</v>
      </c>
      <c r="B504" s="2" t="s">
        <v>3151</v>
      </c>
      <c r="C504" s="2" t="s">
        <v>3151</v>
      </c>
      <c r="D504" s="2"/>
    </row>
    <row r="505" spans="1:4" x14ac:dyDescent="0.3">
      <c r="A505" s="2" t="s">
        <v>3221</v>
      </c>
      <c r="B505" s="2" t="s">
        <v>3149</v>
      </c>
      <c r="C505" s="2" t="s">
        <v>3149</v>
      </c>
      <c r="D505" s="2"/>
    </row>
    <row r="506" spans="1:4" x14ac:dyDescent="0.3">
      <c r="A506" s="2" t="s">
        <v>3222</v>
      </c>
      <c r="B506" s="2" t="s">
        <v>3149</v>
      </c>
      <c r="C506" s="2" t="s">
        <v>3149</v>
      </c>
      <c r="D506" s="2"/>
    </row>
    <row r="507" spans="1:4" x14ac:dyDescent="0.3">
      <c r="A507" s="2" t="s">
        <v>3223</v>
      </c>
      <c r="B507" s="2" t="s">
        <v>3149</v>
      </c>
      <c r="C507" s="2" t="s">
        <v>3149</v>
      </c>
      <c r="D507" s="2"/>
    </row>
    <row r="508" spans="1:4" x14ac:dyDescent="0.3">
      <c r="A508" s="2" t="s">
        <v>3224</v>
      </c>
      <c r="B508" s="2" t="s">
        <v>3149</v>
      </c>
      <c r="C508" s="2" t="s">
        <v>3149</v>
      </c>
      <c r="D508" s="2"/>
    </row>
    <row r="509" spans="1:4" x14ac:dyDescent="0.3">
      <c r="A509" s="2" t="s">
        <v>3225</v>
      </c>
      <c r="B509" s="2" t="s">
        <v>3149</v>
      </c>
      <c r="C509" s="2" t="s">
        <v>3149</v>
      </c>
      <c r="D509" s="2"/>
    </row>
    <row r="510" spans="1:4" x14ac:dyDescent="0.3">
      <c r="A510" s="2" t="s">
        <v>3226</v>
      </c>
      <c r="B510" s="2" t="s">
        <v>3149</v>
      </c>
      <c r="C510" s="2" t="s">
        <v>3149</v>
      </c>
      <c r="D510" s="2"/>
    </row>
    <row r="511" spans="1:4" x14ac:dyDescent="0.3">
      <c r="A511" s="2" t="s">
        <v>3227</v>
      </c>
      <c r="B511" s="2" t="s">
        <v>3149</v>
      </c>
      <c r="C511" s="2" t="s">
        <v>3149</v>
      </c>
      <c r="D511" s="2"/>
    </row>
    <row r="512" spans="1:4" x14ac:dyDescent="0.3">
      <c r="A512" s="2" t="s">
        <v>3228</v>
      </c>
      <c r="B512" s="2" t="s">
        <v>3149</v>
      </c>
      <c r="C512" s="2" t="s">
        <v>3149</v>
      </c>
      <c r="D512" s="2"/>
    </row>
    <row r="513" spans="1:4" x14ac:dyDescent="0.3">
      <c r="A513" s="2" t="s">
        <v>3229</v>
      </c>
      <c r="B513" s="2" t="s">
        <v>3149</v>
      </c>
      <c r="C513" s="2" t="s">
        <v>3149</v>
      </c>
      <c r="D513" s="2"/>
    </row>
    <row r="514" spans="1:4" x14ac:dyDescent="0.3">
      <c r="A514" s="2" t="s">
        <v>3230</v>
      </c>
      <c r="B514" s="2" t="s">
        <v>3149</v>
      </c>
      <c r="C514" s="2" t="s">
        <v>3149</v>
      </c>
      <c r="D514" s="2"/>
    </row>
    <row r="515" spans="1:4" x14ac:dyDescent="0.3">
      <c r="A515" s="2" t="s">
        <v>3231</v>
      </c>
      <c r="B515" s="2" t="s">
        <v>3149</v>
      </c>
      <c r="C515" s="2" t="s">
        <v>3149</v>
      </c>
      <c r="D515" s="2"/>
    </row>
    <row r="516" spans="1:4" x14ac:dyDescent="0.3">
      <c r="A516" s="2" t="s">
        <v>3232</v>
      </c>
      <c r="B516" s="2" t="s">
        <v>3149</v>
      </c>
      <c r="C516" s="2" t="s">
        <v>3149</v>
      </c>
      <c r="D516" s="2"/>
    </row>
    <row r="517" spans="1:4" x14ac:dyDescent="0.3">
      <c r="A517" s="2" t="s">
        <v>3233</v>
      </c>
      <c r="B517" s="2" t="s">
        <v>2970</v>
      </c>
      <c r="C517" s="2" t="s">
        <v>2970</v>
      </c>
      <c r="D517" s="2"/>
    </row>
    <row r="518" spans="1:4" x14ac:dyDescent="0.3">
      <c r="A518" s="2" t="s">
        <v>3234</v>
      </c>
      <c r="B518" s="2" t="s">
        <v>2970</v>
      </c>
      <c r="C518" s="2" t="s">
        <v>2970</v>
      </c>
      <c r="D518" s="2"/>
    </row>
    <row r="519" spans="1:4" x14ac:dyDescent="0.3">
      <c r="A519" s="2" t="s">
        <v>3235</v>
      </c>
      <c r="B519" s="2" t="s">
        <v>2970</v>
      </c>
      <c r="C519" s="2" t="s">
        <v>2970</v>
      </c>
      <c r="D519" s="2"/>
    </row>
    <row r="520" spans="1:4" x14ac:dyDescent="0.3">
      <c r="A520" s="2" t="s">
        <v>3236</v>
      </c>
      <c r="B520" s="2" t="s">
        <v>2970</v>
      </c>
      <c r="C520" s="2" t="s">
        <v>2970</v>
      </c>
      <c r="D520" s="2"/>
    </row>
    <row r="521" spans="1:4" x14ac:dyDescent="0.3">
      <c r="A521" s="2" t="s">
        <v>3237</v>
      </c>
      <c r="B521" s="2" t="s">
        <v>2970</v>
      </c>
      <c r="C521" s="2" t="s">
        <v>2970</v>
      </c>
      <c r="D521" s="2"/>
    </row>
    <row r="522" spans="1:4" x14ac:dyDescent="0.3">
      <c r="A522" s="2" t="s">
        <v>3238</v>
      </c>
      <c r="B522" s="2" t="s">
        <v>2970</v>
      </c>
      <c r="C522" s="2" t="s">
        <v>2970</v>
      </c>
      <c r="D522" s="2"/>
    </row>
    <row r="523" spans="1:4" x14ac:dyDescent="0.3">
      <c r="A523" s="2" t="s">
        <v>3239</v>
      </c>
      <c r="B523" s="2" t="s">
        <v>2970</v>
      </c>
      <c r="C523" s="2" t="s">
        <v>2970</v>
      </c>
      <c r="D523" s="2"/>
    </row>
    <row r="524" spans="1:4" x14ac:dyDescent="0.3">
      <c r="A524" s="2" t="s">
        <v>3240</v>
      </c>
      <c r="B524" s="2" t="s">
        <v>2970</v>
      </c>
      <c r="C524" s="2" t="s">
        <v>2970</v>
      </c>
      <c r="D524" s="2"/>
    </row>
    <row r="525" spans="1:4" x14ac:dyDescent="0.3">
      <c r="A525" s="2" t="s">
        <v>3241</v>
      </c>
      <c r="B525" s="2" t="s">
        <v>2967</v>
      </c>
      <c r="C525" s="2" t="s">
        <v>2967</v>
      </c>
      <c r="D525" s="2"/>
    </row>
    <row r="526" spans="1:4" x14ac:dyDescent="0.3">
      <c r="A526" s="2" t="s">
        <v>3242</v>
      </c>
      <c r="B526" s="2" t="s">
        <v>2967</v>
      </c>
      <c r="C526" s="2" t="s">
        <v>2967</v>
      </c>
      <c r="D526" s="2"/>
    </row>
    <row r="527" spans="1:4" x14ac:dyDescent="0.3">
      <c r="A527" s="2" t="s">
        <v>3243</v>
      </c>
      <c r="B527" s="2" t="s">
        <v>2967</v>
      </c>
      <c r="C527" s="2" t="s">
        <v>2967</v>
      </c>
      <c r="D527" s="2"/>
    </row>
    <row r="528" spans="1:4" x14ac:dyDescent="0.3">
      <c r="A528" s="2" t="s">
        <v>3244</v>
      </c>
      <c r="B528" s="2" t="s">
        <v>2967</v>
      </c>
      <c r="C528" s="2" t="s">
        <v>2967</v>
      </c>
      <c r="D528" s="2"/>
    </row>
    <row r="529" spans="1:4" x14ac:dyDescent="0.3">
      <c r="A529" s="2" t="s">
        <v>3245</v>
      </c>
      <c r="B529" s="2" t="s">
        <v>2967</v>
      </c>
      <c r="C529" s="2" t="s">
        <v>2967</v>
      </c>
      <c r="D529" s="2"/>
    </row>
    <row r="530" spans="1:4" x14ac:dyDescent="0.3">
      <c r="A530" s="2" t="s">
        <v>3246</v>
      </c>
      <c r="B530" s="2" t="s">
        <v>2967</v>
      </c>
      <c r="C530" s="2" t="s">
        <v>2967</v>
      </c>
      <c r="D530" s="2"/>
    </row>
    <row r="531" spans="1:4" x14ac:dyDescent="0.3">
      <c r="A531" s="2" t="s">
        <v>3247</v>
      </c>
      <c r="B531" s="2" t="s">
        <v>2967</v>
      </c>
      <c r="C531" s="2" t="s">
        <v>2967</v>
      </c>
      <c r="D531" s="2"/>
    </row>
    <row r="532" spans="1:4" x14ac:dyDescent="0.3">
      <c r="A532" s="2" t="s">
        <v>3248</v>
      </c>
      <c r="B532" s="2" t="s">
        <v>2967</v>
      </c>
      <c r="C532" s="2" t="s">
        <v>2967</v>
      </c>
      <c r="D532" s="2"/>
    </row>
    <row r="533" spans="1:4" x14ac:dyDescent="0.3">
      <c r="A533" s="2" t="s">
        <v>3249</v>
      </c>
      <c r="B533" s="2" t="s">
        <v>2967</v>
      </c>
      <c r="C533" s="2" t="s">
        <v>2967</v>
      </c>
      <c r="D533" s="2"/>
    </row>
    <row r="534" spans="1:4" x14ac:dyDescent="0.3">
      <c r="A534" s="2" t="s">
        <v>3250</v>
      </c>
      <c r="B534" s="2" t="s">
        <v>2967</v>
      </c>
      <c r="C534" s="2" t="s">
        <v>2967</v>
      </c>
      <c r="D534" s="2"/>
    </row>
    <row r="535" spans="1:4" x14ac:dyDescent="0.3">
      <c r="A535" s="2" t="s">
        <v>3251</v>
      </c>
      <c r="B535" s="2" t="s">
        <v>2967</v>
      </c>
      <c r="C535" s="2" t="s">
        <v>2967</v>
      </c>
      <c r="D535" s="2"/>
    </row>
    <row r="536" spans="1:4" x14ac:dyDescent="0.3">
      <c r="A536" s="2" t="s">
        <v>3252</v>
      </c>
      <c r="B536" s="2" t="s">
        <v>2967</v>
      </c>
      <c r="C536" s="2" t="s">
        <v>2967</v>
      </c>
      <c r="D536" s="2"/>
    </row>
    <row r="537" spans="1:4" x14ac:dyDescent="0.3">
      <c r="A537" s="2" t="s">
        <v>3253</v>
      </c>
      <c r="B537" s="2" t="s">
        <v>2967</v>
      </c>
      <c r="C537" s="2" t="s">
        <v>2967</v>
      </c>
      <c r="D537" s="2"/>
    </row>
    <row r="538" spans="1:4" x14ac:dyDescent="0.3">
      <c r="A538" s="2" t="s">
        <v>3254</v>
      </c>
      <c r="B538" s="2" t="s">
        <v>2967</v>
      </c>
      <c r="C538" s="2" t="s">
        <v>2967</v>
      </c>
      <c r="D538" s="2"/>
    </row>
    <row r="539" spans="1:4" x14ac:dyDescent="0.3">
      <c r="A539" s="2" t="s">
        <v>3255</v>
      </c>
      <c r="B539" s="2" t="s">
        <v>2967</v>
      </c>
      <c r="C539" s="2" t="s">
        <v>2967</v>
      </c>
      <c r="D539" s="2"/>
    </row>
    <row r="540" spans="1:4" x14ac:dyDescent="0.3">
      <c r="A540" s="2" t="s">
        <v>3256</v>
      </c>
      <c r="B540" s="2" t="s">
        <v>2967</v>
      </c>
      <c r="C540" s="2" t="s">
        <v>2967</v>
      </c>
      <c r="D540" s="2"/>
    </row>
    <row r="541" spans="1:4" x14ac:dyDescent="0.3">
      <c r="A541" s="2" t="s">
        <v>3257</v>
      </c>
      <c r="B541" s="2" t="s">
        <v>2967</v>
      </c>
      <c r="C541" s="2" t="s">
        <v>2967</v>
      </c>
      <c r="D541" s="2"/>
    </row>
    <row r="542" spans="1:4" x14ac:dyDescent="0.3">
      <c r="A542" s="2" t="s">
        <v>3258</v>
      </c>
      <c r="B542" s="2" t="s">
        <v>2967</v>
      </c>
      <c r="C542" s="2" t="s">
        <v>2967</v>
      </c>
      <c r="D542" s="2"/>
    </row>
    <row r="543" spans="1:4" x14ac:dyDescent="0.3">
      <c r="A543" s="2" t="s">
        <v>3259</v>
      </c>
      <c r="B543" s="2" t="s">
        <v>2967</v>
      </c>
      <c r="C543" s="2" t="s">
        <v>2967</v>
      </c>
      <c r="D543" s="2"/>
    </row>
    <row r="544" spans="1:4" x14ac:dyDescent="0.3">
      <c r="A544" s="2" t="s">
        <v>3260</v>
      </c>
      <c r="B544" s="2" t="s">
        <v>2967</v>
      </c>
      <c r="C544" s="2" t="s">
        <v>2967</v>
      </c>
      <c r="D544" s="2"/>
    </row>
    <row r="545" spans="1:4" x14ac:dyDescent="0.3">
      <c r="A545" s="2" t="s">
        <v>3196</v>
      </c>
      <c r="B545" s="2" t="s">
        <v>2967</v>
      </c>
      <c r="C545" s="2" t="s">
        <v>2967</v>
      </c>
      <c r="D545" s="2" t="s">
        <v>3261</v>
      </c>
    </row>
    <row r="546" spans="1:4" x14ac:dyDescent="0.3">
      <c r="A546" s="2" t="s">
        <v>3262</v>
      </c>
      <c r="B546" s="2" t="s">
        <v>2967</v>
      </c>
      <c r="C546" s="2" t="s">
        <v>2967</v>
      </c>
      <c r="D546" s="2"/>
    </row>
    <row r="547" spans="1:4" x14ac:dyDescent="0.3">
      <c r="A547" s="2" t="s">
        <v>3263</v>
      </c>
      <c r="B547" s="2" t="s">
        <v>2963</v>
      </c>
      <c r="C547" s="2" t="s">
        <v>3264</v>
      </c>
      <c r="D547" s="2"/>
    </row>
    <row r="548" spans="1:4" x14ac:dyDescent="0.3">
      <c r="A548" s="2" t="s">
        <v>3265</v>
      </c>
      <c r="B548" s="2" t="s">
        <v>2963</v>
      </c>
      <c r="C548" s="2" t="s">
        <v>3264</v>
      </c>
      <c r="D548" s="2"/>
    </row>
    <row r="549" spans="1:4" x14ac:dyDescent="0.3">
      <c r="A549" s="2" t="s">
        <v>3266</v>
      </c>
      <c r="B549" s="2" t="s">
        <v>2963</v>
      </c>
      <c r="C549" s="2" t="s">
        <v>3264</v>
      </c>
      <c r="D549" s="2"/>
    </row>
    <row r="550" spans="1:4" x14ac:dyDescent="0.3">
      <c r="A550" s="2" t="s">
        <v>3267</v>
      </c>
      <c r="B550" s="2" t="s">
        <v>2963</v>
      </c>
      <c r="C550" s="2" t="s">
        <v>3264</v>
      </c>
      <c r="D550" s="2"/>
    </row>
    <row r="551" spans="1:4" x14ac:dyDescent="0.3">
      <c r="A551" s="2" t="s">
        <v>3268</v>
      </c>
      <c r="B551" s="2" t="s">
        <v>2963</v>
      </c>
      <c r="C551" s="2" t="s">
        <v>3269</v>
      </c>
      <c r="D551" s="2"/>
    </row>
    <row r="552" spans="1:4" x14ac:dyDescent="0.3">
      <c r="A552" s="2" t="s">
        <v>3270</v>
      </c>
      <c r="B552" s="2" t="s">
        <v>2963</v>
      </c>
      <c r="C552" s="2" t="s">
        <v>3269</v>
      </c>
      <c r="D552" s="2"/>
    </row>
    <row r="553" spans="1:4" x14ac:dyDescent="0.3">
      <c r="A553" s="2" t="s">
        <v>3271</v>
      </c>
      <c r="B553" s="2" t="s">
        <v>2973</v>
      </c>
      <c r="C553" s="2" t="s">
        <v>2973</v>
      </c>
      <c r="D553" s="2"/>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2"/>
  <sheetViews>
    <sheetView workbookViewId="0">
      <selection sqref="A1:D1"/>
    </sheetView>
  </sheetViews>
  <sheetFormatPr defaultColWidth="8.6640625" defaultRowHeight="14.4" x14ac:dyDescent="0.3"/>
  <cols>
    <col min="1" max="1" width="23.5546875" customWidth="1"/>
    <col min="2" max="2" width="54.5546875" customWidth="1"/>
    <col min="3" max="3" width="24.6640625" bestFit="1" customWidth="1"/>
    <col min="4" max="4" width="78" bestFit="1" customWidth="1"/>
    <col min="6" max="6" width="20.109375" bestFit="1" customWidth="1"/>
    <col min="7" max="7" width="15.6640625" bestFit="1" customWidth="1"/>
    <col min="8" max="8" width="25.33203125" bestFit="1" customWidth="1"/>
    <col min="9" max="9" width="67.6640625" bestFit="1" customWidth="1"/>
  </cols>
  <sheetData>
    <row r="1" spans="1:7" ht="19.2" customHeight="1" x14ac:dyDescent="0.3">
      <c r="A1" s="26" t="s">
        <v>2958</v>
      </c>
      <c r="B1" s="27"/>
      <c r="C1" s="27"/>
      <c r="D1" s="27"/>
    </row>
    <row r="2" spans="1:7" ht="30" customHeight="1" x14ac:dyDescent="0.3">
      <c r="A2" s="1" t="s">
        <v>1</v>
      </c>
      <c r="B2" s="1" t="s">
        <v>2</v>
      </c>
      <c r="C2" s="1" t="s">
        <v>2959</v>
      </c>
      <c r="D2" s="1" t="s">
        <v>2960</v>
      </c>
    </row>
    <row r="3" spans="1:7" ht="18" customHeight="1" x14ac:dyDescent="0.3">
      <c r="A3" s="2" t="s">
        <v>28</v>
      </c>
      <c r="B3" s="2" t="s">
        <v>7</v>
      </c>
      <c r="C3" s="2" t="s">
        <v>2961</v>
      </c>
      <c r="D3" s="2"/>
    </row>
    <row r="4" spans="1:7" ht="18" customHeight="1" x14ac:dyDescent="0.3">
      <c r="A4" s="2" t="s">
        <v>30</v>
      </c>
      <c r="B4" s="2" t="s">
        <v>7</v>
      </c>
      <c r="C4" s="2" t="s">
        <v>2961</v>
      </c>
      <c r="D4" s="2"/>
    </row>
    <row r="5" spans="1:7" ht="18" customHeight="1" x14ac:dyDescent="0.3">
      <c r="A5" s="2" t="s">
        <v>31</v>
      </c>
      <c r="B5" s="2" t="s">
        <v>7</v>
      </c>
      <c r="C5" s="2" t="s">
        <v>2961</v>
      </c>
      <c r="D5" s="2"/>
    </row>
    <row r="6" spans="1:7" ht="18" customHeight="1" x14ac:dyDescent="0.3">
      <c r="A6" s="2" t="s">
        <v>33</v>
      </c>
      <c r="B6" s="2" t="s">
        <v>7</v>
      </c>
      <c r="C6" s="2" t="s">
        <v>2961</v>
      </c>
      <c r="D6" s="2"/>
      <c r="F6" s="31" t="s">
        <v>2962</v>
      </c>
      <c r="G6" s="32"/>
    </row>
    <row r="7" spans="1:7" ht="18" customHeight="1" x14ac:dyDescent="0.3">
      <c r="A7" s="2" t="s">
        <v>34</v>
      </c>
      <c r="B7" s="2" t="s">
        <v>7</v>
      </c>
      <c r="C7" s="2" t="s">
        <v>2961</v>
      </c>
      <c r="D7" s="2"/>
      <c r="F7" s="3" t="s">
        <v>7</v>
      </c>
      <c r="G7" s="4">
        <f>COUNTIF(B:B,"AHU")</f>
        <v>5</v>
      </c>
    </row>
    <row r="8" spans="1:7" ht="18" customHeight="1" x14ac:dyDescent="0.3">
      <c r="A8" s="2" t="s">
        <v>44</v>
      </c>
      <c r="B8" s="2" t="s">
        <v>45</v>
      </c>
      <c r="C8" s="2" t="s">
        <v>3015</v>
      </c>
      <c r="D8" s="2"/>
      <c r="F8" s="3" t="s">
        <v>45</v>
      </c>
      <c r="G8" s="4">
        <f>COUNTIF(B:B,"FCU")</f>
        <v>11</v>
      </c>
    </row>
    <row r="9" spans="1:7" ht="18" customHeight="1" x14ac:dyDescent="0.3">
      <c r="A9" s="2" t="s">
        <v>47</v>
      </c>
      <c r="B9" s="2" t="s">
        <v>45</v>
      </c>
      <c r="C9" s="2" t="s">
        <v>3015</v>
      </c>
      <c r="D9" s="2"/>
      <c r="F9" s="3" t="s">
        <v>2963</v>
      </c>
      <c r="G9" s="4">
        <f>COUNTIF(B:B,"CHW Pump")</f>
        <v>8</v>
      </c>
    </row>
    <row r="10" spans="1:7" ht="18" customHeight="1" x14ac:dyDescent="0.3">
      <c r="A10" s="2" t="s">
        <v>49</v>
      </c>
      <c r="B10" s="2" t="s">
        <v>45</v>
      </c>
      <c r="C10" s="2" t="s">
        <v>3015</v>
      </c>
      <c r="D10" s="2"/>
      <c r="F10" s="3" t="s">
        <v>2964</v>
      </c>
      <c r="G10" s="4">
        <f>COUNTIF(B:B,"VAV")</f>
        <v>108</v>
      </c>
    </row>
    <row r="11" spans="1:7" ht="18" customHeight="1" x14ac:dyDescent="0.3">
      <c r="A11" s="2" t="s">
        <v>51</v>
      </c>
      <c r="B11" s="2" t="s">
        <v>45</v>
      </c>
      <c r="C11" s="2" t="s">
        <v>3015</v>
      </c>
      <c r="D11" s="2"/>
      <c r="F11" s="3" t="s">
        <v>2965</v>
      </c>
      <c r="G11" s="4">
        <f>COUNTIF(B:B,"DX Unit")</f>
        <v>10</v>
      </c>
    </row>
    <row r="12" spans="1:7" ht="18" customHeight="1" x14ac:dyDescent="0.3">
      <c r="A12" s="2" t="s">
        <v>53</v>
      </c>
      <c r="B12" s="2" t="s">
        <v>45</v>
      </c>
      <c r="C12" s="2" t="s">
        <v>3015</v>
      </c>
      <c r="D12" s="2"/>
      <c r="F12" s="3" t="s">
        <v>2966</v>
      </c>
      <c r="G12" s="4">
        <f>COUNTIF(B:B,"HEX")</f>
        <v>5</v>
      </c>
    </row>
    <row r="13" spans="1:7" ht="18" customHeight="1" x14ac:dyDescent="0.3">
      <c r="A13" s="2" t="s">
        <v>55</v>
      </c>
      <c r="B13" s="2" t="s">
        <v>45</v>
      </c>
      <c r="C13" s="2" t="s">
        <v>3015</v>
      </c>
      <c r="D13" s="2"/>
      <c r="F13" s="3" t="s">
        <v>2967</v>
      </c>
      <c r="G13" s="4">
        <f>COUNTIF(B:B,"CCU")</f>
        <v>14</v>
      </c>
    </row>
    <row r="14" spans="1:7" ht="18" customHeight="1" x14ac:dyDescent="0.3">
      <c r="A14" s="2" t="s">
        <v>57</v>
      </c>
      <c r="B14" s="2" t="s">
        <v>45</v>
      </c>
      <c r="C14" s="2" t="s">
        <v>3015</v>
      </c>
      <c r="D14" s="2"/>
      <c r="F14" s="3" t="s">
        <v>2968</v>
      </c>
      <c r="G14" s="4">
        <f>COUNTIF(B:B,"EF")</f>
        <v>1</v>
      </c>
    </row>
    <row r="15" spans="1:7" ht="18" customHeight="1" x14ac:dyDescent="0.3">
      <c r="A15" s="2" t="s">
        <v>59</v>
      </c>
      <c r="B15" s="2" t="s">
        <v>45</v>
      </c>
      <c r="C15" s="2" t="s">
        <v>3015</v>
      </c>
      <c r="D15" s="2"/>
      <c r="F15" s="3" t="s">
        <v>3151</v>
      </c>
      <c r="G15" s="4">
        <f>COUNTIF(B:B,"KEF")</f>
        <v>2</v>
      </c>
    </row>
    <row r="16" spans="1:7" ht="18" customHeight="1" x14ac:dyDescent="0.3">
      <c r="A16" s="2" t="s">
        <v>61</v>
      </c>
      <c r="B16" s="2" t="s">
        <v>45</v>
      </c>
      <c r="C16" s="2" t="s">
        <v>3015</v>
      </c>
      <c r="D16" s="2"/>
      <c r="F16" s="3" t="s">
        <v>2970</v>
      </c>
      <c r="G16" s="4">
        <f>COUNTIF(B:B,"TEF")</f>
        <v>4</v>
      </c>
    </row>
    <row r="17" spans="1:9" ht="18" customHeight="1" x14ac:dyDescent="0.3">
      <c r="A17" s="2" t="s">
        <v>62</v>
      </c>
      <c r="B17" s="2" t="s">
        <v>45</v>
      </c>
      <c r="C17" s="2" t="s">
        <v>3015</v>
      </c>
      <c r="D17" s="2"/>
      <c r="F17" s="3" t="s">
        <v>2969</v>
      </c>
      <c r="G17" s="4">
        <f>COUNTIF(B:B,"GEF")</f>
        <v>1</v>
      </c>
    </row>
    <row r="18" spans="1:9" ht="18" customHeight="1" x14ac:dyDescent="0.3">
      <c r="A18" s="2" t="s">
        <v>64</v>
      </c>
      <c r="B18" s="2" t="s">
        <v>45</v>
      </c>
      <c r="C18" s="2" t="s">
        <v>3015</v>
      </c>
      <c r="D18" s="2"/>
      <c r="F18" s="3" t="s">
        <v>2973</v>
      </c>
      <c r="G18" s="4">
        <f>COUNTIF(B:B,"Generator")</f>
        <v>1</v>
      </c>
    </row>
    <row r="19" spans="1:9" ht="18" customHeight="1" x14ac:dyDescent="0.3">
      <c r="A19" s="2" t="s">
        <v>265</v>
      </c>
      <c r="B19" s="2" t="s">
        <v>266</v>
      </c>
      <c r="C19" s="2" t="s">
        <v>2964</v>
      </c>
      <c r="D19" s="2"/>
      <c r="F19" s="5" t="s">
        <v>2974</v>
      </c>
      <c r="G19" s="5">
        <f>SUM(G7:G18)</f>
        <v>170</v>
      </c>
    </row>
    <row r="20" spans="1:9" ht="18" customHeight="1" x14ac:dyDescent="0.3">
      <c r="A20" s="2" t="s">
        <v>268</v>
      </c>
      <c r="B20" s="2" t="s">
        <v>266</v>
      </c>
      <c r="C20" s="2" t="s">
        <v>2964</v>
      </c>
      <c r="D20" s="2"/>
    </row>
    <row r="21" spans="1:9" ht="18" customHeight="1" x14ac:dyDescent="0.3">
      <c r="A21" s="2" t="s">
        <v>270</v>
      </c>
      <c r="B21" s="2" t="s">
        <v>266</v>
      </c>
      <c r="C21" s="2" t="s">
        <v>2964</v>
      </c>
      <c r="D21" s="2"/>
    </row>
    <row r="22" spans="1:9" ht="18" customHeight="1" x14ac:dyDescent="0.3">
      <c r="A22" s="2" t="s">
        <v>271</v>
      </c>
      <c r="B22" s="2" t="s">
        <v>266</v>
      </c>
      <c r="C22" s="2" t="s">
        <v>2964</v>
      </c>
      <c r="D22" s="2"/>
    </row>
    <row r="23" spans="1:9" ht="18" customHeight="1" x14ac:dyDescent="0.3">
      <c r="A23" s="2" t="s">
        <v>273</v>
      </c>
      <c r="B23" s="2" t="s">
        <v>266</v>
      </c>
      <c r="C23" s="2" t="s">
        <v>2964</v>
      </c>
      <c r="D23" s="2"/>
    </row>
    <row r="24" spans="1:9" ht="18" customHeight="1" x14ac:dyDescent="0.3">
      <c r="A24" s="2" t="s">
        <v>275</v>
      </c>
      <c r="B24" s="2" t="s">
        <v>266</v>
      </c>
      <c r="C24" s="2" t="s">
        <v>2964</v>
      </c>
      <c r="D24" s="2"/>
    </row>
    <row r="25" spans="1:9" ht="18" customHeight="1" x14ac:dyDescent="0.3">
      <c r="A25" s="2" t="s">
        <v>276</v>
      </c>
      <c r="B25" s="2" t="s">
        <v>266</v>
      </c>
      <c r="C25" s="2" t="s">
        <v>2964</v>
      </c>
      <c r="D25" s="2"/>
    </row>
    <row r="26" spans="1:9" ht="18" customHeight="1" x14ac:dyDescent="0.3">
      <c r="A26" s="2" t="s">
        <v>278</v>
      </c>
      <c r="B26" s="2" t="s">
        <v>266</v>
      </c>
      <c r="C26" s="2" t="s">
        <v>2964</v>
      </c>
      <c r="D26" s="2"/>
      <c r="F26" s="6" t="s">
        <v>2975</v>
      </c>
      <c r="G26" s="6" t="s">
        <v>2976</v>
      </c>
      <c r="H26" s="6" t="s">
        <v>2977</v>
      </c>
      <c r="I26" s="6" t="s">
        <v>2978</v>
      </c>
    </row>
    <row r="27" spans="1:9" ht="18" customHeight="1" x14ac:dyDescent="0.3">
      <c r="A27" s="2" t="s">
        <v>280</v>
      </c>
      <c r="B27" s="2" t="s">
        <v>266</v>
      </c>
      <c r="C27" s="2" t="s">
        <v>2964</v>
      </c>
      <c r="D27" s="2"/>
      <c r="F27" s="2">
        <v>1</v>
      </c>
      <c r="G27" s="2" t="s">
        <v>2965</v>
      </c>
      <c r="H27" s="2" t="s">
        <v>3272</v>
      </c>
      <c r="I27" s="2" t="s">
        <v>3273</v>
      </c>
    </row>
    <row r="28" spans="1:9" ht="18" customHeight="1" x14ac:dyDescent="0.3">
      <c r="A28" s="2" t="s">
        <v>1828</v>
      </c>
      <c r="B28" s="2" t="s">
        <v>266</v>
      </c>
      <c r="C28" s="2" t="s">
        <v>2964</v>
      </c>
      <c r="D28" s="2"/>
      <c r="F28" s="2">
        <v>2</v>
      </c>
      <c r="G28" s="2" t="s">
        <v>2965</v>
      </c>
      <c r="H28" s="2" t="s">
        <v>3274</v>
      </c>
      <c r="I28" s="2" t="s">
        <v>3273</v>
      </c>
    </row>
    <row r="29" spans="1:9" ht="18" customHeight="1" x14ac:dyDescent="0.3">
      <c r="A29" s="2" t="s">
        <v>282</v>
      </c>
      <c r="B29" s="2" t="s">
        <v>266</v>
      </c>
      <c r="C29" s="2" t="s">
        <v>2964</v>
      </c>
      <c r="D29" s="2"/>
      <c r="F29" s="2">
        <v>3</v>
      </c>
      <c r="G29" s="2" t="s">
        <v>2965</v>
      </c>
      <c r="H29" s="2" t="s">
        <v>3275</v>
      </c>
      <c r="I29" s="2" t="s">
        <v>3273</v>
      </c>
    </row>
    <row r="30" spans="1:9" ht="18" customHeight="1" x14ac:dyDescent="0.3">
      <c r="A30" s="2" t="s">
        <v>284</v>
      </c>
      <c r="B30" s="2" t="s">
        <v>266</v>
      </c>
      <c r="C30" s="2" t="s">
        <v>2964</v>
      </c>
      <c r="D30" s="2"/>
      <c r="F30" s="2">
        <v>4</v>
      </c>
      <c r="G30" s="2" t="s">
        <v>2965</v>
      </c>
      <c r="H30" s="2" t="s">
        <v>3276</v>
      </c>
      <c r="I30" s="2" t="s">
        <v>3273</v>
      </c>
    </row>
    <row r="31" spans="1:9" ht="18" customHeight="1" x14ac:dyDescent="0.3">
      <c r="A31" s="2" t="s">
        <v>286</v>
      </c>
      <c r="B31" s="2" t="s">
        <v>266</v>
      </c>
      <c r="C31" s="2" t="s">
        <v>2964</v>
      </c>
      <c r="D31" s="2"/>
      <c r="F31" s="2">
        <v>5</v>
      </c>
      <c r="G31" s="2" t="s">
        <v>2965</v>
      </c>
      <c r="H31" s="2" t="s">
        <v>3277</v>
      </c>
      <c r="I31" s="2" t="s">
        <v>3273</v>
      </c>
    </row>
    <row r="32" spans="1:9" ht="18" customHeight="1" x14ac:dyDescent="0.3">
      <c r="A32" s="2" t="s">
        <v>288</v>
      </c>
      <c r="B32" s="2" t="s">
        <v>266</v>
      </c>
      <c r="C32" s="2" t="s">
        <v>2964</v>
      </c>
      <c r="D32" s="2"/>
      <c r="F32" s="2">
        <v>6</v>
      </c>
      <c r="G32" s="2" t="s">
        <v>2965</v>
      </c>
      <c r="H32" s="2" t="s">
        <v>3278</v>
      </c>
      <c r="I32" s="2" t="s">
        <v>3273</v>
      </c>
    </row>
    <row r="33" spans="1:9" ht="18" customHeight="1" x14ac:dyDescent="0.3">
      <c r="A33" s="2" t="s">
        <v>290</v>
      </c>
      <c r="B33" s="2" t="s">
        <v>266</v>
      </c>
      <c r="C33" s="2" t="s">
        <v>2964</v>
      </c>
      <c r="D33" s="2"/>
      <c r="F33" s="2">
        <v>7</v>
      </c>
      <c r="G33" s="2" t="s">
        <v>2965</v>
      </c>
      <c r="H33" s="2" t="s">
        <v>3279</v>
      </c>
      <c r="I33" s="2" t="s">
        <v>3273</v>
      </c>
    </row>
    <row r="34" spans="1:9" ht="18" customHeight="1" x14ac:dyDescent="0.3">
      <c r="A34" s="2" t="s">
        <v>292</v>
      </c>
      <c r="B34" s="2" t="s">
        <v>266</v>
      </c>
      <c r="C34" s="2" t="s">
        <v>2964</v>
      </c>
      <c r="D34" s="2"/>
      <c r="F34" s="2">
        <v>8</v>
      </c>
      <c r="G34" s="2" t="s">
        <v>2965</v>
      </c>
      <c r="H34" s="2" t="s">
        <v>3280</v>
      </c>
      <c r="I34" s="2" t="s">
        <v>3273</v>
      </c>
    </row>
    <row r="35" spans="1:9" ht="18" customHeight="1" x14ac:dyDescent="0.3">
      <c r="A35" s="2" t="s">
        <v>294</v>
      </c>
      <c r="B35" s="2" t="s">
        <v>266</v>
      </c>
      <c r="C35" s="2" t="s">
        <v>2964</v>
      </c>
      <c r="D35" s="2"/>
      <c r="F35" s="2">
        <v>9</v>
      </c>
      <c r="G35" s="2" t="s">
        <v>2965</v>
      </c>
      <c r="H35" s="2" t="s">
        <v>3281</v>
      </c>
      <c r="I35" s="2" t="s">
        <v>3273</v>
      </c>
    </row>
    <row r="36" spans="1:9" ht="18" customHeight="1" x14ac:dyDescent="0.3">
      <c r="A36" s="2" t="s">
        <v>296</v>
      </c>
      <c r="B36" s="2" t="s">
        <v>266</v>
      </c>
      <c r="C36" s="2" t="s">
        <v>2964</v>
      </c>
      <c r="D36" s="2"/>
    </row>
    <row r="37" spans="1:9" ht="18" customHeight="1" x14ac:dyDescent="0.3">
      <c r="A37" s="2" t="s">
        <v>298</v>
      </c>
      <c r="B37" s="2" t="s">
        <v>266</v>
      </c>
      <c r="C37" s="2" t="s">
        <v>2964</v>
      </c>
      <c r="D37" s="2"/>
    </row>
    <row r="38" spans="1:9" ht="18" customHeight="1" x14ac:dyDescent="0.3">
      <c r="A38" s="2" t="s">
        <v>300</v>
      </c>
      <c r="B38" s="2" t="s">
        <v>266</v>
      </c>
      <c r="C38" s="2" t="s">
        <v>2964</v>
      </c>
      <c r="D38" s="2"/>
    </row>
    <row r="39" spans="1:9" ht="18" customHeight="1" x14ac:dyDescent="0.3">
      <c r="A39" s="2" t="s">
        <v>302</v>
      </c>
      <c r="B39" s="2" t="s">
        <v>266</v>
      </c>
      <c r="C39" s="2" t="s">
        <v>2964</v>
      </c>
      <c r="D39" s="2"/>
    </row>
    <row r="40" spans="1:9" ht="18" customHeight="1" x14ac:dyDescent="0.3">
      <c r="A40" s="2" t="s">
        <v>304</v>
      </c>
      <c r="B40" s="2" t="s">
        <v>266</v>
      </c>
      <c r="C40" s="2" t="s">
        <v>2964</v>
      </c>
      <c r="D40" s="2"/>
    </row>
    <row r="41" spans="1:9" ht="18" customHeight="1" x14ac:dyDescent="0.3">
      <c r="A41" s="2" t="s">
        <v>305</v>
      </c>
      <c r="B41" s="2" t="s">
        <v>266</v>
      </c>
      <c r="C41" s="2" t="s">
        <v>2964</v>
      </c>
      <c r="D41" s="2"/>
    </row>
    <row r="42" spans="1:9" ht="18" customHeight="1" x14ac:dyDescent="0.3">
      <c r="A42" s="2" t="s">
        <v>307</v>
      </c>
      <c r="B42" s="2" t="s">
        <v>266</v>
      </c>
      <c r="C42" s="2" t="s">
        <v>2964</v>
      </c>
      <c r="D42" s="2"/>
    </row>
    <row r="43" spans="1:9" ht="18" customHeight="1" x14ac:dyDescent="0.3">
      <c r="A43" s="2" t="s">
        <v>309</v>
      </c>
      <c r="B43" s="2" t="s">
        <v>266</v>
      </c>
      <c r="C43" s="2" t="s">
        <v>2964</v>
      </c>
      <c r="D43" s="2"/>
    </row>
    <row r="44" spans="1:9" ht="18" customHeight="1" x14ac:dyDescent="0.3">
      <c r="A44" s="2" t="s">
        <v>310</v>
      </c>
      <c r="B44" s="2" t="s">
        <v>266</v>
      </c>
      <c r="C44" s="2" t="s">
        <v>2964</v>
      </c>
      <c r="D44" s="2"/>
    </row>
    <row r="45" spans="1:9" ht="18" customHeight="1" x14ac:dyDescent="0.3">
      <c r="A45" s="2" t="s">
        <v>312</v>
      </c>
      <c r="B45" s="2" t="s">
        <v>266</v>
      </c>
      <c r="C45" s="2" t="s">
        <v>2964</v>
      </c>
      <c r="D45" s="2"/>
    </row>
    <row r="46" spans="1:9" ht="18" customHeight="1" x14ac:dyDescent="0.3">
      <c r="A46" s="2" t="s">
        <v>314</v>
      </c>
      <c r="B46" s="2" t="s">
        <v>266</v>
      </c>
      <c r="C46" s="2" t="s">
        <v>2964</v>
      </c>
      <c r="D46" s="2"/>
    </row>
    <row r="47" spans="1:9" ht="18" customHeight="1" x14ac:dyDescent="0.3">
      <c r="A47" s="2" t="s">
        <v>316</v>
      </c>
      <c r="B47" s="2" t="s">
        <v>266</v>
      </c>
      <c r="C47" s="2" t="s">
        <v>2964</v>
      </c>
      <c r="D47" s="2"/>
    </row>
    <row r="48" spans="1:9" ht="18" customHeight="1" x14ac:dyDescent="0.3">
      <c r="A48" s="2" t="s">
        <v>318</v>
      </c>
      <c r="B48" s="2" t="s">
        <v>266</v>
      </c>
      <c r="C48" s="2" t="s">
        <v>2964</v>
      </c>
      <c r="D48" s="2"/>
    </row>
    <row r="49" spans="1:4" ht="18" customHeight="1" x14ac:dyDescent="0.3">
      <c r="A49" s="2" t="s">
        <v>320</v>
      </c>
      <c r="B49" s="2" t="s">
        <v>266</v>
      </c>
      <c r="C49" s="2" t="s">
        <v>2964</v>
      </c>
      <c r="D49" s="2"/>
    </row>
    <row r="50" spans="1:4" ht="18" customHeight="1" x14ac:dyDescent="0.3">
      <c r="A50" s="2" t="s">
        <v>322</v>
      </c>
      <c r="B50" s="2" t="s">
        <v>266</v>
      </c>
      <c r="C50" s="2" t="s">
        <v>2964</v>
      </c>
      <c r="D50" s="2"/>
    </row>
    <row r="51" spans="1:4" ht="18" customHeight="1" x14ac:dyDescent="0.3">
      <c r="A51" s="2" t="s">
        <v>324</v>
      </c>
      <c r="B51" s="2" t="s">
        <v>266</v>
      </c>
      <c r="C51" s="2" t="s">
        <v>2964</v>
      </c>
      <c r="D51" s="2"/>
    </row>
    <row r="52" spans="1:4" ht="18" customHeight="1" x14ac:dyDescent="0.3">
      <c r="A52" s="2" t="s">
        <v>326</v>
      </c>
      <c r="B52" s="2" t="s">
        <v>266</v>
      </c>
      <c r="C52" s="2" t="s">
        <v>2964</v>
      </c>
      <c r="D52" s="2"/>
    </row>
    <row r="53" spans="1:4" ht="18" customHeight="1" x14ac:dyDescent="0.3">
      <c r="A53" s="2" t="s">
        <v>328</v>
      </c>
      <c r="B53" s="2" t="s">
        <v>266</v>
      </c>
      <c r="C53" s="2" t="s">
        <v>2964</v>
      </c>
      <c r="D53" s="2"/>
    </row>
    <row r="54" spans="1:4" ht="18" customHeight="1" x14ac:dyDescent="0.3">
      <c r="A54" s="2" t="s">
        <v>330</v>
      </c>
      <c r="B54" s="2" t="s">
        <v>266</v>
      </c>
      <c r="C54" s="2" t="s">
        <v>2964</v>
      </c>
      <c r="D54" s="2"/>
    </row>
    <row r="55" spans="1:4" ht="18" customHeight="1" x14ac:dyDescent="0.3">
      <c r="A55" s="2" t="s">
        <v>332</v>
      </c>
      <c r="B55" s="2" t="s">
        <v>266</v>
      </c>
      <c r="C55" s="2" t="s">
        <v>2964</v>
      </c>
      <c r="D55" s="2"/>
    </row>
    <row r="56" spans="1:4" ht="18" customHeight="1" x14ac:dyDescent="0.3">
      <c r="A56" s="2" t="s">
        <v>334</v>
      </c>
      <c r="B56" s="2" t="s">
        <v>266</v>
      </c>
      <c r="C56" s="2" t="s">
        <v>2964</v>
      </c>
      <c r="D56" s="2"/>
    </row>
    <row r="57" spans="1:4" ht="18" customHeight="1" x14ac:dyDescent="0.3">
      <c r="A57" s="2" t="s">
        <v>336</v>
      </c>
      <c r="B57" s="2" t="s">
        <v>266</v>
      </c>
      <c r="C57" s="2" t="s">
        <v>2964</v>
      </c>
      <c r="D57" s="2"/>
    </row>
    <row r="58" spans="1:4" ht="18" customHeight="1" x14ac:dyDescent="0.3">
      <c r="A58" s="2" t="s">
        <v>337</v>
      </c>
      <c r="B58" s="2" t="s">
        <v>266</v>
      </c>
      <c r="C58" s="2" t="s">
        <v>2964</v>
      </c>
      <c r="D58" s="2"/>
    </row>
    <row r="59" spans="1:4" ht="18" customHeight="1" x14ac:dyDescent="0.3">
      <c r="A59" s="2" t="s">
        <v>338</v>
      </c>
      <c r="B59" s="2" t="s">
        <v>266</v>
      </c>
      <c r="C59" s="2" t="s">
        <v>2964</v>
      </c>
      <c r="D59" s="2"/>
    </row>
    <row r="60" spans="1:4" ht="18" customHeight="1" x14ac:dyDescent="0.3">
      <c r="A60" s="2" t="s">
        <v>339</v>
      </c>
      <c r="B60" s="2" t="s">
        <v>266</v>
      </c>
      <c r="C60" s="2" t="s">
        <v>2964</v>
      </c>
      <c r="D60" s="2"/>
    </row>
    <row r="61" spans="1:4" ht="18" customHeight="1" x14ac:dyDescent="0.3">
      <c r="A61" s="2" t="s">
        <v>341</v>
      </c>
      <c r="B61" s="2" t="s">
        <v>266</v>
      </c>
      <c r="C61" s="2" t="s">
        <v>2964</v>
      </c>
      <c r="D61" s="2"/>
    </row>
    <row r="62" spans="1:4" ht="18" customHeight="1" x14ac:dyDescent="0.3">
      <c r="A62" s="2" t="s">
        <v>343</v>
      </c>
      <c r="B62" s="2" t="s">
        <v>266</v>
      </c>
      <c r="C62" s="2" t="s">
        <v>2964</v>
      </c>
      <c r="D62" s="2"/>
    </row>
    <row r="63" spans="1:4" ht="18" customHeight="1" x14ac:dyDescent="0.3">
      <c r="A63" s="2" t="s">
        <v>345</v>
      </c>
      <c r="B63" s="2" t="s">
        <v>266</v>
      </c>
      <c r="C63" s="2" t="s">
        <v>2964</v>
      </c>
      <c r="D63" s="2"/>
    </row>
    <row r="64" spans="1:4" ht="18" customHeight="1" x14ac:dyDescent="0.3">
      <c r="A64" s="2" t="s">
        <v>347</v>
      </c>
      <c r="B64" s="2" t="s">
        <v>266</v>
      </c>
      <c r="C64" s="2" t="s">
        <v>2964</v>
      </c>
      <c r="D64" s="2"/>
    </row>
    <row r="65" spans="1:4" ht="18" customHeight="1" x14ac:dyDescent="0.3">
      <c r="A65" s="2" t="s">
        <v>349</v>
      </c>
      <c r="B65" s="2" t="s">
        <v>266</v>
      </c>
      <c r="C65" s="2" t="s">
        <v>2964</v>
      </c>
      <c r="D65" s="2"/>
    </row>
    <row r="66" spans="1:4" ht="18" customHeight="1" x14ac:dyDescent="0.3">
      <c r="A66" s="2" t="s">
        <v>351</v>
      </c>
      <c r="B66" s="2" t="s">
        <v>266</v>
      </c>
      <c r="C66" s="2" t="s">
        <v>2964</v>
      </c>
      <c r="D66" s="2"/>
    </row>
    <row r="67" spans="1:4" ht="18" customHeight="1" x14ac:dyDescent="0.3">
      <c r="A67" s="2" t="s">
        <v>353</v>
      </c>
      <c r="B67" s="2" t="s">
        <v>266</v>
      </c>
      <c r="C67" s="2" t="s">
        <v>2964</v>
      </c>
      <c r="D67" s="2"/>
    </row>
    <row r="68" spans="1:4" ht="18" customHeight="1" x14ac:dyDescent="0.3">
      <c r="A68" s="2" t="s">
        <v>354</v>
      </c>
      <c r="B68" s="2" t="s">
        <v>266</v>
      </c>
      <c r="C68" s="2" t="s">
        <v>2964</v>
      </c>
      <c r="D68" s="2"/>
    </row>
    <row r="69" spans="1:4" ht="18" customHeight="1" x14ac:dyDescent="0.3">
      <c r="A69" s="2" t="s">
        <v>355</v>
      </c>
      <c r="B69" s="2" t="s">
        <v>266</v>
      </c>
      <c r="C69" s="2" t="s">
        <v>2964</v>
      </c>
      <c r="D69" s="2"/>
    </row>
    <row r="70" spans="1:4" ht="18" customHeight="1" x14ac:dyDescent="0.3">
      <c r="A70" s="2" t="s">
        <v>356</v>
      </c>
      <c r="B70" s="2" t="s">
        <v>266</v>
      </c>
      <c r="C70" s="2" t="s">
        <v>2964</v>
      </c>
      <c r="D70" s="2"/>
    </row>
    <row r="71" spans="1:4" ht="18" customHeight="1" x14ac:dyDescent="0.3">
      <c r="A71" s="2" t="s">
        <v>357</v>
      </c>
      <c r="B71" s="2" t="s">
        <v>266</v>
      </c>
      <c r="C71" s="2" t="s">
        <v>2964</v>
      </c>
      <c r="D71" s="2"/>
    </row>
    <row r="72" spans="1:4" ht="18" customHeight="1" x14ac:dyDescent="0.3">
      <c r="A72" s="2" t="s">
        <v>358</v>
      </c>
      <c r="B72" s="2" t="s">
        <v>266</v>
      </c>
      <c r="C72" s="2" t="s">
        <v>2964</v>
      </c>
      <c r="D72" s="2"/>
    </row>
    <row r="73" spans="1:4" ht="18" customHeight="1" x14ac:dyDescent="0.3">
      <c r="A73" s="2" t="s">
        <v>360</v>
      </c>
      <c r="B73" s="2" t="s">
        <v>266</v>
      </c>
      <c r="C73" s="2" t="s">
        <v>2964</v>
      </c>
      <c r="D73" s="2"/>
    </row>
    <row r="74" spans="1:4" ht="18" customHeight="1" x14ac:dyDescent="0.3">
      <c r="A74" s="2" t="s">
        <v>362</v>
      </c>
      <c r="B74" s="2" t="s">
        <v>266</v>
      </c>
      <c r="C74" s="2" t="s">
        <v>2964</v>
      </c>
      <c r="D74" s="2"/>
    </row>
    <row r="75" spans="1:4" ht="18" customHeight="1" x14ac:dyDescent="0.3">
      <c r="A75" s="2" t="s">
        <v>364</v>
      </c>
      <c r="B75" s="2" t="s">
        <v>266</v>
      </c>
      <c r="C75" s="2" t="s">
        <v>2964</v>
      </c>
      <c r="D75" s="2"/>
    </row>
    <row r="76" spans="1:4" ht="18" customHeight="1" x14ac:dyDescent="0.3">
      <c r="A76" s="2" t="s">
        <v>366</v>
      </c>
      <c r="B76" s="2" t="s">
        <v>266</v>
      </c>
      <c r="C76" s="2" t="s">
        <v>2964</v>
      </c>
      <c r="D76" s="2"/>
    </row>
    <row r="77" spans="1:4" ht="18" customHeight="1" x14ac:dyDescent="0.3">
      <c r="A77" s="2" t="s">
        <v>368</v>
      </c>
      <c r="B77" s="2" t="s">
        <v>266</v>
      </c>
      <c r="C77" s="2" t="s">
        <v>2964</v>
      </c>
      <c r="D77" s="2"/>
    </row>
    <row r="78" spans="1:4" ht="18" customHeight="1" x14ac:dyDescent="0.3">
      <c r="A78" s="2" t="s">
        <v>370</v>
      </c>
      <c r="B78" s="2" t="s">
        <v>266</v>
      </c>
      <c r="C78" s="2" t="s">
        <v>2964</v>
      </c>
      <c r="D78" s="2"/>
    </row>
    <row r="79" spans="1:4" ht="18" customHeight="1" x14ac:dyDescent="0.3">
      <c r="A79" s="2" t="s">
        <v>372</v>
      </c>
      <c r="B79" s="2" t="s">
        <v>266</v>
      </c>
      <c r="C79" s="2" t="s">
        <v>2964</v>
      </c>
      <c r="D79" s="2"/>
    </row>
    <row r="80" spans="1:4" ht="18" customHeight="1" x14ac:dyDescent="0.3">
      <c r="A80" s="2" t="s">
        <v>374</v>
      </c>
      <c r="B80" s="2" t="s">
        <v>266</v>
      </c>
      <c r="C80" s="2" t="s">
        <v>2964</v>
      </c>
      <c r="D80" s="2"/>
    </row>
    <row r="81" spans="1:4" ht="18" customHeight="1" x14ac:dyDescent="0.3">
      <c r="A81" s="2" t="s">
        <v>376</v>
      </c>
      <c r="B81" s="2" t="s">
        <v>266</v>
      </c>
      <c r="C81" s="2" t="s">
        <v>2964</v>
      </c>
      <c r="D81" s="2"/>
    </row>
    <row r="82" spans="1:4" ht="18" customHeight="1" x14ac:dyDescent="0.3">
      <c r="A82" s="2" t="s">
        <v>378</v>
      </c>
      <c r="B82" s="2" t="s">
        <v>266</v>
      </c>
      <c r="C82" s="2" t="s">
        <v>2964</v>
      </c>
      <c r="D82" s="2"/>
    </row>
    <row r="83" spans="1:4" ht="18" customHeight="1" x14ac:dyDescent="0.3">
      <c r="A83" s="2" t="s">
        <v>380</v>
      </c>
      <c r="B83" s="2" t="s">
        <v>266</v>
      </c>
      <c r="C83" s="2" t="s">
        <v>2964</v>
      </c>
      <c r="D83" s="2"/>
    </row>
    <row r="84" spans="1:4" ht="18" customHeight="1" x14ac:dyDescent="0.3">
      <c r="A84" s="2" t="s">
        <v>382</v>
      </c>
      <c r="B84" s="2" t="s">
        <v>266</v>
      </c>
      <c r="C84" s="2" t="s">
        <v>2964</v>
      </c>
      <c r="D84" s="2"/>
    </row>
    <row r="85" spans="1:4" ht="18" customHeight="1" x14ac:dyDescent="0.3">
      <c r="A85" s="2" t="s">
        <v>384</v>
      </c>
      <c r="B85" s="2" t="s">
        <v>266</v>
      </c>
      <c r="C85" s="2" t="s">
        <v>2964</v>
      </c>
      <c r="D85" s="2"/>
    </row>
    <row r="86" spans="1:4" ht="18" customHeight="1" x14ac:dyDescent="0.3">
      <c r="A86" s="2" t="s">
        <v>386</v>
      </c>
      <c r="B86" s="2" t="s">
        <v>266</v>
      </c>
      <c r="C86" s="2" t="s">
        <v>2964</v>
      </c>
      <c r="D86" s="2"/>
    </row>
    <row r="87" spans="1:4" ht="18" customHeight="1" x14ac:dyDescent="0.3">
      <c r="A87" s="2" t="s">
        <v>388</v>
      </c>
      <c r="B87" s="2" t="s">
        <v>266</v>
      </c>
      <c r="C87" s="2" t="s">
        <v>2964</v>
      </c>
      <c r="D87" s="2"/>
    </row>
    <row r="88" spans="1:4" ht="18" customHeight="1" x14ac:dyDescent="0.3">
      <c r="A88" s="2" t="s">
        <v>390</v>
      </c>
      <c r="B88" s="2" t="s">
        <v>266</v>
      </c>
      <c r="C88" s="2" t="s">
        <v>2964</v>
      </c>
      <c r="D88" s="2"/>
    </row>
    <row r="89" spans="1:4" ht="18" customHeight="1" x14ac:dyDescent="0.3">
      <c r="A89" s="2" t="s">
        <v>392</v>
      </c>
      <c r="B89" s="2" t="s">
        <v>266</v>
      </c>
      <c r="C89" s="2" t="s">
        <v>2964</v>
      </c>
      <c r="D89" s="2"/>
    </row>
    <row r="90" spans="1:4" ht="18" customHeight="1" x14ac:dyDescent="0.3">
      <c r="A90" s="2" t="s">
        <v>394</v>
      </c>
      <c r="B90" s="2" t="s">
        <v>266</v>
      </c>
      <c r="C90" s="2" t="s">
        <v>2964</v>
      </c>
      <c r="D90" s="2"/>
    </row>
    <row r="91" spans="1:4" ht="18" customHeight="1" x14ac:dyDescent="0.3">
      <c r="A91" s="2" t="s">
        <v>396</v>
      </c>
      <c r="B91" s="2" t="s">
        <v>266</v>
      </c>
      <c r="C91" s="2" t="s">
        <v>2964</v>
      </c>
      <c r="D91" s="2"/>
    </row>
    <row r="92" spans="1:4" ht="18" customHeight="1" x14ac:dyDescent="0.3">
      <c r="A92" s="2" t="s">
        <v>398</v>
      </c>
      <c r="B92" s="2" t="s">
        <v>266</v>
      </c>
      <c r="C92" s="2" t="s">
        <v>2964</v>
      </c>
      <c r="D92" s="2"/>
    </row>
    <row r="93" spans="1:4" ht="18" customHeight="1" x14ac:dyDescent="0.3">
      <c r="A93" s="2" t="s">
        <v>400</v>
      </c>
      <c r="B93" s="2" t="s">
        <v>266</v>
      </c>
      <c r="C93" s="2" t="s">
        <v>2964</v>
      </c>
      <c r="D93" s="2"/>
    </row>
    <row r="94" spans="1:4" ht="18" customHeight="1" x14ac:dyDescent="0.3">
      <c r="A94" s="2" t="s">
        <v>402</v>
      </c>
      <c r="B94" s="2" t="s">
        <v>266</v>
      </c>
      <c r="C94" s="2" t="s">
        <v>2964</v>
      </c>
      <c r="D94" s="2"/>
    </row>
    <row r="95" spans="1:4" ht="18" customHeight="1" x14ac:dyDescent="0.3">
      <c r="A95" s="2" t="s">
        <v>404</v>
      </c>
      <c r="B95" s="2" t="s">
        <v>266</v>
      </c>
      <c r="C95" s="2" t="s">
        <v>2964</v>
      </c>
      <c r="D95" s="2"/>
    </row>
    <row r="96" spans="1:4" ht="18" customHeight="1" x14ac:dyDescent="0.3">
      <c r="A96" s="2" t="s">
        <v>406</v>
      </c>
      <c r="B96" s="2" t="s">
        <v>266</v>
      </c>
      <c r="C96" s="2" t="s">
        <v>2964</v>
      </c>
      <c r="D96" s="2"/>
    </row>
    <row r="97" spans="1:4" ht="18" customHeight="1" x14ac:dyDescent="0.3">
      <c r="A97" s="2" t="s">
        <v>408</v>
      </c>
      <c r="B97" s="2" t="s">
        <v>266</v>
      </c>
      <c r="C97" s="2" t="s">
        <v>2964</v>
      </c>
      <c r="D97" s="2"/>
    </row>
    <row r="98" spans="1:4" ht="18" customHeight="1" x14ac:dyDescent="0.3">
      <c r="A98" s="2" t="s">
        <v>410</v>
      </c>
      <c r="B98" s="2" t="s">
        <v>266</v>
      </c>
      <c r="C98" s="2" t="s">
        <v>2964</v>
      </c>
      <c r="D98" s="2"/>
    </row>
    <row r="99" spans="1:4" ht="18" customHeight="1" x14ac:dyDescent="0.3">
      <c r="A99" s="2" t="s">
        <v>412</v>
      </c>
      <c r="B99" s="2" t="s">
        <v>266</v>
      </c>
      <c r="C99" s="2" t="s">
        <v>2964</v>
      </c>
      <c r="D99" s="2"/>
    </row>
    <row r="100" spans="1:4" ht="18" customHeight="1" x14ac:dyDescent="0.3">
      <c r="A100" s="2" t="s">
        <v>413</v>
      </c>
      <c r="B100" s="2" t="s">
        <v>266</v>
      </c>
      <c r="C100" s="2" t="s">
        <v>2964</v>
      </c>
      <c r="D100" s="2"/>
    </row>
    <row r="101" spans="1:4" ht="18" customHeight="1" x14ac:dyDescent="0.3">
      <c r="A101" s="2" t="s">
        <v>414</v>
      </c>
      <c r="B101" s="2" t="s">
        <v>266</v>
      </c>
      <c r="C101" s="2" t="s">
        <v>2964</v>
      </c>
      <c r="D101" s="2"/>
    </row>
    <row r="102" spans="1:4" ht="18" customHeight="1" x14ac:dyDescent="0.3">
      <c r="A102" s="2" t="s">
        <v>416</v>
      </c>
      <c r="B102" s="2" t="s">
        <v>266</v>
      </c>
      <c r="C102" s="2" t="s">
        <v>2964</v>
      </c>
      <c r="D102" s="2"/>
    </row>
    <row r="103" spans="1:4" ht="18" customHeight="1" x14ac:dyDescent="0.3">
      <c r="A103" s="2" t="s">
        <v>417</v>
      </c>
      <c r="B103" s="2" t="s">
        <v>266</v>
      </c>
      <c r="C103" s="2" t="s">
        <v>2964</v>
      </c>
      <c r="D103" s="2"/>
    </row>
    <row r="104" spans="1:4" ht="18" customHeight="1" x14ac:dyDescent="0.3">
      <c r="A104" s="2" t="s">
        <v>418</v>
      </c>
      <c r="B104" s="2" t="s">
        <v>266</v>
      </c>
      <c r="C104" s="2" t="s">
        <v>2964</v>
      </c>
      <c r="D104" s="2"/>
    </row>
    <row r="105" spans="1:4" ht="18" customHeight="1" x14ac:dyDescent="0.3">
      <c r="A105" s="2" t="s">
        <v>419</v>
      </c>
      <c r="B105" s="2" t="s">
        <v>266</v>
      </c>
      <c r="C105" s="2" t="s">
        <v>2964</v>
      </c>
      <c r="D105" s="2"/>
    </row>
    <row r="106" spans="1:4" ht="18" customHeight="1" x14ac:dyDescent="0.3">
      <c r="A106" s="2" t="s">
        <v>421</v>
      </c>
      <c r="B106" s="2" t="s">
        <v>266</v>
      </c>
      <c r="C106" s="2" t="s">
        <v>2964</v>
      </c>
      <c r="D106" s="2"/>
    </row>
    <row r="107" spans="1:4" ht="18" customHeight="1" x14ac:dyDescent="0.3">
      <c r="A107" s="2" t="s">
        <v>423</v>
      </c>
      <c r="B107" s="2" t="s">
        <v>266</v>
      </c>
      <c r="C107" s="2" t="s">
        <v>2964</v>
      </c>
      <c r="D107" s="2"/>
    </row>
    <row r="108" spans="1:4" ht="18" customHeight="1" x14ac:dyDescent="0.3">
      <c r="A108" s="2" t="s">
        <v>424</v>
      </c>
      <c r="B108" s="2" t="s">
        <v>266</v>
      </c>
      <c r="C108" s="2" t="s">
        <v>2964</v>
      </c>
      <c r="D108" s="2"/>
    </row>
    <row r="109" spans="1:4" ht="18" customHeight="1" x14ac:dyDescent="0.3">
      <c r="A109" s="2" t="s">
        <v>425</v>
      </c>
      <c r="B109" s="2" t="s">
        <v>266</v>
      </c>
      <c r="C109" s="2" t="s">
        <v>2964</v>
      </c>
      <c r="D109" s="2"/>
    </row>
    <row r="110" spans="1:4" ht="18" customHeight="1" x14ac:dyDescent="0.3">
      <c r="A110" s="2" t="s">
        <v>427</v>
      </c>
      <c r="B110" s="2" t="s">
        <v>266</v>
      </c>
      <c r="C110" s="2" t="s">
        <v>2964</v>
      </c>
      <c r="D110" s="2"/>
    </row>
    <row r="111" spans="1:4" ht="18" customHeight="1" x14ac:dyDescent="0.3">
      <c r="A111" s="2" t="s">
        <v>428</v>
      </c>
      <c r="B111" s="2" t="s">
        <v>266</v>
      </c>
      <c r="C111" s="2" t="s">
        <v>2964</v>
      </c>
      <c r="D111" s="2"/>
    </row>
    <row r="112" spans="1:4" ht="18" customHeight="1" x14ac:dyDescent="0.3">
      <c r="A112" s="2" t="s">
        <v>429</v>
      </c>
      <c r="B112" s="2" t="s">
        <v>266</v>
      </c>
      <c r="C112" s="2" t="s">
        <v>2964</v>
      </c>
      <c r="D112" s="2"/>
    </row>
    <row r="113" spans="1:4" ht="18" customHeight="1" x14ac:dyDescent="0.3">
      <c r="A113" s="2" t="s">
        <v>431</v>
      </c>
      <c r="B113" s="2" t="s">
        <v>266</v>
      </c>
      <c r="C113" s="2" t="s">
        <v>2964</v>
      </c>
      <c r="D113" s="2"/>
    </row>
    <row r="114" spans="1:4" ht="18" customHeight="1" x14ac:dyDescent="0.3">
      <c r="A114" s="2" t="s">
        <v>433</v>
      </c>
      <c r="B114" s="2" t="s">
        <v>266</v>
      </c>
      <c r="C114" s="2" t="s">
        <v>2964</v>
      </c>
      <c r="D114" s="2"/>
    </row>
    <row r="115" spans="1:4" ht="18" customHeight="1" x14ac:dyDescent="0.3">
      <c r="A115" s="2" t="s">
        <v>434</v>
      </c>
      <c r="B115" s="2" t="s">
        <v>266</v>
      </c>
      <c r="C115" s="2" t="s">
        <v>2964</v>
      </c>
      <c r="D115" s="2"/>
    </row>
    <row r="116" spans="1:4" ht="18" customHeight="1" x14ac:dyDescent="0.3">
      <c r="A116" s="2" t="s">
        <v>436</v>
      </c>
      <c r="B116" s="2" t="s">
        <v>266</v>
      </c>
      <c r="C116" s="2" t="s">
        <v>2964</v>
      </c>
      <c r="D116" s="2"/>
    </row>
    <row r="117" spans="1:4" ht="18" customHeight="1" x14ac:dyDescent="0.3">
      <c r="A117" s="2" t="s">
        <v>437</v>
      </c>
      <c r="B117" s="2" t="s">
        <v>266</v>
      </c>
      <c r="C117" s="2" t="s">
        <v>2964</v>
      </c>
      <c r="D117" s="2"/>
    </row>
    <row r="118" spans="1:4" ht="18" customHeight="1" x14ac:dyDescent="0.3">
      <c r="A118" s="2" t="s">
        <v>439</v>
      </c>
      <c r="B118" s="2" t="s">
        <v>266</v>
      </c>
      <c r="C118" s="2" t="s">
        <v>2964</v>
      </c>
      <c r="D118" s="2"/>
    </row>
    <row r="119" spans="1:4" ht="18" customHeight="1" x14ac:dyDescent="0.3">
      <c r="A119" s="2" t="s">
        <v>441</v>
      </c>
      <c r="B119" s="2" t="s">
        <v>266</v>
      </c>
      <c r="C119" s="2" t="s">
        <v>2964</v>
      </c>
      <c r="D119" s="2"/>
    </row>
    <row r="120" spans="1:4" ht="18" customHeight="1" x14ac:dyDescent="0.3">
      <c r="A120" s="2" t="s">
        <v>443</v>
      </c>
      <c r="B120" s="2" t="s">
        <v>266</v>
      </c>
      <c r="C120" s="2" t="s">
        <v>2964</v>
      </c>
      <c r="D120" s="2"/>
    </row>
    <row r="121" spans="1:4" ht="18" customHeight="1" x14ac:dyDescent="0.3">
      <c r="A121" s="2" t="s">
        <v>445</v>
      </c>
      <c r="B121" s="2" t="s">
        <v>266</v>
      </c>
      <c r="C121" s="2" t="s">
        <v>2964</v>
      </c>
      <c r="D121" s="2"/>
    </row>
    <row r="122" spans="1:4" ht="18" customHeight="1" x14ac:dyDescent="0.3">
      <c r="A122" s="2" t="s">
        <v>447</v>
      </c>
      <c r="B122" s="2" t="s">
        <v>266</v>
      </c>
      <c r="C122" s="2" t="s">
        <v>2964</v>
      </c>
      <c r="D122" s="2"/>
    </row>
    <row r="123" spans="1:4" ht="18" customHeight="1" x14ac:dyDescent="0.3">
      <c r="A123" s="2" t="s">
        <v>448</v>
      </c>
      <c r="B123" s="2" t="s">
        <v>266</v>
      </c>
      <c r="C123" s="2" t="s">
        <v>2964</v>
      </c>
      <c r="D123" s="2"/>
    </row>
    <row r="124" spans="1:4" ht="18" customHeight="1" x14ac:dyDescent="0.3">
      <c r="A124" s="2" t="s">
        <v>449</v>
      </c>
      <c r="B124" s="2" t="s">
        <v>266</v>
      </c>
      <c r="C124" s="2" t="s">
        <v>2964</v>
      </c>
      <c r="D124" s="2"/>
    </row>
    <row r="125" spans="1:4" ht="18" customHeight="1" x14ac:dyDescent="0.3">
      <c r="A125" s="2" t="s">
        <v>450</v>
      </c>
      <c r="B125" s="2" t="s">
        <v>266</v>
      </c>
      <c r="C125" s="2" t="s">
        <v>2964</v>
      </c>
      <c r="D125" s="2"/>
    </row>
    <row r="126" spans="1:4" ht="18" customHeight="1" x14ac:dyDescent="0.3">
      <c r="A126" s="2" t="s">
        <v>452</v>
      </c>
      <c r="B126" s="2" t="s">
        <v>266</v>
      </c>
      <c r="C126" s="2" t="s">
        <v>2964</v>
      </c>
      <c r="D126" s="2"/>
    </row>
    <row r="127" spans="1:4" ht="18" customHeight="1" x14ac:dyDescent="0.3">
      <c r="A127" s="2" t="s">
        <v>3282</v>
      </c>
      <c r="B127" s="2" t="s">
        <v>2967</v>
      </c>
      <c r="C127" s="2" t="s">
        <v>2967</v>
      </c>
      <c r="D127" s="2"/>
    </row>
    <row r="128" spans="1:4" ht="18" customHeight="1" x14ac:dyDescent="0.3">
      <c r="A128" s="2" t="s">
        <v>3283</v>
      </c>
      <c r="B128" s="2" t="s">
        <v>2967</v>
      </c>
      <c r="C128" s="2" t="s">
        <v>2967</v>
      </c>
      <c r="D128" s="2"/>
    </row>
    <row r="129" spans="1:4" ht="18" customHeight="1" x14ac:dyDescent="0.3">
      <c r="A129" s="2" t="s">
        <v>3284</v>
      </c>
      <c r="B129" s="2" t="s">
        <v>2967</v>
      </c>
      <c r="C129" s="2" t="s">
        <v>2967</v>
      </c>
      <c r="D129" s="2"/>
    </row>
    <row r="130" spans="1:4" ht="18" customHeight="1" x14ac:dyDescent="0.3">
      <c r="A130" s="2" t="s">
        <v>3285</v>
      </c>
      <c r="B130" s="2" t="s">
        <v>2967</v>
      </c>
      <c r="C130" s="2" t="s">
        <v>2967</v>
      </c>
      <c r="D130" s="2"/>
    </row>
    <row r="131" spans="1:4" ht="18" customHeight="1" x14ac:dyDescent="0.3">
      <c r="A131" s="2" t="s">
        <v>3286</v>
      </c>
      <c r="B131" s="2" t="s">
        <v>2967</v>
      </c>
      <c r="C131" s="2" t="s">
        <v>2967</v>
      </c>
      <c r="D131" s="2"/>
    </row>
    <row r="132" spans="1:4" ht="18" customHeight="1" x14ac:dyDescent="0.3">
      <c r="A132" s="2" t="s">
        <v>3287</v>
      </c>
      <c r="B132" s="2" t="s">
        <v>2967</v>
      </c>
      <c r="C132" s="2" t="s">
        <v>2967</v>
      </c>
      <c r="D132" s="2"/>
    </row>
    <row r="133" spans="1:4" ht="18" customHeight="1" x14ac:dyDescent="0.3">
      <c r="A133" s="2" t="s">
        <v>3288</v>
      </c>
      <c r="B133" s="2" t="s">
        <v>2967</v>
      </c>
      <c r="C133" s="2" t="s">
        <v>2967</v>
      </c>
      <c r="D133" s="2"/>
    </row>
    <row r="134" spans="1:4" ht="18" customHeight="1" x14ac:dyDescent="0.3">
      <c r="A134" s="2" t="s">
        <v>3289</v>
      </c>
      <c r="B134" s="2" t="s">
        <v>2967</v>
      </c>
      <c r="C134" s="2" t="s">
        <v>2967</v>
      </c>
      <c r="D134" s="2"/>
    </row>
    <row r="135" spans="1:4" ht="18" customHeight="1" x14ac:dyDescent="0.3">
      <c r="A135" s="2" t="s">
        <v>3290</v>
      </c>
      <c r="B135" s="2" t="s">
        <v>2967</v>
      </c>
      <c r="C135" s="2" t="s">
        <v>2967</v>
      </c>
      <c r="D135" s="2"/>
    </row>
    <row r="136" spans="1:4" ht="18" customHeight="1" x14ac:dyDescent="0.3">
      <c r="A136" s="2" t="s">
        <v>3291</v>
      </c>
      <c r="B136" s="2" t="s">
        <v>2967</v>
      </c>
      <c r="C136" s="2" t="s">
        <v>2967</v>
      </c>
      <c r="D136" s="2"/>
    </row>
    <row r="137" spans="1:4" ht="18" customHeight="1" x14ac:dyDescent="0.3">
      <c r="A137" s="2" t="s">
        <v>3292</v>
      </c>
      <c r="B137" s="2" t="s">
        <v>2967</v>
      </c>
      <c r="C137" s="2" t="s">
        <v>2967</v>
      </c>
      <c r="D137" s="2"/>
    </row>
    <row r="138" spans="1:4" ht="18" customHeight="1" x14ac:dyDescent="0.3">
      <c r="A138" s="2" t="s">
        <v>3293</v>
      </c>
      <c r="B138" s="2" t="s">
        <v>2967</v>
      </c>
      <c r="C138" s="2" t="s">
        <v>2967</v>
      </c>
      <c r="D138" s="2"/>
    </row>
    <row r="139" spans="1:4" ht="18" customHeight="1" x14ac:dyDescent="0.3">
      <c r="A139" s="2" t="s">
        <v>3294</v>
      </c>
      <c r="B139" s="2" t="s">
        <v>2967</v>
      </c>
      <c r="C139" s="2" t="s">
        <v>2967</v>
      </c>
      <c r="D139" s="2"/>
    </row>
    <row r="140" spans="1:4" ht="18" customHeight="1" x14ac:dyDescent="0.3">
      <c r="A140" s="2" t="s">
        <v>3295</v>
      </c>
      <c r="B140" s="2" t="s">
        <v>2967</v>
      </c>
      <c r="C140" s="2" t="s">
        <v>2967</v>
      </c>
      <c r="D140" s="2"/>
    </row>
    <row r="141" spans="1:4" ht="18" customHeight="1" x14ac:dyDescent="0.3">
      <c r="A141" s="2" t="s">
        <v>3296</v>
      </c>
      <c r="B141" s="2" t="s">
        <v>2970</v>
      </c>
      <c r="C141" s="2" t="s">
        <v>2970</v>
      </c>
      <c r="D141" s="2"/>
    </row>
    <row r="142" spans="1:4" ht="18" customHeight="1" x14ac:dyDescent="0.3">
      <c r="A142" s="2" t="s">
        <v>3297</v>
      </c>
      <c r="B142" s="2" t="s">
        <v>2970</v>
      </c>
      <c r="C142" s="2" t="s">
        <v>2970</v>
      </c>
      <c r="D142" s="2"/>
    </row>
    <row r="143" spans="1:4" ht="18" customHeight="1" x14ac:dyDescent="0.3">
      <c r="A143" s="2" t="s">
        <v>3298</v>
      </c>
      <c r="B143" s="2" t="s">
        <v>2970</v>
      </c>
      <c r="C143" s="2" t="s">
        <v>2970</v>
      </c>
      <c r="D143" s="2"/>
    </row>
    <row r="144" spans="1:4" ht="18" customHeight="1" x14ac:dyDescent="0.3">
      <c r="A144" s="2" t="s">
        <v>3299</v>
      </c>
      <c r="B144" s="2" t="s">
        <v>2970</v>
      </c>
      <c r="C144" s="2" t="s">
        <v>2970</v>
      </c>
      <c r="D144" s="2"/>
    </row>
    <row r="145" spans="1:4" ht="18" customHeight="1" x14ac:dyDescent="0.3">
      <c r="A145" s="2" t="s">
        <v>3300</v>
      </c>
      <c r="B145" s="2" t="s">
        <v>3018</v>
      </c>
      <c r="C145" s="2" t="s">
        <v>2966</v>
      </c>
      <c r="D145" s="2"/>
    </row>
    <row r="146" spans="1:4" ht="18" customHeight="1" x14ac:dyDescent="0.3">
      <c r="A146" s="2" t="s">
        <v>3301</v>
      </c>
      <c r="B146" s="2" t="s">
        <v>3018</v>
      </c>
      <c r="C146" s="2" t="s">
        <v>2966</v>
      </c>
      <c r="D146" s="2"/>
    </row>
    <row r="147" spans="1:4" ht="18" customHeight="1" x14ac:dyDescent="0.3">
      <c r="A147" s="2" t="s">
        <v>3302</v>
      </c>
      <c r="B147" s="2" t="s">
        <v>3018</v>
      </c>
      <c r="C147" s="2" t="s">
        <v>2966</v>
      </c>
      <c r="D147" s="2"/>
    </row>
    <row r="148" spans="1:4" ht="18" customHeight="1" x14ac:dyDescent="0.3">
      <c r="A148" s="2" t="s">
        <v>3303</v>
      </c>
      <c r="B148" s="2" t="s">
        <v>3018</v>
      </c>
      <c r="C148" s="2" t="s">
        <v>2966</v>
      </c>
      <c r="D148" s="2"/>
    </row>
    <row r="149" spans="1:4" ht="18" customHeight="1" x14ac:dyDescent="0.3">
      <c r="A149" s="2" t="s">
        <v>3304</v>
      </c>
      <c r="B149" s="2" t="s">
        <v>3018</v>
      </c>
      <c r="C149" s="2" t="s">
        <v>2966</v>
      </c>
      <c r="D149" s="2"/>
    </row>
    <row r="150" spans="1:4" ht="18" customHeight="1" x14ac:dyDescent="0.3">
      <c r="A150" s="2" t="s">
        <v>3305</v>
      </c>
      <c r="B150" s="2" t="s">
        <v>2965</v>
      </c>
      <c r="C150" s="2" t="s">
        <v>3306</v>
      </c>
      <c r="D150" s="2"/>
    </row>
    <row r="151" spans="1:4" ht="18" customHeight="1" x14ac:dyDescent="0.3">
      <c r="A151" s="2" t="s">
        <v>3307</v>
      </c>
      <c r="B151" s="2" t="s">
        <v>2965</v>
      </c>
      <c r="C151" s="2" t="s">
        <v>3306</v>
      </c>
      <c r="D151" s="2"/>
    </row>
    <row r="152" spans="1:4" ht="18" customHeight="1" x14ac:dyDescent="0.3">
      <c r="A152" s="2" t="s">
        <v>3308</v>
      </c>
      <c r="B152" s="2" t="s">
        <v>2965</v>
      </c>
      <c r="C152" s="2" t="s">
        <v>3306</v>
      </c>
      <c r="D152" s="2"/>
    </row>
    <row r="153" spans="1:4" ht="18" customHeight="1" x14ac:dyDescent="0.3">
      <c r="A153" s="2" t="s">
        <v>3309</v>
      </c>
      <c r="B153" s="2" t="s">
        <v>2965</v>
      </c>
      <c r="C153" s="2" t="s">
        <v>3306</v>
      </c>
      <c r="D153" s="2"/>
    </row>
    <row r="154" spans="1:4" ht="18" customHeight="1" x14ac:dyDescent="0.3">
      <c r="A154" s="2" t="s">
        <v>3310</v>
      </c>
      <c r="B154" s="2" t="s">
        <v>2965</v>
      </c>
      <c r="C154" s="2" t="s">
        <v>3306</v>
      </c>
      <c r="D154" s="2"/>
    </row>
    <row r="155" spans="1:4" x14ac:dyDescent="0.3">
      <c r="A155" s="2" t="s">
        <v>3311</v>
      </c>
      <c r="B155" s="2" t="s">
        <v>2965</v>
      </c>
      <c r="C155" s="2" t="s">
        <v>3312</v>
      </c>
      <c r="D155" s="2"/>
    </row>
    <row r="156" spans="1:4" x14ac:dyDescent="0.3">
      <c r="A156" s="2" t="s">
        <v>3313</v>
      </c>
      <c r="B156" s="2" t="s">
        <v>2965</v>
      </c>
      <c r="C156" s="2" t="s">
        <v>3312</v>
      </c>
      <c r="D156" s="2"/>
    </row>
    <row r="157" spans="1:4" x14ac:dyDescent="0.3">
      <c r="A157" s="2" t="s">
        <v>3314</v>
      </c>
      <c r="B157" s="2" t="s">
        <v>2965</v>
      </c>
      <c r="C157" s="2" t="s">
        <v>3312</v>
      </c>
      <c r="D157" s="2"/>
    </row>
    <row r="158" spans="1:4" x14ac:dyDescent="0.3">
      <c r="A158" s="2" t="s">
        <v>3315</v>
      </c>
      <c r="B158" s="2" t="s">
        <v>2965</v>
      </c>
      <c r="C158" s="2" t="s">
        <v>3306</v>
      </c>
      <c r="D158" s="2"/>
    </row>
    <row r="159" spans="1:4" x14ac:dyDescent="0.3">
      <c r="A159" s="2" t="s">
        <v>3316</v>
      </c>
      <c r="B159" s="2" t="s">
        <v>2965</v>
      </c>
      <c r="C159" s="2" t="s">
        <v>3306</v>
      </c>
      <c r="D159" s="2"/>
    </row>
    <row r="160" spans="1:4" x14ac:dyDescent="0.3">
      <c r="A160" s="2" t="s">
        <v>3317</v>
      </c>
      <c r="B160" s="2" t="s">
        <v>2973</v>
      </c>
      <c r="C160" s="2" t="s">
        <v>2973</v>
      </c>
      <c r="D160" s="2"/>
    </row>
    <row r="161" spans="1:4" x14ac:dyDescent="0.3">
      <c r="A161" s="2" t="s">
        <v>3318</v>
      </c>
      <c r="B161" s="2" t="s">
        <v>3151</v>
      </c>
      <c r="C161" s="2" t="s">
        <v>3151</v>
      </c>
      <c r="D161" s="2"/>
    </row>
    <row r="162" spans="1:4" x14ac:dyDescent="0.3">
      <c r="A162" s="2" t="s">
        <v>3319</v>
      </c>
      <c r="B162" s="2" t="s">
        <v>3151</v>
      </c>
      <c r="C162" s="2" t="s">
        <v>3151</v>
      </c>
      <c r="D162" s="2"/>
    </row>
    <row r="163" spans="1:4" x14ac:dyDescent="0.3">
      <c r="A163" s="2" t="s">
        <v>3320</v>
      </c>
      <c r="B163" s="2" t="s">
        <v>2963</v>
      </c>
      <c r="C163" s="2" t="s">
        <v>3125</v>
      </c>
      <c r="D163" s="2"/>
    </row>
    <row r="164" spans="1:4" x14ac:dyDescent="0.3">
      <c r="A164" s="2" t="s">
        <v>3321</v>
      </c>
      <c r="B164" s="2" t="s">
        <v>2963</v>
      </c>
      <c r="C164" s="2" t="s">
        <v>3125</v>
      </c>
      <c r="D164" s="2"/>
    </row>
    <row r="165" spans="1:4" x14ac:dyDescent="0.3">
      <c r="A165" s="2" t="s">
        <v>3322</v>
      </c>
      <c r="B165" s="2" t="s">
        <v>2963</v>
      </c>
      <c r="C165" s="2" t="s">
        <v>3125</v>
      </c>
      <c r="D165" s="2"/>
    </row>
    <row r="166" spans="1:4" x14ac:dyDescent="0.3">
      <c r="A166" s="2" t="s">
        <v>3323</v>
      </c>
      <c r="B166" s="2" t="s">
        <v>2963</v>
      </c>
      <c r="C166" s="2" t="s">
        <v>3125</v>
      </c>
      <c r="D166" s="2"/>
    </row>
    <row r="167" spans="1:4" x14ac:dyDescent="0.3">
      <c r="A167" s="2" t="s">
        <v>3324</v>
      </c>
      <c r="B167" s="2" t="s">
        <v>2963</v>
      </c>
      <c r="C167" s="2" t="s">
        <v>3125</v>
      </c>
      <c r="D167" s="2"/>
    </row>
    <row r="168" spans="1:4" x14ac:dyDescent="0.3">
      <c r="A168" s="2" t="s">
        <v>3325</v>
      </c>
      <c r="B168" s="2" t="s">
        <v>2963</v>
      </c>
      <c r="C168" s="2" t="s">
        <v>3125</v>
      </c>
      <c r="D168" s="2"/>
    </row>
    <row r="169" spans="1:4" x14ac:dyDescent="0.3">
      <c r="A169" s="2" t="s">
        <v>3326</v>
      </c>
      <c r="B169" s="2" t="s">
        <v>2963</v>
      </c>
      <c r="C169" s="2" t="s">
        <v>3125</v>
      </c>
      <c r="D169" s="2"/>
    </row>
    <row r="170" spans="1:4" x14ac:dyDescent="0.3">
      <c r="A170" s="2" t="s">
        <v>3327</v>
      </c>
      <c r="B170" s="2" t="s">
        <v>2963</v>
      </c>
      <c r="C170" s="2" t="s">
        <v>3125</v>
      </c>
      <c r="D170" s="2"/>
    </row>
    <row r="171" spans="1:4" x14ac:dyDescent="0.3">
      <c r="A171" s="2" t="s">
        <v>3328</v>
      </c>
      <c r="B171" s="2" t="s">
        <v>2969</v>
      </c>
      <c r="C171" s="2" t="s">
        <v>3329</v>
      </c>
      <c r="D171" s="2"/>
    </row>
    <row r="172" spans="1:4" x14ac:dyDescent="0.3">
      <c r="A172" s="2" t="s">
        <v>3330</v>
      </c>
      <c r="B172" s="2" t="s">
        <v>2968</v>
      </c>
      <c r="C172" s="2" t="s">
        <v>3331</v>
      </c>
      <c r="D172" s="2"/>
    </row>
  </sheetData>
  <mergeCells count="2">
    <mergeCell ref="A1:D1"/>
    <mergeCell ref="F6:G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0"/>
  <sheetViews>
    <sheetView workbookViewId="0">
      <selection sqref="A1:D1"/>
    </sheetView>
  </sheetViews>
  <sheetFormatPr defaultColWidth="8.6640625" defaultRowHeight="14.4" x14ac:dyDescent="0.3"/>
  <cols>
    <col min="1" max="1" width="32.5546875" bestFit="1" customWidth="1"/>
    <col min="2" max="2" width="54.5546875" customWidth="1"/>
    <col min="3" max="3" width="60" customWidth="1"/>
    <col min="4" max="4" width="40.5546875" customWidth="1"/>
    <col min="8" max="8" width="27.109375" customWidth="1"/>
    <col min="9" max="9" width="29" customWidth="1"/>
    <col min="10" max="10" width="34.109375" bestFit="1" customWidth="1"/>
    <col min="11" max="11" width="73.33203125" bestFit="1" customWidth="1"/>
  </cols>
  <sheetData>
    <row r="1" spans="1:9" ht="19.2" customHeight="1" x14ac:dyDescent="0.3">
      <c r="A1" s="26" t="s">
        <v>2958</v>
      </c>
      <c r="B1" s="27"/>
      <c r="C1" s="27"/>
      <c r="D1" s="27"/>
    </row>
    <row r="2" spans="1:9" ht="30" customHeight="1" x14ac:dyDescent="0.3">
      <c r="A2" s="1" t="s">
        <v>1</v>
      </c>
      <c r="B2" s="1" t="s">
        <v>2</v>
      </c>
      <c r="C2" s="1" t="s">
        <v>2959</v>
      </c>
      <c r="D2" s="1" t="s">
        <v>2960</v>
      </c>
    </row>
    <row r="3" spans="1:9" ht="18" customHeight="1" x14ac:dyDescent="0.3">
      <c r="A3" s="2" t="s">
        <v>3332</v>
      </c>
      <c r="B3" s="2" t="s">
        <v>7</v>
      </c>
      <c r="C3" s="2" t="s">
        <v>2961</v>
      </c>
      <c r="D3" s="2"/>
    </row>
    <row r="4" spans="1:9" ht="18" customHeight="1" x14ac:dyDescent="0.3">
      <c r="A4" s="2" t="s">
        <v>3333</v>
      </c>
      <c r="B4" s="2" t="s">
        <v>7</v>
      </c>
      <c r="C4" s="2" t="s">
        <v>2961</v>
      </c>
      <c r="D4" s="2"/>
    </row>
    <row r="5" spans="1:9" ht="18" customHeight="1" x14ac:dyDescent="0.3">
      <c r="A5" s="2" t="s">
        <v>3334</v>
      </c>
      <c r="B5" s="2" t="s">
        <v>7</v>
      </c>
      <c r="C5" s="2" t="s">
        <v>2961</v>
      </c>
      <c r="D5" s="2"/>
    </row>
    <row r="6" spans="1:9" ht="18" customHeight="1" x14ac:dyDescent="0.3">
      <c r="A6" s="2" t="s">
        <v>3335</v>
      </c>
      <c r="B6" s="2" t="s">
        <v>7</v>
      </c>
      <c r="C6" s="2" t="s">
        <v>2961</v>
      </c>
      <c r="D6" s="2"/>
      <c r="H6" s="31" t="s">
        <v>2962</v>
      </c>
      <c r="I6" s="32"/>
    </row>
    <row r="7" spans="1:9" ht="18" customHeight="1" x14ac:dyDescent="0.3">
      <c r="A7" s="2" t="s">
        <v>3336</v>
      </c>
      <c r="B7" s="2" t="s">
        <v>7</v>
      </c>
      <c r="C7" s="2" t="s">
        <v>2961</v>
      </c>
      <c r="D7" s="2"/>
      <c r="H7" s="3" t="s">
        <v>7</v>
      </c>
      <c r="I7" s="4">
        <f>COUNTIF(B:B,"AHU")</f>
        <v>37</v>
      </c>
    </row>
    <row r="8" spans="1:9" ht="18" customHeight="1" x14ac:dyDescent="0.3">
      <c r="A8" s="2" t="s">
        <v>3337</v>
      </c>
      <c r="B8" s="2" t="s">
        <v>7</v>
      </c>
      <c r="C8" s="2" t="s">
        <v>2961</v>
      </c>
      <c r="D8" s="2"/>
      <c r="H8" s="8" t="s">
        <v>3338</v>
      </c>
      <c r="I8" s="4">
        <f>COUNTIF(B:B,"ERU")</f>
        <v>11</v>
      </c>
    </row>
    <row r="9" spans="1:9" ht="18" customHeight="1" x14ac:dyDescent="0.3">
      <c r="A9" s="2" t="s">
        <v>3339</v>
      </c>
      <c r="B9" s="2" t="s">
        <v>7</v>
      </c>
      <c r="C9" s="2" t="s">
        <v>2961</v>
      </c>
      <c r="D9" s="2"/>
      <c r="H9" s="3" t="s">
        <v>45</v>
      </c>
      <c r="I9" s="4">
        <f>COUNTIF(B:B,"FCU")</f>
        <v>135</v>
      </c>
    </row>
    <row r="10" spans="1:9" ht="18" customHeight="1" x14ac:dyDescent="0.3">
      <c r="A10" s="2" t="s">
        <v>3340</v>
      </c>
      <c r="B10" s="2" t="s">
        <v>7</v>
      </c>
      <c r="C10" s="2" t="s">
        <v>2961</v>
      </c>
      <c r="D10" s="2"/>
      <c r="H10" s="3" t="s">
        <v>2963</v>
      </c>
      <c r="I10" s="4">
        <f>COUNTIF(B:B,"CHW Pump")</f>
        <v>9</v>
      </c>
    </row>
    <row r="11" spans="1:9" ht="18" customHeight="1" x14ac:dyDescent="0.3">
      <c r="A11" s="2" t="s">
        <v>3341</v>
      </c>
      <c r="B11" s="2" t="s">
        <v>7</v>
      </c>
      <c r="C11" s="2" t="s">
        <v>2961</v>
      </c>
      <c r="D11" s="2"/>
      <c r="H11" s="3" t="s">
        <v>2964</v>
      </c>
      <c r="I11" s="4">
        <f>COUNTIF(B:B,"VAV")</f>
        <v>739</v>
      </c>
    </row>
    <row r="12" spans="1:9" ht="18" customHeight="1" x14ac:dyDescent="0.3">
      <c r="A12" s="2" t="s">
        <v>3342</v>
      </c>
      <c r="B12" s="2" t="s">
        <v>7</v>
      </c>
      <c r="C12" s="2" t="s">
        <v>2961</v>
      </c>
      <c r="D12" s="2"/>
      <c r="H12" s="3" t="s">
        <v>3148</v>
      </c>
      <c r="I12" s="4">
        <f>COUNTIF(B:B,"CAV")</f>
        <v>78</v>
      </c>
    </row>
    <row r="13" spans="1:9" ht="18" customHeight="1" x14ac:dyDescent="0.3">
      <c r="A13" s="2" t="s">
        <v>3343</v>
      </c>
      <c r="B13" s="2" t="s">
        <v>7</v>
      </c>
      <c r="C13" s="2" t="s">
        <v>2961</v>
      </c>
      <c r="D13" s="2"/>
      <c r="H13" s="3" t="s">
        <v>2759</v>
      </c>
      <c r="I13" s="4">
        <f>COUNTIF(B:B,"FEV")</f>
        <v>76</v>
      </c>
    </row>
    <row r="14" spans="1:9" ht="18" customHeight="1" x14ac:dyDescent="0.3">
      <c r="A14" s="2" t="s">
        <v>3344</v>
      </c>
      <c r="B14" s="2" t="s">
        <v>3338</v>
      </c>
      <c r="C14" s="2" t="s">
        <v>3338</v>
      </c>
      <c r="D14" s="2"/>
      <c r="H14" s="3" t="s">
        <v>2758</v>
      </c>
      <c r="I14" s="4">
        <f>COUNTIF(B:B,"VEV")</f>
        <v>44</v>
      </c>
    </row>
    <row r="15" spans="1:9" x14ac:dyDescent="0.3">
      <c r="A15" s="2" t="s">
        <v>3345</v>
      </c>
      <c r="B15" s="2" t="s">
        <v>3338</v>
      </c>
      <c r="C15" s="2" t="s">
        <v>3338</v>
      </c>
      <c r="D15" s="2"/>
      <c r="H15" s="3" t="s">
        <v>3346</v>
      </c>
      <c r="I15" s="4">
        <f>COUNTIF(B:B,"EAV")</f>
        <v>51</v>
      </c>
    </row>
    <row r="16" spans="1:9" ht="18" customHeight="1" x14ac:dyDescent="0.3">
      <c r="A16" s="2" t="s">
        <v>3347</v>
      </c>
      <c r="B16" s="2" t="s">
        <v>3338</v>
      </c>
      <c r="C16" s="2" t="s">
        <v>3338</v>
      </c>
      <c r="D16" s="2"/>
      <c r="H16" s="3" t="s">
        <v>2966</v>
      </c>
      <c r="I16" s="4">
        <f>COUNTIF(B:B,"HEX")</f>
        <v>7</v>
      </c>
    </row>
    <row r="17" spans="1:11" ht="18" customHeight="1" x14ac:dyDescent="0.3">
      <c r="A17" s="2" t="s">
        <v>3348</v>
      </c>
      <c r="B17" s="2" t="s">
        <v>3338</v>
      </c>
      <c r="C17" s="2" t="s">
        <v>3338</v>
      </c>
      <c r="D17" s="2"/>
      <c r="H17" s="3" t="s">
        <v>2968</v>
      </c>
      <c r="I17" s="4">
        <f>COUNTIF(B:B,"EF")</f>
        <v>38</v>
      </c>
    </row>
    <row r="18" spans="1:11" ht="18" customHeight="1" x14ac:dyDescent="0.3">
      <c r="A18" s="2" t="s">
        <v>3349</v>
      </c>
      <c r="B18" s="2" t="s">
        <v>3338</v>
      </c>
      <c r="C18" s="2" t="s">
        <v>3338</v>
      </c>
      <c r="D18" s="2"/>
      <c r="H18" s="3" t="s">
        <v>2973</v>
      </c>
      <c r="I18" s="4">
        <f>COUNTIF(B:B,"Generator")</f>
        <v>3</v>
      </c>
    </row>
    <row r="19" spans="1:11" ht="18" customHeight="1" x14ac:dyDescent="0.3">
      <c r="A19" s="2" t="s">
        <v>3350</v>
      </c>
      <c r="B19" s="2" t="s">
        <v>3338</v>
      </c>
      <c r="C19" s="2" t="s">
        <v>3338</v>
      </c>
      <c r="D19" s="2"/>
      <c r="H19" s="5" t="s">
        <v>2974</v>
      </c>
      <c r="I19" s="5">
        <f>SUM(I7:I18)</f>
        <v>1228</v>
      </c>
    </row>
    <row r="20" spans="1:11" ht="18" customHeight="1" x14ac:dyDescent="0.3">
      <c r="A20" s="2" t="s">
        <v>3351</v>
      </c>
      <c r="B20" s="2" t="s">
        <v>3338</v>
      </c>
      <c r="C20" s="2" t="s">
        <v>3338</v>
      </c>
      <c r="D20" s="2"/>
    </row>
    <row r="21" spans="1:11" ht="18" customHeight="1" x14ac:dyDescent="0.3">
      <c r="A21" s="2" t="s">
        <v>3352</v>
      </c>
      <c r="B21" s="2" t="s">
        <v>3338</v>
      </c>
      <c r="C21" s="2" t="s">
        <v>3338</v>
      </c>
      <c r="D21" s="2"/>
    </row>
    <row r="22" spans="1:11" ht="18" customHeight="1" x14ac:dyDescent="0.3">
      <c r="A22" s="2" t="s">
        <v>3353</v>
      </c>
      <c r="B22" s="2" t="s">
        <v>3338</v>
      </c>
      <c r="C22" s="2" t="s">
        <v>3338</v>
      </c>
      <c r="D22" s="2"/>
    </row>
    <row r="23" spans="1:11" ht="18" customHeight="1" x14ac:dyDescent="0.3">
      <c r="A23" s="2" t="s">
        <v>3354</v>
      </c>
      <c r="B23" s="2" t="s">
        <v>3338</v>
      </c>
      <c r="C23" s="2" t="s">
        <v>3338</v>
      </c>
      <c r="D23" s="2"/>
    </row>
    <row r="24" spans="1:11" ht="18" customHeight="1" x14ac:dyDescent="0.3">
      <c r="A24" s="2" t="s">
        <v>3355</v>
      </c>
      <c r="B24" s="2" t="s">
        <v>3338</v>
      </c>
      <c r="C24" s="2" t="s">
        <v>3338</v>
      </c>
      <c r="D24" s="2"/>
    </row>
    <row r="25" spans="1:11" ht="18" customHeight="1" x14ac:dyDescent="0.3">
      <c r="A25" s="2" t="s">
        <v>3356</v>
      </c>
      <c r="B25" s="2" t="s">
        <v>7</v>
      </c>
      <c r="C25" s="2" t="s">
        <v>2961</v>
      </c>
      <c r="D25" s="2"/>
    </row>
    <row r="26" spans="1:11" ht="18" customHeight="1" x14ac:dyDescent="0.3">
      <c r="A26" s="2" t="s">
        <v>3357</v>
      </c>
      <c r="B26" s="2" t="s">
        <v>7</v>
      </c>
      <c r="C26" s="2" t="s">
        <v>2961</v>
      </c>
      <c r="D26" s="2"/>
    </row>
    <row r="27" spans="1:11" ht="18" customHeight="1" x14ac:dyDescent="0.3">
      <c r="A27" s="2" t="s">
        <v>3358</v>
      </c>
      <c r="B27" s="2" t="s">
        <v>7</v>
      </c>
      <c r="C27" s="2" t="s">
        <v>2961</v>
      </c>
      <c r="D27" s="2"/>
    </row>
    <row r="28" spans="1:11" ht="18" customHeight="1" x14ac:dyDescent="0.3">
      <c r="A28" s="2" t="s">
        <v>3359</v>
      </c>
      <c r="B28" s="2" t="s">
        <v>7</v>
      </c>
      <c r="C28" s="2" t="s">
        <v>2961</v>
      </c>
      <c r="D28" s="2"/>
    </row>
    <row r="29" spans="1:11" ht="18" customHeight="1" x14ac:dyDescent="0.3">
      <c r="A29" s="2" t="s">
        <v>3360</v>
      </c>
      <c r="B29" s="2" t="s">
        <v>7</v>
      </c>
      <c r="C29" s="2" t="s">
        <v>2961</v>
      </c>
      <c r="D29" s="2"/>
      <c r="H29" s="6" t="s">
        <v>2975</v>
      </c>
      <c r="I29" s="6" t="s">
        <v>2976</v>
      </c>
      <c r="J29" s="6" t="s">
        <v>2977</v>
      </c>
      <c r="K29" s="6" t="s">
        <v>2978</v>
      </c>
    </row>
    <row r="30" spans="1:11" ht="18" customHeight="1" x14ac:dyDescent="0.3">
      <c r="A30" s="2" t="s">
        <v>3361</v>
      </c>
      <c r="B30" s="2" t="s">
        <v>7</v>
      </c>
      <c r="C30" s="2" t="s">
        <v>2961</v>
      </c>
      <c r="D30" s="2"/>
      <c r="H30" s="2">
        <v>1</v>
      </c>
      <c r="I30" s="2" t="s">
        <v>2965</v>
      </c>
      <c r="J30" s="2" t="s">
        <v>3362</v>
      </c>
      <c r="K30" s="2" t="s">
        <v>3363</v>
      </c>
    </row>
    <row r="31" spans="1:11" ht="18" customHeight="1" x14ac:dyDescent="0.3">
      <c r="A31" s="2" t="s">
        <v>3364</v>
      </c>
      <c r="B31" s="2" t="s">
        <v>7</v>
      </c>
      <c r="C31" s="2" t="s">
        <v>2961</v>
      </c>
      <c r="D31" s="2"/>
      <c r="H31" s="2">
        <v>2</v>
      </c>
      <c r="I31" s="2" t="s">
        <v>2965</v>
      </c>
      <c r="J31" s="2" t="s">
        <v>3365</v>
      </c>
      <c r="K31" s="2" t="s">
        <v>3366</v>
      </c>
    </row>
    <row r="32" spans="1:11" ht="18" customHeight="1" x14ac:dyDescent="0.3">
      <c r="A32" s="2" t="s">
        <v>3367</v>
      </c>
      <c r="B32" s="2" t="s">
        <v>7</v>
      </c>
      <c r="C32" s="2" t="s">
        <v>2961</v>
      </c>
      <c r="D32" s="2"/>
      <c r="H32" s="2">
        <v>3</v>
      </c>
      <c r="I32" s="2" t="s">
        <v>2965</v>
      </c>
      <c r="J32" s="2" t="s">
        <v>3368</v>
      </c>
      <c r="K32" s="2" t="s">
        <v>3369</v>
      </c>
    </row>
    <row r="33" spans="1:11" ht="18" customHeight="1" x14ac:dyDescent="0.3">
      <c r="A33" s="2" t="s">
        <v>3370</v>
      </c>
      <c r="B33" s="2" t="s">
        <v>7</v>
      </c>
      <c r="C33" s="2" t="s">
        <v>2961</v>
      </c>
      <c r="D33" s="2"/>
      <c r="H33" s="2">
        <v>4</v>
      </c>
      <c r="I33" s="2" t="s">
        <v>2965</v>
      </c>
      <c r="J33" s="2" t="s">
        <v>3371</v>
      </c>
      <c r="K33" s="2" t="s">
        <v>3372</v>
      </c>
    </row>
    <row r="34" spans="1:11" ht="18" customHeight="1" x14ac:dyDescent="0.3">
      <c r="A34" s="2" t="s">
        <v>3373</v>
      </c>
      <c r="B34" s="2" t="s">
        <v>7</v>
      </c>
      <c r="C34" s="2" t="s">
        <v>2961</v>
      </c>
      <c r="D34" s="2"/>
      <c r="H34" s="2">
        <v>5</v>
      </c>
      <c r="I34" s="2" t="s">
        <v>2965</v>
      </c>
      <c r="J34" s="2" t="s">
        <v>3374</v>
      </c>
      <c r="K34" s="2" t="s">
        <v>3375</v>
      </c>
    </row>
    <row r="35" spans="1:11" ht="18" customHeight="1" x14ac:dyDescent="0.3">
      <c r="A35" s="2" t="s">
        <v>3376</v>
      </c>
      <c r="B35" s="2" t="s">
        <v>7</v>
      </c>
      <c r="C35" s="2" t="s">
        <v>2961</v>
      </c>
      <c r="D35" s="2"/>
      <c r="H35" s="2">
        <v>6</v>
      </c>
      <c r="I35" s="2" t="s">
        <v>2965</v>
      </c>
      <c r="J35" s="2" t="s">
        <v>3377</v>
      </c>
      <c r="K35" s="2" t="s">
        <v>3378</v>
      </c>
    </row>
    <row r="36" spans="1:11" ht="18" customHeight="1" x14ac:dyDescent="0.3">
      <c r="A36" s="2" t="s">
        <v>3379</v>
      </c>
      <c r="B36" s="2" t="s">
        <v>7</v>
      </c>
      <c r="C36" s="2" t="s">
        <v>2961</v>
      </c>
      <c r="D36" s="2"/>
      <c r="H36" s="2">
        <v>7</v>
      </c>
      <c r="I36" s="2" t="s">
        <v>2965</v>
      </c>
      <c r="J36" s="2" t="s">
        <v>3380</v>
      </c>
      <c r="K36" s="2" t="s">
        <v>3381</v>
      </c>
    </row>
    <row r="37" spans="1:11" ht="18" customHeight="1" x14ac:dyDescent="0.3">
      <c r="A37" s="2" t="s">
        <v>3382</v>
      </c>
      <c r="B37" s="2" t="s">
        <v>7</v>
      </c>
      <c r="C37" s="2" t="s">
        <v>2961</v>
      </c>
      <c r="D37" s="2"/>
      <c r="H37" s="2">
        <v>8</v>
      </c>
      <c r="I37" s="2" t="s">
        <v>2968</v>
      </c>
      <c r="J37" s="2" t="s">
        <v>3383</v>
      </c>
      <c r="K37" s="2" t="s">
        <v>3384</v>
      </c>
    </row>
    <row r="38" spans="1:11" ht="18" customHeight="1" x14ac:dyDescent="0.3">
      <c r="A38" s="2" t="s">
        <v>3385</v>
      </c>
      <c r="B38" s="2" t="s">
        <v>7</v>
      </c>
      <c r="C38" s="2" t="s">
        <v>2961</v>
      </c>
      <c r="D38" s="2"/>
      <c r="H38" s="2">
        <v>9</v>
      </c>
      <c r="I38" s="2" t="s">
        <v>2968</v>
      </c>
      <c r="J38" s="2" t="s">
        <v>3386</v>
      </c>
      <c r="K38" s="2" t="s">
        <v>3384</v>
      </c>
    </row>
    <row r="39" spans="1:11" ht="18" customHeight="1" x14ac:dyDescent="0.3">
      <c r="A39" s="2" t="s">
        <v>3387</v>
      </c>
      <c r="B39" s="2" t="s">
        <v>7</v>
      </c>
      <c r="C39" s="2" t="s">
        <v>2961</v>
      </c>
      <c r="D39" s="2"/>
      <c r="H39" s="2">
        <v>10</v>
      </c>
      <c r="I39" s="2" t="s">
        <v>2968</v>
      </c>
      <c r="J39" s="2" t="s">
        <v>3388</v>
      </c>
      <c r="K39" s="2" t="s">
        <v>3384</v>
      </c>
    </row>
    <row r="40" spans="1:11" ht="18" customHeight="1" x14ac:dyDescent="0.3">
      <c r="A40" s="2" t="s">
        <v>3389</v>
      </c>
      <c r="B40" s="2" t="s">
        <v>7</v>
      </c>
      <c r="C40" s="2" t="s">
        <v>2961</v>
      </c>
      <c r="D40" s="2"/>
      <c r="H40" s="2">
        <v>11</v>
      </c>
      <c r="I40" s="2" t="s">
        <v>2968</v>
      </c>
      <c r="J40" s="2" t="s">
        <v>3390</v>
      </c>
      <c r="K40" s="2" t="s">
        <v>3384</v>
      </c>
    </row>
    <row r="41" spans="1:11" ht="18" customHeight="1" x14ac:dyDescent="0.3">
      <c r="A41" s="2" t="s">
        <v>3391</v>
      </c>
      <c r="B41" s="2" t="s">
        <v>7</v>
      </c>
      <c r="C41" s="2" t="s">
        <v>2961</v>
      </c>
      <c r="D41" s="2"/>
      <c r="H41" s="2">
        <v>12</v>
      </c>
      <c r="I41" s="2" t="s">
        <v>2968</v>
      </c>
      <c r="J41" s="2" t="s">
        <v>3392</v>
      </c>
      <c r="K41" s="2" t="s">
        <v>3384</v>
      </c>
    </row>
    <row r="42" spans="1:11" ht="18" customHeight="1" x14ac:dyDescent="0.3">
      <c r="A42" s="2" t="s">
        <v>1878</v>
      </c>
      <c r="B42" s="2" t="s">
        <v>7</v>
      </c>
      <c r="C42" s="2" t="s">
        <v>2961</v>
      </c>
      <c r="D42" s="2"/>
      <c r="H42" s="2">
        <v>13</v>
      </c>
      <c r="I42" s="2" t="s">
        <v>2968</v>
      </c>
      <c r="J42" s="2" t="s">
        <v>3393</v>
      </c>
      <c r="K42" s="2" t="s">
        <v>3384</v>
      </c>
    </row>
    <row r="43" spans="1:11" ht="18" customHeight="1" x14ac:dyDescent="0.3">
      <c r="A43" s="2" t="s">
        <v>1879</v>
      </c>
      <c r="B43" s="2" t="s">
        <v>7</v>
      </c>
      <c r="C43" s="2" t="s">
        <v>2961</v>
      </c>
      <c r="D43" s="2"/>
      <c r="H43" s="2">
        <v>14</v>
      </c>
      <c r="I43" s="2" t="s">
        <v>2968</v>
      </c>
      <c r="J43" s="2" t="s">
        <v>3394</v>
      </c>
      <c r="K43" s="2" t="s">
        <v>3384</v>
      </c>
    </row>
    <row r="44" spans="1:11" ht="18" customHeight="1" x14ac:dyDescent="0.3">
      <c r="A44" s="2" t="s">
        <v>1880</v>
      </c>
      <c r="B44" s="2" t="s">
        <v>7</v>
      </c>
      <c r="C44" s="2" t="s">
        <v>2961</v>
      </c>
      <c r="D44" s="2"/>
      <c r="H44" s="2">
        <v>15</v>
      </c>
      <c r="I44" s="2" t="s">
        <v>2968</v>
      </c>
      <c r="J44" s="2" t="s">
        <v>3395</v>
      </c>
      <c r="K44" s="2" t="s">
        <v>3384</v>
      </c>
    </row>
    <row r="45" spans="1:11" ht="18" customHeight="1" x14ac:dyDescent="0.3">
      <c r="A45" s="2" t="s">
        <v>1881</v>
      </c>
      <c r="B45" s="2" t="s">
        <v>7</v>
      </c>
      <c r="C45" s="2" t="s">
        <v>2961</v>
      </c>
      <c r="D45" s="2"/>
      <c r="H45" s="2">
        <v>16</v>
      </c>
      <c r="I45" s="2" t="s">
        <v>2968</v>
      </c>
      <c r="J45" s="2" t="s">
        <v>3396</v>
      </c>
      <c r="K45" s="2" t="s">
        <v>3384</v>
      </c>
    </row>
    <row r="46" spans="1:11" ht="18" customHeight="1" x14ac:dyDescent="0.3">
      <c r="A46" s="2" t="s">
        <v>1882</v>
      </c>
      <c r="B46" s="2" t="s">
        <v>7</v>
      </c>
      <c r="C46" s="2" t="s">
        <v>2961</v>
      </c>
      <c r="D46" s="2"/>
      <c r="H46" s="2">
        <v>17</v>
      </c>
      <c r="I46" s="2" t="s">
        <v>2968</v>
      </c>
      <c r="J46" s="2" t="s">
        <v>3397</v>
      </c>
      <c r="K46" s="2" t="s">
        <v>3384</v>
      </c>
    </row>
    <row r="47" spans="1:11" ht="18" customHeight="1" x14ac:dyDescent="0.3">
      <c r="A47" s="2" t="s">
        <v>1883</v>
      </c>
      <c r="B47" s="2" t="s">
        <v>7</v>
      </c>
      <c r="C47" s="2" t="s">
        <v>2961</v>
      </c>
      <c r="D47" s="2"/>
      <c r="H47" s="2">
        <v>18</v>
      </c>
      <c r="I47" s="2" t="s">
        <v>2968</v>
      </c>
      <c r="J47" s="2" t="s">
        <v>3398</v>
      </c>
      <c r="K47" s="2" t="s">
        <v>3384</v>
      </c>
    </row>
    <row r="48" spans="1:11" ht="18" customHeight="1" x14ac:dyDescent="0.3">
      <c r="A48" s="2" t="s">
        <v>1884</v>
      </c>
      <c r="B48" s="2" t="s">
        <v>7</v>
      </c>
      <c r="C48" s="2" t="s">
        <v>2961</v>
      </c>
      <c r="D48" s="2"/>
      <c r="H48" s="2">
        <v>19</v>
      </c>
      <c r="I48" s="2" t="s">
        <v>2968</v>
      </c>
      <c r="J48" s="2" t="s">
        <v>3399</v>
      </c>
      <c r="K48" s="2" t="s">
        <v>3384</v>
      </c>
    </row>
    <row r="49" spans="1:11" ht="18" customHeight="1" x14ac:dyDescent="0.3">
      <c r="A49" s="2" t="s">
        <v>1885</v>
      </c>
      <c r="B49" s="2" t="s">
        <v>7</v>
      </c>
      <c r="C49" s="2" t="s">
        <v>2961</v>
      </c>
      <c r="D49" s="2"/>
      <c r="H49" s="2">
        <v>20</v>
      </c>
      <c r="I49" s="2" t="s">
        <v>2968</v>
      </c>
      <c r="J49" s="2" t="s">
        <v>3400</v>
      </c>
      <c r="K49" s="2" t="s">
        <v>3384</v>
      </c>
    </row>
    <row r="50" spans="1:11" ht="18" customHeight="1" x14ac:dyDescent="0.3">
      <c r="A50" s="2" t="s">
        <v>1886</v>
      </c>
      <c r="B50" s="2" t="s">
        <v>7</v>
      </c>
      <c r="C50" s="2" t="s">
        <v>2961</v>
      </c>
      <c r="D50" s="2"/>
      <c r="H50" s="2">
        <v>21</v>
      </c>
      <c r="I50" s="2" t="s">
        <v>2968</v>
      </c>
      <c r="J50" s="2" t="s">
        <v>3401</v>
      </c>
      <c r="K50" s="2" t="s">
        <v>3384</v>
      </c>
    </row>
    <row r="51" spans="1:11" ht="18" customHeight="1" x14ac:dyDescent="0.3">
      <c r="A51" s="2" t="s">
        <v>3402</v>
      </c>
      <c r="B51" s="2" t="s">
        <v>2968</v>
      </c>
      <c r="C51" s="2" t="s">
        <v>2968</v>
      </c>
      <c r="D51" s="2"/>
      <c r="H51" s="2">
        <v>22</v>
      </c>
      <c r="I51" s="2" t="s">
        <v>2968</v>
      </c>
      <c r="J51" s="2" t="s">
        <v>3403</v>
      </c>
      <c r="K51" s="2" t="s">
        <v>3384</v>
      </c>
    </row>
    <row r="52" spans="1:11" ht="18" customHeight="1" x14ac:dyDescent="0.3">
      <c r="A52" s="2" t="s">
        <v>3404</v>
      </c>
      <c r="B52" s="2" t="s">
        <v>2968</v>
      </c>
      <c r="C52" s="2" t="s">
        <v>2968</v>
      </c>
      <c r="D52" s="2"/>
      <c r="H52" s="2">
        <v>23</v>
      </c>
      <c r="I52" s="2" t="s">
        <v>2968</v>
      </c>
      <c r="J52" s="2" t="s">
        <v>3405</v>
      </c>
      <c r="K52" s="2" t="s">
        <v>3384</v>
      </c>
    </row>
    <row r="53" spans="1:11" ht="18" customHeight="1" x14ac:dyDescent="0.3">
      <c r="A53" s="2" t="s">
        <v>3406</v>
      </c>
      <c r="B53" s="2" t="s">
        <v>2968</v>
      </c>
      <c r="C53" s="2" t="s">
        <v>2968</v>
      </c>
      <c r="D53" s="2"/>
      <c r="H53" s="2">
        <v>24</v>
      </c>
      <c r="I53" s="2" t="s">
        <v>2968</v>
      </c>
      <c r="J53" s="2" t="s">
        <v>3407</v>
      </c>
      <c r="K53" s="2" t="s">
        <v>3384</v>
      </c>
    </row>
    <row r="54" spans="1:11" ht="18" customHeight="1" x14ac:dyDescent="0.3">
      <c r="A54" s="2" t="s">
        <v>3408</v>
      </c>
      <c r="B54" s="2" t="s">
        <v>2968</v>
      </c>
      <c r="C54" s="2" t="s">
        <v>2968</v>
      </c>
      <c r="D54" s="2"/>
      <c r="H54" s="2">
        <v>25</v>
      </c>
      <c r="I54" s="2" t="s">
        <v>2968</v>
      </c>
      <c r="J54" s="2" t="s">
        <v>3409</v>
      </c>
      <c r="K54" s="2" t="s">
        <v>3384</v>
      </c>
    </row>
    <row r="55" spans="1:11" ht="18" customHeight="1" x14ac:dyDescent="0.3">
      <c r="A55" s="2" t="s">
        <v>3410</v>
      </c>
      <c r="B55" s="2" t="s">
        <v>2968</v>
      </c>
      <c r="C55" s="2" t="s">
        <v>2968</v>
      </c>
      <c r="D55" s="2"/>
      <c r="H55" s="2">
        <v>26</v>
      </c>
      <c r="I55" s="2" t="s">
        <v>2968</v>
      </c>
      <c r="J55" s="2" t="s">
        <v>3411</v>
      </c>
      <c r="K55" s="2" t="s">
        <v>3384</v>
      </c>
    </row>
    <row r="56" spans="1:11" ht="18" customHeight="1" x14ac:dyDescent="0.3">
      <c r="A56" s="2" t="s">
        <v>3412</v>
      </c>
      <c r="B56" s="2" t="s">
        <v>2968</v>
      </c>
      <c r="C56" s="2" t="s">
        <v>2968</v>
      </c>
      <c r="D56" s="2"/>
      <c r="H56" s="2">
        <v>27</v>
      </c>
      <c r="I56" s="2" t="s">
        <v>2968</v>
      </c>
      <c r="J56" s="2" t="s">
        <v>3413</v>
      </c>
      <c r="K56" s="2" t="s">
        <v>3384</v>
      </c>
    </row>
    <row r="57" spans="1:11" ht="18" customHeight="1" x14ac:dyDescent="0.3">
      <c r="A57" s="2" t="s">
        <v>3414</v>
      </c>
      <c r="B57" s="2" t="s">
        <v>2968</v>
      </c>
      <c r="C57" s="2" t="s">
        <v>2968</v>
      </c>
      <c r="D57" s="2"/>
    </row>
    <row r="58" spans="1:11" ht="18" customHeight="1" x14ac:dyDescent="0.3">
      <c r="A58" s="2" t="s">
        <v>3415</v>
      </c>
      <c r="B58" s="2" t="s">
        <v>2968</v>
      </c>
      <c r="C58" s="2" t="s">
        <v>2968</v>
      </c>
      <c r="D58" s="2"/>
    </row>
    <row r="59" spans="1:11" ht="18" customHeight="1" x14ac:dyDescent="0.3">
      <c r="A59" s="2" t="s">
        <v>3416</v>
      </c>
      <c r="B59" s="2" t="s">
        <v>2968</v>
      </c>
      <c r="C59" s="2" t="s">
        <v>2968</v>
      </c>
      <c r="D59" s="2"/>
    </row>
    <row r="60" spans="1:11" ht="18" customHeight="1" x14ac:dyDescent="0.3">
      <c r="A60" s="2" t="s">
        <v>3417</v>
      </c>
      <c r="B60" s="2" t="s">
        <v>2968</v>
      </c>
      <c r="C60" s="2" t="s">
        <v>2968</v>
      </c>
      <c r="D60" s="2"/>
    </row>
    <row r="61" spans="1:11" ht="18" customHeight="1" x14ac:dyDescent="0.3">
      <c r="A61" s="2" t="s">
        <v>3418</v>
      </c>
      <c r="B61" s="2" t="s">
        <v>2968</v>
      </c>
      <c r="C61" s="2" t="s">
        <v>2968</v>
      </c>
      <c r="D61" s="2"/>
    </row>
    <row r="62" spans="1:11" ht="18" customHeight="1" x14ac:dyDescent="0.3">
      <c r="A62" s="2" t="s">
        <v>3419</v>
      </c>
      <c r="B62" s="2" t="s">
        <v>2968</v>
      </c>
      <c r="C62" s="2" t="s">
        <v>2968</v>
      </c>
      <c r="D62" s="2"/>
    </row>
    <row r="63" spans="1:11" ht="18" customHeight="1" x14ac:dyDescent="0.3">
      <c r="A63" s="2" t="s">
        <v>3383</v>
      </c>
      <c r="B63" s="2" t="s">
        <v>2968</v>
      </c>
      <c r="C63" s="2" t="s">
        <v>2968</v>
      </c>
      <c r="D63" s="2"/>
    </row>
    <row r="64" spans="1:11" ht="18" customHeight="1" x14ac:dyDescent="0.3">
      <c r="A64" s="2" t="s">
        <v>3386</v>
      </c>
      <c r="B64" s="2" t="s">
        <v>2968</v>
      </c>
      <c r="C64" s="2" t="s">
        <v>2968</v>
      </c>
      <c r="D64" s="2"/>
    </row>
    <row r="65" spans="1:4" ht="18" customHeight="1" x14ac:dyDescent="0.3">
      <c r="A65" s="2" t="s">
        <v>3388</v>
      </c>
      <c r="B65" s="2" t="s">
        <v>2968</v>
      </c>
      <c r="C65" s="2" t="s">
        <v>2968</v>
      </c>
      <c r="D65" s="2"/>
    </row>
    <row r="66" spans="1:4" ht="18" customHeight="1" x14ac:dyDescent="0.3">
      <c r="A66" s="2" t="s">
        <v>3390</v>
      </c>
      <c r="B66" s="2" t="s">
        <v>2968</v>
      </c>
      <c r="C66" s="2" t="s">
        <v>2968</v>
      </c>
      <c r="D66" s="2"/>
    </row>
    <row r="67" spans="1:4" ht="18" customHeight="1" x14ac:dyDescent="0.3">
      <c r="A67" s="2" t="s">
        <v>3392</v>
      </c>
      <c r="B67" s="2" t="s">
        <v>2968</v>
      </c>
      <c r="C67" s="2" t="s">
        <v>2968</v>
      </c>
      <c r="D67" s="2"/>
    </row>
    <row r="68" spans="1:4" ht="18" customHeight="1" x14ac:dyDescent="0.3">
      <c r="A68" s="2" t="s">
        <v>3393</v>
      </c>
      <c r="B68" s="2" t="s">
        <v>2968</v>
      </c>
      <c r="C68" s="2" t="s">
        <v>2968</v>
      </c>
      <c r="D68" s="2"/>
    </row>
    <row r="69" spans="1:4" ht="18" customHeight="1" x14ac:dyDescent="0.3">
      <c r="A69" s="2" t="s">
        <v>3394</v>
      </c>
      <c r="B69" s="2" t="s">
        <v>2968</v>
      </c>
      <c r="C69" s="2" t="s">
        <v>2968</v>
      </c>
      <c r="D69" s="2"/>
    </row>
    <row r="70" spans="1:4" ht="18" customHeight="1" x14ac:dyDescent="0.3">
      <c r="A70" s="2" t="s">
        <v>3395</v>
      </c>
      <c r="B70" s="2" t="s">
        <v>2968</v>
      </c>
      <c r="C70" s="2" t="s">
        <v>2968</v>
      </c>
      <c r="D70" s="2"/>
    </row>
    <row r="71" spans="1:4" ht="18" customHeight="1" x14ac:dyDescent="0.3">
      <c r="A71" s="2" t="s">
        <v>3396</v>
      </c>
      <c r="B71" s="2" t="s">
        <v>2968</v>
      </c>
      <c r="C71" s="2" t="s">
        <v>2968</v>
      </c>
      <c r="D71" s="2"/>
    </row>
    <row r="72" spans="1:4" ht="18" customHeight="1" x14ac:dyDescent="0.3">
      <c r="A72" s="2" t="s">
        <v>3397</v>
      </c>
      <c r="B72" s="2" t="s">
        <v>2968</v>
      </c>
      <c r="C72" s="2" t="s">
        <v>2968</v>
      </c>
      <c r="D72" s="2"/>
    </row>
    <row r="73" spans="1:4" ht="18" customHeight="1" x14ac:dyDescent="0.3">
      <c r="A73" s="2" t="s">
        <v>3398</v>
      </c>
      <c r="B73" s="2" t="s">
        <v>2968</v>
      </c>
      <c r="C73" s="2" t="s">
        <v>2968</v>
      </c>
      <c r="D73" s="2"/>
    </row>
    <row r="74" spans="1:4" ht="18" customHeight="1" x14ac:dyDescent="0.3">
      <c r="A74" s="2" t="s">
        <v>3399</v>
      </c>
      <c r="B74" s="2" t="s">
        <v>2968</v>
      </c>
      <c r="C74" s="2" t="s">
        <v>2968</v>
      </c>
      <c r="D74" s="2"/>
    </row>
    <row r="75" spans="1:4" ht="18" customHeight="1" x14ac:dyDescent="0.3">
      <c r="A75" s="2" t="s">
        <v>3400</v>
      </c>
      <c r="B75" s="2" t="s">
        <v>2968</v>
      </c>
      <c r="C75" s="2" t="s">
        <v>2968</v>
      </c>
      <c r="D75" s="2"/>
    </row>
    <row r="76" spans="1:4" ht="18" customHeight="1" x14ac:dyDescent="0.3">
      <c r="A76" s="2" t="s">
        <v>3401</v>
      </c>
      <c r="B76" s="2" t="s">
        <v>2968</v>
      </c>
      <c r="C76" s="2" t="s">
        <v>2968</v>
      </c>
      <c r="D76" s="2"/>
    </row>
    <row r="77" spans="1:4" ht="18" customHeight="1" x14ac:dyDescent="0.3">
      <c r="A77" s="2" t="s">
        <v>3403</v>
      </c>
      <c r="B77" s="2" t="s">
        <v>2968</v>
      </c>
      <c r="C77" s="2" t="s">
        <v>2968</v>
      </c>
      <c r="D77" s="2"/>
    </row>
    <row r="78" spans="1:4" ht="18" customHeight="1" x14ac:dyDescent="0.3">
      <c r="A78" s="2" t="s">
        <v>3405</v>
      </c>
      <c r="B78" s="2" t="s">
        <v>2968</v>
      </c>
      <c r="C78" s="2" t="s">
        <v>2968</v>
      </c>
      <c r="D78" s="2"/>
    </row>
    <row r="79" spans="1:4" ht="18" customHeight="1" x14ac:dyDescent="0.3">
      <c r="A79" s="2" t="s">
        <v>3407</v>
      </c>
      <c r="B79" s="2" t="s">
        <v>2968</v>
      </c>
      <c r="C79" s="2" t="s">
        <v>2968</v>
      </c>
      <c r="D79" s="2"/>
    </row>
    <row r="80" spans="1:4" ht="18" customHeight="1" x14ac:dyDescent="0.3">
      <c r="A80" s="2" t="s">
        <v>3409</v>
      </c>
      <c r="B80" s="2" t="s">
        <v>2968</v>
      </c>
      <c r="C80" s="2" t="s">
        <v>2968</v>
      </c>
      <c r="D80" s="2"/>
    </row>
    <row r="81" spans="1:4" ht="18" customHeight="1" x14ac:dyDescent="0.3">
      <c r="A81" s="2" t="s">
        <v>3411</v>
      </c>
      <c r="B81" s="2" t="s">
        <v>2968</v>
      </c>
      <c r="C81" s="2" t="s">
        <v>2968</v>
      </c>
      <c r="D81" s="2"/>
    </row>
    <row r="82" spans="1:4" ht="18" customHeight="1" x14ac:dyDescent="0.3">
      <c r="A82" s="2" t="s">
        <v>3413</v>
      </c>
      <c r="B82" s="2" t="s">
        <v>2968</v>
      </c>
      <c r="C82" s="2" t="s">
        <v>2968</v>
      </c>
      <c r="D82" s="2"/>
    </row>
    <row r="83" spans="1:4" ht="18" customHeight="1" x14ac:dyDescent="0.3">
      <c r="A83" s="2" t="s">
        <v>3420</v>
      </c>
      <c r="B83" s="2" t="s">
        <v>2968</v>
      </c>
      <c r="C83" s="2" t="s">
        <v>2968</v>
      </c>
      <c r="D83" s="2"/>
    </row>
    <row r="84" spans="1:4" ht="18" customHeight="1" x14ac:dyDescent="0.3">
      <c r="A84" s="2" t="s">
        <v>3421</v>
      </c>
      <c r="B84" s="2" t="s">
        <v>2968</v>
      </c>
      <c r="C84" s="2" t="s">
        <v>2968</v>
      </c>
      <c r="D84" s="2"/>
    </row>
    <row r="85" spans="1:4" ht="18" customHeight="1" x14ac:dyDescent="0.3">
      <c r="A85" s="2" t="s">
        <v>3422</v>
      </c>
      <c r="B85" s="2" t="s">
        <v>2968</v>
      </c>
      <c r="C85" s="2" t="s">
        <v>2968</v>
      </c>
      <c r="D85" s="2"/>
    </row>
    <row r="86" spans="1:4" ht="18" customHeight="1" x14ac:dyDescent="0.3">
      <c r="A86" s="2" t="s">
        <v>3423</v>
      </c>
      <c r="B86" s="2" t="s">
        <v>2968</v>
      </c>
      <c r="C86" s="2" t="s">
        <v>2968</v>
      </c>
      <c r="D86" s="2"/>
    </row>
    <row r="87" spans="1:4" ht="18" customHeight="1" x14ac:dyDescent="0.3">
      <c r="A87" s="2" t="s">
        <v>3424</v>
      </c>
      <c r="B87" s="2" t="s">
        <v>2968</v>
      </c>
      <c r="C87" s="2" t="s">
        <v>2968</v>
      </c>
      <c r="D87" s="2"/>
    </row>
    <row r="88" spans="1:4" ht="18" customHeight="1" x14ac:dyDescent="0.3">
      <c r="A88" s="2" t="s">
        <v>3425</v>
      </c>
      <c r="B88" s="2" t="s">
        <v>2968</v>
      </c>
      <c r="C88" s="2" t="s">
        <v>2968</v>
      </c>
      <c r="D88" s="2"/>
    </row>
    <row r="89" spans="1:4" ht="18" customHeight="1" x14ac:dyDescent="0.3">
      <c r="A89" s="2" t="s">
        <v>1887</v>
      </c>
      <c r="B89" s="2" t="s">
        <v>266</v>
      </c>
      <c r="C89" s="2" t="s">
        <v>2964</v>
      </c>
      <c r="D89" s="2"/>
    </row>
    <row r="90" spans="1:4" ht="18" customHeight="1" x14ac:dyDescent="0.3">
      <c r="A90" s="2" t="s">
        <v>1888</v>
      </c>
      <c r="B90" s="2" t="s">
        <v>266</v>
      </c>
      <c r="C90" s="2" t="s">
        <v>2964</v>
      </c>
      <c r="D90" s="2"/>
    </row>
    <row r="91" spans="1:4" ht="18" customHeight="1" x14ac:dyDescent="0.3">
      <c r="A91" s="2" t="s">
        <v>1889</v>
      </c>
      <c r="B91" s="2" t="s">
        <v>266</v>
      </c>
      <c r="C91" s="2" t="s">
        <v>2964</v>
      </c>
      <c r="D91" s="2"/>
    </row>
    <row r="92" spans="1:4" ht="18" customHeight="1" x14ac:dyDescent="0.3">
      <c r="A92" s="2" t="s">
        <v>1890</v>
      </c>
      <c r="B92" s="2" t="s">
        <v>266</v>
      </c>
      <c r="C92" s="2" t="s">
        <v>2964</v>
      </c>
      <c r="D92" s="2"/>
    </row>
    <row r="93" spans="1:4" ht="18" customHeight="1" x14ac:dyDescent="0.3">
      <c r="A93" s="2" t="s">
        <v>1891</v>
      </c>
      <c r="B93" s="2" t="s">
        <v>266</v>
      </c>
      <c r="C93" s="2" t="s">
        <v>2964</v>
      </c>
      <c r="D93" s="2"/>
    </row>
    <row r="94" spans="1:4" ht="18" customHeight="1" x14ac:dyDescent="0.3">
      <c r="A94" s="2" t="s">
        <v>1892</v>
      </c>
      <c r="B94" s="2" t="s">
        <v>266</v>
      </c>
      <c r="C94" s="2" t="s">
        <v>2964</v>
      </c>
      <c r="D94" s="2"/>
    </row>
    <row r="95" spans="1:4" ht="18" customHeight="1" x14ac:dyDescent="0.3">
      <c r="A95" s="2" t="s">
        <v>1893</v>
      </c>
      <c r="B95" s="2" t="s">
        <v>266</v>
      </c>
      <c r="C95" s="2" t="s">
        <v>2964</v>
      </c>
      <c r="D95" s="2"/>
    </row>
    <row r="96" spans="1:4" ht="18" customHeight="1" x14ac:dyDescent="0.3">
      <c r="A96" s="2" t="s">
        <v>1894</v>
      </c>
      <c r="B96" s="2" t="s">
        <v>266</v>
      </c>
      <c r="C96" s="2" t="s">
        <v>2964</v>
      </c>
      <c r="D96" s="2"/>
    </row>
    <row r="97" spans="1:4" ht="18" customHeight="1" x14ac:dyDescent="0.3">
      <c r="A97" s="2" t="s">
        <v>1895</v>
      </c>
      <c r="B97" s="2" t="s">
        <v>266</v>
      </c>
      <c r="C97" s="2" t="s">
        <v>2964</v>
      </c>
      <c r="D97" s="2"/>
    </row>
    <row r="98" spans="1:4" ht="18" customHeight="1" x14ac:dyDescent="0.3">
      <c r="A98" s="2" t="s">
        <v>1896</v>
      </c>
      <c r="B98" s="2" t="s">
        <v>266</v>
      </c>
      <c r="C98" s="2" t="s">
        <v>2964</v>
      </c>
      <c r="D98" s="2"/>
    </row>
    <row r="99" spans="1:4" ht="18" customHeight="1" x14ac:dyDescent="0.3">
      <c r="A99" s="2" t="s">
        <v>1897</v>
      </c>
      <c r="B99" s="2" t="s">
        <v>266</v>
      </c>
      <c r="C99" s="2" t="s">
        <v>2964</v>
      </c>
      <c r="D99" s="2"/>
    </row>
    <row r="100" spans="1:4" ht="18" customHeight="1" x14ac:dyDescent="0.3">
      <c r="A100" s="2" t="s">
        <v>1898</v>
      </c>
      <c r="B100" s="2" t="s">
        <v>266</v>
      </c>
      <c r="C100" s="2" t="s">
        <v>2964</v>
      </c>
      <c r="D100" s="2"/>
    </row>
    <row r="101" spans="1:4" ht="18" customHeight="1" x14ac:dyDescent="0.3">
      <c r="A101" s="2" t="s">
        <v>1899</v>
      </c>
      <c r="B101" s="2" t="s">
        <v>266</v>
      </c>
      <c r="C101" s="2" t="s">
        <v>2964</v>
      </c>
      <c r="D101" s="2"/>
    </row>
    <row r="102" spans="1:4" ht="18" customHeight="1" x14ac:dyDescent="0.3">
      <c r="A102" s="2" t="s">
        <v>1900</v>
      </c>
      <c r="B102" s="2" t="s">
        <v>266</v>
      </c>
      <c r="C102" s="2" t="s">
        <v>2964</v>
      </c>
      <c r="D102" s="2"/>
    </row>
    <row r="103" spans="1:4" ht="18" customHeight="1" x14ac:dyDescent="0.3">
      <c r="A103" s="2" t="s">
        <v>1901</v>
      </c>
      <c r="B103" s="2" t="s">
        <v>266</v>
      </c>
      <c r="C103" s="2" t="s">
        <v>2964</v>
      </c>
      <c r="D103" s="2"/>
    </row>
    <row r="104" spans="1:4" ht="18" customHeight="1" x14ac:dyDescent="0.3">
      <c r="A104" s="2" t="s">
        <v>1902</v>
      </c>
      <c r="B104" s="2" t="s">
        <v>266</v>
      </c>
      <c r="C104" s="2" t="s">
        <v>2964</v>
      </c>
      <c r="D104" s="2"/>
    </row>
    <row r="105" spans="1:4" ht="18" customHeight="1" x14ac:dyDescent="0.3">
      <c r="A105" s="2" t="s">
        <v>1903</v>
      </c>
      <c r="B105" s="2" t="s">
        <v>266</v>
      </c>
      <c r="C105" s="2" t="s">
        <v>2964</v>
      </c>
      <c r="D105" s="2"/>
    </row>
    <row r="106" spans="1:4" ht="18" customHeight="1" x14ac:dyDescent="0.3">
      <c r="A106" s="2" t="s">
        <v>1904</v>
      </c>
      <c r="B106" s="2" t="s">
        <v>266</v>
      </c>
      <c r="C106" s="2" t="s">
        <v>2964</v>
      </c>
      <c r="D106" s="2"/>
    </row>
    <row r="107" spans="1:4" ht="18" customHeight="1" x14ac:dyDescent="0.3">
      <c r="A107" s="2" t="s">
        <v>1905</v>
      </c>
      <c r="B107" s="2" t="s">
        <v>266</v>
      </c>
      <c r="C107" s="2" t="s">
        <v>2964</v>
      </c>
      <c r="D107" s="2"/>
    </row>
    <row r="108" spans="1:4" ht="18" customHeight="1" x14ac:dyDescent="0.3">
      <c r="A108" s="2" t="s">
        <v>1906</v>
      </c>
      <c r="B108" s="2" t="s">
        <v>266</v>
      </c>
      <c r="C108" s="2" t="s">
        <v>2964</v>
      </c>
      <c r="D108" s="2"/>
    </row>
    <row r="109" spans="1:4" ht="18" customHeight="1" x14ac:dyDescent="0.3">
      <c r="A109" s="2" t="s">
        <v>1907</v>
      </c>
      <c r="B109" s="2" t="s">
        <v>266</v>
      </c>
      <c r="C109" s="2" t="s">
        <v>2964</v>
      </c>
      <c r="D109" s="2"/>
    </row>
    <row r="110" spans="1:4" ht="18" customHeight="1" x14ac:dyDescent="0.3">
      <c r="A110" s="2" t="s">
        <v>1908</v>
      </c>
      <c r="B110" s="2" t="s">
        <v>266</v>
      </c>
      <c r="C110" s="2" t="s">
        <v>2964</v>
      </c>
      <c r="D110" s="2"/>
    </row>
    <row r="111" spans="1:4" ht="18" customHeight="1" x14ac:dyDescent="0.3">
      <c r="A111" s="2" t="s">
        <v>1909</v>
      </c>
      <c r="B111" s="2" t="s">
        <v>266</v>
      </c>
      <c r="C111" s="2" t="s">
        <v>2964</v>
      </c>
      <c r="D111" s="2"/>
    </row>
    <row r="112" spans="1:4" ht="18" customHeight="1" x14ac:dyDescent="0.3">
      <c r="A112" s="2" t="s">
        <v>1910</v>
      </c>
      <c r="B112" s="2" t="s">
        <v>266</v>
      </c>
      <c r="C112" s="2" t="s">
        <v>2964</v>
      </c>
      <c r="D112" s="2"/>
    </row>
    <row r="113" spans="1:4" ht="18" customHeight="1" x14ac:dyDescent="0.3">
      <c r="A113" s="2" t="s">
        <v>1911</v>
      </c>
      <c r="B113" s="2" t="s">
        <v>266</v>
      </c>
      <c r="C113" s="2" t="s">
        <v>2964</v>
      </c>
      <c r="D113" s="2"/>
    </row>
    <row r="114" spans="1:4" ht="18" customHeight="1" x14ac:dyDescent="0.3">
      <c r="A114" s="2" t="s">
        <v>1912</v>
      </c>
      <c r="B114" s="2" t="s">
        <v>266</v>
      </c>
      <c r="C114" s="2" t="s">
        <v>2964</v>
      </c>
      <c r="D114" s="2"/>
    </row>
    <row r="115" spans="1:4" ht="18" customHeight="1" x14ac:dyDescent="0.3">
      <c r="A115" s="2" t="s">
        <v>1913</v>
      </c>
      <c r="B115" s="2" t="s">
        <v>266</v>
      </c>
      <c r="C115" s="2" t="s">
        <v>2964</v>
      </c>
      <c r="D115" s="2"/>
    </row>
    <row r="116" spans="1:4" ht="18" customHeight="1" x14ac:dyDescent="0.3">
      <c r="A116" s="2" t="s">
        <v>1914</v>
      </c>
      <c r="B116" s="2" t="s">
        <v>266</v>
      </c>
      <c r="C116" s="2" t="s">
        <v>2964</v>
      </c>
      <c r="D116" s="2"/>
    </row>
    <row r="117" spans="1:4" ht="18" customHeight="1" x14ac:dyDescent="0.3">
      <c r="A117" s="2" t="s">
        <v>1915</v>
      </c>
      <c r="B117" s="2" t="s">
        <v>266</v>
      </c>
      <c r="C117" s="2" t="s">
        <v>2964</v>
      </c>
      <c r="D117" s="2"/>
    </row>
    <row r="118" spans="1:4" ht="18" customHeight="1" x14ac:dyDescent="0.3">
      <c r="A118" s="2" t="s">
        <v>1916</v>
      </c>
      <c r="B118" s="2" t="s">
        <v>266</v>
      </c>
      <c r="C118" s="2" t="s">
        <v>2964</v>
      </c>
      <c r="D118" s="2"/>
    </row>
    <row r="119" spans="1:4" ht="18" customHeight="1" x14ac:dyDescent="0.3">
      <c r="A119" s="2" t="s">
        <v>1917</v>
      </c>
      <c r="B119" s="2" t="s">
        <v>266</v>
      </c>
      <c r="C119" s="2" t="s">
        <v>2964</v>
      </c>
      <c r="D119" s="2"/>
    </row>
    <row r="120" spans="1:4" ht="18" customHeight="1" x14ac:dyDescent="0.3">
      <c r="A120" s="2" t="s">
        <v>1918</v>
      </c>
      <c r="B120" s="2" t="s">
        <v>266</v>
      </c>
      <c r="C120" s="2" t="s">
        <v>2964</v>
      </c>
      <c r="D120" s="2"/>
    </row>
    <row r="121" spans="1:4" ht="18" customHeight="1" x14ac:dyDescent="0.3">
      <c r="A121" s="2" t="s">
        <v>1919</v>
      </c>
      <c r="B121" s="2" t="s">
        <v>266</v>
      </c>
      <c r="C121" s="2" t="s">
        <v>2964</v>
      </c>
      <c r="D121" s="2"/>
    </row>
    <row r="122" spans="1:4" ht="18" customHeight="1" x14ac:dyDescent="0.3">
      <c r="A122" s="2" t="s">
        <v>1920</v>
      </c>
      <c r="B122" s="2" t="s">
        <v>266</v>
      </c>
      <c r="C122" s="2" t="s">
        <v>2964</v>
      </c>
      <c r="D122" s="2"/>
    </row>
    <row r="123" spans="1:4" ht="18" customHeight="1" x14ac:dyDescent="0.3">
      <c r="A123" s="2" t="s">
        <v>1921</v>
      </c>
      <c r="B123" s="2" t="s">
        <v>266</v>
      </c>
      <c r="C123" s="2" t="s">
        <v>2964</v>
      </c>
      <c r="D123" s="2"/>
    </row>
    <row r="124" spans="1:4" ht="18" customHeight="1" x14ac:dyDescent="0.3">
      <c r="A124" s="2" t="s">
        <v>1922</v>
      </c>
      <c r="B124" s="2" t="s">
        <v>266</v>
      </c>
      <c r="C124" s="2" t="s">
        <v>2964</v>
      </c>
      <c r="D124" s="2"/>
    </row>
    <row r="125" spans="1:4" ht="18" customHeight="1" x14ac:dyDescent="0.3">
      <c r="A125" s="2" t="s">
        <v>1923</v>
      </c>
      <c r="B125" s="2" t="s">
        <v>266</v>
      </c>
      <c r="C125" s="2" t="s">
        <v>2964</v>
      </c>
      <c r="D125" s="2"/>
    </row>
    <row r="126" spans="1:4" ht="18" customHeight="1" x14ac:dyDescent="0.3">
      <c r="A126" s="2" t="s">
        <v>1924</v>
      </c>
      <c r="B126" s="2" t="s">
        <v>266</v>
      </c>
      <c r="C126" s="2" t="s">
        <v>2964</v>
      </c>
      <c r="D126" s="2"/>
    </row>
    <row r="127" spans="1:4" ht="18" customHeight="1" x14ac:dyDescent="0.3">
      <c r="A127" s="2" t="s">
        <v>1925</v>
      </c>
      <c r="B127" s="2" t="s">
        <v>266</v>
      </c>
      <c r="C127" s="2" t="s">
        <v>2964</v>
      </c>
      <c r="D127" s="2"/>
    </row>
    <row r="128" spans="1:4" ht="18" customHeight="1" x14ac:dyDescent="0.3">
      <c r="A128" s="2" t="s">
        <v>1926</v>
      </c>
      <c r="B128" s="2" t="s">
        <v>266</v>
      </c>
      <c r="C128" s="2" t="s">
        <v>2964</v>
      </c>
      <c r="D128" s="2"/>
    </row>
    <row r="129" spans="1:4" ht="18" customHeight="1" x14ac:dyDescent="0.3">
      <c r="A129" s="2" t="s">
        <v>1927</v>
      </c>
      <c r="B129" s="2" t="s">
        <v>266</v>
      </c>
      <c r="C129" s="2" t="s">
        <v>2964</v>
      </c>
      <c r="D129" s="2"/>
    </row>
    <row r="130" spans="1:4" ht="18" customHeight="1" x14ac:dyDescent="0.3">
      <c r="A130" s="2" t="s">
        <v>1928</v>
      </c>
      <c r="B130" s="2" t="s">
        <v>266</v>
      </c>
      <c r="C130" s="2" t="s">
        <v>2964</v>
      </c>
      <c r="D130" s="2"/>
    </row>
    <row r="131" spans="1:4" ht="18" customHeight="1" x14ac:dyDescent="0.3">
      <c r="A131" s="2" t="s">
        <v>1929</v>
      </c>
      <c r="B131" s="2" t="s">
        <v>266</v>
      </c>
      <c r="C131" s="2" t="s">
        <v>2964</v>
      </c>
      <c r="D131" s="2"/>
    </row>
    <row r="132" spans="1:4" ht="18" customHeight="1" x14ac:dyDescent="0.3">
      <c r="A132" s="2" t="s">
        <v>1930</v>
      </c>
      <c r="B132" s="2" t="s">
        <v>266</v>
      </c>
      <c r="C132" s="2" t="s">
        <v>2964</v>
      </c>
      <c r="D132" s="2"/>
    </row>
    <row r="133" spans="1:4" ht="18" customHeight="1" x14ac:dyDescent="0.3">
      <c r="A133" s="2" t="s">
        <v>1931</v>
      </c>
      <c r="B133" s="2" t="s">
        <v>266</v>
      </c>
      <c r="C133" s="2" t="s">
        <v>2964</v>
      </c>
      <c r="D133" s="2"/>
    </row>
    <row r="134" spans="1:4" ht="18" customHeight="1" x14ac:dyDescent="0.3">
      <c r="A134" s="2" t="s">
        <v>1932</v>
      </c>
      <c r="B134" s="2" t="s">
        <v>266</v>
      </c>
      <c r="C134" s="2" t="s">
        <v>2964</v>
      </c>
      <c r="D134" s="2"/>
    </row>
    <row r="135" spans="1:4" ht="18" customHeight="1" x14ac:dyDescent="0.3">
      <c r="A135" s="2" t="s">
        <v>1933</v>
      </c>
      <c r="B135" s="2" t="s">
        <v>266</v>
      </c>
      <c r="C135" s="2" t="s">
        <v>2964</v>
      </c>
      <c r="D135" s="2"/>
    </row>
    <row r="136" spans="1:4" ht="18" customHeight="1" x14ac:dyDescent="0.3">
      <c r="A136" s="2" t="s">
        <v>1934</v>
      </c>
      <c r="B136" s="2" t="s">
        <v>266</v>
      </c>
      <c r="C136" s="2" t="s">
        <v>2964</v>
      </c>
      <c r="D136" s="2"/>
    </row>
    <row r="137" spans="1:4" ht="18" customHeight="1" x14ac:dyDescent="0.3">
      <c r="A137" s="2" t="s">
        <v>1935</v>
      </c>
      <c r="B137" s="2" t="s">
        <v>266</v>
      </c>
      <c r="C137" s="2" t="s">
        <v>2964</v>
      </c>
      <c r="D137" s="2"/>
    </row>
    <row r="138" spans="1:4" ht="18" customHeight="1" x14ac:dyDescent="0.3">
      <c r="A138" s="2" t="s">
        <v>1936</v>
      </c>
      <c r="B138" s="2" t="s">
        <v>266</v>
      </c>
      <c r="C138" s="2" t="s">
        <v>2964</v>
      </c>
      <c r="D138" s="2"/>
    </row>
    <row r="139" spans="1:4" ht="18" customHeight="1" x14ac:dyDescent="0.3">
      <c r="A139" s="2" t="s">
        <v>1937</v>
      </c>
      <c r="B139" s="2" t="s">
        <v>266</v>
      </c>
      <c r="C139" s="2" t="s">
        <v>2964</v>
      </c>
      <c r="D139" s="2"/>
    </row>
    <row r="140" spans="1:4" ht="18" customHeight="1" x14ac:dyDescent="0.3">
      <c r="A140" s="2" t="s">
        <v>1938</v>
      </c>
      <c r="B140" s="2" t="s">
        <v>266</v>
      </c>
      <c r="C140" s="2" t="s">
        <v>2964</v>
      </c>
      <c r="D140" s="2"/>
    </row>
    <row r="141" spans="1:4" ht="18" customHeight="1" x14ac:dyDescent="0.3">
      <c r="A141" s="2" t="s">
        <v>1939</v>
      </c>
      <c r="B141" s="2" t="s">
        <v>266</v>
      </c>
      <c r="C141" s="2" t="s">
        <v>2964</v>
      </c>
      <c r="D141" s="2"/>
    </row>
    <row r="142" spans="1:4" ht="18" customHeight="1" x14ac:dyDescent="0.3">
      <c r="A142" s="2" t="s">
        <v>1940</v>
      </c>
      <c r="B142" s="2" t="s">
        <v>266</v>
      </c>
      <c r="C142" s="2" t="s">
        <v>2964</v>
      </c>
      <c r="D142" s="2"/>
    </row>
    <row r="143" spans="1:4" ht="18" customHeight="1" x14ac:dyDescent="0.3">
      <c r="A143" s="2" t="s">
        <v>1941</v>
      </c>
      <c r="B143" s="2" t="s">
        <v>266</v>
      </c>
      <c r="C143" s="2" t="s">
        <v>2964</v>
      </c>
      <c r="D143" s="2"/>
    </row>
    <row r="144" spans="1:4" ht="18" customHeight="1" x14ac:dyDescent="0.3">
      <c r="A144" s="2" t="s">
        <v>1942</v>
      </c>
      <c r="B144" s="2" t="s">
        <v>266</v>
      </c>
      <c r="C144" s="2" t="s">
        <v>2964</v>
      </c>
      <c r="D144" s="2"/>
    </row>
    <row r="145" spans="1:4" ht="18" customHeight="1" x14ac:dyDescent="0.3">
      <c r="A145" s="2" t="s">
        <v>1943</v>
      </c>
      <c r="B145" s="2" t="s">
        <v>266</v>
      </c>
      <c r="C145" s="2" t="s">
        <v>2964</v>
      </c>
      <c r="D145" s="2"/>
    </row>
    <row r="146" spans="1:4" ht="18" customHeight="1" x14ac:dyDescent="0.3">
      <c r="A146" s="2" t="s">
        <v>1944</v>
      </c>
      <c r="B146" s="2" t="s">
        <v>266</v>
      </c>
      <c r="C146" s="2" t="s">
        <v>2964</v>
      </c>
      <c r="D146" s="2"/>
    </row>
    <row r="147" spans="1:4" ht="18" customHeight="1" x14ac:dyDescent="0.3">
      <c r="A147" s="2" t="s">
        <v>1945</v>
      </c>
      <c r="B147" s="2" t="s">
        <v>266</v>
      </c>
      <c r="C147" s="2" t="s">
        <v>2964</v>
      </c>
      <c r="D147" s="2"/>
    </row>
    <row r="148" spans="1:4" ht="18" customHeight="1" x14ac:dyDescent="0.3">
      <c r="A148" s="2" t="s">
        <v>1946</v>
      </c>
      <c r="B148" s="2" t="s">
        <v>266</v>
      </c>
      <c r="C148" s="2" t="s">
        <v>2964</v>
      </c>
      <c r="D148" s="2"/>
    </row>
    <row r="149" spans="1:4" ht="18" customHeight="1" x14ac:dyDescent="0.3">
      <c r="A149" s="2" t="s">
        <v>1947</v>
      </c>
      <c r="B149" s="2" t="s">
        <v>266</v>
      </c>
      <c r="C149" s="2" t="s">
        <v>2964</v>
      </c>
      <c r="D149" s="2"/>
    </row>
    <row r="150" spans="1:4" ht="18" customHeight="1" x14ac:dyDescent="0.3">
      <c r="A150" s="2" t="s">
        <v>1948</v>
      </c>
      <c r="B150" s="2" t="s">
        <v>266</v>
      </c>
      <c r="C150" s="2" t="s">
        <v>2964</v>
      </c>
      <c r="D150" s="2"/>
    </row>
    <row r="151" spans="1:4" ht="18" customHeight="1" x14ac:dyDescent="0.3">
      <c r="A151" s="2" t="s">
        <v>1949</v>
      </c>
      <c r="B151" s="2" t="s">
        <v>266</v>
      </c>
      <c r="C151" s="2" t="s">
        <v>2964</v>
      </c>
      <c r="D151" s="2"/>
    </row>
    <row r="152" spans="1:4" ht="18" customHeight="1" x14ac:dyDescent="0.3">
      <c r="A152" s="2" t="s">
        <v>1950</v>
      </c>
      <c r="B152" s="2" t="s">
        <v>266</v>
      </c>
      <c r="C152" s="2" t="s">
        <v>2964</v>
      </c>
      <c r="D152" s="2"/>
    </row>
    <row r="153" spans="1:4" ht="18" customHeight="1" x14ac:dyDescent="0.3">
      <c r="A153" s="2" t="s">
        <v>1951</v>
      </c>
      <c r="B153" s="2" t="s">
        <v>266</v>
      </c>
      <c r="C153" s="2" t="s">
        <v>2964</v>
      </c>
      <c r="D153" s="2"/>
    </row>
    <row r="154" spans="1:4" ht="18" customHeight="1" x14ac:dyDescent="0.3">
      <c r="A154" s="2" t="s">
        <v>1952</v>
      </c>
      <c r="B154" s="2" t="s">
        <v>266</v>
      </c>
      <c r="C154" s="2" t="s">
        <v>2964</v>
      </c>
      <c r="D154" s="2"/>
    </row>
    <row r="155" spans="1:4" ht="18" customHeight="1" x14ac:dyDescent="0.3">
      <c r="A155" s="2" t="s">
        <v>1953</v>
      </c>
      <c r="B155" s="2" t="s">
        <v>266</v>
      </c>
      <c r="C155" s="2" t="s">
        <v>2964</v>
      </c>
      <c r="D155" s="2"/>
    </row>
    <row r="156" spans="1:4" ht="18" customHeight="1" x14ac:dyDescent="0.3">
      <c r="A156" s="2" t="s">
        <v>1954</v>
      </c>
      <c r="B156" s="2" t="s">
        <v>266</v>
      </c>
      <c r="C156" s="2" t="s">
        <v>2964</v>
      </c>
      <c r="D156" s="2"/>
    </row>
    <row r="157" spans="1:4" ht="18" customHeight="1" x14ac:dyDescent="0.3">
      <c r="A157" s="2" t="s">
        <v>1955</v>
      </c>
      <c r="B157" s="2" t="s">
        <v>266</v>
      </c>
      <c r="C157" s="2" t="s">
        <v>2964</v>
      </c>
      <c r="D157" s="2"/>
    </row>
    <row r="158" spans="1:4" ht="18" customHeight="1" x14ac:dyDescent="0.3">
      <c r="A158" s="2" t="s">
        <v>1956</v>
      </c>
      <c r="B158" s="2" t="s">
        <v>266</v>
      </c>
      <c r="C158" s="2" t="s">
        <v>2964</v>
      </c>
      <c r="D158" s="2"/>
    </row>
    <row r="159" spans="1:4" ht="18" customHeight="1" x14ac:dyDescent="0.3">
      <c r="A159" s="2" t="s">
        <v>1957</v>
      </c>
      <c r="B159" s="2" t="s">
        <v>266</v>
      </c>
      <c r="C159" s="2" t="s">
        <v>2964</v>
      </c>
      <c r="D159" s="2"/>
    </row>
    <row r="160" spans="1:4" ht="18" customHeight="1" x14ac:dyDescent="0.3">
      <c r="A160" s="2" t="s">
        <v>1958</v>
      </c>
      <c r="B160" s="2" t="s">
        <v>266</v>
      </c>
      <c r="C160" s="2" t="s">
        <v>2964</v>
      </c>
      <c r="D160" s="2"/>
    </row>
    <row r="161" spans="1:4" ht="18" customHeight="1" x14ac:dyDescent="0.3">
      <c r="A161" s="2" t="s">
        <v>1959</v>
      </c>
      <c r="B161" s="2" t="s">
        <v>266</v>
      </c>
      <c r="C161" s="2" t="s">
        <v>2964</v>
      </c>
      <c r="D161" s="2"/>
    </row>
    <row r="162" spans="1:4" ht="18" customHeight="1" x14ac:dyDescent="0.3">
      <c r="A162" s="2" t="s">
        <v>1960</v>
      </c>
      <c r="B162" s="2" t="s">
        <v>266</v>
      </c>
      <c r="C162" s="2" t="s">
        <v>2964</v>
      </c>
      <c r="D162" s="2"/>
    </row>
    <row r="163" spans="1:4" ht="18" customHeight="1" x14ac:dyDescent="0.3">
      <c r="A163" s="2" t="s">
        <v>1961</v>
      </c>
      <c r="B163" s="2" t="s">
        <v>266</v>
      </c>
      <c r="C163" s="2" t="s">
        <v>2964</v>
      </c>
      <c r="D163" s="2"/>
    </row>
    <row r="164" spans="1:4" ht="18" customHeight="1" x14ac:dyDescent="0.3">
      <c r="A164" s="2" t="s">
        <v>1962</v>
      </c>
      <c r="B164" s="2" t="s">
        <v>266</v>
      </c>
      <c r="C164" s="2" t="s">
        <v>2964</v>
      </c>
      <c r="D164" s="2"/>
    </row>
    <row r="165" spans="1:4" ht="18" customHeight="1" x14ac:dyDescent="0.3">
      <c r="A165" s="2" t="s">
        <v>1963</v>
      </c>
      <c r="B165" s="2" t="s">
        <v>266</v>
      </c>
      <c r="C165" s="2" t="s">
        <v>2964</v>
      </c>
      <c r="D165" s="2"/>
    </row>
    <row r="166" spans="1:4" ht="18" customHeight="1" x14ac:dyDescent="0.3">
      <c r="A166" s="2" t="s">
        <v>1964</v>
      </c>
      <c r="B166" s="2" t="s">
        <v>266</v>
      </c>
      <c r="C166" s="2" t="s">
        <v>2964</v>
      </c>
      <c r="D166" s="2"/>
    </row>
    <row r="167" spans="1:4" ht="18" customHeight="1" x14ac:dyDescent="0.3">
      <c r="A167" s="2" t="s">
        <v>1965</v>
      </c>
      <c r="B167" s="2" t="s">
        <v>266</v>
      </c>
      <c r="C167" s="2" t="s">
        <v>2964</v>
      </c>
      <c r="D167" s="2"/>
    </row>
    <row r="168" spans="1:4" ht="18" customHeight="1" x14ac:dyDescent="0.3">
      <c r="A168" s="2" t="s">
        <v>1966</v>
      </c>
      <c r="B168" s="2" t="s">
        <v>266</v>
      </c>
      <c r="C168" s="2" t="s">
        <v>2964</v>
      </c>
      <c r="D168" s="2"/>
    </row>
    <row r="169" spans="1:4" ht="18" customHeight="1" x14ac:dyDescent="0.3">
      <c r="A169" s="2" t="s">
        <v>1967</v>
      </c>
      <c r="B169" s="2" t="s">
        <v>266</v>
      </c>
      <c r="C169" s="2" t="s">
        <v>2964</v>
      </c>
      <c r="D169" s="2"/>
    </row>
    <row r="170" spans="1:4" ht="18" customHeight="1" x14ac:dyDescent="0.3">
      <c r="A170" s="2" t="s">
        <v>1968</v>
      </c>
      <c r="B170" s="2" t="s">
        <v>266</v>
      </c>
      <c r="C170" s="2" t="s">
        <v>2964</v>
      </c>
      <c r="D170" s="2"/>
    </row>
    <row r="171" spans="1:4" ht="18" customHeight="1" x14ac:dyDescent="0.3">
      <c r="A171" s="2" t="s">
        <v>1969</v>
      </c>
      <c r="B171" s="2" t="s">
        <v>266</v>
      </c>
      <c r="C171" s="2" t="s">
        <v>2964</v>
      </c>
      <c r="D171" s="2"/>
    </row>
    <row r="172" spans="1:4" ht="18" customHeight="1" x14ac:dyDescent="0.3">
      <c r="A172" s="2" t="s">
        <v>1970</v>
      </c>
      <c r="B172" s="2" t="s">
        <v>266</v>
      </c>
      <c r="C172" s="2" t="s">
        <v>2964</v>
      </c>
      <c r="D172" s="2"/>
    </row>
    <row r="173" spans="1:4" ht="18" customHeight="1" x14ac:dyDescent="0.3">
      <c r="A173" s="2" t="s">
        <v>1971</v>
      </c>
      <c r="B173" s="2" t="s">
        <v>266</v>
      </c>
      <c r="C173" s="2" t="s">
        <v>2964</v>
      </c>
      <c r="D173" s="2"/>
    </row>
    <row r="174" spans="1:4" ht="18" customHeight="1" x14ac:dyDescent="0.3">
      <c r="A174" s="2" t="s">
        <v>1972</v>
      </c>
      <c r="B174" s="2" t="s">
        <v>266</v>
      </c>
      <c r="C174" s="2" t="s">
        <v>2964</v>
      </c>
      <c r="D174" s="2"/>
    </row>
    <row r="175" spans="1:4" ht="18" customHeight="1" x14ac:dyDescent="0.3">
      <c r="A175" s="2" t="s">
        <v>1973</v>
      </c>
      <c r="B175" s="2" t="s">
        <v>266</v>
      </c>
      <c r="C175" s="2" t="s">
        <v>2964</v>
      </c>
      <c r="D175" s="2"/>
    </row>
    <row r="176" spans="1:4" ht="18" customHeight="1" x14ac:dyDescent="0.3">
      <c r="A176" s="2" t="s">
        <v>1974</v>
      </c>
      <c r="B176" s="2" t="s">
        <v>266</v>
      </c>
      <c r="C176" s="2" t="s">
        <v>2964</v>
      </c>
      <c r="D176" s="2"/>
    </row>
    <row r="177" spans="1:4" ht="18" customHeight="1" x14ac:dyDescent="0.3">
      <c r="A177" s="2" t="s">
        <v>1975</v>
      </c>
      <c r="B177" s="2" t="s">
        <v>266</v>
      </c>
      <c r="C177" s="2" t="s">
        <v>2964</v>
      </c>
      <c r="D177" s="2"/>
    </row>
    <row r="178" spans="1:4" ht="18" customHeight="1" x14ac:dyDescent="0.3">
      <c r="A178" s="2" t="s">
        <v>1976</v>
      </c>
      <c r="B178" s="2" t="s">
        <v>266</v>
      </c>
      <c r="C178" s="2" t="s">
        <v>2964</v>
      </c>
      <c r="D178" s="2"/>
    </row>
    <row r="179" spans="1:4" ht="18" customHeight="1" x14ac:dyDescent="0.3">
      <c r="A179" s="2" t="s">
        <v>1977</v>
      </c>
      <c r="B179" s="2" t="s">
        <v>266</v>
      </c>
      <c r="C179" s="2" t="s">
        <v>2964</v>
      </c>
      <c r="D179" s="2"/>
    </row>
    <row r="180" spans="1:4" ht="18" customHeight="1" x14ac:dyDescent="0.3">
      <c r="A180" s="2" t="s">
        <v>1978</v>
      </c>
      <c r="B180" s="2" t="s">
        <v>266</v>
      </c>
      <c r="C180" s="2" t="s">
        <v>2964</v>
      </c>
      <c r="D180" s="2"/>
    </row>
    <row r="181" spans="1:4" ht="18" customHeight="1" x14ac:dyDescent="0.3">
      <c r="A181" s="2" t="s">
        <v>1979</v>
      </c>
      <c r="B181" s="2" t="s">
        <v>266</v>
      </c>
      <c r="C181" s="2" t="s">
        <v>2964</v>
      </c>
      <c r="D181" s="2"/>
    </row>
    <row r="182" spans="1:4" ht="18" customHeight="1" x14ac:dyDescent="0.3">
      <c r="A182" s="2" t="s">
        <v>1980</v>
      </c>
      <c r="B182" s="2" t="s">
        <v>266</v>
      </c>
      <c r="C182" s="2" t="s">
        <v>2964</v>
      </c>
      <c r="D182" s="2"/>
    </row>
    <row r="183" spans="1:4" ht="18" customHeight="1" x14ac:dyDescent="0.3">
      <c r="A183" s="2" t="s">
        <v>1981</v>
      </c>
      <c r="B183" s="2" t="s">
        <v>266</v>
      </c>
      <c r="C183" s="2" t="s">
        <v>2964</v>
      </c>
      <c r="D183" s="2"/>
    </row>
    <row r="184" spans="1:4" ht="18" customHeight="1" x14ac:dyDescent="0.3">
      <c r="A184" s="2" t="s">
        <v>1982</v>
      </c>
      <c r="B184" s="2" t="s">
        <v>266</v>
      </c>
      <c r="C184" s="2" t="s">
        <v>2964</v>
      </c>
      <c r="D184" s="2"/>
    </row>
    <row r="185" spans="1:4" ht="18" customHeight="1" x14ac:dyDescent="0.3">
      <c r="A185" s="2" t="s">
        <v>1983</v>
      </c>
      <c r="B185" s="2" t="s">
        <v>266</v>
      </c>
      <c r="C185" s="2" t="s">
        <v>2964</v>
      </c>
      <c r="D185" s="2"/>
    </row>
    <row r="186" spans="1:4" ht="18" customHeight="1" x14ac:dyDescent="0.3">
      <c r="A186" s="2" t="s">
        <v>1984</v>
      </c>
      <c r="B186" s="2" t="s">
        <v>266</v>
      </c>
      <c r="C186" s="2" t="s">
        <v>2964</v>
      </c>
      <c r="D186" s="2"/>
    </row>
    <row r="187" spans="1:4" ht="18" customHeight="1" x14ac:dyDescent="0.3">
      <c r="A187" s="2" t="s">
        <v>1985</v>
      </c>
      <c r="B187" s="2" t="s">
        <v>266</v>
      </c>
      <c r="C187" s="2" t="s">
        <v>2964</v>
      </c>
      <c r="D187" s="2"/>
    </row>
    <row r="188" spans="1:4" ht="18" customHeight="1" x14ac:dyDescent="0.3">
      <c r="A188" s="2" t="s">
        <v>1986</v>
      </c>
      <c r="B188" s="2" t="s">
        <v>266</v>
      </c>
      <c r="C188" s="2" t="s">
        <v>2964</v>
      </c>
      <c r="D188" s="2"/>
    </row>
    <row r="189" spans="1:4" ht="18" customHeight="1" x14ac:dyDescent="0.3">
      <c r="A189" s="2" t="s">
        <v>1987</v>
      </c>
      <c r="B189" s="2" t="s">
        <v>266</v>
      </c>
      <c r="C189" s="2" t="s">
        <v>2964</v>
      </c>
      <c r="D189" s="2"/>
    </row>
    <row r="190" spans="1:4" ht="18" customHeight="1" x14ac:dyDescent="0.3">
      <c r="A190" s="2" t="s">
        <v>1988</v>
      </c>
      <c r="B190" s="2" t="s">
        <v>266</v>
      </c>
      <c r="C190" s="2" t="s">
        <v>2964</v>
      </c>
      <c r="D190" s="2"/>
    </row>
    <row r="191" spans="1:4" ht="18" customHeight="1" x14ac:dyDescent="0.3">
      <c r="A191" s="2" t="s">
        <v>1989</v>
      </c>
      <c r="B191" s="2" t="s">
        <v>266</v>
      </c>
      <c r="C191" s="2" t="s">
        <v>2964</v>
      </c>
      <c r="D191" s="2"/>
    </row>
    <row r="192" spans="1:4" ht="18" customHeight="1" x14ac:dyDescent="0.3">
      <c r="A192" s="2" t="s">
        <v>1990</v>
      </c>
      <c r="B192" s="2" t="s">
        <v>266</v>
      </c>
      <c r="C192" s="2" t="s">
        <v>2964</v>
      </c>
      <c r="D192" s="2"/>
    </row>
    <row r="193" spans="1:4" ht="18" customHeight="1" x14ac:dyDescent="0.3">
      <c r="A193" s="2" t="s">
        <v>1991</v>
      </c>
      <c r="B193" s="2" t="s">
        <v>266</v>
      </c>
      <c r="C193" s="2" t="s">
        <v>2964</v>
      </c>
      <c r="D193" s="2"/>
    </row>
    <row r="194" spans="1:4" ht="18" customHeight="1" x14ac:dyDescent="0.3">
      <c r="A194" s="2" t="s">
        <v>1992</v>
      </c>
      <c r="B194" s="2" t="s">
        <v>266</v>
      </c>
      <c r="C194" s="2" t="s">
        <v>2964</v>
      </c>
      <c r="D194" s="2"/>
    </row>
    <row r="195" spans="1:4" ht="18" customHeight="1" x14ac:dyDescent="0.3">
      <c r="A195" s="2" t="s">
        <v>1993</v>
      </c>
      <c r="B195" s="2" t="s">
        <v>266</v>
      </c>
      <c r="C195" s="2" t="s">
        <v>2964</v>
      </c>
      <c r="D195" s="2"/>
    </row>
    <row r="196" spans="1:4" ht="18" customHeight="1" x14ac:dyDescent="0.3">
      <c r="A196" s="2" t="s">
        <v>1994</v>
      </c>
      <c r="B196" s="2" t="s">
        <v>266</v>
      </c>
      <c r="C196" s="2" t="s">
        <v>2964</v>
      </c>
      <c r="D196" s="2"/>
    </row>
    <row r="197" spans="1:4" ht="18" customHeight="1" x14ac:dyDescent="0.3">
      <c r="A197" s="2" t="s">
        <v>1995</v>
      </c>
      <c r="B197" s="2" t="s">
        <v>266</v>
      </c>
      <c r="C197" s="2" t="s">
        <v>2964</v>
      </c>
      <c r="D197" s="2"/>
    </row>
    <row r="198" spans="1:4" ht="18" customHeight="1" x14ac:dyDescent="0.3">
      <c r="A198" s="2" t="s">
        <v>1996</v>
      </c>
      <c r="B198" s="2" t="s">
        <v>266</v>
      </c>
      <c r="C198" s="2" t="s">
        <v>2964</v>
      </c>
      <c r="D198" s="2"/>
    </row>
    <row r="199" spans="1:4" ht="18" customHeight="1" x14ac:dyDescent="0.3">
      <c r="A199" s="2" t="s">
        <v>1997</v>
      </c>
      <c r="B199" s="2" t="s">
        <v>266</v>
      </c>
      <c r="C199" s="2" t="s">
        <v>2964</v>
      </c>
      <c r="D199" s="2"/>
    </row>
    <row r="200" spans="1:4" ht="18" customHeight="1" x14ac:dyDescent="0.3">
      <c r="A200" s="2" t="s">
        <v>1998</v>
      </c>
      <c r="B200" s="2" t="s">
        <v>266</v>
      </c>
      <c r="C200" s="2" t="s">
        <v>2964</v>
      </c>
      <c r="D200" s="2"/>
    </row>
    <row r="201" spans="1:4" ht="18" customHeight="1" x14ac:dyDescent="0.3">
      <c r="A201" s="2" t="s">
        <v>1999</v>
      </c>
      <c r="B201" s="2" t="s">
        <v>266</v>
      </c>
      <c r="C201" s="2" t="s">
        <v>2964</v>
      </c>
      <c r="D201" s="2"/>
    </row>
    <row r="202" spans="1:4" ht="18" customHeight="1" x14ac:dyDescent="0.3">
      <c r="A202" s="2" t="s">
        <v>2000</v>
      </c>
      <c r="B202" s="2" t="s">
        <v>266</v>
      </c>
      <c r="C202" s="2" t="s">
        <v>2964</v>
      </c>
      <c r="D202" s="2"/>
    </row>
    <row r="203" spans="1:4" ht="18" customHeight="1" x14ac:dyDescent="0.3">
      <c r="A203" s="2" t="s">
        <v>2001</v>
      </c>
      <c r="B203" s="2" t="s">
        <v>266</v>
      </c>
      <c r="C203" s="2" t="s">
        <v>2964</v>
      </c>
      <c r="D203" s="2"/>
    </row>
    <row r="204" spans="1:4" ht="18" customHeight="1" x14ac:dyDescent="0.3">
      <c r="A204" s="2" t="s">
        <v>2002</v>
      </c>
      <c r="B204" s="2" t="s">
        <v>266</v>
      </c>
      <c r="C204" s="2" t="s">
        <v>2964</v>
      </c>
      <c r="D204" s="2"/>
    </row>
    <row r="205" spans="1:4" ht="18" customHeight="1" x14ac:dyDescent="0.3">
      <c r="A205" s="2" t="s">
        <v>2003</v>
      </c>
      <c r="B205" s="2" t="s">
        <v>266</v>
      </c>
      <c r="C205" s="2" t="s">
        <v>2964</v>
      </c>
      <c r="D205" s="2"/>
    </row>
    <row r="206" spans="1:4" ht="18" customHeight="1" x14ac:dyDescent="0.3">
      <c r="A206" s="2" t="s">
        <v>2004</v>
      </c>
      <c r="B206" s="2" t="s">
        <v>266</v>
      </c>
      <c r="C206" s="2" t="s">
        <v>2964</v>
      </c>
      <c r="D206" s="2"/>
    </row>
    <row r="207" spans="1:4" ht="18" customHeight="1" x14ac:dyDescent="0.3">
      <c r="A207" s="2" t="s">
        <v>2005</v>
      </c>
      <c r="B207" s="2" t="s">
        <v>266</v>
      </c>
      <c r="C207" s="2" t="s">
        <v>2964</v>
      </c>
      <c r="D207" s="2"/>
    </row>
    <row r="208" spans="1:4" ht="18" customHeight="1" x14ac:dyDescent="0.3">
      <c r="A208" s="2" t="s">
        <v>2006</v>
      </c>
      <c r="B208" s="2" t="s">
        <v>266</v>
      </c>
      <c r="C208" s="2" t="s">
        <v>2964</v>
      </c>
      <c r="D208" s="2"/>
    </row>
    <row r="209" spans="1:4" ht="18" customHeight="1" x14ac:dyDescent="0.3">
      <c r="A209" s="2" t="s">
        <v>2007</v>
      </c>
      <c r="B209" s="2" t="s">
        <v>266</v>
      </c>
      <c r="C209" s="2" t="s">
        <v>2964</v>
      </c>
      <c r="D209" s="2"/>
    </row>
    <row r="210" spans="1:4" ht="18" customHeight="1" x14ac:dyDescent="0.3">
      <c r="A210" s="2" t="s">
        <v>2008</v>
      </c>
      <c r="B210" s="2" t="s">
        <v>266</v>
      </c>
      <c r="C210" s="2" t="s">
        <v>2964</v>
      </c>
      <c r="D210" s="2"/>
    </row>
    <row r="211" spans="1:4" ht="18" customHeight="1" x14ac:dyDescent="0.3">
      <c r="A211" s="2" t="s">
        <v>2009</v>
      </c>
      <c r="B211" s="2" t="s">
        <v>266</v>
      </c>
      <c r="C211" s="2" t="s">
        <v>2964</v>
      </c>
      <c r="D211" s="2"/>
    </row>
    <row r="212" spans="1:4" ht="18" customHeight="1" x14ac:dyDescent="0.3">
      <c r="A212" s="2" t="s">
        <v>2010</v>
      </c>
      <c r="B212" s="2" t="s">
        <v>266</v>
      </c>
      <c r="C212" s="2" t="s">
        <v>2964</v>
      </c>
      <c r="D212" s="2"/>
    </row>
    <row r="213" spans="1:4" ht="18" customHeight="1" x14ac:dyDescent="0.3">
      <c r="A213" s="2" t="s">
        <v>2011</v>
      </c>
      <c r="B213" s="2" t="s">
        <v>266</v>
      </c>
      <c r="C213" s="2" t="s">
        <v>2964</v>
      </c>
      <c r="D213" s="2"/>
    </row>
    <row r="214" spans="1:4" ht="18" customHeight="1" x14ac:dyDescent="0.3">
      <c r="A214" s="2" t="s">
        <v>2012</v>
      </c>
      <c r="B214" s="2" t="s">
        <v>266</v>
      </c>
      <c r="C214" s="2" t="s">
        <v>2964</v>
      </c>
      <c r="D214" s="2"/>
    </row>
    <row r="215" spans="1:4" ht="18" customHeight="1" x14ac:dyDescent="0.3">
      <c r="A215" s="2" t="s">
        <v>2013</v>
      </c>
      <c r="B215" s="2" t="s">
        <v>266</v>
      </c>
      <c r="C215" s="2" t="s">
        <v>2964</v>
      </c>
      <c r="D215" s="2"/>
    </row>
    <row r="216" spans="1:4" ht="18" customHeight="1" x14ac:dyDescent="0.3">
      <c r="A216" s="2" t="s">
        <v>2014</v>
      </c>
      <c r="B216" s="2" t="s">
        <v>266</v>
      </c>
      <c r="C216" s="2" t="s">
        <v>2964</v>
      </c>
      <c r="D216" s="2"/>
    </row>
    <row r="217" spans="1:4" ht="18" customHeight="1" x14ac:dyDescent="0.3">
      <c r="A217" s="2" t="s">
        <v>2015</v>
      </c>
      <c r="B217" s="2" t="s">
        <v>266</v>
      </c>
      <c r="C217" s="2" t="s">
        <v>2964</v>
      </c>
      <c r="D217" s="2"/>
    </row>
    <row r="218" spans="1:4" ht="18" customHeight="1" x14ac:dyDescent="0.3">
      <c r="A218" s="2" t="s">
        <v>2016</v>
      </c>
      <c r="B218" s="2" t="s">
        <v>266</v>
      </c>
      <c r="C218" s="2" t="s">
        <v>2964</v>
      </c>
      <c r="D218" s="2"/>
    </row>
    <row r="219" spans="1:4" ht="18" customHeight="1" x14ac:dyDescent="0.3">
      <c r="A219" s="2" t="s">
        <v>2017</v>
      </c>
      <c r="B219" s="2" t="s">
        <v>266</v>
      </c>
      <c r="C219" s="2" t="s">
        <v>2964</v>
      </c>
      <c r="D219" s="2"/>
    </row>
    <row r="220" spans="1:4" ht="18" customHeight="1" x14ac:dyDescent="0.3">
      <c r="A220" s="2" t="s">
        <v>2018</v>
      </c>
      <c r="B220" s="2" t="s">
        <v>266</v>
      </c>
      <c r="C220" s="2" t="s">
        <v>2964</v>
      </c>
      <c r="D220" s="2"/>
    </row>
    <row r="221" spans="1:4" ht="18" customHeight="1" x14ac:dyDescent="0.3">
      <c r="A221" s="2" t="s">
        <v>2019</v>
      </c>
      <c r="B221" s="2" t="s">
        <v>266</v>
      </c>
      <c r="C221" s="2" t="s">
        <v>2964</v>
      </c>
      <c r="D221" s="2"/>
    </row>
    <row r="222" spans="1:4" ht="18" customHeight="1" x14ac:dyDescent="0.3">
      <c r="A222" s="2" t="s">
        <v>2020</v>
      </c>
      <c r="B222" s="2" t="s">
        <v>266</v>
      </c>
      <c r="C222" s="2" t="s">
        <v>2964</v>
      </c>
      <c r="D222" s="2"/>
    </row>
    <row r="223" spans="1:4" ht="18" customHeight="1" x14ac:dyDescent="0.3">
      <c r="A223" s="2" t="s">
        <v>2021</v>
      </c>
      <c r="B223" s="2" t="s">
        <v>266</v>
      </c>
      <c r="C223" s="2" t="s">
        <v>2964</v>
      </c>
      <c r="D223" s="2"/>
    </row>
    <row r="224" spans="1:4" ht="18" customHeight="1" x14ac:dyDescent="0.3">
      <c r="A224" s="2" t="s">
        <v>2022</v>
      </c>
      <c r="B224" s="2" t="s">
        <v>266</v>
      </c>
      <c r="C224" s="2" t="s">
        <v>2964</v>
      </c>
      <c r="D224" s="2"/>
    </row>
    <row r="225" spans="1:4" ht="18" customHeight="1" x14ac:dyDescent="0.3">
      <c r="A225" s="2" t="s">
        <v>2023</v>
      </c>
      <c r="B225" s="2" t="s">
        <v>266</v>
      </c>
      <c r="C225" s="2" t="s">
        <v>2964</v>
      </c>
      <c r="D225" s="2"/>
    </row>
    <row r="226" spans="1:4" ht="18" customHeight="1" x14ac:dyDescent="0.3">
      <c r="A226" s="2" t="s">
        <v>2024</v>
      </c>
      <c r="B226" s="2" t="s">
        <v>266</v>
      </c>
      <c r="C226" s="2" t="s">
        <v>2964</v>
      </c>
      <c r="D226" s="2"/>
    </row>
    <row r="227" spans="1:4" ht="18" customHeight="1" x14ac:dyDescent="0.3">
      <c r="A227" s="2" t="s">
        <v>2025</v>
      </c>
      <c r="B227" s="2" t="s">
        <v>266</v>
      </c>
      <c r="C227" s="2" t="s">
        <v>2964</v>
      </c>
      <c r="D227" s="2"/>
    </row>
    <row r="228" spans="1:4" ht="18" customHeight="1" x14ac:dyDescent="0.3">
      <c r="A228" s="2" t="s">
        <v>2026</v>
      </c>
      <c r="B228" s="2" t="s">
        <v>266</v>
      </c>
      <c r="C228" s="2" t="s">
        <v>2964</v>
      </c>
      <c r="D228" s="2"/>
    </row>
    <row r="229" spans="1:4" ht="18" customHeight="1" x14ac:dyDescent="0.3">
      <c r="A229" s="2" t="s">
        <v>2027</v>
      </c>
      <c r="B229" s="2" t="s">
        <v>266</v>
      </c>
      <c r="C229" s="2" t="s">
        <v>2964</v>
      </c>
      <c r="D229" s="2"/>
    </row>
    <row r="230" spans="1:4" ht="18" customHeight="1" x14ac:dyDescent="0.3">
      <c r="A230" s="2" t="s">
        <v>2028</v>
      </c>
      <c r="B230" s="2" t="s">
        <v>266</v>
      </c>
      <c r="C230" s="2" t="s">
        <v>2964</v>
      </c>
      <c r="D230" s="2"/>
    </row>
    <row r="231" spans="1:4" ht="18" customHeight="1" x14ac:dyDescent="0.3">
      <c r="A231" s="2" t="s">
        <v>2029</v>
      </c>
      <c r="B231" s="2" t="s">
        <v>266</v>
      </c>
      <c r="C231" s="2" t="s">
        <v>2964</v>
      </c>
      <c r="D231" s="2"/>
    </row>
    <row r="232" spans="1:4" ht="18" customHeight="1" x14ac:dyDescent="0.3">
      <c r="A232" s="2" t="s">
        <v>2030</v>
      </c>
      <c r="B232" s="2" t="s">
        <v>266</v>
      </c>
      <c r="C232" s="2" t="s">
        <v>2964</v>
      </c>
      <c r="D232" s="2"/>
    </row>
    <row r="233" spans="1:4" ht="18" customHeight="1" x14ac:dyDescent="0.3">
      <c r="A233" s="2" t="s">
        <v>2031</v>
      </c>
      <c r="B233" s="2" t="s">
        <v>266</v>
      </c>
      <c r="C233" s="2" t="s">
        <v>2964</v>
      </c>
      <c r="D233" s="2"/>
    </row>
    <row r="234" spans="1:4" ht="18" customHeight="1" x14ac:dyDescent="0.3">
      <c r="A234" s="2" t="s">
        <v>2032</v>
      </c>
      <c r="B234" s="2" t="s">
        <v>266</v>
      </c>
      <c r="C234" s="2" t="s">
        <v>2964</v>
      </c>
      <c r="D234" s="2"/>
    </row>
    <row r="235" spans="1:4" ht="18" customHeight="1" x14ac:dyDescent="0.3">
      <c r="A235" s="2" t="s">
        <v>2033</v>
      </c>
      <c r="B235" s="2" t="s">
        <v>266</v>
      </c>
      <c r="C235" s="2" t="s">
        <v>2964</v>
      </c>
      <c r="D235" s="2"/>
    </row>
    <row r="236" spans="1:4" ht="18" customHeight="1" x14ac:dyDescent="0.3">
      <c r="A236" s="2" t="s">
        <v>2034</v>
      </c>
      <c r="B236" s="2" t="s">
        <v>266</v>
      </c>
      <c r="C236" s="2" t="s">
        <v>2964</v>
      </c>
      <c r="D236" s="2"/>
    </row>
    <row r="237" spans="1:4" ht="18" customHeight="1" x14ac:dyDescent="0.3">
      <c r="A237" s="2" t="s">
        <v>2035</v>
      </c>
      <c r="B237" s="2" t="s">
        <v>266</v>
      </c>
      <c r="C237" s="2" t="s">
        <v>2964</v>
      </c>
      <c r="D237" s="2"/>
    </row>
    <row r="238" spans="1:4" ht="18" customHeight="1" x14ac:dyDescent="0.3">
      <c r="A238" s="2" t="s">
        <v>2036</v>
      </c>
      <c r="B238" s="2" t="s">
        <v>266</v>
      </c>
      <c r="C238" s="2" t="s">
        <v>2964</v>
      </c>
      <c r="D238" s="2"/>
    </row>
    <row r="239" spans="1:4" ht="18" customHeight="1" x14ac:dyDescent="0.3">
      <c r="A239" s="2" t="s">
        <v>2037</v>
      </c>
      <c r="B239" s="2" t="s">
        <v>266</v>
      </c>
      <c r="C239" s="2" t="s">
        <v>2964</v>
      </c>
      <c r="D239" s="2"/>
    </row>
    <row r="240" spans="1:4" ht="18" customHeight="1" x14ac:dyDescent="0.3">
      <c r="A240" s="2" t="s">
        <v>2038</v>
      </c>
      <c r="B240" s="2" t="s">
        <v>266</v>
      </c>
      <c r="C240" s="2" t="s">
        <v>2964</v>
      </c>
      <c r="D240" s="2"/>
    </row>
    <row r="241" spans="1:4" ht="18" customHeight="1" x14ac:dyDescent="0.3">
      <c r="A241" s="2" t="s">
        <v>2039</v>
      </c>
      <c r="B241" s="2" t="s">
        <v>266</v>
      </c>
      <c r="C241" s="2" t="s">
        <v>2964</v>
      </c>
      <c r="D241" s="2"/>
    </row>
    <row r="242" spans="1:4" ht="18" customHeight="1" x14ac:dyDescent="0.3">
      <c r="A242" s="2" t="s">
        <v>2040</v>
      </c>
      <c r="B242" s="2" t="s">
        <v>266</v>
      </c>
      <c r="C242" s="2" t="s">
        <v>2964</v>
      </c>
      <c r="D242" s="2"/>
    </row>
    <row r="243" spans="1:4" ht="18" customHeight="1" x14ac:dyDescent="0.3">
      <c r="A243" s="2" t="s">
        <v>2041</v>
      </c>
      <c r="B243" s="2" t="s">
        <v>266</v>
      </c>
      <c r="C243" s="2" t="s">
        <v>2964</v>
      </c>
      <c r="D243" s="2"/>
    </row>
    <row r="244" spans="1:4" ht="18" customHeight="1" x14ac:dyDescent="0.3">
      <c r="A244" s="2" t="s">
        <v>2042</v>
      </c>
      <c r="B244" s="2" t="s">
        <v>266</v>
      </c>
      <c r="C244" s="2" t="s">
        <v>2964</v>
      </c>
      <c r="D244" s="2"/>
    </row>
    <row r="245" spans="1:4" ht="18" customHeight="1" x14ac:dyDescent="0.3">
      <c r="A245" s="2" t="s">
        <v>2043</v>
      </c>
      <c r="B245" s="2" t="s">
        <v>266</v>
      </c>
      <c r="C245" s="2" t="s">
        <v>2964</v>
      </c>
      <c r="D245" s="2"/>
    </row>
    <row r="246" spans="1:4" ht="18" customHeight="1" x14ac:dyDescent="0.3">
      <c r="A246" s="2" t="s">
        <v>2044</v>
      </c>
      <c r="B246" s="2" t="s">
        <v>266</v>
      </c>
      <c r="C246" s="2" t="s">
        <v>2964</v>
      </c>
      <c r="D246" s="2"/>
    </row>
    <row r="247" spans="1:4" ht="18" customHeight="1" x14ac:dyDescent="0.3">
      <c r="A247" s="2" t="s">
        <v>2045</v>
      </c>
      <c r="B247" s="2" t="s">
        <v>266</v>
      </c>
      <c r="C247" s="2" t="s">
        <v>2964</v>
      </c>
      <c r="D247" s="2"/>
    </row>
    <row r="248" spans="1:4" ht="18" customHeight="1" x14ac:dyDescent="0.3">
      <c r="A248" s="2" t="s">
        <v>2046</v>
      </c>
      <c r="B248" s="2" t="s">
        <v>266</v>
      </c>
      <c r="C248" s="2" t="s">
        <v>2964</v>
      </c>
      <c r="D248" s="2"/>
    </row>
    <row r="249" spans="1:4" ht="18" customHeight="1" x14ac:dyDescent="0.3">
      <c r="A249" s="2" t="s">
        <v>2047</v>
      </c>
      <c r="B249" s="2" t="s">
        <v>266</v>
      </c>
      <c r="C249" s="2" t="s">
        <v>2964</v>
      </c>
      <c r="D249" s="2"/>
    </row>
    <row r="250" spans="1:4" ht="18" customHeight="1" x14ac:dyDescent="0.3">
      <c r="A250" s="2" t="s">
        <v>2048</v>
      </c>
      <c r="B250" s="2" t="s">
        <v>266</v>
      </c>
      <c r="C250" s="2" t="s">
        <v>2964</v>
      </c>
      <c r="D250" s="2"/>
    </row>
    <row r="251" spans="1:4" ht="18" customHeight="1" x14ac:dyDescent="0.3">
      <c r="A251" s="2" t="s">
        <v>2049</v>
      </c>
      <c r="B251" s="2" t="s">
        <v>266</v>
      </c>
      <c r="C251" s="2" t="s">
        <v>2964</v>
      </c>
      <c r="D251" s="2"/>
    </row>
    <row r="252" spans="1:4" ht="18" customHeight="1" x14ac:dyDescent="0.3">
      <c r="A252" s="2" t="s">
        <v>2050</v>
      </c>
      <c r="B252" s="2" t="s">
        <v>266</v>
      </c>
      <c r="C252" s="2" t="s">
        <v>2964</v>
      </c>
      <c r="D252" s="2"/>
    </row>
    <row r="253" spans="1:4" ht="18" customHeight="1" x14ac:dyDescent="0.3">
      <c r="A253" s="2" t="s">
        <v>2051</v>
      </c>
      <c r="B253" s="2" t="s">
        <v>266</v>
      </c>
      <c r="C253" s="2" t="s">
        <v>2964</v>
      </c>
      <c r="D253" s="2"/>
    </row>
    <row r="254" spans="1:4" ht="18" customHeight="1" x14ac:dyDescent="0.3">
      <c r="A254" s="2" t="s">
        <v>2052</v>
      </c>
      <c r="B254" s="2" t="s">
        <v>266</v>
      </c>
      <c r="C254" s="2" t="s">
        <v>2964</v>
      </c>
      <c r="D254" s="2"/>
    </row>
    <row r="255" spans="1:4" ht="18" customHeight="1" x14ac:dyDescent="0.3">
      <c r="A255" s="2" t="s">
        <v>2053</v>
      </c>
      <c r="B255" s="2" t="s">
        <v>266</v>
      </c>
      <c r="C255" s="2" t="s">
        <v>2964</v>
      </c>
      <c r="D255" s="2"/>
    </row>
    <row r="256" spans="1:4" ht="18" customHeight="1" x14ac:dyDescent="0.3">
      <c r="A256" s="2" t="s">
        <v>2054</v>
      </c>
      <c r="B256" s="2" t="s">
        <v>266</v>
      </c>
      <c r="C256" s="2" t="s">
        <v>2964</v>
      </c>
      <c r="D256" s="2"/>
    </row>
    <row r="257" spans="1:4" ht="18" customHeight="1" x14ac:dyDescent="0.3">
      <c r="A257" s="2" t="s">
        <v>2055</v>
      </c>
      <c r="B257" s="2" t="s">
        <v>266</v>
      </c>
      <c r="C257" s="2" t="s">
        <v>2964</v>
      </c>
      <c r="D257" s="2"/>
    </row>
    <row r="258" spans="1:4" ht="18" customHeight="1" x14ac:dyDescent="0.3">
      <c r="A258" s="2" t="s">
        <v>2056</v>
      </c>
      <c r="B258" s="2" t="s">
        <v>266</v>
      </c>
      <c r="C258" s="2" t="s">
        <v>2964</v>
      </c>
      <c r="D258" s="2"/>
    </row>
    <row r="259" spans="1:4" ht="18" customHeight="1" x14ac:dyDescent="0.3">
      <c r="A259" s="2" t="s">
        <v>2057</v>
      </c>
      <c r="B259" s="2" t="s">
        <v>266</v>
      </c>
      <c r="C259" s="2" t="s">
        <v>2964</v>
      </c>
      <c r="D259" s="2"/>
    </row>
    <row r="260" spans="1:4" ht="18" customHeight="1" x14ac:dyDescent="0.3">
      <c r="A260" s="2" t="s">
        <v>2058</v>
      </c>
      <c r="B260" s="2" t="s">
        <v>266</v>
      </c>
      <c r="C260" s="2" t="s">
        <v>2964</v>
      </c>
      <c r="D260" s="2"/>
    </row>
    <row r="261" spans="1:4" ht="18" customHeight="1" x14ac:dyDescent="0.3">
      <c r="A261" s="2" t="s">
        <v>2059</v>
      </c>
      <c r="B261" s="2" t="s">
        <v>266</v>
      </c>
      <c r="C261" s="2" t="s">
        <v>2964</v>
      </c>
      <c r="D261" s="2"/>
    </row>
    <row r="262" spans="1:4" ht="18" customHeight="1" x14ac:dyDescent="0.3">
      <c r="A262" s="2" t="s">
        <v>2060</v>
      </c>
      <c r="B262" s="2" t="s">
        <v>266</v>
      </c>
      <c r="C262" s="2" t="s">
        <v>2964</v>
      </c>
      <c r="D262" s="2"/>
    </row>
    <row r="263" spans="1:4" ht="18" customHeight="1" x14ac:dyDescent="0.3">
      <c r="A263" s="2" t="s">
        <v>2061</v>
      </c>
      <c r="B263" s="2" t="s">
        <v>266</v>
      </c>
      <c r="C263" s="2" t="s">
        <v>2964</v>
      </c>
      <c r="D263" s="2"/>
    </row>
    <row r="264" spans="1:4" ht="18" customHeight="1" x14ac:dyDescent="0.3">
      <c r="A264" s="2" t="s">
        <v>2062</v>
      </c>
      <c r="B264" s="2" t="s">
        <v>266</v>
      </c>
      <c r="C264" s="2" t="s">
        <v>2964</v>
      </c>
      <c r="D264" s="2"/>
    </row>
    <row r="265" spans="1:4" ht="18" customHeight="1" x14ac:dyDescent="0.3">
      <c r="A265" s="2" t="s">
        <v>2063</v>
      </c>
      <c r="B265" s="2" t="s">
        <v>266</v>
      </c>
      <c r="C265" s="2" t="s">
        <v>2964</v>
      </c>
      <c r="D265" s="2"/>
    </row>
    <row r="266" spans="1:4" ht="18" customHeight="1" x14ac:dyDescent="0.3">
      <c r="A266" s="2" t="s">
        <v>2064</v>
      </c>
      <c r="B266" s="2" t="s">
        <v>266</v>
      </c>
      <c r="C266" s="2" t="s">
        <v>2964</v>
      </c>
      <c r="D266" s="2"/>
    </row>
    <row r="267" spans="1:4" ht="18" customHeight="1" x14ac:dyDescent="0.3">
      <c r="A267" s="2" t="s">
        <v>2065</v>
      </c>
      <c r="B267" s="2" t="s">
        <v>266</v>
      </c>
      <c r="C267" s="2" t="s">
        <v>2964</v>
      </c>
      <c r="D267" s="2"/>
    </row>
    <row r="268" spans="1:4" ht="18" customHeight="1" x14ac:dyDescent="0.3">
      <c r="A268" s="2" t="s">
        <v>2066</v>
      </c>
      <c r="B268" s="2" t="s">
        <v>266</v>
      </c>
      <c r="C268" s="2" t="s">
        <v>2964</v>
      </c>
      <c r="D268" s="2"/>
    </row>
    <row r="269" spans="1:4" ht="18" customHeight="1" x14ac:dyDescent="0.3">
      <c r="A269" s="2" t="s">
        <v>2067</v>
      </c>
      <c r="B269" s="2" t="s">
        <v>266</v>
      </c>
      <c r="C269" s="2" t="s">
        <v>2964</v>
      </c>
      <c r="D269" s="2"/>
    </row>
    <row r="270" spans="1:4" ht="18" customHeight="1" x14ac:dyDescent="0.3">
      <c r="A270" s="2" t="s">
        <v>2068</v>
      </c>
      <c r="B270" s="2" t="s">
        <v>266</v>
      </c>
      <c r="C270" s="2" t="s">
        <v>2964</v>
      </c>
      <c r="D270" s="2"/>
    </row>
    <row r="271" spans="1:4" ht="18" customHeight="1" x14ac:dyDescent="0.3">
      <c r="A271" s="2" t="s">
        <v>2069</v>
      </c>
      <c r="B271" s="2" t="s">
        <v>266</v>
      </c>
      <c r="C271" s="2" t="s">
        <v>2964</v>
      </c>
      <c r="D271" s="2"/>
    </row>
    <row r="272" spans="1:4" ht="18" customHeight="1" x14ac:dyDescent="0.3">
      <c r="A272" s="2" t="s">
        <v>2070</v>
      </c>
      <c r="B272" s="2" t="s">
        <v>266</v>
      </c>
      <c r="C272" s="2" t="s">
        <v>2964</v>
      </c>
      <c r="D272" s="2"/>
    </row>
    <row r="273" spans="1:4" ht="18" customHeight="1" x14ac:dyDescent="0.3">
      <c r="A273" s="2" t="s">
        <v>2071</v>
      </c>
      <c r="B273" s="2" t="s">
        <v>266</v>
      </c>
      <c r="C273" s="2" t="s">
        <v>2964</v>
      </c>
      <c r="D273" s="2"/>
    </row>
    <row r="274" spans="1:4" ht="18" customHeight="1" x14ac:dyDescent="0.3">
      <c r="A274" s="2" t="s">
        <v>2072</v>
      </c>
      <c r="B274" s="2" t="s">
        <v>266</v>
      </c>
      <c r="C274" s="2" t="s">
        <v>2964</v>
      </c>
      <c r="D274" s="2"/>
    </row>
    <row r="275" spans="1:4" ht="18" customHeight="1" x14ac:dyDescent="0.3">
      <c r="A275" s="2" t="s">
        <v>2073</v>
      </c>
      <c r="B275" s="2" t="s">
        <v>266</v>
      </c>
      <c r="C275" s="2" t="s">
        <v>2964</v>
      </c>
      <c r="D275" s="2"/>
    </row>
    <row r="276" spans="1:4" ht="18" customHeight="1" x14ac:dyDescent="0.3">
      <c r="A276" s="2" t="s">
        <v>2074</v>
      </c>
      <c r="B276" s="2" t="s">
        <v>266</v>
      </c>
      <c r="C276" s="2" t="s">
        <v>2964</v>
      </c>
      <c r="D276" s="2"/>
    </row>
    <row r="277" spans="1:4" ht="18" customHeight="1" x14ac:dyDescent="0.3">
      <c r="A277" s="2" t="s">
        <v>2075</v>
      </c>
      <c r="B277" s="2" t="s">
        <v>266</v>
      </c>
      <c r="C277" s="2" t="s">
        <v>2964</v>
      </c>
      <c r="D277" s="2"/>
    </row>
    <row r="278" spans="1:4" ht="18" customHeight="1" x14ac:dyDescent="0.3">
      <c r="A278" s="2" t="s">
        <v>2076</v>
      </c>
      <c r="B278" s="2" t="s">
        <v>266</v>
      </c>
      <c r="C278" s="2" t="s">
        <v>2964</v>
      </c>
      <c r="D278" s="2"/>
    </row>
    <row r="279" spans="1:4" ht="18" customHeight="1" x14ac:dyDescent="0.3">
      <c r="A279" s="2" t="s">
        <v>2077</v>
      </c>
      <c r="B279" s="2" t="s">
        <v>266</v>
      </c>
      <c r="C279" s="2" t="s">
        <v>2964</v>
      </c>
      <c r="D279" s="2"/>
    </row>
    <row r="280" spans="1:4" ht="18" customHeight="1" x14ac:dyDescent="0.3">
      <c r="A280" s="2" t="s">
        <v>2078</v>
      </c>
      <c r="B280" s="2" t="s">
        <v>266</v>
      </c>
      <c r="C280" s="2" t="s">
        <v>2964</v>
      </c>
      <c r="D280" s="2"/>
    </row>
    <row r="281" spans="1:4" ht="18" customHeight="1" x14ac:dyDescent="0.3">
      <c r="A281" s="2" t="s">
        <v>2079</v>
      </c>
      <c r="B281" s="2" t="s">
        <v>266</v>
      </c>
      <c r="C281" s="2" t="s">
        <v>2964</v>
      </c>
      <c r="D281" s="2"/>
    </row>
    <row r="282" spans="1:4" ht="18" customHeight="1" x14ac:dyDescent="0.3">
      <c r="A282" s="2" t="s">
        <v>2080</v>
      </c>
      <c r="B282" s="2" t="s">
        <v>266</v>
      </c>
      <c r="C282" s="2" t="s">
        <v>2964</v>
      </c>
      <c r="D282" s="2"/>
    </row>
    <row r="283" spans="1:4" ht="18" customHeight="1" x14ac:dyDescent="0.3">
      <c r="A283" s="2" t="s">
        <v>2081</v>
      </c>
      <c r="B283" s="2" t="s">
        <v>266</v>
      </c>
      <c r="C283" s="2" t="s">
        <v>2964</v>
      </c>
      <c r="D283" s="2"/>
    </row>
    <row r="284" spans="1:4" ht="18" customHeight="1" x14ac:dyDescent="0.3">
      <c r="A284" s="2" t="s">
        <v>2082</v>
      </c>
      <c r="B284" s="2" t="s">
        <v>266</v>
      </c>
      <c r="C284" s="2" t="s">
        <v>2964</v>
      </c>
      <c r="D284" s="2"/>
    </row>
    <row r="285" spans="1:4" ht="18" customHeight="1" x14ac:dyDescent="0.3">
      <c r="A285" s="2" t="s">
        <v>2083</v>
      </c>
      <c r="B285" s="2" t="s">
        <v>266</v>
      </c>
      <c r="C285" s="2" t="s">
        <v>2964</v>
      </c>
      <c r="D285" s="2"/>
    </row>
    <row r="286" spans="1:4" ht="18" customHeight="1" x14ac:dyDescent="0.3">
      <c r="A286" s="2" t="s">
        <v>2084</v>
      </c>
      <c r="B286" s="2" t="s">
        <v>266</v>
      </c>
      <c r="C286" s="2" t="s">
        <v>2964</v>
      </c>
      <c r="D286" s="2"/>
    </row>
    <row r="287" spans="1:4" ht="18" customHeight="1" x14ac:dyDescent="0.3">
      <c r="A287" s="2" t="s">
        <v>2085</v>
      </c>
      <c r="B287" s="2" t="s">
        <v>266</v>
      </c>
      <c r="C287" s="2" t="s">
        <v>2964</v>
      </c>
      <c r="D287" s="2"/>
    </row>
    <row r="288" spans="1:4" ht="18" customHeight="1" x14ac:dyDescent="0.3">
      <c r="A288" s="2" t="s">
        <v>2086</v>
      </c>
      <c r="B288" s="2" t="s">
        <v>266</v>
      </c>
      <c r="C288" s="2" t="s">
        <v>2964</v>
      </c>
      <c r="D288" s="2"/>
    </row>
    <row r="289" spans="1:4" ht="18" customHeight="1" x14ac:dyDescent="0.3">
      <c r="A289" s="2" t="s">
        <v>2087</v>
      </c>
      <c r="B289" s="2" t="s">
        <v>266</v>
      </c>
      <c r="C289" s="2" t="s">
        <v>2964</v>
      </c>
      <c r="D289" s="2"/>
    </row>
    <row r="290" spans="1:4" ht="18" customHeight="1" x14ac:dyDescent="0.3">
      <c r="A290" s="2" t="s">
        <v>2088</v>
      </c>
      <c r="B290" s="2" t="s">
        <v>266</v>
      </c>
      <c r="C290" s="2" t="s">
        <v>2964</v>
      </c>
      <c r="D290" s="2"/>
    </row>
    <row r="291" spans="1:4" ht="18" customHeight="1" x14ac:dyDescent="0.3">
      <c r="A291" s="2" t="s">
        <v>2089</v>
      </c>
      <c r="B291" s="2" t="s">
        <v>266</v>
      </c>
      <c r="C291" s="2" t="s">
        <v>2964</v>
      </c>
      <c r="D291" s="2"/>
    </row>
    <row r="292" spans="1:4" ht="18" customHeight="1" x14ac:dyDescent="0.3">
      <c r="A292" s="2" t="s">
        <v>2090</v>
      </c>
      <c r="B292" s="2" t="s">
        <v>266</v>
      </c>
      <c r="C292" s="2" t="s">
        <v>2964</v>
      </c>
      <c r="D292" s="2"/>
    </row>
    <row r="293" spans="1:4" ht="18" customHeight="1" x14ac:dyDescent="0.3">
      <c r="A293" s="2" t="s">
        <v>2091</v>
      </c>
      <c r="B293" s="2" t="s">
        <v>266</v>
      </c>
      <c r="C293" s="2" t="s">
        <v>2964</v>
      </c>
      <c r="D293" s="2"/>
    </row>
    <row r="294" spans="1:4" ht="18" customHeight="1" x14ac:dyDescent="0.3">
      <c r="A294" s="2" t="s">
        <v>2092</v>
      </c>
      <c r="B294" s="2" t="s">
        <v>266</v>
      </c>
      <c r="C294" s="2" t="s">
        <v>2964</v>
      </c>
      <c r="D294" s="2"/>
    </row>
    <row r="295" spans="1:4" ht="18" customHeight="1" x14ac:dyDescent="0.3">
      <c r="A295" s="2" t="s">
        <v>2093</v>
      </c>
      <c r="B295" s="2" t="s">
        <v>266</v>
      </c>
      <c r="C295" s="2" t="s">
        <v>2964</v>
      </c>
      <c r="D295" s="2"/>
    </row>
    <row r="296" spans="1:4" ht="18" customHeight="1" x14ac:dyDescent="0.3">
      <c r="A296" s="2" t="s">
        <v>2094</v>
      </c>
      <c r="B296" s="2" t="s">
        <v>266</v>
      </c>
      <c r="C296" s="2" t="s">
        <v>2964</v>
      </c>
      <c r="D296" s="2"/>
    </row>
    <row r="297" spans="1:4" ht="18" customHeight="1" x14ac:dyDescent="0.3">
      <c r="A297" s="2" t="s">
        <v>2095</v>
      </c>
      <c r="B297" s="2" t="s">
        <v>266</v>
      </c>
      <c r="C297" s="2" t="s">
        <v>2964</v>
      </c>
      <c r="D297" s="2"/>
    </row>
    <row r="298" spans="1:4" ht="18" customHeight="1" x14ac:dyDescent="0.3">
      <c r="A298" s="2" t="s">
        <v>2096</v>
      </c>
      <c r="B298" s="2" t="s">
        <v>266</v>
      </c>
      <c r="C298" s="2" t="s">
        <v>2964</v>
      </c>
      <c r="D298" s="2"/>
    </row>
    <row r="299" spans="1:4" ht="18" customHeight="1" x14ac:dyDescent="0.3">
      <c r="A299" s="2" t="s">
        <v>2097</v>
      </c>
      <c r="B299" s="2" t="s">
        <v>266</v>
      </c>
      <c r="C299" s="2" t="s">
        <v>2964</v>
      </c>
      <c r="D299" s="2"/>
    </row>
    <row r="300" spans="1:4" ht="18" customHeight="1" x14ac:dyDescent="0.3">
      <c r="A300" s="2" t="s">
        <v>2098</v>
      </c>
      <c r="B300" s="2" t="s">
        <v>266</v>
      </c>
      <c r="C300" s="2" t="s">
        <v>2964</v>
      </c>
      <c r="D300" s="2"/>
    </row>
    <row r="301" spans="1:4" ht="18" customHeight="1" x14ac:dyDescent="0.3">
      <c r="A301" s="2" t="s">
        <v>2099</v>
      </c>
      <c r="B301" s="2" t="s">
        <v>266</v>
      </c>
      <c r="C301" s="2" t="s">
        <v>2964</v>
      </c>
      <c r="D301" s="2"/>
    </row>
    <row r="302" spans="1:4" ht="18" customHeight="1" x14ac:dyDescent="0.3">
      <c r="A302" s="2" t="s">
        <v>2100</v>
      </c>
      <c r="B302" s="2" t="s">
        <v>266</v>
      </c>
      <c r="C302" s="2" t="s">
        <v>2964</v>
      </c>
      <c r="D302" s="2"/>
    </row>
    <row r="303" spans="1:4" ht="18" customHeight="1" x14ac:dyDescent="0.3">
      <c r="A303" s="2" t="s">
        <v>2101</v>
      </c>
      <c r="B303" s="2" t="s">
        <v>266</v>
      </c>
      <c r="C303" s="2" t="s">
        <v>2964</v>
      </c>
      <c r="D303" s="2"/>
    </row>
    <row r="304" spans="1:4" ht="18" customHeight="1" x14ac:dyDescent="0.3">
      <c r="A304" s="2" t="s">
        <v>2102</v>
      </c>
      <c r="B304" s="2" t="s">
        <v>266</v>
      </c>
      <c r="C304" s="2" t="s">
        <v>2964</v>
      </c>
      <c r="D304" s="2"/>
    </row>
    <row r="305" spans="1:4" ht="18" customHeight="1" x14ac:dyDescent="0.3">
      <c r="A305" s="2" t="s">
        <v>2103</v>
      </c>
      <c r="B305" s="2" t="s">
        <v>266</v>
      </c>
      <c r="C305" s="2" t="s">
        <v>2964</v>
      </c>
      <c r="D305" s="2"/>
    </row>
    <row r="306" spans="1:4" ht="18" customHeight="1" x14ac:dyDescent="0.3">
      <c r="A306" s="2" t="s">
        <v>2104</v>
      </c>
      <c r="B306" s="2" t="s">
        <v>266</v>
      </c>
      <c r="C306" s="2" t="s">
        <v>2964</v>
      </c>
      <c r="D306" s="2"/>
    </row>
    <row r="307" spans="1:4" ht="18" customHeight="1" x14ac:dyDescent="0.3">
      <c r="A307" s="2" t="s">
        <v>2105</v>
      </c>
      <c r="B307" s="2" t="s">
        <v>266</v>
      </c>
      <c r="C307" s="2" t="s">
        <v>2964</v>
      </c>
      <c r="D307" s="2"/>
    </row>
    <row r="308" spans="1:4" ht="18" customHeight="1" x14ac:dyDescent="0.3">
      <c r="A308" s="2" t="s">
        <v>2106</v>
      </c>
      <c r="B308" s="2" t="s">
        <v>266</v>
      </c>
      <c r="C308" s="2" t="s">
        <v>2964</v>
      </c>
      <c r="D308" s="2"/>
    </row>
    <row r="309" spans="1:4" ht="18" customHeight="1" x14ac:dyDescent="0.3">
      <c r="A309" s="2" t="s">
        <v>2107</v>
      </c>
      <c r="B309" s="2" t="s">
        <v>266</v>
      </c>
      <c r="C309" s="2" t="s">
        <v>2964</v>
      </c>
      <c r="D309" s="2"/>
    </row>
    <row r="310" spans="1:4" ht="18" customHeight="1" x14ac:dyDescent="0.3">
      <c r="A310" s="2" t="s">
        <v>2108</v>
      </c>
      <c r="B310" s="2" t="s">
        <v>266</v>
      </c>
      <c r="C310" s="2" t="s">
        <v>2964</v>
      </c>
      <c r="D310" s="2"/>
    </row>
    <row r="311" spans="1:4" ht="18" customHeight="1" x14ac:dyDescent="0.3">
      <c r="A311" s="2" t="s">
        <v>2109</v>
      </c>
      <c r="B311" s="2" t="s">
        <v>266</v>
      </c>
      <c r="C311" s="2" t="s">
        <v>2964</v>
      </c>
      <c r="D311" s="2"/>
    </row>
    <row r="312" spans="1:4" ht="18" customHeight="1" x14ac:dyDescent="0.3">
      <c r="A312" s="2" t="s">
        <v>2110</v>
      </c>
      <c r="B312" s="2" t="s">
        <v>266</v>
      </c>
      <c r="C312" s="2" t="s">
        <v>2964</v>
      </c>
      <c r="D312" s="2"/>
    </row>
    <row r="313" spans="1:4" ht="18" customHeight="1" x14ac:dyDescent="0.3">
      <c r="A313" s="2" t="s">
        <v>2111</v>
      </c>
      <c r="B313" s="2" t="s">
        <v>266</v>
      </c>
      <c r="C313" s="2" t="s">
        <v>2964</v>
      </c>
      <c r="D313" s="2"/>
    </row>
    <row r="314" spans="1:4" ht="18" customHeight="1" x14ac:dyDescent="0.3">
      <c r="A314" s="2" t="s">
        <v>2112</v>
      </c>
      <c r="B314" s="2" t="s">
        <v>266</v>
      </c>
      <c r="C314" s="2" t="s">
        <v>2964</v>
      </c>
      <c r="D314" s="2"/>
    </row>
    <row r="315" spans="1:4" ht="18" customHeight="1" x14ac:dyDescent="0.3">
      <c r="A315" s="2" t="s">
        <v>2113</v>
      </c>
      <c r="B315" s="2" t="s">
        <v>266</v>
      </c>
      <c r="C315" s="2" t="s">
        <v>2964</v>
      </c>
      <c r="D315" s="2"/>
    </row>
    <row r="316" spans="1:4" ht="18" customHeight="1" x14ac:dyDescent="0.3">
      <c r="A316" s="2" t="s">
        <v>2114</v>
      </c>
      <c r="B316" s="2" t="s">
        <v>266</v>
      </c>
      <c r="C316" s="2" t="s">
        <v>2964</v>
      </c>
      <c r="D316" s="2"/>
    </row>
    <row r="317" spans="1:4" ht="18" customHeight="1" x14ac:dyDescent="0.3">
      <c r="A317" s="2" t="s">
        <v>2115</v>
      </c>
      <c r="B317" s="2" t="s">
        <v>266</v>
      </c>
      <c r="C317" s="2" t="s">
        <v>2964</v>
      </c>
      <c r="D317" s="2"/>
    </row>
    <row r="318" spans="1:4" ht="18" customHeight="1" x14ac:dyDescent="0.3">
      <c r="A318" s="2" t="s">
        <v>2116</v>
      </c>
      <c r="B318" s="2" t="s">
        <v>266</v>
      </c>
      <c r="C318" s="2" t="s">
        <v>2964</v>
      </c>
      <c r="D318" s="2"/>
    </row>
    <row r="319" spans="1:4" ht="18" customHeight="1" x14ac:dyDescent="0.3">
      <c r="A319" s="2" t="s">
        <v>2117</v>
      </c>
      <c r="B319" s="2" t="s">
        <v>266</v>
      </c>
      <c r="C319" s="2" t="s">
        <v>2964</v>
      </c>
      <c r="D319" s="2"/>
    </row>
    <row r="320" spans="1:4" ht="18" customHeight="1" x14ac:dyDescent="0.3">
      <c r="A320" s="2" t="s">
        <v>2118</v>
      </c>
      <c r="B320" s="2" t="s">
        <v>266</v>
      </c>
      <c r="C320" s="2" t="s">
        <v>2964</v>
      </c>
      <c r="D320" s="2"/>
    </row>
    <row r="321" spans="1:4" ht="18" customHeight="1" x14ac:dyDescent="0.3">
      <c r="A321" s="2" t="s">
        <v>2119</v>
      </c>
      <c r="B321" s="2" t="s">
        <v>266</v>
      </c>
      <c r="C321" s="2" t="s">
        <v>2964</v>
      </c>
      <c r="D321" s="2"/>
    </row>
    <row r="322" spans="1:4" ht="18" customHeight="1" x14ac:dyDescent="0.3">
      <c r="A322" s="2" t="s">
        <v>2120</v>
      </c>
      <c r="B322" s="2" t="s">
        <v>266</v>
      </c>
      <c r="C322" s="2" t="s">
        <v>2964</v>
      </c>
      <c r="D322" s="2"/>
    </row>
    <row r="323" spans="1:4" ht="18" customHeight="1" x14ac:dyDescent="0.3">
      <c r="A323" s="2" t="s">
        <v>2121</v>
      </c>
      <c r="B323" s="2" t="s">
        <v>266</v>
      </c>
      <c r="C323" s="2" t="s">
        <v>2964</v>
      </c>
      <c r="D323" s="2"/>
    </row>
    <row r="324" spans="1:4" ht="18" customHeight="1" x14ac:dyDescent="0.3">
      <c r="A324" s="2" t="s">
        <v>2122</v>
      </c>
      <c r="B324" s="2" t="s">
        <v>266</v>
      </c>
      <c r="C324" s="2" t="s">
        <v>2964</v>
      </c>
      <c r="D324" s="2"/>
    </row>
    <row r="325" spans="1:4" ht="18" customHeight="1" x14ac:dyDescent="0.3">
      <c r="A325" s="2" t="s">
        <v>3426</v>
      </c>
      <c r="B325" s="2" t="s">
        <v>266</v>
      </c>
      <c r="C325" s="2" t="s">
        <v>2964</v>
      </c>
      <c r="D325" s="2"/>
    </row>
    <row r="326" spans="1:4" ht="18" customHeight="1" x14ac:dyDescent="0.3">
      <c r="A326" s="2" t="s">
        <v>2123</v>
      </c>
      <c r="B326" s="2" t="s">
        <v>266</v>
      </c>
      <c r="C326" s="2" t="s">
        <v>2964</v>
      </c>
      <c r="D326" s="2"/>
    </row>
    <row r="327" spans="1:4" ht="18" customHeight="1" x14ac:dyDescent="0.3">
      <c r="A327" s="2" t="s">
        <v>2124</v>
      </c>
      <c r="B327" s="2" t="s">
        <v>266</v>
      </c>
      <c r="C327" s="2" t="s">
        <v>2964</v>
      </c>
      <c r="D327" s="2"/>
    </row>
    <row r="328" spans="1:4" ht="18" customHeight="1" x14ac:dyDescent="0.3">
      <c r="A328" s="2" t="s">
        <v>2125</v>
      </c>
      <c r="B328" s="2" t="s">
        <v>266</v>
      </c>
      <c r="C328" s="2" t="s">
        <v>2964</v>
      </c>
      <c r="D328" s="2"/>
    </row>
    <row r="329" spans="1:4" ht="18" customHeight="1" x14ac:dyDescent="0.3">
      <c r="A329" s="2" t="s">
        <v>2126</v>
      </c>
      <c r="B329" s="2" t="s">
        <v>266</v>
      </c>
      <c r="C329" s="2" t="s">
        <v>2964</v>
      </c>
      <c r="D329" s="2"/>
    </row>
    <row r="330" spans="1:4" ht="18" customHeight="1" x14ac:dyDescent="0.3">
      <c r="A330" s="2" t="s">
        <v>2127</v>
      </c>
      <c r="B330" s="2" t="s">
        <v>266</v>
      </c>
      <c r="C330" s="2" t="s">
        <v>2964</v>
      </c>
      <c r="D330" s="2"/>
    </row>
    <row r="331" spans="1:4" ht="18" customHeight="1" x14ac:dyDescent="0.3">
      <c r="A331" s="2" t="s">
        <v>2128</v>
      </c>
      <c r="B331" s="2" t="s">
        <v>266</v>
      </c>
      <c r="C331" s="2" t="s">
        <v>2964</v>
      </c>
      <c r="D331" s="2"/>
    </row>
    <row r="332" spans="1:4" ht="18" customHeight="1" x14ac:dyDescent="0.3">
      <c r="A332" s="2" t="s">
        <v>2129</v>
      </c>
      <c r="B332" s="2" t="s">
        <v>266</v>
      </c>
      <c r="C332" s="2" t="s">
        <v>2964</v>
      </c>
      <c r="D332" s="2"/>
    </row>
    <row r="333" spans="1:4" ht="18" customHeight="1" x14ac:dyDescent="0.3">
      <c r="A333" s="2" t="s">
        <v>2130</v>
      </c>
      <c r="B333" s="2" t="s">
        <v>266</v>
      </c>
      <c r="C333" s="2" t="s">
        <v>2964</v>
      </c>
      <c r="D333" s="2"/>
    </row>
    <row r="334" spans="1:4" ht="18" customHeight="1" x14ac:dyDescent="0.3">
      <c r="A334" s="2" t="s">
        <v>2131</v>
      </c>
      <c r="B334" s="2" t="s">
        <v>266</v>
      </c>
      <c r="C334" s="2" t="s">
        <v>2964</v>
      </c>
      <c r="D334" s="2"/>
    </row>
    <row r="335" spans="1:4" ht="18" customHeight="1" x14ac:dyDescent="0.3">
      <c r="A335" s="2" t="s">
        <v>2132</v>
      </c>
      <c r="B335" s="2" t="s">
        <v>266</v>
      </c>
      <c r="C335" s="2" t="s">
        <v>2964</v>
      </c>
      <c r="D335" s="2"/>
    </row>
    <row r="336" spans="1:4" ht="18" customHeight="1" x14ac:dyDescent="0.3">
      <c r="A336" s="2" t="s">
        <v>2133</v>
      </c>
      <c r="B336" s="2" t="s">
        <v>266</v>
      </c>
      <c r="C336" s="2" t="s">
        <v>2964</v>
      </c>
      <c r="D336" s="2"/>
    </row>
    <row r="337" spans="1:4" ht="18" customHeight="1" x14ac:dyDescent="0.3">
      <c r="A337" s="2" t="s">
        <v>2134</v>
      </c>
      <c r="B337" s="2" t="s">
        <v>266</v>
      </c>
      <c r="C337" s="2" t="s">
        <v>2964</v>
      </c>
      <c r="D337" s="2"/>
    </row>
    <row r="338" spans="1:4" ht="18" customHeight="1" x14ac:dyDescent="0.3">
      <c r="A338" s="2" t="s">
        <v>2135</v>
      </c>
      <c r="B338" s="2" t="s">
        <v>266</v>
      </c>
      <c r="C338" s="2" t="s">
        <v>2964</v>
      </c>
      <c r="D338" s="2"/>
    </row>
    <row r="339" spans="1:4" x14ac:dyDescent="0.3">
      <c r="A339" s="2" t="s">
        <v>2136</v>
      </c>
      <c r="B339" s="2" t="s">
        <v>266</v>
      </c>
      <c r="C339" s="2" t="s">
        <v>2964</v>
      </c>
      <c r="D339" s="2"/>
    </row>
    <row r="340" spans="1:4" x14ac:dyDescent="0.3">
      <c r="A340" s="2" t="s">
        <v>2137</v>
      </c>
      <c r="B340" s="2" t="s">
        <v>266</v>
      </c>
      <c r="C340" s="2" t="s">
        <v>2964</v>
      </c>
      <c r="D340" s="2"/>
    </row>
    <row r="341" spans="1:4" x14ac:dyDescent="0.3">
      <c r="A341" s="2" t="s">
        <v>2138</v>
      </c>
      <c r="B341" s="2" t="s">
        <v>266</v>
      </c>
      <c r="C341" s="2" t="s">
        <v>2964</v>
      </c>
      <c r="D341" s="2"/>
    </row>
    <row r="342" spans="1:4" x14ac:dyDescent="0.3">
      <c r="A342" s="2" t="s">
        <v>2139</v>
      </c>
      <c r="B342" s="2" t="s">
        <v>266</v>
      </c>
      <c r="C342" s="2" t="s">
        <v>2964</v>
      </c>
      <c r="D342" s="2"/>
    </row>
    <row r="343" spans="1:4" x14ac:dyDescent="0.3">
      <c r="A343" s="2" t="s">
        <v>2140</v>
      </c>
      <c r="B343" s="2" t="s">
        <v>266</v>
      </c>
      <c r="C343" s="2" t="s">
        <v>2964</v>
      </c>
      <c r="D343" s="2"/>
    </row>
    <row r="344" spans="1:4" x14ac:dyDescent="0.3">
      <c r="A344" s="2" t="s">
        <v>2141</v>
      </c>
      <c r="B344" s="2" t="s">
        <v>266</v>
      </c>
      <c r="C344" s="2" t="s">
        <v>2964</v>
      </c>
      <c r="D344" s="2"/>
    </row>
    <row r="345" spans="1:4" x14ac:dyDescent="0.3">
      <c r="A345" s="2" t="s">
        <v>2142</v>
      </c>
      <c r="B345" s="2" t="s">
        <v>266</v>
      </c>
      <c r="C345" s="2" t="s">
        <v>2964</v>
      </c>
      <c r="D345" s="2"/>
    </row>
    <row r="346" spans="1:4" x14ac:dyDescent="0.3">
      <c r="A346" s="2" t="s">
        <v>2143</v>
      </c>
      <c r="B346" s="2" t="s">
        <v>266</v>
      </c>
      <c r="C346" s="2" t="s">
        <v>2964</v>
      </c>
      <c r="D346" s="2"/>
    </row>
    <row r="347" spans="1:4" x14ac:dyDescent="0.3">
      <c r="A347" s="2" t="s">
        <v>2144</v>
      </c>
      <c r="B347" s="2" t="s">
        <v>266</v>
      </c>
      <c r="C347" s="2" t="s">
        <v>2964</v>
      </c>
      <c r="D347" s="2"/>
    </row>
    <row r="348" spans="1:4" x14ac:dyDescent="0.3">
      <c r="A348" s="2" t="s">
        <v>2145</v>
      </c>
      <c r="B348" s="2" t="s">
        <v>266</v>
      </c>
      <c r="C348" s="2" t="s">
        <v>2964</v>
      </c>
      <c r="D348" s="2"/>
    </row>
    <row r="349" spans="1:4" x14ac:dyDescent="0.3">
      <c r="A349" s="2" t="s">
        <v>2146</v>
      </c>
      <c r="B349" s="2" t="s">
        <v>266</v>
      </c>
      <c r="C349" s="2" t="s">
        <v>2964</v>
      </c>
      <c r="D349" s="2"/>
    </row>
    <row r="350" spans="1:4" x14ac:dyDescent="0.3">
      <c r="A350" s="2" t="s">
        <v>2147</v>
      </c>
      <c r="B350" s="2" t="s">
        <v>266</v>
      </c>
      <c r="C350" s="2" t="s">
        <v>2964</v>
      </c>
      <c r="D350" s="2"/>
    </row>
    <row r="351" spans="1:4" x14ac:dyDescent="0.3">
      <c r="A351" s="2" t="s">
        <v>2148</v>
      </c>
      <c r="B351" s="2" t="s">
        <v>266</v>
      </c>
      <c r="C351" s="2" t="s">
        <v>2964</v>
      </c>
      <c r="D351" s="2"/>
    </row>
    <row r="352" spans="1:4" x14ac:dyDescent="0.3">
      <c r="A352" s="2" t="s">
        <v>2149</v>
      </c>
      <c r="B352" s="2" t="s">
        <v>266</v>
      </c>
      <c r="C352" s="2" t="s">
        <v>2964</v>
      </c>
      <c r="D352" s="2"/>
    </row>
    <row r="353" spans="1:4" x14ac:dyDescent="0.3">
      <c r="A353" s="2" t="s">
        <v>2150</v>
      </c>
      <c r="B353" s="2" t="s">
        <v>266</v>
      </c>
      <c r="C353" s="2" t="s">
        <v>2964</v>
      </c>
      <c r="D353" s="2"/>
    </row>
    <row r="354" spans="1:4" x14ac:dyDescent="0.3">
      <c r="A354" s="2" t="s">
        <v>2151</v>
      </c>
      <c r="B354" s="2" t="s">
        <v>266</v>
      </c>
      <c r="C354" s="2" t="s">
        <v>2964</v>
      </c>
      <c r="D354" s="2"/>
    </row>
    <row r="355" spans="1:4" x14ac:dyDescent="0.3">
      <c r="A355" s="2" t="s">
        <v>2152</v>
      </c>
      <c r="B355" s="2" t="s">
        <v>266</v>
      </c>
      <c r="C355" s="2" t="s">
        <v>2964</v>
      </c>
      <c r="D355" s="2"/>
    </row>
    <row r="356" spans="1:4" x14ac:dyDescent="0.3">
      <c r="A356" s="2" t="s">
        <v>2153</v>
      </c>
      <c r="B356" s="2" t="s">
        <v>266</v>
      </c>
      <c r="C356" s="2" t="s">
        <v>2964</v>
      </c>
      <c r="D356" s="2"/>
    </row>
    <row r="357" spans="1:4" x14ac:dyDescent="0.3">
      <c r="A357" s="2" t="s">
        <v>2154</v>
      </c>
      <c r="B357" s="2" t="s">
        <v>266</v>
      </c>
      <c r="C357" s="2" t="s">
        <v>2964</v>
      </c>
      <c r="D357" s="2"/>
    </row>
    <row r="358" spans="1:4" x14ac:dyDescent="0.3">
      <c r="A358" s="2" t="s">
        <v>2155</v>
      </c>
      <c r="B358" s="2" t="s">
        <v>266</v>
      </c>
      <c r="C358" s="2" t="s">
        <v>2964</v>
      </c>
      <c r="D358" s="2"/>
    </row>
    <row r="359" spans="1:4" x14ac:dyDescent="0.3">
      <c r="A359" s="2" t="s">
        <v>2156</v>
      </c>
      <c r="B359" s="2" t="s">
        <v>266</v>
      </c>
      <c r="C359" s="2" t="s">
        <v>2964</v>
      </c>
      <c r="D359" s="2"/>
    </row>
    <row r="360" spans="1:4" x14ac:dyDescent="0.3">
      <c r="A360" s="2" t="s">
        <v>2157</v>
      </c>
      <c r="B360" s="2" t="s">
        <v>266</v>
      </c>
      <c r="C360" s="2" t="s">
        <v>2964</v>
      </c>
      <c r="D360" s="2"/>
    </row>
    <row r="361" spans="1:4" x14ac:dyDescent="0.3">
      <c r="A361" s="2" t="s">
        <v>2158</v>
      </c>
      <c r="B361" s="2" t="s">
        <v>266</v>
      </c>
      <c r="C361" s="2" t="s">
        <v>2964</v>
      </c>
      <c r="D361" s="2"/>
    </row>
    <row r="362" spans="1:4" x14ac:dyDescent="0.3">
      <c r="A362" s="2" t="s">
        <v>2159</v>
      </c>
      <c r="B362" s="2" t="s">
        <v>266</v>
      </c>
      <c r="C362" s="2" t="s">
        <v>2964</v>
      </c>
      <c r="D362" s="2"/>
    </row>
    <row r="363" spans="1:4" x14ac:dyDescent="0.3">
      <c r="A363" s="2" t="s">
        <v>2160</v>
      </c>
      <c r="B363" s="2" t="s">
        <v>266</v>
      </c>
      <c r="C363" s="2" t="s">
        <v>2964</v>
      </c>
      <c r="D363" s="2"/>
    </row>
    <row r="364" spans="1:4" x14ac:dyDescent="0.3">
      <c r="A364" s="2" t="s">
        <v>2161</v>
      </c>
      <c r="B364" s="2" t="s">
        <v>266</v>
      </c>
      <c r="C364" s="2" t="s">
        <v>2964</v>
      </c>
      <c r="D364" s="2"/>
    </row>
    <row r="365" spans="1:4" x14ac:dyDescent="0.3">
      <c r="A365" s="2" t="s">
        <v>2162</v>
      </c>
      <c r="B365" s="2" t="s">
        <v>266</v>
      </c>
      <c r="C365" s="2" t="s">
        <v>2964</v>
      </c>
      <c r="D365" s="2"/>
    </row>
    <row r="366" spans="1:4" x14ac:dyDescent="0.3">
      <c r="A366" s="2" t="s">
        <v>2163</v>
      </c>
      <c r="B366" s="2" t="s">
        <v>266</v>
      </c>
      <c r="C366" s="2" t="s">
        <v>2964</v>
      </c>
      <c r="D366" s="2"/>
    </row>
    <row r="367" spans="1:4" x14ac:dyDescent="0.3">
      <c r="A367" s="2" t="s">
        <v>2164</v>
      </c>
      <c r="B367" s="2" t="s">
        <v>266</v>
      </c>
      <c r="C367" s="2" t="s">
        <v>2964</v>
      </c>
      <c r="D367" s="2"/>
    </row>
    <row r="368" spans="1:4" x14ac:dyDescent="0.3">
      <c r="A368" s="2" t="s">
        <v>2165</v>
      </c>
      <c r="B368" s="2" t="s">
        <v>266</v>
      </c>
      <c r="C368" s="2" t="s">
        <v>2964</v>
      </c>
      <c r="D368" s="2"/>
    </row>
    <row r="369" spans="1:4" x14ac:dyDescent="0.3">
      <c r="A369" s="2" t="s">
        <v>2166</v>
      </c>
      <c r="B369" s="2" t="s">
        <v>266</v>
      </c>
      <c r="C369" s="2" t="s">
        <v>2964</v>
      </c>
      <c r="D369" s="2"/>
    </row>
    <row r="370" spans="1:4" x14ac:dyDescent="0.3">
      <c r="A370" s="2" t="s">
        <v>2167</v>
      </c>
      <c r="B370" s="2" t="s">
        <v>266</v>
      </c>
      <c r="C370" s="2" t="s">
        <v>2964</v>
      </c>
      <c r="D370" s="2"/>
    </row>
    <row r="371" spans="1:4" x14ac:dyDescent="0.3">
      <c r="A371" s="2" t="s">
        <v>2168</v>
      </c>
      <c r="B371" s="2" t="s">
        <v>266</v>
      </c>
      <c r="C371" s="2" t="s">
        <v>2964</v>
      </c>
      <c r="D371" s="2"/>
    </row>
    <row r="372" spans="1:4" x14ac:dyDescent="0.3">
      <c r="A372" s="2" t="s">
        <v>2169</v>
      </c>
      <c r="B372" s="2" t="s">
        <v>266</v>
      </c>
      <c r="C372" s="2" t="s">
        <v>2964</v>
      </c>
      <c r="D372" s="2"/>
    </row>
    <row r="373" spans="1:4" x14ac:dyDescent="0.3">
      <c r="A373" s="2" t="s">
        <v>2170</v>
      </c>
      <c r="B373" s="2" t="s">
        <v>266</v>
      </c>
      <c r="C373" s="2" t="s">
        <v>2964</v>
      </c>
      <c r="D373" s="2"/>
    </row>
    <row r="374" spans="1:4" x14ac:dyDescent="0.3">
      <c r="A374" s="2" t="s">
        <v>2171</v>
      </c>
      <c r="B374" s="2" t="s">
        <v>266</v>
      </c>
      <c r="C374" s="2" t="s">
        <v>2964</v>
      </c>
      <c r="D374" s="2"/>
    </row>
    <row r="375" spans="1:4" x14ac:dyDescent="0.3">
      <c r="A375" s="2" t="s">
        <v>2172</v>
      </c>
      <c r="B375" s="2" t="s">
        <v>266</v>
      </c>
      <c r="C375" s="2" t="s">
        <v>2964</v>
      </c>
      <c r="D375" s="2"/>
    </row>
    <row r="376" spans="1:4" x14ac:dyDescent="0.3">
      <c r="A376" s="2" t="s">
        <v>2173</v>
      </c>
      <c r="B376" s="2" t="s">
        <v>266</v>
      </c>
      <c r="C376" s="2" t="s">
        <v>2964</v>
      </c>
      <c r="D376" s="2"/>
    </row>
    <row r="377" spans="1:4" x14ac:dyDescent="0.3">
      <c r="A377" s="2" t="s">
        <v>2174</v>
      </c>
      <c r="B377" s="2" t="s">
        <v>266</v>
      </c>
      <c r="C377" s="2" t="s">
        <v>2964</v>
      </c>
      <c r="D377" s="2"/>
    </row>
    <row r="378" spans="1:4" x14ac:dyDescent="0.3">
      <c r="A378" s="2" t="s">
        <v>2175</v>
      </c>
      <c r="B378" s="2" t="s">
        <v>266</v>
      </c>
      <c r="C378" s="2" t="s">
        <v>2964</v>
      </c>
      <c r="D378" s="2"/>
    </row>
    <row r="379" spans="1:4" x14ac:dyDescent="0.3">
      <c r="A379" s="2" t="s">
        <v>2176</v>
      </c>
      <c r="B379" s="2" t="s">
        <v>266</v>
      </c>
      <c r="C379" s="2" t="s">
        <v>2964</v>
      </c>
      <c r="D379" s="2"/>
    </row>
    <row r="380" spans="1:4" x14ac:dyDescent="0.3">
      <c r="A380" s="2" t="s">
        <v>2177</v>
      </c>
      <c r="B380" s="2" t="s">
        <v>266</v>
      </c>
      <c r="C380" s="2" t="s">
        <v>2964</v>
      </c>
      <c r="D380" s="2"/>
    </row>
    <row r="381" spans="1:4" x14ac:dyDescent="0.3">
      <c r="A381" s="2" t="s">
        <v>2178</v>
      </c>
      <c r="B381" s="2" t="s">
        <v>266</v>
      </c>
      <c r="C381" s="2" t="s">
        <v>2964</v>
      </c>
      <c r="D381" s="2"/>
    </row>
    <row r="382" spans="1:4" x14ac:dyDescent="0.3">
      <c r="A382" s="2" t="s">
        <v>2179</v>
      </c>
      <c r="B382" s="2" t="s">
        <v>266</v>
      </c>
      <c r="C382" s="2" t="s">
        <v>2964</v>
      </c>
      <c r="D382" s="2"/>
    </row>
    <row r="383" spans="1:4" x14ac:dyDescent="0.3">
      <c r="A383" s="2" t="s">
        <v>2180</v>
      </c>
      <c r="B383" s="2" t="s">
        <v>266</v>
      </c>
      <c r="C383" s="2" t="s">
        <v>2964</v>
      </c>
      <c r="D383" s="2"/>
    </row>
    <row r="384" spans="1:4" x14ac:dyDescent="0.3">
      <c r="A384" s="2" t="s">
        <v>2181</v>
      </c>
      <c r="B384" s="2" t="s">
        <v>266</v>
      </c>
      <c r="C384" s="2" t="s">
        <v>2964</v>
      </c>
      <c r="D384" s="2"/>
    </row>
    <row r="385" spans="1:4" x14ac:dyDescent="0.3">
      <c r="A385" s="2" t="s">
        <v>2182</v>
      </c>
      <c r="B385" s="2" t="s">
        <v>266</v>
      </c>
      <c r="C385" s="2" t="s">
        <v>2964</v>
      </c>
      <c r="D385" s="2"/>
    </row>
    <row r="386" spans="1:4" x14ac:dyDescent="0.3">
      <c r="A386" s="2" t="s">
        <v>2183</v>
      </c>
      <c r="B386" s="2" t="s">
        <v>266</v>
      </c>
      <c r="C386" s="2" t="s">
        <v>2964</v>
      </c>
      <c r="D386" s="2"/>
    </row>
    <row r="387" spans="1:4" x14ac:dyDescent="0.3">
      <c r="A387" s="2" t="s">
        <v>2184</v>
      </c>
      <c r="B387" s="2" t="s">
        <v>266</v>
      </c>
      <c r="C387" s="2" t="s">
        <v>2964</v>
      </c>
      <c r="D387" s="2"/>
    </row>
    <row r="388" spans="1:4" x14ac:dyDescent="0.3">
      <c r="A388" s="2" t="s">
        <v>2185</v>
      </c>
      <c r="B388" s="2" t="s">
        <v>266</v>
      </c>
      <c r="C388" s="2" t="s">
        <v>2964</v>
      </c>
      <c r="D388" s="2"/>
    </row>
    <row r="389" spans="1:4" x14ac:dyDescent="0.3">
      <c r="A389" s="2" t="s">
        <v>2186</v>
      </c>
      <c r="B389" s="2" t="s">
        <v>266</v>
      </c>
      <c r="C389" s="2" t="s">
        <v>2964</v>
      </c>
      <c r="D389" s="2"/>
    </row>
    <row r="390" spans="1:4" x14ac:dyDescent="0.3">
      <c r="A390" s="2" t="s">
        <v>2187</v>
      </c>
      <c r="B390" s="2" t="s">
        <v>266</v>
      </c>
      <c r="C390" s="2" t="s">
        <v>2964</v>
      </c>
      <c r="D390" s="2"/>
    </row>
    <row r="391" spans="1:4" x14ac:dyDescent="0.3">
      <c r="A391" s="2" t="s">
        <v>2188</v>
      </c>
      <c r="B391" s="2" t="s">
        <v>266</v>
      </c>
      <c r="C391" s="2" t="s">
        <v>2964</v>
      </c>
      <c r="D391" s="2"/>
    </row>
    <row r="392" spans="1:4" x14ac:dyDescent="0.3">
      <c r="A392" s="2" t="s">
        <v>2189</v>
      </c>
      <c r="B392" s="2" t="s">
        <v>266</v>
      </c>
      <c r="C392" s="2" t="s">
        <v>2964</v>
      </c>
      <c r="D392" s="2"/>
    </row>
    <row r="393" spans="1:4" x14ac:dyDescent="0.3">
      <c r="A393" s="2" t="s">
        <v>2190</v>
      </c>
      <c r="B393" s="2" t="s">
        <v>266</v>
      </c>
      <c r="C393" s="2" t="s">
        <v>2964</v>
      </c>
      <c r="D393" s="2"/>
    </row>
    <row r="394" spans="1:4" x14ac:dyDescent="0.3">
      <c r="A394" s="2" t="s">
        <v>2191</v>
      </c>
      <c r="B394" s="2" t="s">
        <v>266</v>
      </c>
      <c r="C394" s="2" t="s">
        <v>2964</v>
      </c>
      <c r="D394" s="2"/>
    </row>
    <row r="395" spans="1:4" x14ac:dyDescent="0.3">
      <c r="A395" s="2" t="s">
        <v>2192</v>
      </c>
      <c r="B395" s="2" t="s">
        <v>266</v>
      </c>
      <c r="C395" s="2" t="s">
        <v>2964</v>
      </c>
      <c r="D395" s="2"/>
    </row>
    <row r="396" spans="1:4" x14ac:dyDescent="0.3">
      <c r="A396" s="2" t="s">
        <v>2193</v>
      </c>
      <c r="B396" s="2" t="s">
        <v>266</v>
      </c>
      <c r="C396" s="2" t="s">
        <v>2964</v>
      </c>
      <c r="D396" s="2"/>
    </row>
    <row r="397" spans="1:4" x14ac:dyDescent="0.3">
      <c r="A397" s="2" t="s">
        <v>2194</v>
      </c>
      <c r="B397" s="2" t="s">
        <v>266</v>
      </c>
      <c r="C397" s="2" t="s">
        <v>2964</v>
      </c>
      <c r="D397" s="2"/>
    </row>
    <row r="398" spans="1:4" x14ac:dyDescent="0.3">
      <c r="A398" s="2" t="s">
        <v>2195</v>
      </c>
      <c r="B398" s="2" t="s">
        <v>266</v>
      </c>
      <c r="C398" s="2" t="s">
        <v>2964</v>
      </c>
      <c r="D398" s="2"/>
    </row>
    <row r="399" spans="1:4" x14ac:dyDescent="0.3">
      <c r="A399" s="2" t="s">
        <v>2196</v>
      </c>
      <c r="B399" s="2" t="s">
        <v>266</v>
      </c>
      <c r="C399" s="2" t="s">
        <v>2964</v>
      </c>
      <c r="D399" s="2"/>
    </row>
    <row r="400" spans="1:4" x14ac:dyDescent="0.3">
      <c r="A400" s="2" t="s">
        <v>2197</v>
      </c>
      <c r="B400" s="2" t="s">
        <v>266</v>
      </c>
      <c r="C400" s="2" t="s">
        <v>2964</v>
      </c>
      <c r="D400" s="2"/>
    </row>
    <row r="401" spans="1:4" x14ac:dyDescent="0.3">
      <c r="A401" s="2" t="s">
        <v>2198</v>
      </c>
      <c r="B401" s="2" t="s">
        <v>266</v>
      </c>
      <c r="C401" s="2" t="s">
        <v>2964</v>
      </c>
      <c r="D401" s="2"/>
    </row>
    <row r="402" spans="1:4" x14ac:dyDescent="0.3">
      <c r="A402" s="2" t="s">
        <v>2199</v>
      </c>
      <c r="B402" s="2" t="s">
        <v>266</v>
      </c>
      <c r="C402" s="2" t="s">
        <v>2964</v>
      </c>
      <c r="D402" s="2"/>
    </row>
    <row r="403" spans="1:4" x14ac:dyDescent="0.3">
      <c r="A403" s="2" t="s">
        <v>2200</v>
      </c>
      <c r="B403" s="2" t="s">
        <v>266</v>
      </c>
      <c r="C403" s="2" t="s">
        <v>2964</v>
      </c>
      <c r="D403" s="2"/>
    </row>
    <row r="404" spans="1:4" x14ac:dyDescent="0.3">
      <c r="A404" s="2" t="s">
        <v>2201</v>
      </c>
      <c r="B404" s="2" t="s">
        <v>266</v>
      </c>
      <c r="C404" s="2" t="s">
        <v>2964</v>
      </c>
      <c r="D404" s="2"/>
    </row>
    <row r="405" spans="1:4" x14ac:dyDescent="0.3">
      <c r="A405" s="2" t="s">
        <v>2202</v>
      </c>
      <c r="B405" s="2" t="s">
        <v>266</v>
      </c>
      <c r="C405" s="2" t="s">
        <v>2964</v>
      </c>
      <c r="D405" s="2"/>
    </row>
    <row r="406" spans="1:4" x14ac:dyDescent="0.3">
      <c r="A406" s="2" t="s">
        <v>2203</v>
      </c>
      <c r="B406" s="2" t="s">
        <v>266</v>
      </c>
      <c r="C406" s="2" t="s">
        <v>2964</v>
      </c>
      <c r="D406" s="2"/>
    </row>
    <row r="407" spans="1:4" x14ac:dyDescent="0.3">
      <c r="A407" s="2" t="s">
        <v>2204</v>
      </c>
      <c r="B407" s="2" t="s">
        <v>266</v>
      </c>
      <c r="C407" s="2" t="s">
        <v>2964</v>
      </c>
      <c r="D407" s="2"/>
    </row>
    <row r="408" spans="1:4" x14ac:dyDescent="0.3">
      <c r="A408" s="2" t="s">
        <v>2205</v>
      </c>
      <c r="B408" s="2" t="s">
        <v>266</v>
      </c>
      <c r="C408" s="2" t="s">
        <v>2964</v>
      </c>
      <c r="D408" s="2"/>
    </row>
    <row r="409" spans="1:4" x14ac:dyDescent="0.3">
      <c r="A409" s="2" t="s">
        <v>2206</v>
      </c>
      <c r="B409" s="2" t="s">
        <v>266</v>
      </c>
      <c r="C409" s="2" t="s">
        <v>2964</v>
      </c>
      <c r="D409" s="2"/>
    </row>
    <row r="410" spans="1:4" x14ac:dyDescent="0.3">
      <c r="A410" s="2" t="s">
        <v>2207</v>
      </c>
      <c r="B410" s="2" t="s">
        <v>266</v>
      </c>
      <c r="C410" s="2" t="s">
        <v>2964</v>
      </c>
      <c r="D410" s="2"/>
    </row>
    <row r="411" spans="1:4" x14ac:dyDescent="0.3">
      <c r="A411" s="2" t="s">
        <v>2208</v>
      </c>
      <c r="B411" s="2" t="s">
        <v>266</v>
      </c>
      <c r="C411" s="2" t="s">
        <v>2964</v>
      </c>
      <c r="D411" s="2"/>
    </row>
    <row r="412" spans="1:4" x14ac:dyDescent="0.3">
      <c r="A412" s="2" t="s">
        <v>2209</v>
      </c>
      <c r="B412" s="2" t="s">
        <v>266</v>
      </c>
      <c r="C412" s="2" t="s">
        <v>2964</v>
      </c>
      <c r="D412" s="2"/>
    </row>
    <row r="413" spans="1:4" x14ac:dyDescent="0.3">
      <c r="A413" s="2" t="s">
        <v>2210</v>
      </c>
      <c r="B413" s="2" t="s">
        <v>266</v>
      </c>
      <c r="C413" s="2" t="s">
        <v>2964</v>
      </c>
      <c r="D413" s="2"/>
    </row>
    <row r="414" spans="1:4" x14ac:dyDescent="0.3">
      <c r="A414" s="2" t="s">
        <v>2211</v>
      </c>
      <c r="B414" s="2" t="s">
        <v>266</v>
      </c>
      <c r="C414" s="2" t="s">
        <v>2964</v>
      </c>
      <c r="D414" s="2"/>
    </row>
    <row r="415" spans="1:4" x14ac:dyDescent="0.3">
      <c r="A415" s="2" t="s">
        <v>2212</v>
      </c>
      <c r="B415" s="2" t="s">
        <v>266</v>
      </c>
      <c r="C415" s="2" t="s">
        <v>2964</v>
      </c>
      <c r="D415" s="2"/>
    </row>
    <row r="416" spans="1:4" x14ac:dyDescent="0.3">
      <c r="A416" s="2" t="s">
        <v>2213</v>
      </c>
      <c r="B416" s="2" t="s">
        <v>266</v>
      </c>
      <c r="C416" s="2" t="s">
        <v>2964</v>
      </c>
      <c r="D416" s="2"/>
    </row>
    <row r="417" spans="1:4" x14ac:dyDescent="0.3">
      <c r="A417" s="2" t="s">
        <v>2214</v>
      </c>
      <c r="B417" s="2" t="s">
        <v>266</v>
      </c>
      <c r="C417" s="2" t="s">
        <v>2964</v>
      </c>
      <c r="D417" s="2"/>
    </row>
    <row r="418" spans="1:4" x14ac:dyDescent="0.3">
      <c r="A418" s="2" t="s">
        <v>2215</v>
      </c>
      <c r="B418" s="2" t="s">
        <v>266</v>
      </c>
      <c r="C418" s="2" t="s">
        <v>2964</v>
      </c>
      <c r="D418" s="2"/>
    </row>
    <row r="419" spans="1:4" x14ac:dyDescent="0.3">
      <c r="A419" s="2" t="s">
        <v>2216</v>
      </c>
      <c r="B419" s="2" t="s">
        <v>266</v>
      </c>
      <c r="C419" s="2" t="s">
        <v>2964</v>
      </c>
      <c r="D419" s="2"/>
    </row>
    <row r="420" spans="1:4" x14ac:dyDescent="0.3">
      <c r="A420" s="2" t="s">
        <v>2217</v>
      </c>
      <c r="B420" s="2" t="s">
        <v>266</v>
      </c>
      <c r="C420" s="2" t="s">
        <v>2964</v>
      </c>
      <c r="D420" s="2"/>
    </row>
    <row r="421" spans="1:4" x14ac:dyDescent="0.3">
      <c r="A421" s="2" t="s">
        <v>2218</v>
      </c>
      <c r="B421" s="2" t="s">
        <v>266</v>
      </c>
      <c r="C421" s="2" t="s">
        <v>2964</v>
      </c>
      <c r="D421" s="2"/>
    </row>
    <row r="422" spans="1:4" x14ac:dyDescent="0.3">
      <c r="A422" s="2" t="s">
        <v>2219</v>
      </c>
      <c r="B422" s="2" t="s">
        <v>266</v>
      </c>
      <c r="C422" s="2" t="s">
        <v>2964</v>
      </c>
      <c r="D422" s="2"/>
    </row>
    <row r="423" spans="1:4" x14ac:dyDescent="0.3">
      <c r="A423" s="2" t="s">
        <v>2220</v>
      </c>
      <c r="B423" s="2" t="s">
        <v>266</v>
      </c>
      <c r="C423" s="2" t="s">
        <v>2964</v>
      </c>
      <c r="D423" s="2"/>
    </row>
    <row r="424" spans="1:4" x14ac:dyDescent="0.3">
      <c r="A424" s="2" t="s">
        <v>2221</v>
      </c>
      <c r="B424" s="2" t="s">
        <v>266</v>
      </c>
      <c r="C424" s="2" t="s">
        <v>2964</v>
      </c>
      <c r="D424" s="2"/>
    </row>
    <row r="425" spans="1:4" x14ac:dyDescent="0.3">
      <c r="A425" s="2" t="s">
        <v>2222</v>
      </c>
      <c r="B425" s="2" t="s">
        <v>266</v>
      </c>
      <c r="C425" s="2" t="s">
        <v>2964</v>
      </c>
      <c r="D425" s="2"/>
    </row>
    <row r="426" spans="1:4" x14ac:dyDescent="0.3">
      <c r="A426" s="2" t="s">
        <v>2223</v>
      </c>
      <c r="B426" s="2" t="s">
        <v>266</v>
      </c>
      <c r="C426" s="2" t="s">
        <v>2964</v>
      </c>
      <c r="D426" s="2"/>
    </row>
    <row r="427" spans="1:4" x14ac:dyDescent="0.3">
      <c r="A427" s="2" t="s">
        <v>2224</v>
      </c>
      <c r="B427" s="2" t="s">
        <v>266</v>
      </c>
      <c r="C427" s="2" t="s">
        <v>2964</v>
      </c>
      <c r="D427" s="2"/>
    </row>
    <row r="428" spans="1:4" x14ac:dyDescent="0.3">
      <c r="A428" s="2" t="s">
        <v>2225</v>
      </c>
      <c r="B428" s="2" t="s">
        <v>266</v>
      </c>
      <c r="C428" s="2" t="s">
        <v>2964</v>
      </c>
      <c r="D428" s="2"/>
    </row>
    <row r="429" spans="1:4" x14ac:dyDescent="0.3">
      <c r="A429" s="2" t="s">
        <v>2226</v>
      </c>
      <c r="B429" s="2" t="s">
        <v>266</v>
      </c>
      <c r="C429" s="2" t="s">
        <v>2964</v>
      </c>
      <c r="D429" s="2"/>
    </row>
    <row r="430" spans="1:4" x14ac:dyDescent="0.3">
      <c r="A430" s="2" t="s">
        <v>2227</v>
      </c>
      <c r="B430" s="2" t="s">
        <v>266</v>
      </c>
      <c r="C430" s="2" t="s">
        <v>2964</v>
      </c>
      <c r="D430" s="2"/>
    </row>
    <row r="431" spans="1:4" x14ac:dyDescent="0.3">
      <c r="A431" s="2" t="s">
        <v>2228</v>
      </c>
      <c r="B431" s="2" t="s">
        <v>266</v>
      </c>
      <c r="C431" s="2" t="s">
        <v>2964</v>
      </c>
      <c r="D431" s="2"/>
    </row>
    <row r="432" spans="1:4" x14ac:dyDescent="0.3">
      <c r="A432" s="2" t="s">
        <v>2229</v>
      </c>
      <c r="B432" s="2" t="s">
        <v>266</v>
      </c>
      <c r="C432" s="2" t="s">
        <v>2964</v>
      </c>
      <c r="D432" s="2"/>
    </row>
    <row r="433" spans="1:4" x14ac:dyDescent="0.3">
      <c r="A433" s="2" t="s">
        <v>2230</v>
      </c>
      <c r="B433" s="2" t="s">
        <v>266</v>
      </c>
      <c r="C433" s="2" t="s">
        <v>2964</v>
      </c>
      <c r="D433" s="2"/>
    </row>
    <row r="434" spans="1:4" x14ac:dyDescent="0.3">
      <c r="A434" s="2" t="s">
        <v>2231</v>
      </c>
      <c r="B434" s="2" t="s">
        <v>266</v>
      </c>
      <c r="C434" s="2" t="s">
        <v>2964</v>
      </c>
      <c r="D434" s="2"/>
    </row>
    <row r="435" spans="1:4" x14ac:dyDescent="0.3">
      <c r="A435" s="2" t="s">
        <v>2232</v>
      </c>
      <c r="B435" s="2" t="s">
        <v>266</v>
      </c>
      <c r="C435" s="2" t="s">
        <v>2964</v>
      </c>
      <c r="D435" s="2"/>
    </row>
    <row r="436" spans="1:4" x14ac:dyDescent="0.3">
      <c r="A436" s="2" t="s">
        <v>2233</v>
      </c>
      <c r="B436" s="2" t="s">
        <v>266</v>
      </c>
      <c r="C436" s="2" t="s">
        <v>2964</v>
      </c>
      <c r="D436" s="2"/>
    </row>
    <row r="437" spans="1:4" x14ac:dyDescent="0.3">
      <c r="A437" s="2" t="s">
        <v>2234</v>
      </c>
      <c r="B437" s="2" t="s">
        <v>266</v>
      </c>
      <c r="C437" s="2" t="s">
        <v>2964</v>
      </c>
      <c r="D437" s="2"/>
    </row>
    <row r="438" spans="1:4" x14ac:dyDescent="0.3">
      <c r="A438" s="2" t="s">
        <v>2235</v>
      </c>
      <c r="B438" s="2" t="s">
        <v>266</v>
      </c>
      <c r="C438" s="2" t="s">
        <v>2964</v>
      </c>
      <c r="D438" s="2"/>
    </row>
    <row r="439" spans="1:4" x14ac:dyDescent="0.3">
      <c r="A439" s="2" t="s">
        <v>2236</v>
      </c>
      <c r="B439" s="2" t="s">
        <v>266</v>
      </c>
      <c r="C439" s="2" t="s">
        <v>2964</v>
      </c>
      <c r="D439" s="2"/>
    </row>
    <row r="440" spans="1:4" x14ac:dyDescent="0.3">
      <c r="A440" s="2" t="s">
        <v>2237</v>
      </c>
      <c r="B440" s="2" t="s">
        <v>266</v>
      </c>
      <c r="C440" s="2" t="s">
        <v>2964</v>
      </c>
      <c r="D440" s="2"/>
    </row>
    <row r="441" spans="1:4" x14ac:dyDescent="0.3">
      <c r="A441" s="2" t="s">
        <v>2238</v>
      </c>
      <c r="B441" s="2" t="s">
        <v>266</v>
      </c>
      <c r="C441" s="2" t="s">
        <v>2964</v>
      </c>
      <c r="D441" s="2"/>
    </row>
    <row r="442" spans="1:4" x14ac:dyDescent="0.3">
      <c r="A442" s="2" t="s">
        <v>2239</v>
      </c>
      <c r="B442" s="2" t="s">
        <v>266</v>
      </c>
      <c r="C442" s="2" t="s">
        <v>2964</v>
      </c>
      <c r="D442" s="2"/>
    </row>
    <row r="443" spans="1:4" x14ac:dyDescent="0.3">
      <c r="A443" s="2" t="s">
        <v>2240</v>
      </c>
      <c r="B443" s="2" t="s">
        <v>266</v>
      </c>
      <c r="C443" s="2" t="s">
        <v>2964</v>
      </c>
      <c r="D443" s="2"/>
    </row>
    <row r="444" spans="1:4" x14ac:dyDescent="0.3">
      <c r="A444" s="2" t="s">
        <v>2241</v>
      </c>
      <c r="B444" s="2" t="s">
        <v>266</v>
      </c>
      <c r="C444" s="2" t="s">
        <v>2964</v>
      </c>
      <c r="D444" s="2"/>
    </row>
    <row r="445" spans="1:4" x14ac:dyDescent="0.3">
      <c r="A445" s="2" t="s">
        <v>2242</v>
      </c>
      <c r="B445" s="2" t="s">
        <v>266</v>
      </c>
      <c r="C445" s="2" t="s">
        <v>2964</v>
      </c>
      <c r="D445" s="2"/>
    </row>
    <row r="446" spans="1:4" x14ac:dyDescent="0.3">
      <c r="A446" s="2" t="s">
        <v>2243</v>
      </c>
      <c r="B446" s="2" t="s">
        <v>266</v>
      </c>
      <c r="C446" s="2" t="s">
        <v>2964</v>
      </c>
      <c r="D446" s="2"/>
    </row>
    <row r="447" spans="1:4" x14ac:dyDescent="0.3">
      <c r="A447" s="2" t="s">
        <v>2244</v>
      </c>
      <c r="B447" s="2" t="s">
        <v>266</v>
      </c>
      <c r="C447" s="2" t="s">
        <v>2964</v>
      </c>
      <c r="D447" s="2"/>
    </row>
    <row r="448" spans="1:4" x14ac:dyDescent="0.3">
      <c r="A448" s="2" t="s">
        <v>2245</v>
      </c>
      <c r="B448" s="2" t="s">
        <v>266</v>
      </c>
      <c r="C448" s="2" t="s">
        <v>2964</v>
      </c>
      <c r="D448" s="2"/>
    </row>
    <row r="449" spans="1:4" x14ac:dyDescent="0.3">
      <c r="A449" s="2" t="s">
        <v>2246</v>
      </c>
      <c r="B449" s="2" t="s">
        <v>266</v>
      </c>
      <c r="C449" s="2" t="s">
        <v>2964</v>
      </c>
      <c r="D449" s="2"/>
    </row>
    <row r="450" spans="1:4" x14ac:dyDescent="0.3">
      <c r="A450" s="2" t="s">
        <v>2247</v>
      </c>
      <c r="B450" s="2" t="s">
        <v>266</v>
      </c>
      <c r="C450" s="2" t="s">
        <v>2964</v>
      </c>
      <c r="D450" s="2"/>
    </row>
    <row r="451" spans="1:4" x14ac:dyDescent="0.3">
      <c r="A451" s="2" t="s">
        <v>2248</v>
      </c>
      <c r="B451" s="2" t="s">
        <v>266</v>
      </c>
      <c r="C451" s="2" t="s">
        <v>2964</v>
      </c>
      <c r="D451" s="2"/>
    </row>
    <row r="452" spans="1:4" x14ac:dyDescent="0.3">
      <c r="A452" s="2" t="s">
        <v>2249</v>
      </c>
      <c r="B452" s="2" t="s">
        <v>266</v>
      </c>
      <c r="C452" s="2" t="s">
        <v>2964</v>
      </c>
      <c r="D452" s="2"/>
    </row>
    <row r="453" spans="1:4" x14ac:dyDescent="0.3">
      <c r="A453" s="2" t="s">
        <v>2250</v>
      </c>
      <c r="B453" s="2" t="s">
        <v>266</v>
      </c>
      <c r="C453" s="2" t="s">
        <v>2964</v>
      </c>
      <c r="D453" s="2"/>
    </row>
    <row r="454" spans="1:4" x14ac:dyDescent="0.3">
      <c r="A454" s="2" t="s">
        <v>2251</v>
      </c>
      <c r="B454" s="2" t="s">
        <v>266</v>
      </c>
      <c r="C454" s="2" t="s">
        <v>2964</v>
      </c>
      <c r="D454" s="2"/>
    </row>
    <row r="455" spans="1:4" x14ac:dyDescent="0.3">
      <c r="A455" s="2" t="s">
        <v>2252</v>
      </c>
      <c r="B455" s="2" t="s">
        <v>266</v>
      </c>
      <c r="C455" s="2" t="s">
        <v>2964</v>
      </c>
      <c r="D455" s="2"/>
    </row>
    <row r="456" spans="1:4" x14ac:dyDescent="0.3">
      <c r="A456" s="2" t="s">
        <v>2253</v>
      </c>
      <c r="B456" s="2" t="s">
        <v>266</v>
      </c>
      <c r="C456" s="2" t="s">
        <v>2964</v>
      </c>
      <c r="D456" s="2"/>
    </row>
    <row r="457" spans="1:4" x14ac:dyDescent="0.3">
      <c r="A457" s="2" t="s">
        <v>2254</v>
      </c>
      <c r="B457" s="2" t="s">
        <v>266</v>
      </c>
      <c r="C457" s="2" t="s">
        <v>2964</v>
      </c>
      <c r="D457" s="2"/>
    </row>
    <row r="458" spans="1:4" x14ac:dyDescent="0.3">
      <c r="A458" s="2" t="s">
        <v>2255</v>
      </c>
      <c r="B458" s="2" t="s">
        <v>266</v>
      </c>
      <c r="C458" s="2" t="s">
        <v>2964</v>
      </c>
      <c r="D458" s="2"/>
    </row>
    <row r="459" spans="1:4" x14ac:dyDescent="0.3">
      <c r="A459" s="2" t="s">
        <v>2256</v>
      </c>
      <c r="B459" s="2" t="s">
        <v>266</v>
      </c>
      <c r="C459" s="2" t="s">
        <v>2964</v>
      </c>
      <c r="D459" s="2"/>
    </row>
    <row r="460" spans="1:4" x14ac:dyDescent="0.3">
      <c r="A460" s="2" t="s">
        <v>2257</v>
      </c>
      <c r="B460" s="2" t="s">
        <v>266</v>
      </c>
      <c r="C460" s="2" t="s">
        <v>2964</v>
      </c>
      <c r="D460" s="2"/>
    </row>
    <row r="461" spans="1:4" x14ac:dyDescent="0.3">
      <c r="A461" s="2" t="s">
        <v>2258</v>
      </c>
      <c r="B461" s="2" t="s">
        <v>266</v>
      </c>
      <c r="C461" s="2" t="s">
        <v>2964</v>
      </c>
      <c r="D461" s="2"/>
    </row>
    <row r="462" spans="1:4" x14ac:dyDescent="0.3">
      <c r="A462" s="2" t="s">
        <v>2259</v>
      </c>
      <c r="B462" s="2" t="s">
        <v>266</v>
      </c>
      <c r="C462" s="2" t="s">
        <v>2964</v>
      </c>
      <c r="D462" s="2"/>
    </row>
    <row r="463" spans="1:4" x14ac:dyDescent="0.3">
      <c r="A463" s="2" t="s">
        <v>2260</v>
      </c>
      <c r="B463" s="2" t="s">
        <v>266</v>
      </c>
      <c r="C463" s="2" t="s">
        <v>2964</v>
      </c>
      <c r="D463" s="2"/>
    </row>
    <row r="464" spans="1:4" x14ac:dyDescent="0.3">
      <c r="A464" s="2" t="s">
        <v>2261</v>
      </c>
      <c r="B464" s="2" t="s">
        <v>266</v>
      </c>
      <c r="C464" s="2" t="s">
        <v>2964</v>
      </c>
      <c r="D464" s="2"/>
    </row>
    <row r="465" spans="1:4" x14ac:dyDescent="0.3">
      <c r="A465" s="2" t="s">
        <v>2262</v>
      </c>
      <c r="B465" s="2" t="s">
        <v>266</v>
      </c>
      <c r="C465" s="2" t="s">
        <v>2964</v>
      </c>
      <c r="D465" s="2"/>
    </row>
    <row r="466" spans="1:4" x14ac:dyDescent="0.3">
      <c r="A466" s="2" t="s">
        <v>2263</v>
      </c>
      <c r="B466" s="2" t="s">
        <v>266</v>
      </c>
      <c r="C466" s="2" t="s">
        <v>2964</v>
      </c>
      <c r="D466" s="2"/>
    </row>
    <row r="467" spans="1:4" x14ac:dyDescent="0.3">
      <c r="A467" s="2" t="s">
        <v>2264</v>
      </c>
      <c r="B467" s="2" t="s">
        <v>266</v>
      </c>
      <c r="C467" s="2" t="s">
        <v>2964</v>
      </c>
      <c r="D467" s="2"/>
    </row>
    <row r="468" spans="1:4" x14ac:dyDescent="0.3">
      <c r="A468" s="2" t="s">
        <v>2265</v>
      </c>
      <c r="B468" s="2" t="s">
        <v>266</v>
      </c>
      <c r="C468" s="2" t="s">
        <v>2964</v>
      </c>
      <c r="D468" s="2"/>
    </row>
    <row r="469" spans="1:4" x14ac:dyDescent="0.3">
      <c r="A469" s="2" t="s">
        <v>2266</v>
      </c>
      <c r="B469" s="2" t="s">
        <v>266</v>
      </c>
      <c r="C469" s="2" t="s">
        <v>2964</v>
      </c>
      <c r="D469" s="2"/>
    </row>
    <row r="470" spans="1:4" x14ac:dyDescent="0.3">
      <c r="A470" s="2" t="s">
        <v>2267</v>
      </c>
      <c r="B470" s="2" t="s">
        <v>266</v>
      </c>
      <c r="C470" s="2" t="s">
        <v>2964</v>
      </c>
      <c r="D470" s="2"/>
    </row>
    <row r="471" spans="1:4" x14ac:dyDescent="0.3">
      <c r="A471" s="2" t="s">
        <v>2268</v>
      </c>
      <c r="B471" s="2" t="s">
        <v>266</v>
      </c>
      <c r="C471" s="2" t="s">
        <v>2964</v>
      </c>
      <c r="D471" s="2"/>
    </row>
    <row r="472" spans="1:4" x14ac:dyDescent="0.3">
      <c r="A472" s="2" t="s">
        <v>2269</v>
      </c>
      <c r="B472" s="2" t="s">
        <v>266</v>
      </c>
      <c r="C472" s="2" t="s">
        <v>2964</v>
      </c>
      <c r="D472" s="2"/>
    </row>
    <row r="473" spans="1:4" x14ac:dyDescent="0.3">
      <c r="A473" s="2" t="s">
        <v>2270</v>
      </c>
      <c r="B473" s="2" t="s">
        <v>266</v>
      </c>
      <c r="C473" s="2" t="s">
        <v>2964</v>
      </c>
      <c r="D473" s="2"/>
    </row>
    <row r="474" spans="1:4" x14ac:dyDescent="0.3">
      <c r="A474" s="2" t="s">
        <v>2271</v>
      </c>
      <c r="B474" s="2" t="s">
        <v>266</v>
      </c>
      <c r="C474" s="2" t="s">
        <v>2964</v>
      </c>
      <c r="D474" s="2"/>
    </row>
    <row r="475" spans="1:4" x14ac:dyDescent="0.3">
      <c r="A475" s="2" t="s">
        <v>2272</v>
      </c>
      <c r="B475" s="2" t="s">
        <v>266</v>
      </c>
      <c r="C475" s="2" t="s">
        <v>2964</v>
      </c>
      <c r="D475" s="2"/>
    </row>
    <row r="476" spans="1:4" x14ac:dyDescent="0.3">
      <c r="A476" s="2" t="s">
        <v>2273</v>
      </c>
      <c r="B476" s="2" t="s">
        <v>266</v>
      </c>
      <c r="C476" s="2" t="s">
        <v>2964</v>
      </c>
      <c r="D476" s="2"/>
    </row>
    <row r="477" spans="1:4" x14ac:dyDescent="0.3">
      <c r="A477" s="2" t="s">
        <v>2274</v>
      </c>
      <c r="B477" s="2" t="s">
        <v>266</v>
      </c>
      <c r="C477" s="2" t="s">
        <v>2964</v>
      </c>
      <c r="D477" s="2"/>
    </row>
    <row r="478" spans="1:4" x14ac:dyDescent="0.3">
      <c r="A478" s="2" t="s">
        <v>3427</v>
      </c>
      <c r="B478" s="2" t="s">
        <v>266</v>
      </c>
      <c r="C478" s="2" t="s">
        <v>2964</v>
      </c>
      <c r="D478" s="2"/>
    </row>
    <row r="479" spans="1:4" x14ac:dyDescent="0.3">
      <c r="A479" s="2" t="s">
        <v>2275</v>
      </c>
      <c r="B479" s="2" t="s">
        <v>266</v>
      </c>
      <c r="C479" s="2" t="s">
        <v>2964</v>
      </c>
      <c r="D479" s="2"/>
    </row>
    <row r="480" spans="1:4" x14ac:dyDescent="0.3">
      <c r="A480" s="2" t="s">
        <v>2276</v>
      </c>
      <c r="B480" s="2" t="s">
        <v>266</v>
      </c>
      <c r="C480" s="2" t="s">
        <v>2964</v>
      </c>
      <c r="D480" s="2"/>
    </row>
    <row r="481" spans="1:4" x14ac:dyDescent="0.3">
      <c r="A481" s="2" t="s">
        <v>2277</v>
      </c>
      <c r="B481" s="2" t="s">
        <v>266</v>
      </c>
      <c r="C481" s="2" t="s">
        <v>2964</v>
      </c>
      <c r="D481" s="2"/>
    </row>
    <row r="482" spans="1:4" x14ac:dyDescent="0.3">
      <c r="A482" s="2" t="s">
        <v>2278</v>
      </c>
      <c r="B482" s="2" t="s">
        <v>266</v>
      </c>
      <c r="C482" s="2" t="s">
        <v>2964</v>
      </c>
      <c r="D482" s="2"/>
    </row>
    <row r="483" spans="1:4" x14ac:dyDescent="0.3">
      <c r="A483" s="2" t="s">
        <v>2279</v>
      </c>
      <c r="B483" s="2" t="s">
        <v>266</v>
      </c>
      <c r="C483" s="2" t="s">
        <v>2964</v>
      </c>
      <c r="D483" s="2"/>
    </row>
    <row r="484" spans="1:4" x14ac:dyDescent="0.3">
      <c r="A484" s="2" t="s">
        <v>2280</v>
      </c>
      <c r="B484" s="2" t="s">
        <v>266</v>
      </c>
      <c r="C484" s="2" t="s">
        <v>2964</v>
      </c>
      <c r="D484" s="2"/>
    </row>
    <row r="485" spans="1:4" x14ac:dyDescent="0.3">
      <c r="A485" s="2" t="s">
        <v>2281</v>
      </c>
      <c r="B485" s="2" t="s">
        <v>266</v>
      </c>
      <c r="C485" s="2" t="s">
        <v>2964</v>
      </c>
      <c r="D485" s="2"/>
    </row>
    <row r="486" spans="1:4" x14ac:dyDescent="0.3">
      <c r="A486" s="2" t="s">
        <v>2282</v>
      </c>
      <c r="B486" s="2" t="s">
        <v>266</v>
      </c>
      <c r="C486" s="2" t="s">
        <v>2964</v>
      </c>
      <c r="D486" s="2"/>
    </row>
    <row r="487" spans="1:4" x14ac:dyDescent="0.3">
      <c r="A487" s="2" t="s">
        <v>2283</v>
      </c>
      <c r="B487" s="2" t="s">
        <v>266</v>
      </c>
      <c r="C487" s="2" t="s">
        <v>2964</v>
      </c>
      <c r="D487" s="2"/>
    </row>
    <row r="488" spans="1:4" x14ac:dyDescent="0.3">
      <c r="A488" s="2" t="s">
        <v>2284</v>
      </c>
      <c r="B488" s="2" t="s">
        <v>266</v>
      </c>
      <c r="C488" s="2" t="s">
        <v>2964</v>
      </c>
      <c r="D488" s="2"/>
    </row>
    <row r="489" spans="1:4" x14ac:dyDescent="0.3">
      <c r="A489" s="2" t="s">
        <v>2285</v>
      </c>
      <c r="B489" s="2" t="s">
        <v>266</v>
      </c>
      <c r="C489" s="2" t="s">
        <v>2964</v>
      </c>
      <c r="D489" s="2"/>
    </row>
    <row r="490" spans="1:4" x14ac:dyDescent="0.3">
      <c r="A490" s="2" t="s">
        <v>2286</v>
      </c>
      <c r="B490" s="2" t="s">
        <v>266</v>
      </c>
      <c r="C490" s="2" t="s">
        <v>2964</v>
      </c>
      <c r="D490" s="2"/>
    </row>
    <row r="491" spans="1:4" x14ac:dyDescent="0.3">
      <c r="A491" s="2" t="s">
        <v>2287</v>
      </c>
      <c r="B491" s="2" t="s">
        <v>266</v>
      </c>
      <c r="C491" s="2" t="s">
        <v>2964</v>
      </c>
      <c r="D491" s="2"/>
    </row>
    <row r="492" spans="1:4" x14ac:dyDescent="0.3">
      <c r="A492" s="2" t="s">
        <v>2288</v>
      </c>
      <c r="B492" s="2" t="s">
        <v>266</v>
      </c>
      <c r="C492" s="2" t="s">
        <v>2964</v>
      </c>
      <c r="D492" s="2"/>
    </row>
    <row r="493" spans="1:4" x14ac:dyDescent="0.3">
      <c r="A493" s="2" t="s">
        <v>2289</v>
      </c>
      <c r="B493" s="2" t="s">
        <v>266</v>
      </c>
      <c r="C493" s="2" t="s">
        <v>2964</v>
      </c>
      <c r="D493" s="2"/>
    </row>
    <row r="494" spans="1:4" x14ac:dyDescent="0.3">
      <c r="A494" s="2" t="s">
        <v>2290</v>
      </c>
      <c r="B494" s="2" t="s">
        <v>266</v>
      </c>
      <c r="C494" s="2" t="s">
        <v>2964</v>
      </c>
      <c r="D494" s="2"/>
    </row>
    <row r="495" spans="1:4" x14ac:dyDescent="0.3">
      <c r="A495" s="2" t="s">
        <v>2291</v>
      </c>
      <c r="B495" s="2" t="s">
        <v>266</v>
      </c>
      <c r="C495" s="2" t="s">
        <v>2964</v>
      </c>
      <c r="D495" s="2"/>
    </row>
    <row r="496" spans="1:4" x14ac:dyDescent="0.3">
      <c r="A496" s="2" t="s">
        <v>2292</v>
      </c>
      <c r="B496" s="2" t="s">
        <v>266</v>
      </c>
      <c r="C496" s="2" t="s">
        <v>2964</v>
      </c>
      <c r="D496" s="2"/>
    </row>
    <row r="497" spans="1:4" x14ac:dyDescent="0.3">
      <c r="A497" s="2" t="s">
        <v>2293</v>
      </c>
      <c r="B497" s="2" t="s">
        <v>266</v>
      </c>
      <c r="C497" s="2" t="s">
        <v>2964</v>
      </c>
      <c r="D497" s="2"/>
    </row>
    <row r="498" spans="1:4" x14ac:dyDescent="0.3">
      <c r="A498" s="2" t="s">
        <v>2294</v>
      </c>
      <c r="B498" s="2" t="s">
        <v>266</v>
      </c>
      <c r="C498" s="2" t="s">
        <v>2964</v>
      </c>
      <c r="D498" s="2"/>
    </row>
    <row r="499" spans="1:4" x14ac:dyDescent="0.3">
      <c r="A499" s="2" t="s">
        <v>2295</v>
      </c>
      <c r="B499" s="2" t="s">
        <v>266</v>
      </c>
      <c r="C499" s="2" t="s">
        <v>2964</v>
      </c>
      <c r="D499" s="2"/>
    </row>
    <row r="500" spans="1:4" x14ac:dyDescent="0.3">
      <c r="A500" s="2" t="s">
        <v>2296</v>
      </c>
      <c r="B500" s="2" t="s">
        <v>266</v>
      </c>
      <c r="C500" s="2" t="s">
        <v>2964</v>
      </c>
      <c r="D500" s="2"/>
    </row>
    <row r="501" spans="1:4" x14ac:dyDescent="0.3">
      <c r="A501" s="2" t="s">
        <v>2297</v>
      </c>
      <c r="B501" s="2" t="s">
        <v>266</v>
      </c>
      <c r="C501" s="2" t="s">
        <v>2964</v>
      </c>
      <c r="D501" s="2"/>
    </row>
    <row r="502" spans="1:4" x14ac:dyDescent="0.3">
      <c r="A502" s="2" t="s">
        <v>2298</v>
      </c>
      <c r="B502" s="2" t="s">
        <v>266</v>
      </c>
      <c r="C502" s="2" t="s">
        <v>2964</v>
      </c>
      <c r="D502" s="2"/>
    </row>
    <row r="503" spans="1:4" x14ac:dyDescent="0.3">
      <c r="A503" s="2" t="s">
        <v>2299</v>
      </c>
      <c r="B503" s="2" t="s">
        <v>266</v>
      </c>
      <c r="C503" s="2" t="s">
        <v>2964</v>
      </c>
      <c r="D503" s="2"/>
    </row>
    <row r="504" spans="1:4" x14ac:dyDescent="0.3">
      <c r="A504" s="2" t="s">
        <v>2300</v>
      </c>
      <c r="B504" s="2" t="s">
        <v>266</v>
      </c>
      <c r="C504" s="2" t="s">
        <v>2964</v>
      </c>
      <c r="D504" s="2"/>
    </row>
    <row r="505" spans="1:4" x14ac:dyDescent="0.3">
      <c r="A505" s="2" t="s">
        <v>2301</v>
      </c>
      <c r="B505" s="2" t="s">
        <v>266</v>
      </c>
      <c r="C505" s="2" t="s">
        <v>2964</v>
      </c>
      <c r="D505" s="2"/>
    </row>
    <row r="506" spans="1:4" x14ac:dyDescent="0.3">
      <c r="A506" s="2" t="s">
        <v>2302</v>
      </c>
      <c r="B506" s="2" t="s">
        <v>266</v>
      </c>
      <c r="C506" s="2" t="s">
        <v>2964</v>
      </c>
      <c r="D506" s="2"/>
    </row>
    <row r="507" spans="1:4" x14ac:dyDescent="0.3">
      <c r="A507" s="2" t="s">
        <v>2303</v>
      </c>
      <c r="B507" s="2" t="s">
        <v>266</v>
      </c>
      <c r="C507" s="2" t="s">
        <v>2964</v>
      </c>
      <c r="D507" s="2"/>
    </row>
    <row r="508" spans="1:4" x14ac:dyDescent="0.3">
      <c r="A508" s="2" t="s">
        <v>2304</v>
      </c>
      <c r="B508" s="2" t="s">
        <v>266</v>
      </c>
      <c r="C508" s="2" t="s">
        <v>2964</v>
      </c>
      <c r="D508" s="2"/>
    </row>
    <row r="509" spans="1:4" x14ac:dyDescent="0.3">
      <c r="A509" s="2" t="s">
        <v>2305</v>
      </c>
      <c r="B509" s="2" t="s">
        <v>266</v>
      </c>
      <c r="C509" s="2" t="s">
        <v>2964</v>
      </c>
      <c r="D509" s="2"/>
    </row>
    <row r="510" spans="1:4" x14ac:dyDescent="0.3">
      <c r="A510" s="2" t="s">
        <v>2306</v>
      </c>
      <c r="B510" s="2" t="s">
        <v>266</v>
      </c>
      <c r="C510" s="2" t="s">
        <v>2964</v>
      </c>
      <c r="D510" s="2"/>
    </row>
    <row r="511" spans="1:4" x14ac:dyDescent="0.3">
      <c r="A511" s="2" t="s">
        <v>2307</v>
      </c>
      <c r="B511" s="2" t="s">
        <v>266</v>
      </c>
      <c r="C511" s="2" t="s">
        <v>2964</v>
      </c>
      <c r="D511" s="2"/>
    </row>
    <row r="512" spans="1:4" x14ac:dyDescent="0.3">
      <c r="A512" s="2" t="s">
        <v>2308</v>
      </c>
      <c r="B512" s="2" t="s">
        <v>266</v>
      </c>
      <c r="C512" s="2" t="s">
        <v>2964</v>
      </c>
      <c r="D512" s="2"/>
    </row>
    <row r="513" spans="1:4" x14ac:dyDescent="0.3">
      <c r="A513" s="2" t="s">
        <v>2309</v>
      </c>
      <c r="B513" s="2" t="s">
        <v>266</v>
      </c>
      <c r="C513" s="2" t="s">
        <v>2964</v>
      </c>
      <c r="D513" s="2"/>
    </row>
    <row r="514" spans="1:4" x14ac:dyDescent="0.3">
      <c r="A514" s="2" t="s">
        <v>2310</v>
      </c>
      <c r="B514" s="2" t="s">
        <v>266</v>
      </c>
      <c r="C514" s="2" t="s">
        <v>2964</v>
      </c>
      <c r="D514" s="2"/>
    </row>
    <row r="515" spans="1:4" x14ac:dyDescent="0.3">
      <c r="A515" s="2" t="s">
        <v>2311</v>
      </c>
      <c r="B515" s="2" t="s">
        <v>266</v>
      </c>
      <c r="C515" s="2" t="s">
        <v>2964</v>
      </c>
      <c r="D515" s="2"/>
    </row>
    <row r="516" spans="1:4" x14ac:dyDescent="0.3">
      <c r="A516" s="2" t="s">
        <v>2312</v>
      </c>
      <c r="B516" s="2" t="s">
        <v>266</v>
      </c>
      <c r="C516" s="2" t="s">
        <v>2964</v>
      </c>
      <c r="D516" s="2"/>
    </row>
    <row r="517" spans="1:4" x14ac:dyDescent="0.3">
      <c r="A517" s="2" t="s">
        <v>2313</v>
      </c>
      <c r="B517" s="2" t="s">
        <v>266</v>
      </c>
      <c r="C517" s="2" t="s">
        <v>2964</v>
      </c>
      <c r="D517" s="2"/>
    </row>
    <row r="518" spans="1:4" x14ac:dyDescent="0.3">
      <c r="A518" s="2" t="s">
        <v>2314</v>
      </c>
      <c r="B518" s="2" t="s">
        <v>266</v>
      </c>
      <c r="C518" s="2" t="s">
        <v>2964</v>
      </c>
      <c r="D518" s="2"/>
    </row>
    <row r="519" spans="1:4" x14ac:dyDescent="0.3">
      <c r="A519" s="2" t="s">
        <v>2315</v>
      </c>
      <c r="B519" s="2" t="s">
        <v>266</v>
      </c>
      <c r="C519" s="2" t="s">
        <v>2964</v>
      </c>
      <c r="D519" s="2"/>
    </row>
    <row r="520" spans="1:4" x14ac:dyDescent="0.3">
      <c r="A520" s="2" t="s">
        <v>2316</v>
      </c>
      <c r="B520" s="2" t="s">
        <v>266</v>
      </c>
      <c r="C520" s="2" t="s">
        <v>2964</v>
      </c>
      <c r="D520" s="2"/>
    </row>
    <row r="521" spans="1:4" x14ac:dyDescent="0.3">
      <c r="A521" s="2" t="s">
        <v>2317</v>
      </c>
      <c r="B521" s="2" t="s">
        <v>266</v>
      </c>
      <c r="C521" s="2" t="s">
        <v>2964</v>
      </c>
      <c r="D521" s="2"/>
    </row>
    <row r="522" spans="1:4" x14ac:dyDescent="0.3">
      <c r="A522" s="2" t="s">
        <v>2318</v>
      </c>
      <c r="B522" s="2" t="s">
        <v>266</v>
      </c>
      <c r="C522" s="2" t="s">
        <v>2964</v>
      </c>
      <c r="D522" s="2"/>
    </row>
    <row r="523" spans="1:4" x14ac:dyDescent="0.3">
      <c r="A523" s="2" t="s">
        <v>2319</v>
      </c>
      <c r="B523" s="2" t="s">
        <v>266</v>
      </c>
      <c r="C523" s="2" t="s">
        <v>2964</v>
      </c>
      <c r="D523" s="2"/>
    </row>
    <row r="524" spans="1:4" x14ac:dyDescent="0.3">
      <c r="A524" s="2" t="s">
        <v>2320</v>
      </c>
      <c r="B524" s="2" t="s">
        <v>266</v>
      </c>
      <c r="C524" s="2" t="s">
        <v>2964</v>
      </c>
      <c r="D524" s="2"/>
    </row>
    <row r="525" spans="1:4" x14ac:dyDescent="0.3">
      <c r="A525" s="2" t="s">
        <v>2321</v>
      </c>
      <c r="B525" s="2" t="s">
        <v>266</v>
      </c>
      <c r="C525" s="2" t="s">
        <v>2964</v>
      </c>
      <c r="D525" s="2"/>
    </row>
    <row r="526" spans="1:4" x14ac:dyDescent="0.3">
      <c r="A526" s="2" t="s">
        <v>2322</v>
      </c>
      <c r="B526" s="2" t="s">
        <v>266</v>
      </c>
      <c r="C526" s="2" t="s">
        <v>2964</v>
      </c>
      <c r="D526" s="2"/>
    </row>
    <row r="527" spans="1:4" x14ac:dyDescent="0.3">
      <c r="A527" s="2" t="s">
        <v>2323</v>
      </c>
      <c r="B527" s="2" t="s">
        <v>266</v>
      </c>
      <c r="C527" s="2" t="s">
        <v>2964</v>
      </c>
      <c r="D527" s="2"/>
    </row>
    <row r="528" spans="1:4" x14ac:dyDescent="0.3">
      <c r="A528" s="2" t="s">
        <v>2324</v>
      </c>
      <c r="B528" s="2" t="s">
        <v>266</v>
      </c>
      <c r="C528" s="2" t="s">
        <v>2964</v>
      </c>
      <c r="D528" s="2"/>
    </row>
    <row r="529" spans="1:4" x14ac:dyDescent="0.3">
      <c r="A529" s="2" t="s">
        <v>2325</v>
      </c>
      <c r="B529" s="2" t="s">
        <v>266</v>
      </c>
      <c r="C529" s="2" t="s">
        <v>2964</v>
      </c>
      <c r="D529" s="2"/>
    </row>
    <row r="530" spans="1:4" x14ac:dyDescent="0.3">
      <c r="A530" s="2" t="s">
        <v>2326</v>
      </c>
      <c r="B530" s="2" t="s">
        <v>266</v>
      </c>
      <c r="C530" s="2" t="s">
        <v>2964</v>
      </c>
      <c r="D530" s="2"/>
    </row>
    <row r="531" spans="1:4" x14ac:dyDescent="0.3">
      <c r="A531" s="2" t="s">
        <v>2327</v>
      </c>
      <c r="B531" s="2" t="s">
        <v>266</v>
      </c>
      <c r="C531" s="2" t="s">
        <v>2964</v>
      </c>
      <c r="D531" s="2"/>
    </row>
    <row r="532" spans="1:4" x14ac:dyDescent="0.3">
      <c r="A532" s="2" t="s">
        <v>2328</v>
      </c>
      <c r="B532" s="2" t="s">
        <v>266</v>
      </c>
      <c r="C532" s="2" t="s">
        <v>2964</v>
      </c>
      <c r="D532" s="2"/>
    </row>
    <row r="533" spans="1:4" x14ac:dyDescent="0.3">
      <c r="A533" s="2" t="s">
        <v>2329</v>
      </c>
      <c r="B533" s="2" t="s">
        <v>266</v>
      </c>
      <c r="C533" s="2" t="s">
        <v>2964</v>
      </c>
      <c r="D533" s="2"/>
    </row>
    <row r="534" spans="1:4" x14ac:dyDescent="0.3">
      <c r="A534" s="2" t="s">
        <v>2330</v>
      </c>
      <c r="B534" s="2" t="s">
        <v>266</v>
      </c>
      <c r="C534" s="2" t="s">
        <v>2964</v>
      </c>
      <c r="D534" s="2"/>
    </row>
    <row r="535" spans="1:4" x14ac:dyDescent="0.3">
      <c r="A535" s="2" t="s">
        <v>2331</v>
      </c>
      <c r="B535" s="2" t="s">
        <v>266</v>
      </c>
      <c r="C535" s="2" t="s">
        <v>2964</v>
      </c>
      <c r="D535" s="2"/>
    </row>
    <row r="536" spans="1:4" x14ac:dyDescent="0.3">
      <c r="A536" s="2" t="s">
        <v>2332</v>
      </c>
      <c r="B536" s="2" t="s">
        <v>266</v>
      </c>
      <c r="C536" s="2" t="s">
        <v>2964</v>
      </c>
      <c r="D536" s="2"/>
    </row>
    <row r="537" spans="1:4" x14ac:dyDescent="0.3">
      <c r="A537" s="2" t="s">
        <v>2333</v>
      </c>
      <c r="B537" s="2" t="s">
        <v>266</v>
      </c>
      <c r="C537" s="2" t="s">
        <v>2964</v>
      </c>
      <c r="D537" s="2"/>
    </row>
    <row r="538" spans="1:4" x14ac:dyDescent="0.3">
      <c r="A538" s="2" t="s">
        <v>2334</v>
      </c>
      <c r="B538" s="2" t="s">
        <v>266</v>
      </c>
      <c r="C538" s="2" t="s">
        <v>2964</v>
      </c>
      <c r="D538" s="2"/>
    </row>
    <row r="539" spans="1:4" x14ac:dyDescent="0.3">
      <c r="A539" s="2" t="s">
        <v>2335</v>
      </c>
      <c r="B539" s="2" t="s">
        <v>266</v>
      </c>
      <c r="C539" s="2" t="s">
        <v>2964</v>
      </c>
      <c r="D539" s="2"/>
    </row>
    <row r="540" spans="1:4" x14ac:dyDescent="0.3">
      <c r="A540" s="2" t="s">
        <v>2336</v>
      </c>
      <c r="B540" s="2" t="s">
        <v>266</v>
      </c>
      <c r="C540" s="2" t="s">
        <v>2964</v>
      </c>
      <c r="D540" s="2"/>
    </row>
    <row r="541" spans="1:4" x14ac:dyDescent="0.3">
      <c r="A541" s="2" t="s">
        <v>2337</v>
      </c>
      <c r="B541" s="2" t="s">
        <v>266</v>
      </c>
      <c r="C541" s="2" t="s">
        <v>2964</v>
      </c>
      <c r="D541" s="2"/>
    </row>
    <row r="542" spans="1:4" x14ac:dyDescent="0.3">
      <c r="A542" s="2" t="s">
        <v>2338</v>
      </c>
      <c r="B542" s="2" t="s">
        <v>266</v>
      </c>
      <c r="C542" s="2" t="s">
        <v>2964</v>
      </c>
      <c r="D542" s="2"/>
    </row>
    <row r="543" spans="1:4" x14ac:dyDescent="0.3">
      <c r="A543" s="2" t="s">
        <v>2339</v>
      </c>
      <c r="B543" s="2" t="s">
        <v>266</v>
      </c>
      <c r="C543" s="2" t="s">
        <v>2964</v>
      </c>
      <c r="D543" s="2"/>
    </row>
    <row r="544" spans="1:4" x14ac:dyDescent="0.3">
      <c r="A544" s="2" t="s">
        <v>2340</v>
      </c>
      <c r="B544" s="2" t="s">
        <v>266</v>
      </c>
      <c r="C544" s="2" t="s">
        <v>2964</v>
      </c>
      <c r="D544" s="2"/>
    </row>
    <row r="545" spans="1:4" x14ac:dyDescent="0.3">
      <c r="A545" s="2" t="s">
        <v>2341</v>
      </c>
      <c r="B545" s="2" t="s">
        <v>266</v>
      </c>
      <c r="C545" s="2" t="s">
        <v>2964</v>
      </c>
      <c r="D545" s="2"/>
    </row>
    <row r="546" spans="1:4" x14ac:dyDescent="0.3">
      <c r="A546" s="2" t="s">
        <v>2342</v>
      </c>
      <c r="B546" s="2" t="s">
        <v>266</v>
      </c>
      <c r="C546" s="2" t="s">
        <v>2964</v>
      </c>
      <c r="D546" s="2"/>
    </row>
    <row r="547" spans="1:4" x14ac:dyDescent="0.3">
      <c r="A547" s="2" t="s">
        <v>2343</v>
      </c>
      <c r="B547" s="2" t="s">
        <v>266</v>
      </c>
      <c r="C547" s="2" t="s">
        <v>2964</v>
      </c>
      <c r="D547" s="2"/>
    </row>
    <row r="548" spans="1:4" x14ac:dyDescent="0.3">
      <c r="A548" s="2" t="s">
        <v>2344</v>
      </c>
      <c r="B548" s="2" t="s">
        <v>266</v>
      </c>
      <c r="C548" s="2" t="s">
        <v>2964</v>
      </c>
      <c r="D548" s="2"/>
    </row>
    <row r="549" spans="1:4" x14ac:dyDescent="0.3">
      <c r="A549" s="2" t="s">
        <v>2345</v>
      </c>
      <c r="B549" s="2" t="s">
        <v>266</v>
      </c>
      <c r="C549" s="2" t="s">
        <v>2964</v>
      </c>
      <c r="D549" s="2"/>
    </row>
    <row r="550" spans="1:4" x14ac:dyDescent="0.3">
      <c r="A550" s="2" t="s">
        <v>2346</v>
      </c>
      <c r="B550" s="2" t="s">
        <v>266</v>
      </c>
      <c r="C550" s="2" t="s">
        <v>2964</v>
      </c>
      <c r="D550" s="2"/>
    </row>
    <row r="551" spans="1:4" x14ac:dyDescent="0.3">
      <c r="A551" s="2" t="s">
        <v>2347</v>
      </c>
      <c r="B551" s="2" t="s">
        <v>266</v>
      </c>
      <c r="C551" s="2" t="s">
        <v>2964</v>
      </c>
      <c r="D551" s="2"/>
    </row>
    <row r="552" spans="1:4" x14ac:dyDescent="0.3">
      <c r="A552" s="2" t="s">
        <v>2348</v>
      </c>
      <c r="B552" s="2" t="s">
        <v>266</v>
      </c>
      <c r="C552" s="2" t="s">
        <v>2964</v>
      </c>
      <c r="D552" s="2"/>
    </row>
    <row r="553" spans="1:4" x14ac:dyDescent="0.3">
      <c r="A553" s="2" t="s">
        <v>2349</v>
      </c>
      <c r="B553" s="2" t="s">
        <v>266</v>
      </c>
      <c r="C553" s="2" t="s">
        <v>2964</v>
      </c>
      <c r="D553" s="2"/>
    </row>
    <row r="554" spans="1:4" x14ac:dyDescent="0.3">
      <c r="A554" s="2" t="s">
        <v>2350</v>
      </c>
      <c r="B554" s="2" t="s">
        <v>266</v>
      </c>
      <c r="C554" s="2" t="s">
        <v>2964</v>
      </c>
      <c r="D554" s="2"/>
    </row>
    <row r="555" spans="1:4" x14ac:dyDescent="0.3">
      <c r="A555" s="2" t="s">
        <v>2351</v>
      </c>
      <c r="B555" s="2" t="s">
        <v>266</v>
      </c>
      <c r="C555" s="2" t="s">
        <v>2964</v>
      </c>
      <c r="D555" s="2"/>
    </row>
    <row r="556" spans="1:4" x14ac:dyDescent="0.3">
      <c r="A556" s="2" t="s">
        <v>2352</v>
      </c>
      <c r="B556" s="2" t="s">
        <v>266</v>
      </c>
      <c r="C556" s="2" t="s">
        <v>2964</v>
      </c>
      <c r="D556" s="2"/>
    </row>
    <row r="557" spans="1:4" x14ac:dyDescent="0.3">
      <c r="A557" s="2" t="s">
        <v>2353</v>
      </c>
      <c r="B557" s="2" t="s">
        <v>266</v>
      </c>
      <c r="C557" s="2" t="s">
        <v>2964</v>
      </c>
      <c r="D557" s="2"/>
    </row>
    <row r="558" spans="1:4" x14ac:dyDescent="0.3">
      <c r="A558" s="2" t="s">
        <v>2354</v>
      </c>
      <c r="B558" s="2" t="s">
        <v>266</v>
      </c>
      <c r="C558" s="2" t="s">
        <v>2964</v>
      </c>
      <c r="D558" s="2"/>
    </row>
    <row r="559" spans="1:4" x14ac:dyDescent="0.3">
      <c r="A559" s="2" t="s">
        <v>2355</v>
      </c>
      <c r="B559" s="2" t="s">
        <v>266</v>
      </c>
      <c r="C559" s="2" t="s">
        <v>2964</v>
      </c>
      <c r="D559" s="2"/>
    </row>
    <row r="560" spans="1:4" x14ac:dyDescent="0.3">
      <c r="A560" s="2" t="s">
        <v>2356</v>
      </c>
      <c r="B560" s="2" t="s">
        <v>266</v>
      </c>
      <c r="C560" s="2" t="s">
        <v>2964</v>
      </c>
      <c r="D560" s="2"/>
    </row>
    <row r="561" spans="1:4" x14ac:dyDescent="0.3">
      <c r="A561" s="2" t="s">
        <v>2357</v>
      </c>
      <c r="B561" s="2" t="s">
        <v>266</v>
      </c>
      <c r="C561" s="2" t="s">
        <v>2964</v>
      </c>
      <c r="D561" s="2"/>
    </row>
    <row r="562" spans="1:4" x14ac:dyDescent="0.3">
      <c r="A562" s="2" t="s">
        <v>2358</v>
      </c>
      <c r="B562" s="2" t="s">
        <v>266</v>
      </c>
      <c r="C562" s="2" t="s">
        <v>2964</v>
      </c>
      <c r="D562" s="2"/>
    </row>
    <row r="563" spans="1:4" x14ac:dyDescent="0.3">
      <c r="A563" s="2" t="s">
        <v>2359</v>
      </c>
      <c r="B563" s="2" t="s">
        <v>266</v>
      </c>
      <c r="C563" s="2" t="s">
        <v>2964</v>
      </c>
      <c r="D563" s="2"/>
    </row>
    <row r="564" spans="1:4" x14ac:dyDescent="0.3">
      <c r="A564" s="2" t="s">
        <v>2360</v>
      </c>
      <c r="B564" s="2" t="s">
        <v>266</v>
      </c>
      <c r="C564" s="2" t="s">
        <v>2964</v>
      </c>
      <c r="D564" s="2"/>
    </row>
    <row r="565" spans="1:4" x14ac:dyDescent="0.3">
      <c r="A565" s="2" t="s">
        <v>2361</v>
      </c>
      <c r="B565" s="2" t="s">
        <v>266</v>
      </c>
      <c r="C565" s="2" t="s">
        <v>2964</v>
      </c>
      <c r="D565" s="2"/>
    </row>
    <row r="566" spans="1:4" x14ac:dyDescent="0.3">
      <c r="A566" s="2" t="s">
        <v>2362</v>
      </c>
      <c r="B566" s="2" t="s">
        <v>266</v>
      </c>
      <c r="C566" s="2" t="s">
        <v>2964</v>
      </c>
      <c r="D566" s="2"/>
    </row>
    <row r="567" spans="1:4" x14ac:dyDescent="0.3">
      <c r="A567" s="2" t="s">
        <v>2363</v>
      </c>
      <c r="B567" s="2" t="s">
        <v>266</v>
      </c>
      <c r="C567" s="2" t="s">
        <v>2964</v>
      </c>
      <c r="D567" s="2"/>
    </row>
    <row r="568" spans="1:4" x14ac:dyDescent="0.3">
      <c r="A568" s="2" t="s">
        <v>2364</v>
      </c>
      <c r="B568" s="2" t="s">
        <v>266</v>
      </c>
      <c r="C568" s="2" t="s">
        <v>2964</v>
      </c>
      <c r="D568" s="2"/>
    </row>
    <row r="569" spans="1:4" x14ac:dyDescent="0.3">
      <c r="A569" s="2" t="s">
        <v>2365</v>
      </c>
      <c r="B569" s="2" t="s">
        <v>266</v>
      </c>
      <c r="C569" s="2" t="s">
        <v>2964</v>
      </c>
      <c r="D569" s="2"/>
    </row>
    <row r="570" spans="1:4" x14ac:dyDescent="0.3">
      <c r="A570" s="2" t="s">
        <v>2366</v>
      </c>
      <c r="B570" s="2" t="s">
        <v>266</v>
      </c>
      <c r="C570" s="2" t="s">
        <v>2964</v>
      </c>
      <c r="D570" s="2"/>
    </row>
    <row r="571" spans="1:4" x14ac:dyDescent="0.3">
      <c r="A571" s="2" t="s">
        <v>2367</v>
      </c>
      <c r="B571" s="2" t="s">
        <v>266</v>
      </c>
      <c r="C571" s="2" t="s">
        <v>2964</v>
      </c>
      <c r="D571" s="2"/>
    </row>
    <row r="572" spans="1:4" x14ac:dyDescent="0.3">
      <c r="A572" s="2" t="s">
        <v>2368</v>
      </c>
      <c r="B572" s="2" t="s">
        <v>266</v>
      </c>
      <c r="C572" s="2" t="s">
        <v>2964</v>
      </c>
      <c r="D572" s="2"/>
    </row>
    <row r="573" spans="1:4" x14ac:dyDescent="0.3">
      <c r="A573" s="2" t="s">
        <v>2369</v>
      </c>
      <c r="B573" s="2" t="s">
        <v>266</v>
      </c>
      <c r="C573" s="2" t="s">
        <v>2964</v>
      </c>
      <c r="D573" s="2"/>
    </row>
    <row r="574" spans="1:4" x14ac:dyDescent="0.3">
      <c r="A574" s="2" t="s">
        <v>2370</v>
      </c>
      <c r="B574" s="2" t="s">
        <v>266</v>
      </c>
      <c r="C574" s="2" t="s">
        <v>2964</v>
      </c>
      <c r="D574" s="2"/>
    </row>
    <row r="575" spans="1:4" x14ac:dyDescent="0.3">
      <c r="A575" s="2" t="s">
        <v>2371</v>
      </c>
      <c r="B575" s="2" t="s">
        <v>266</v>
      </c>
      <c r="C575" s="2" t="s">
        <v>2964</v>
      </c>
      <c r="D575" s="2"/>
    </row>
    <row r="576" spans="1:4" x14ac:dyDescent="0.3">
      <c r="A576" s="2" t="s">
        <v>2372</v>
      </c>
      <c r="B576" s="2" t="s">
        <v>266</v>
      </c>
      <c r="C576" s="2" t="s">
        <v>2964</v>
      </c>
      <c r="D576" s="2"/>
    </row>
    <row r="577" spans="1:4" x14ac:dyDescent="0.3">
      <c r="A577" s="2" t="s">
        <v>2373</v>
      </c>
      <c r="B577" s="2" t="s">
        <v>266</v>
      </c>
      <c r="C577" s="2" t="s">
        <v>2964</v>
      </c>
      <c r="D577" s="2"/>
    </row>
    <row r="578" spans="1:4" x14ac:dyDescent="0.3">
      <c r="A578" s="2" t="s">
        <v>2374</v>
      </c>
      <c r="B578" s="2" t="s">
        <v>266</v>
      </c>
      <c r="C578" s="2" t="s">
        <v>2964</v>
      </c>
      <c r="D578" s="2"/>
    </row>
    <row r="579" spans="1:4" x14ac:dyDescent="0.3">
      <c r="A579" s="2" t="s">
        <v>2375</v>
      </c>
      <c r="B579" s="2" t="s">
        <v>266</v>
      </c>
      <c r="C579" s="2" t="s">
        <v>2964</v>
      </c>
      <c r="D579" s="2"/>
    </row>
    <row r="580" spans="1:4" x14ac:dyDescent="0.3">
      <c r="A580" s="2" t="s">
        <v>2376</v>
      </c>
      <c r="B580" s="2" t="s">
        <v>266</v>
      </c>
      <c r="C580" s="2" t="s">
        <v>2964</v>
      </c>
      <c r="D580" s="2"/>
    </row>
    <row r="581" spans="1:4" x14ac:dyDescent="0.3">
      <c r="A581" s="2" t="s">
        <v>2377</v>
      </c>
      <c r="B581" s="2" t="s">
        <v>266</v>
      </c>
      <c r="C581" s="2" t="s">
        <v>2964</v>
      </c>
      <c r="D581" s="2"/>
    </row>
    <row r="582" spans="1:4" x14ac:dyDescent="0.3">
      <c r="A582" s="2" t="s">
        <v>2378</v>
      </c>
      <c r="B582" s="2" t="s">
        <v>266</v>
      </c>
      <c r="C582" s="2" t="s">
        <v>2964</v>
      </c>
      <c r="D582" s="2"/>
    </row>
    <row r="583" spans="1:4" x14ac:dyDescent="0.3">
      <c r="A583" s="2" t="s">
        <v>2379</v>
      </c>
      <c r="B583" s="2" t="s">
        <v>266</v>
      </c>
      <c r="C583" s="2" t="s">
        <v>2964</v>
      </c>
      <c r="D583" s="2"/>
    </row>
    <row r="584" spans="1:4" x14ac:dyDescent="0.3">
      <c r="A584" s="2" t="s">
        <v>2380</v>
      </c>
      <c r="B584" s="2" t="s">
        <v>266</v>
      </c>
      <c r="C584" s="2" t="s">
        <v>2964</v>
      </c>
      <c r="D584" s="2"/>
    </row>
    <row r="585" spans="1:4" x14ac:dyDescent="0.3">
      <c r="A585" s="2" t="s">
        <v>2381</v>
      </c>
      <c r="B585" s="2" t="s">
        <v>266</v>
      </c>
      <c r="C585" s="2" t="s">
        <v>2964</v>
      </c>
      <c r="D585" s="2"/>
    </row>
    <row r="586" spans="1:4" x14ac:dyDescent="0.3">
      <c r="A586" s="2" t="s">
        <v>2382</v>
      </c>
      <c r="B586" s="2" t="s">
        <v>266</v>
      </c>
      <c r="C586" s="2" t="s">
        <v>2964</v>
      </c>
      <c r="D586" s="2"/>
    </row>
    <row r="587" spans="1:4" x14ac:dyDescent="0.3">
      <c r="A587" s="2" t="s">
        <v>2383</v>
      </c>
      <c r="B587" s="2" t="s">
        <v>266</v>
      </c>
      <c r="C587" s="2" t="s">
        <v>2964</v>
      </c>
      <c r="D587" s="2"/>
    </row>
    <row r="588" spans="1:4" x14ac:dyDescent="0.3">
      <c r="A588" s="2" t="s">
        <v>2384</v>
      </c>
      <c r="B588" s="2" t="s">
        <v>266</v>
      </c>
      <c r="C588" s="2" t="s">
        <v>2964</v>
      </c>
      <c r="D588" s="2"/>
    </row>
    <row r="589" spans="1:4" x14ac:dyDescent="0.3">
      <c r="A589" s="2" t="s">
        <v>2385</v>
      </c>
      <c r="B589" s="2" t="s">
        <v>266</v>
      </c>
      <c r="C589" s="2" t="s">
        <v>2964</v>
      </c>
      <c r="D589" s="2"/>
    </row>
    <row r="590" spans="1:4" x14ac:dyDescent="0.3">
      <c r="A590" s="2" t="s">
        <v>2386</v>
      </c>
      <c r="B590" s="2" t="s">
        <v>266</v>
      </c>
      <c r="C590" s="2" t="s">
        <v>2964</v>
      </c>
      <c r="D590" s="2"/>
    </row>
    <row r="591" spans="1:4" x14ac:dyDescent="0.3">
      <c r="A591" s="2" t="s">
        <v>2387</v>
      </c>
      <c r="B591" s="2" t="s">
        <v>266</v>
      </c>
      <c r="C591" s="2" t="s">
        <v>2964</v>
      </c>
      <c r="D591" s="2"/>
    </row>
    <row r="592" spans="1:4" x14ac:dyDescent="0.3">
      <c r="A592" s="2" t="s">
        <v>2388</v>
      </c>
      <c r="B592" s="2" t="s">
        <v>266</v>
      </c>
      <c r="C592" s="2" t="s">
        <v>2964</v>
      </c>
      <c r="D592" s="2"/>
    </row>
    <row r="593" spans="1:4" x14ac:dyDescent="0.3">
      <c r="A593" s="2" t="s">
        <v>2389</v>
      </c>
      <c r="B593" s="2" t="s">
        <v>266</v>
      </c>
      <c r="C593" s="2" t="s">
        <v>2964</v>
      </c>
      <c r="D593" s="2"/>
    </row>
    <row r="594" spans="1:4" x14ac:dyDescent="0.3">
      <c r="A594" s="2" t="s">
        <v>2390</v>
      </c>
      <c r="B594" s="2" t="s">
        <v>266</v>
      </c>
      <c r="C594" s="2" t="s">
        <v>2964</v>
      </c>
      <c r="D594" s="2"/>
    </row>
    <row r="595" spans="1:4" x14ac:dyDescent="0.3">
      <c r="A595" s="2" t="s">
        <v>2391</v>
      </c>
      <c r="B595" s="2" t="s">
        <v>266</v>
      </c>
      <c r="C595" s="2" t="s">
        <v>2964</v>
      </c>
      <c r="D595" s="2"/>
    </row>
    <row r="596" spans="1:4" x14ac:dyDescent="0.3">
      <c r="A596" s="2" t="s">
        <v>2392</v>
      </c>
      <c r="B596" s="2" t="s">
        <v>266</v>
      </c>
      <c r="C596" s="2" t="s">
        <v>2964</v>
      </c>
      <c r="D596" s="2"/>
    </row>
    <row r="597" spans="1:4" x14ac:dyDescent="0.3">
      <c r="A597" s="2" t="s">
        <v>2393</v>
      </c>
      <c r="B597" s="2" t="s">
        <v>266</v>
      </c>
      <c r="C597" s="2" t="s">
        <v>2964</v>
      </c>
      <c r="D597" s="2"/>
    </row>
    <row r="598" spans="1:4" x14ac:dyDescent="0.3">
      <c r="A598" s="2" t="s">
        <v>2394</v>
      </c>
      <c r="B598" s="2" t="s">
        <v>266</v>
      </c>
      <c r="C598" s="2" t="s">
        <v>2964</v>
      </c>
      <c r="D598" s="2"/>
    </row>
    <row r="599" spans="1:4" x14ac:dyDescent="0.3">
      <c r="A599" s="2" t="s">
        <v>2395</v>
      </c>
      <c r="B599" s="2" t="s">
        <v>266</v>
      </c>
      <c r="C599" s="2" t="s">
        <v>2964</v>
      </c>
      <c r="D599" s="2"/>
    </row>
    <row r="600" spans="1:4" x14ac:dyDescent="0.3">
      <c r="A600" s="2" t="s">
        <v>2396</v>
      </c>
      <c r="B600" s="2" t="s">
        <v>266</v>
      </c>
      <c r="C600" s="2" t="s">
        <v>2964</v>
      </c>
      <c r="D600" s="2"/>
    </row>
    <row r="601" spans="1:4" x14ac:dyDescent="0.3">
      <c r="A601" s="2" t="s">
        <v>2397</v>
      </c>
      <c r="B601" s="2" t="s">
        <v>266</v>
      </c>
      <c r="C601" s="2" t="s">
        <v>2964</v>
      </c>
      <c r="D601" s="2"/>
    </row>
    <row r="602" spans="1:4" x14ac:dyDescent="0.3">
      <c r="A602" s="2" t="s">
        <v>2398</v>
      </c>
      <c r="B602" s="2" t="s">
        <v>266</v>
      </c>
      <c r="C602" s="2" t="s">
        <v>2964</v>
      </c>
      <c r="D602" s="2"/>
    </row>
    <row r="603" spans="1:4" x14ac:dyDescent="0.3">
      <c r="A603" s="2" t="s">
        <v>2399</v>
      </c>
      <c r="B603" s="2" t="s">
        <v>266</v>
      </c>
      <c r="C603" s="2" t="s">
        <v>2964</v>
      </c>
      <c r="D603" s="2"/>
    </row>
    <row r="604" spans="1:4" x14ac:dyDescent="0.3">
      <c r="A604" s="2" t="s">
        <v>2400</v>
      </c>
      <c r="B604" s="2" t="s">
        <v>266</v>
      </c>
      <c r="C604" s="2" t="s">
        <v>2964</v>
      </c>
      <c r="D604" s="2"/>
    </row>
    <row r="605" spans="1:4" x14ac:dyDescent="0.3">
      <c r="A605" s="2" t="s">
        <v>2401</v>
      </c>
      <c r="B605" s="2" t="s">
        <v>266</v>
      </c>
      <c r="C605" s="2" t="s">
        <v>2964</v>
      </c>
      <c r="D605" s="2"/>
    </row>
    <row r="606" spans="1:4" x14ac:dyDescent="0.3">
      <c r="A606" s="2" t="s">
        <v>2402</v>
      </c>
      <c r="B606" s="2" t="s">
        <v>266</v>
      </c>
      <c r="C606" s="2" t="s">
        <v>2964</v>
      </c>
      <c r="D606" s="2"/>
    </row>
    <row r="607" spans="1:4" x14ac:dyDescent="0.3">
      <c r="A607" s="2" t="s">
        <v>2403</v>
      </c>
      <c r="B607" s="2" t="s">
        <v>266</v>
      </c>
      <c r="C607" s="2" t="s">
        <v>2964</v>
      </c>
      <c r="D607" s="2"/>
    </row>
    <row r="608" spans="1:4" x14ac:dyDescent="0.3">
      <c r="A608" s="2" t="s">
        <v>2404</v>
      </c>
      <c r="B608" s="2" t="s">
        <v>266</v>
      </c>
      <c r="C608" s="2" t="s">
        <v>2964</v>
      </c>
      <c r="D608" s="2"/>
    </row>
    <row r="609" spans="1:4" x14ac:dyDescent="0.3">
      <c r="A609" s="2" t="s">
        <v>2405</v>
      </c>
      <c r="B609" s="2" t="s">
        <v>266</v>
      </c>
      <c r="C609" s="2" t="s">
        <v>2964</v>
      </c>
      <c r="D609" s="2"/>
    </row>
    <row r="610" spans="1:4" x14ac:dyDescent="0.3">
      <c r="A610" s="2" t="s">
        <v>2406</v>
      </c>
      <c r="B610" s="2" t="s">
        <v>266</v>
      </c>
      <c r="C610" s="2" t="s">
        <v>2964</v>
      </c>
      <c r="D610" s="2"/>
    </row>
    <row r="611" spans="1:4" x14ac:dyDescent="0.3">
      <c r="A611" s="2" t="s">
        <v>2407</v>
      </c>
      <c r="B611" s="2" t="s">
        <v>266</v>
      </c>
      <c r="C611" s="2" t="s">
        <v>2964</v>
      </c>
      <c r="D611" s="2"/>
    </row>
    <row r="612" spans="1:4" x14ac:dyDescent="0.3">
      <c r="A612" s="2" t="s">
        <v>2408</v>
      </c>
      <c r="B612" s="2" t="s">
        <v>266</v>
      </c>
      <c r="C612" s="2" t="s">
        <v>2964</v>
      </c>
      <c r="D612" s="2"/>
    </row>
    <row r="613" spans="1:4" x14ac:dyDescent="0.3">
      <c r="A613" s="2" t="s">
        <v>2409</v>
      </c>
      <c r="B613" s="2" t="s">
        <v>266</v>
      </c>
      <c r="C613" s="2" t="s">
        <v>2964</v>
      </c>
      <c r="D613" s="2"/>
    </row>
    <row r="614" spans="1:4" x14ac:dyDescent="0.3">
      <c r="A614" s="2" t="s">
        <v>2410</v>
      </c>
      <c r="B614" s="2" t="s">
        <v>266</v>
      </c>
      <c r="C614" s="2" t="s">
        <v>2964</v>
      </c>
      <c r="D614" s="2"/>
    </row>
    <row r="615" spans="1:4" x14ac:dyDescent="0.3">
      <c r="A615" s="2" t="s">
        <v>2411</v>
      </c>
      <c r="B615" s="2" t="s">
        <v>266</v>
      </c>
      <c r="C615" s="2" t="s">
        <v>2964</v>
      </c>
      <c r="D615" s="2"/>
    </row>
    <row r="616" spans="1:4" x14ac:dyDescent="0.3">
      <c r="A616" s="2" t="s">
        <v>2412</v>
      </c>
      <c r="B616" s="2" t="s">
        <v>266</v>
      </c>
      <c r="C616" s="2" t="s">
        <v>2964</v>
      </c>
      <c r="D616" s="2"/>
    </row>
    <row r="617" spans="1:4" x14ac:dyDescent="0.3">
      <c r="A617" s="2" t="s">
        <v>2413</v>
      </c>
      <c r="B617" s="2" t="s">
        <v>266</v>
      </c>
      <c r="C617" s="2" t="s">
        <v>2964</v>
      </c>
      <c r="D617" s="2"/>
    </row>
    <row r="618" spans="1:4" x14ac:dyDescent="0.3">
      <c r="A618" s="2" t="s">
        <v>2414</v>
      </c>
      <c r="B618" s="2" t="s">
        <v>266</v>
      </c>
      <c r="C618" s="2" t="s">
        <v>2964</v>
      </c>
      <c r="D618" s="2"/>
    </row>
    <row r="619" spans="1:4" x14ac:dyDescent="0.3">
      <c r="A619" s="2" t="s">
        <v>2415</v>
      </c>
      <c r="B619" s="2" t="s">
        <v>266</v>
      </c>
      <c r="C619" s="2" t="s">
        <v>2964</v>
      </c>
      <c r="D619" s="2"/>
    </row>
    <row r="620" spans="1:4" x14ac:dyDescent="0.3">
      <c r="A620" s="2" t="s">
        <v>2416</v>
      </c>
      <c r="B620" s="2" t="s">
        <v>266</v>
      </c>
      <c r="C620" s="2" t="s">
        <v>2964</v>
      </c>
      <c r="D620" s="2"/>
    </row>
    <row r="621" spans="1:4" x14ac:dyDescent="0.3">
      <c r="A621" s="2" t="s">
        <v>2417</v>
      </c>
      <c r="B621" s="2" t="s">
        <v>266</v>
      </c>
      <c r="C621" s="2" t="s">
        <v>2964</v>
      </c>
      <c r="D621" s="2"/>
    </row>
    <row r="622" spans="1:4" x14ac:dyDescent="0.3">
      <c r="A622" s="2" t="s">
        <v>2418</v>
      </c>
      <c r="B622" s="2" t="s">
        <v>266</v>
      </c>
      <c r="C622" s="2" t="s">
        <v>2964</v>
      </c>
      <c r="D622" s="2"/>
    </row>
    <row r="623" spans="1:4" x14ac:dyDescent="0.3">
      <c r="A623" s="2" t="s">
        <v>2419</v>
      </c>
      <c r="B623" s="2" t="s">
        <v>266</v>
      </c>
      <c r="C623" s="2" t="s">
        <v>2964</v>
      </c>
      <c r="D623" s="2"/>
    </row>
    <row r="624" spans="1:4" x14ac:dyDescent="0.3">
      <c r="A624" s="2" t="s">
        <v>2420</v>
      </c>
      <c r="B624" s="2" t="s">
        <v>266</v>
      </c>
      <c r="C624" s="2" t="s">
        <v>2964</v>
      </c>
      <c r="D624" s="2"/>
    </row>
    <row r="625" spans="1:4" x14ac:dyDescent="0.3">
      <c r="A625" s="2" t="s">
        <v>2421</v>
      </c>
      <c r="B625" s="2" t="s">
        <v>266</v>
      </c>
      <c r="C625" s="2" t="s">
        <v>2964</v>
      </c>
      <c r="D625" s="2"/>
    </row>
    <row r="626" spans="1:4" x14ac:dyDescent="0.3">
      <c r="A626" s="2" t="s">
        <v>2422</v>
      </c>
      <c r="B626" s="2" t="s">
        <v>266</v>
      </c>
      <c r="C626" s="2" t="s">
        <v>2964</v>
      </c>
      <c r="D626" s="2"/>
    </row>
    <row r="627" spans="1:4" x14ac:dyDescent="0.3">
      <c r="A627" s="2" t="s">
        <v>2423</v>
      </c>
      <c r="B627" s="2" t="s">
        <v>266</v>
      </c>
      <c r="C627" s="2" t="s">
        <v>2964</v>
      </c>
      <c r="D627" s="2"/>
    </row>
    <row r="628" spans="1:4" x14ac:dyDescent="0.3">
      <c r="A628" s="2" t="s">
        <v>2424</v>
      </c>
      <c r="B628" s="2" t="s">
        <v>266</v>
      </c>
      <c r="C628" s="2" t="s">
        <v>2964</v>
      </c>
      <c r="D628" s="2"/>
    </row>
    <row r="629" spans="1:4" x14ac:dyDescent="0.3">
      <c r="A629" s="2" t="s">
        <v>2425</v>
      </c>
      <c r="B629" s="2" t="s">
        <v>266</v>
      </c>
      <c r="C629" s="2" t="s">
        <v>2964</v>
      </c>
      <c r="D629" s="2"/>
    </row>
    <row r="630" spans="1:4" x14ac:dyDescent="0.3">
      <c r="A630" s="2" t="s">
        <v>2426</v>
      </c>
      <c r="B630" s="2" t="s">
        <v>266</v>
      </c>
      <c r="C630" s="2" t="s">
        <v>2964</v>
      </c>
      <c r="D630" s="2"/>
    </row>
    <row r="631" spans="1:4" x14ac:dyDescent="0.3">
      <c r="A631" s="2" t="s">
        <v>2427</v>
      </c>
      <c r="B631" s="2" t="s">
        <v>266</v>
      </c>
      <c r="C631" s="2" t="s">
        <v>2964</v>
      </c>
      <c r="D631" s="2"/>
    </row>
    <row r="632" spans="1:4" x14ac:dyDescent="0.3">
      <c r="A632" s="2" t="s">
        <v>2428</v>
      </c>
      <c r="B632" s="2" t="s">
        <v>266</v>
      </c>
      <c r="C632" s="2" t="s">
        <v>2964</v>
      </c>
      <c r="D632" s="2"/>
    </row>
    <row r="633" spans="1:4" x14ac:dyDescent="0.3">
      <c r="A633" s="2" t="s">
        <v>2429</v>
      </c>
      <c r="B633" s="2" t="s">
        <v>266</v>
      </c>
      <c r="C633" s="2" t="s">
        <v>2964</v>
      </c>
      <c r="D633" s="2"/>
    </row>
    <row r="634" spans="1:4" x14ac:dyDescent="0.3">
      <c r="A634" s="2" t="s">
        <v>2430</v>
      </c>
      <c r="B634" s="2" t="s">
        <v>266</v>
      </c>
      <c r="C634" s="2" t="s">
        <v>2964</v>
      </c>
      <c r="D634" s="2"/>
    </row>
    <row r="635" spans="1:4" x14ac:dyDescent="0.3">
      <c r="A635" s="2" t="s">
        <v>2431</v>
      </c>
      <c r="B635" s="2" t="s">
        <v>266</v>
      </c>
      <c r="C635" s="2" t="s">
        <v>2964</v>
      </c>
      <c r="D635" s="2"/>
    </row>
    <row r="636" spans="1:4" x14ac:dyDescent="0.3">
      <c r="A636" s="2" t="s">
        <v>2432</v>
      </c>
      <c r="B636" s="2" t="s">
        <v>266</v>
      </c>
      <c r="C636" s="2" t="s">
        <v>2964</v>
      </c>
      <c r="D636" s="2"/>
    </row>
    <row r="637" spans="1:4" x14ac:dyDescent="0.3">
      <c r="A637" s="2" t="s">
        <v>2433</v>
      </c>
      <c r="B637" s="2" t="s">
        <v>266</v>
      </c>
      <c r="C637" s="2" t="s">
        <v>2964</v>
      </c>
      <c r="D637" s="2"/>
    </row>
    <row r="638" spans="1:4" x14ac:dyDescent="0.3">
      <c r="A638" s="2" t="s">
        <v>2434</v>
      </c>
      <c r="B638" s="2" t="s">
        <v>266</v>
      </c>
      <c r="C638" s="2" t="s">
        <v>2964</v>
      </c>
      <c r="D638" s="2"/>
    </row>
    <row r="639" spans="1:4" x14ac:dyDescent="0.3">
      <c r="A639" s="2" t="s">
        <v>2435</v>
      </c>
      <c r="B639" s="2" t="s">
        <v>266</v>
      </c>
      <c r="C639" s="2" t="s">
        <v>2964</v>
      </c>
      <c r="D639" s="2"/>
    </row>
    <row r="640" spans="1:4" x14ac:dyDescent="0.3">
      <c r="A640" s="2" t="s">
        <v>2436</v>
      </c>
      <c r="B640" s="2" t="s">
        <v>266</v>
      </c>
      <c r="C640" s="2" t="s">
        <v>2964</v>
      </c>
      <c r="D640" s="2"/>
    </row>
    <row r="641" spans="1:4" x14ac:dyDescent="0.3">
      <c r="A641" s="2" t="s">
        <v>2437</v>
      </c>
      <c r="B641" s="2" t="s">
        <v>266</v>
      </c>
      <c r="C641" s="2" t="s">
        <v>2964</v>
      </c>
      <c r="D641" s="2"/>
    </row>
    <row r="642" spans="1:4" x14ac:dyDescent="0.3">
      <c r="A642" s="2" t="s">
        <v>2438</v>
      </c>
      <c r="B642" s="2" t="s">
        <v>266</v>
      </c>
      <c r="C642" s="2" t="s">
        <v>2964</v>
      </c>
      <c r="D642" s="2"/>
    </row>
    <row r="643" spans="1:4" x14ac:dyDescent="0.3">
      <c r="A643" s="2" t="s">
        <v>2439</v>
      </c>
      <c r="B643" s="2" t="s">
        <v>266</v>
      </c>
      <c r="C643" s="2" t="s">
        <v>2964</v>
      </c>
      <c r="D643" s="2"/>
    </row>
    <row r="644" spans="1:4" x14ac:dyDescent="0.3">
      <c r="A644" s="2" t="s">
        <v>2440</v>
      </c>
      <c r="B644" s="2" t="s">
        <v>266</v>
      </c>
      <c r="C644" s="2" t="s">
        <v>2964</v>
      </c>
      <c r="D644" s="2"/>
    </row>
    <row r="645" spans="1:4" x14ac:dyDescent="0.3">
      <c r="A645" s="2" t="s">
        <v>2441</v>
      </c>
      <c r="B645" s="2" t="s">
        <v>266</v>
      </c>
      <c r="C645" s="2" t="s">
        <v>2964</v>
      </c>
      <c r="D645" s="2"/>
    </row>
    <row r="646" spans="1:4" x14ac:dyDescent="0.3">
      <c r="A646" s="2" t="s">
        <v>2442</v>
      </c>
      <c r="B646" s="2" t="s">
        <v>266</v>
      </c>
      <c r="C646" s="2" t="s">
        <v>2964</v>
      </c>
      <c r="D646" s="2"/>
    </row>
    <row r="647" spans="1:4" x14ac:dyDescent="0.3">
      <c r="A647" s="2" t="s">
        <v>2443</v>
      </c>
      <c r="B647" s="2" t="s">
        <v>266</v>
      </c>
      <c r="C647" s="2" t="s">
        <v>2964</v>
      </c>
      <c r="D647" s="2"/>
    </row>
    <row r="648" spans="1:4" x14ac:dyDescent="0.3">
      <c r="A648" s="2" t="s">
        <v>2444</v>
      </c>
      <c r="B648" s="2" t="s">
        <v>266</v>
      </c>
      <c r="C648" s="2" t="s">
        <v>2964</v>
      </c>
      <c r="D648" s="2"/>
    </row>
    <row r="649" spans="1:4" x14ac:dyDescent="0.3">
      <c r="A649" s="2" t="s">
        <v>2445</v>
      </c>
      <c r="B649" s="2" t="s">
        <v>266</v>
      </c>
      <c r="C649" s="2" t="s">
        <v>2964</v>
      </c>
      <c r="D649" s="2"/>
    </row>
    <row r="650" spans="1:4" x14ac:dyDescent="0.3">
      <c r="A650" s="2" t="s">
        <v>2446</v>
      </c>
      <c r="B650" s="2" t="s">
        <v>266</v>
      </c>
      <c r="C650" s="2" t="s">
        <v>2964</v>
      </c>
      <c r="D650" s="2"/>
    </row>
    <row r="651" spans="1:4" x14ac:dyDescent="0.3">
      <c r="A651" s="2" t="s">
        <v>2447</v>
      </c>
      <c r="B651" s="2" t="s">
        <v>266</v>
      </c>
      <c r="C651" s="2" t="s">
        <v>2964</v>
      </c>
      <c r="D651" s="2"/>
    </row>
    <row r="652" spans="1:4" x14ac:dyDescent="0.3">
      <c r="A652" s="2" t="s">
        <v>2448</v>
      </c>
      <c r="B652" s="2" t="s">
        <v>266</v>
      </c>
      <c r="C652" s="2" t="s">
        <v>2964</v>
      </c>
      <c r="D652" s="2"/>
    </row>
    <row r="653" spans="1:4" x14ac:dyDescent="0.3">
      <c r="A653" s="2" t="s">
        <v>2449</v>
      </c>
      <c r="B653" s="2" t="s">
        <v>266</v>
      </c>
      <c r="C653" s="2" t="s">
        <v>2964</v>
      </c>
      <c r="D653" s="2"/>
    </row>
    <row r="654" spans="1:4" x14ac:dyDescent="0.3">
      <c r="A654" s="2" t="s">
        <v>2450</v>
      </c>
      <c r="B654" s="2" t="s">
        <v>266</v>
      </c>
      <c r="C654" s="2" t="s">
        <v>2964</v>
      </c>
      <c r="D654" s="2"/>
    </row>
    <row r="655" spans="1:4" x14ac:dyDescent="0.3">
      <c r="A655" s="2" t="s">
        <v>2451</v>
      </c>
      <c r="B655" s="2" t="s">
        <v>266</v>
      </c>
      <c r="C655" s="2" t="s">
        <v>2964</v>
      </c>
      <c r="D655" s="2"/>
    </row>
    <row r="656" spans="1:4" x14ac:dyDescent="0.3">
      <c r="A656" s="2" t="s">
        <v>2452</v>
      </c>
      <c r="B656" s="2" t="s">
        <v>266</v>
      </c>
      <c r="C656" s="2" t="s">
        <v>2964</v>
      </c>
      <c r="D656" s="2"/>
    </row>
    <row r="657" spans="1:4" x14ac:dyDescent="0.3">
      <c r="A657" s="2" t="s">
        <v>2453</v>
      </c>
      <c r="B657" s="2" t="s">
        <v>266</v>
      </c>
      <c r="C657" s="2" t="s">
        <v>2964</v>
      </c>
      <c r="D657" s="2"/>
    </row>
    <row r="658" spans="1:4" x14ac:dyDescent="0.3">
      <c r="A658" s="2" t="s">
        <v>2454</v>
      </c>
      <c r="B658" s="2" t="s">
        <v>266</v>
      </c>
      <c r="C658" s="2" t="s">
        <v>2964</v>
      </c>
      <c r="D658" s="2"/>
    </row>
    <row r="659" spans="1:4" x14ac:dyDescent="0.3">
      <c r="A659" s="2" t="s">
        <v>2455</v>
      </c>
      <c r="B659" s="2" t="s">
        <v>266</v>
      </c>
      <c r="C659" s="2" t="s">
        <v>2964</v>
      </c>
      <c r="D659" s="2"/>
    </row>
    <row r="660" spans="1:4" x14ac:dyDescent="0.3">
      <c r="A660" s="2" t="s">
        <v>2456</v>
      </c>
      <c r="B660" s="2" t="s">
        <v>266</v>
      </c>
      <c r="C660" s="2" t="s">
        <v>2964</v>
      </c>
      <c r="D660" s="2"/>
    </row>
    <row r="661" spans="1:4" x14ac:dyDescent="0.3">
      <c r="A661" s="2" t="s">
        <v>2457</v>
      </c>
      <c r="B661" s="2" t="s">
        <v>266</v>
      </c>
      <c r="C661" s="2" t="s">
        <v>2964</v>
      </c>
      <c r="D661" s="2"/>
    </row>
    <row r="662" spans="1:4" x14ac:dyDescent="0.3">
      <c r="A662" s="2" t="s">
        <v>2458</v>
      </c>
      <c r="B662" s="2" t="s">
        <v>266</v>
      </c>
      <c r="C662" s="2" t="s">
        <v>2964</v>
      </c>
      <c r="D662" s="2"/>
    </row>
    <row r="663" spans="1:4" x14ac:dyDescent="0.3">
      <c r="A663" s="2" t="s">
        <v>2459</v>
      </c>
      <c r="B663" s="2" t="s">
        <v>266</v>
      </c>
      <c r="C663" s="2" t="s">
        <v>2964</v>
      </c>
      <c r="D663" s="2"/>
    </row>
    <row r="664" spans="1:4" x14ac:dyDescent="0.3">
      <c r="A664" s="2" t="s">
        <v>2460</v>
      </c>
      <c r="B664" s="2" t="s">
        <v>266</v>
      </c>
      <c r="C664" s="2" t="s">
        <v>2964</v>
      </c>
      <c r="D664" s="2"/>
    </row>
    <row r="665" spans="1:4" x14ac:dyDescent="0.3">
      <c r="A665" s="2" t="s">
        <v>2461</v>
      </c>
      <c r="B665" s="2" t="s">
        <v>266</v>
      </c>
      <c r="C665" s="2" t="s">
        <v>2964</v>
      </c>
      <c r="D665" s="2"/>
    </row>
    <row r="666" spans="1:4" x14ac:dyDescent="0.3">
      <c r="A666" s="2" t="s">
        <v>2462</v>
      </c>
      <c r="B666" s="2" t="s">
        <v>266</v>
      </c>
      <c r="C666" s="2" t="s">
        <v>2964</v>
      </c>
      <c r="D666" s="2"/>
    </row>
    <row r="667" spans="1:4" x14ac:dyDescent="0.3">
      <c r="A667" s="2" t="s">
        <v>2463</v>
      </c>
      <c r="B667" s="2" t="s">
        <v>266</v>
      </c>
      <c r="C667" s="2" t="s">
        <v>2964</v>
      </c>
      <c r="D667" s="2"/>
    </row>
    <row r="668" spans="1:4" x14ac:dyDescent="0.3">
      <c r="A668" s="2" t="s">
        <v>2464</v>
      </c>
      <c r="B668" s="2" t="s">
        <v>266</v>
      </c>
      <c r="C668" s="2" t="s">
        <v>2964</v>
      </c>
      <c r="D668" s="2"/>
    </row>
    <row r="669" spans="1:4" x14ac:dyDescent="0.3">
      <c r="A669" s="2" t="s">
        <v>2465</v>
      </c>
      <c r="B669" s="2" t="s">
        <v>266</v>
      </c>
      <c r="C669" s="2" t="s">
        <v>2964</v>
      </c>
      <c r="D669" s="2"/>
    </row>
    <row r="670" spans="1:4" x14ac:dyDescent="0.3">
      <c r="A670" s="2" t="s">
        <v>2466</v>
      </c>
      <c r="B670" s="2" t="s">
        <v>266</v>
      </c>
      <c r="C670" s="2" t="s">
        <v>2964</v>
      </c>
      <c r="D670" s="2"/>
    </row>
    <row r="671" spans="1:4" x14ac:dyDescent="0.3">
      <c r="A671" s="2" t="s">
        <v>2467</v>
      </c>
      <c r="B671" s="2" t="s">
        <v>266</v>
      </c>
      <c r="C671" s="2" t="s">
        <v>2964</v>
      </c>
      <c r="D671" s="2"/>
    </row>
    <row r="672" spans="1:4" x14ac:dyDescent="0.3">
      <c r="A672" s="2" t="s">
        <v>2468</v>
      </c>
      <c r="B672" s="2" t="s">
        <v>266</v>
      </c>
      <c r="C672" s="2" t="s">
        <v>2964</v>
      </c>
      <c r="D672" s="2"/>
    </row>
    <row r="673" spans="1:4" x14ac:dyDescent="0.3">
      <c r="A673" s="2" t="s">
        <v>2469</v>
      </c>
      <c r="B673" s="2" t="s">
        <v>266</v>
      </c>
      <c r="C673" s="2" t="s">
        <v>2964</v>
      </c>
      <c r="D673" s="2"/>
    </row>
    <row r="674" spans="1:4" x14ac:dyDescent="0.3">
      <c r="A674" s="2" t="s">
        <v>2470</v>
      </c>
      <c r="B674" s="2" t="s">
        <v>266</v>
      </c>
      <c r="C674" s="2" t="s">
        <v>2964</v>
      </c>
      <c r="D674" s="2"/>
    </row>
    <row r="675" spans="1:4" x14ac:dyDescent="0.3">
      <c r="A675" s="2" t="s">
        <v>2471</v>
      </c>
      <c r="B675" s="2" t="s">
        <v>266</v>
      </c>
      <c r="C675" s="2" t="s">
        <v>2964</v>
      </c>
      <c r="D675" s="2"/>
    </row>
    <row r="676" spans="1:4" x14ac:dyDescent="0.3">
      <c r="A676" s="2" t="s">
        <v>2472</v>
      </c>
      <c r="B676" s="2" t="s">
        <v>266</v>
      </c>
      <c r="C676" s="2" t="s">
        <v>2964</v>
      </c>
      <c r="D676" s="2"/>
    </row>
    <row r="677" spans="1:4" x14ac:dyDescent="0.3">
      <c r="A677" s="2" t="s">
        <v>2473</v>
      </c>
      <c r="B677" s="2" t="s">
        <v>266</v>
      </c>
      <c r="C677" s="2" t="s">
        <v>2964</v>
      </c>
      <c r="D677" s="2"/>
    </row>
    <row r="678" spans="1:4" x14ac:dyDescent="0.3">
      <c r="A678" s="2" t="s">
        <v>2474</v>
      </c>
      <c r="B678" s="2" t="s">
        <v>266</v>
      </c>
      <c r="C678" s="2" t="s">
        <v>2964</v>
      </c>
      <c r="D678" s="2"/>
    </row>
    <row r="679" spans="1:4" x14ac:dyDescent="0.3">
      <c r="A679" s="2" t="s">
        <v>2475</v>
      </c>
      <c r="B679" s="2" t="s">
        <v>266</v>
      </c>
      <c r="C679" s="2" t="s">
        <v>2964</v>
      </c>
      <c r="D679" s="2"/>
    </row>
    <row r="680" spans="1:4" x14ac:dyDescent="0.3">
      <c r="A680" s="2" t="s">
        <v>2476</v>
      </c>
      <c r="B680" s="2" t="s">
        <v>266</v>
      </c>
      <c r="C680" s="2" t="s">
        <v>2964</v>
      </c>
      <c r="D680" s="2"/>
    </row>
    <row r="681" spans="1:4" x14ac:dyDescent="0.3">
      <c r="A681" s="2" t="s">
        <v>2477</v>
      </c>
      <c r="B681" s="2" t="s">
        <v>266</v>
      </c>
      <c r="C681" s="2" t="s">
        <v>2964</v>
      </c>
      <c r="D681" s="2"/>
    </row>
    <row r="682" spans="1:4" x14ac:dyDescent="0.3">
      <c r="A682" s="2" t="s">
        <v>2478</v>
      </c>
      <c r="B682" s="2" t="s">
        <v>266</v>
      </c>
      <c r="C682" s="2" t="s">
        <v>2964</v>
      </c>
      <c r="D682" s="2"/>
    </row>
    <row r="683" spans="1:4" x14ac:dyDescent="0.3">
      <c r="A683" s="2" t="s">
        <v>2479</v>
      </c>
      <c r="B683" s="2" t="s">
        <v>266</v>
      </c>
      <c r="C683" s="2" t="s">
        <v>2964</v>
      </c>
      <c r="D683" s="2"/>
    </row>
    <row r="684" spans="1:4" x14ac:dyDescent="0.3">
      <c r="A684" s="2" t="s">
        <v>2480</v>
      </c>
      <c r="B684" s="2" t="s">
        <v>266</v>
      </c>
      <c r="C684" s="2" t="s">
        <v>2964</v>
      </c>
      <c r="D684" s="2"/>
    </row>
    <row r="685" spans="1:4" x14ac:dyDescent="0.3">
      <c r="A685" s="2" t="s">
        <v>2481</v>
      </c>
      <c r="B685" s="2" t="s">
        <v>266</v>
      </c>
      <c r="C685" s="2" t="s">
        <v>2964</v>
      </c>
      <c r="D685" s="2"/>
    </row>
    <row r="686" spans="1:4" x14ac:dyDescent="0.3">
      <c r="A686" s="2" t="s">
        <v>2482</v>
      </c>
      <c r="B686" s="2" t="s">
        <v>266</v>
      </c>
      <c r="C686" s="2" t="s">
        <v>2964</v>
      </c>
      <c r="D686" s="2"/>
    </row>
    <row r="687" spans="1:4" x14ac:dyDescent="0.3">
      <c r="A687" s="2" t="s">
        <v>2483</v>
      </c>
      <c r="B687" s="2" t="s">
        <v>266</v>
      </c>
      <c r="C687" s="2" t="s">
        <v>2964</v>
      </c>
      <c r="D687" s="2"/>
    </row>
    <row r="688" spans="1:4" x14ac:dyDescent="0.3">
      <c r="A688" s="2" t="s">
        <v>2484</v>
      </c>
      <c r="B688" s="2" t="s">
        <v>266</v>
      </c>
      <c r="C688" s="2" t="s">
        <v>2964</v>
      </c>
      <c r="D688" s="2"/>
    </row>
    <row r="689" spans="1:4" x14ac:dyDescent="0.3">
      <c r="A689" s="2" t="s">
        <v>2485</v>
      </c>
      <c r="B689" s="2" t="s">
        <v>266</v>
      </c>
      <c r="C689" s="2" t="s">
        <v>2964</v>
      </c>
      <c r="D689" s="2"/>
    </row>
    <row r="690" spans="1:4" x14ac:dyDescent="0.3">
      <c r="A690" s="2" t="s">
        <v>2486</v>
      </c>
      <c r="B690" s="2" t="s">
        <v>266</v>
      </c>
      <c r="C690" s="2" t="s">
        <v>2964</v>
      </c>
      <c r="D690" s="2"/>
    </row>
    <row r="691" spans="1:4" x14ac:dyDescent="0.3">
      <c r="A691" s="2" t="s">
        <v>2487</v>
      </c>
      <c r="B691" s="2" t="s">
        <v>266</v>
      </c>
      <c r="C691" s="2" t="s">
        <v>2964</v>
      </c>
      <c r="D691" s="2"/>
    </row>
    <row r="692" spans="1:4" x14ac:dyDescent="0.3">
      <c r="A692" s="2" t="s">
        <v>2488</v>
      </c>
      <c r="B692" s="2" t="s">
        <v>266</v>
      </c>
      <c r="C692" s="2" t="s">
        <v>2964</v>
      </c>
      <c r="D692" s="2"/>
    </row>
    <row r="693" spans="1:4" x14ac:dyDescent="0.3">
      <c r="A693" s="2" t="s">
        <v>2489</v>
      </c>
      <c r="B693" s="2" t="s">
        <v>266</v>
      </c>
      <c r="C693" s="2" t="s">
        <v>2964</v>
      </c>
      <c r="D693" s="2"/>
    </row>
    <row r="694" spans="1:4" x14ac:dyDescent="0.3">
      <c r="A694" s="2" t="s">
        <v>2490</v>
      </c>
      <c r="B694" s="2" t="s">
        <v>266</v>
      </c>
      <c r="C694" s="2" t="s">
        <v>2964</v>
      </c>
      <c r="D694" s="2"/>
    </row>
    <row r="695" spans="1:4" x14ac:dyDescent="0.3">
      <c r="A695" s="2" t="s">
        <v>2491</v>
      </c>
      <c r="B695" s="2" t="s">
        <v>266</v>
      </c>
      <c r="C695" s="2" t="s">
        <v>2964</v>
      </c>
      <c r="D695" s="2"/>
    </row>
    <row r="696" spans="1:4" x14ac:dyDescent="0.3">
      <c r="A696" s="2" t="s">
        <v>2492</v>
      </c>
      <c r="B696" s="2" t="s">
        <v>266</v>
      </c>
      <c r="C696" s="2" t="s">
        <v>2964</v>
      </c>
      <c r="D696" s="2"/>
    </row>
    <row r="697" spans="1:4" x14ac:dyDescent="0.3">
      <c r="A697" s="2" t="s">
        <v>2493</v>
      </c>
      <c r="B697" s="2" t="s">
        <v>266</v>
      </c>
      <c r="C697" s="2" t="s">
        <v>2964</v>
      </c>
      <c r="D697" s="2"/>
    </row>
    <row r="698" spans="1:4" x14ac:dyDescent="0.3">
      <c r="A698" s="2" t="s">
        <v>2494</v>
      </c>
      <c r="B698" s="2" t="s">
        <v>266</v>
      </c>
      <c r="C698" s="2" t="s">
        <v>2964</v>
      </c>
      <c r="D698" s="2"/>
    </row>
    <row r="699" spans="1:4" x14ac:dyDescent="0.3">
      <c r="A699" s="2" t="s">
        <v>2495</v>
      </c>
      <c r="B699" s="2" t="s">
        <v>266</v>
      </c>
      <c r="C699" s="2" t="s">
        <v>2964</v>
      </c>
      <c r="D699" s="2"/>
    </row>
    <row r="700" spans="1:4" x14ac:dyDescent="0.3">
      <c r="A700" s="2" t="s">
        <v>2496</v>
      </c>
      <c r="B700" s="2" t="s">
        <v>266</v>
      </c>
      <c r="C700" s="2" t="s">
        <v>2964</v>
      </c>
      <c r="D700" s="2"/>
    </row>
    <row r="701" spans="1:4" x14ac:dyDescent="0.3">
      <c r="A701" s="2" t="s">
        <v>2497</v>
      </c>
      <c r="B701" s="2" t="s">
        <v>266</v>
      </c>
      <c r="C701" s="2" t="s">
        <v>2964</v>
      </c>
      <c r="D701" s="2"/>
    </row>
    <row r="702" spans="1:4" x14ac:dyDescent="0.3">
      <c r="A702" s="2" t="s">
        <v>2498</v>
      </c>
      <c r="B702" s="2" t="s">
        <v>266</v>
      </c>
      <c r="C702" s="2" t="s">
        <v>2964</v>
      </c>
      <c r="D702" s="2"/>
    </row>
    <row r="703" spans="1:4" x14ac:dyDescent="0.3">
      <c r="A703" s="2" t="s">
        <v>2499</v>
      </c>
      <c r="B703" s="2" t="s">
        <v>266</v>
      </c>
      <c r="C703" s="2" t="s">
        <v>2964</v>
      </c>
      <c r="D703" s="2"/>
    </row>
    <row r="704" spans="1:4" x14ac:dyDescent="0.3">
      <c r="A704" s="2" t="s">
        <v>2500</v>
      </c>
      <c r="B704" s="2" t="s">
        <v>266</v>
      </c>
      <c r="C704" s="2" t="s">
        <v>2964</v>
      </c>
      <c r="D704" s="2"/>
    </row>
    <row r="705" spans="1:4" x14ac:dyDescent="0.3">
      <c r="A705" s="2" t="s">
        <v>2501</v>
      </c>
      <c r="B705" s="2" t="s">
        <v>266</v>
      </c>
      <c r="C705" s="2" t="s">
        <v>2964</v>
      </c>
      <c r="D705" s="2"/>
    </row>
    <row r="706" spans="1:4" x14ac:dyDescent="0.3">
      <c r="A706" s="2" t="s">
        <v>2502</v>
      </c>
      <c r="B706" s="2" t="s">
        <v>266</v>
      </c>
      <c r="C706" s="2" t="s">
        <v>2964</v>
      </c>
      <c r="D706" s="2"/>
    </row>
    <row r="707" spans="1:4" x14ac:dyDescent="0.3">
      <c r="A707" s="2" t="s">
        <v>2503</v>
      </c>
      <c r="B707" s="2" t="s">
        <v>266</v>
      </c>
      <c r="C707" s="2" t="s">
        <v>2964</v>
      </c>
      <c r="D707" s="2"/>
    </row>
    <row r="708" spans="1:4" x14ac:dyDescent="0.3">
      <c r="A708" s="2" t="s">
        <v>2504</v>
      </c>
      <c r="B708" s="2" t="s">
        <v>266</v>
      </c>
      <c r="C708" s="2" t="s">
        <v>2964</v>
      </c>
      <c r="D708" s="2"/>
    </row>
    <row r="709" spans="1:4" x14ac:dyDescent="0.3">
      <c r="A709" s="2" t="s">
        <v>2505</v>
      </c>
      <c r="B709" s="2" t="s">
        <v>266</v>
      </c>
      <c r="C709" s="2" t="s">
        <v>2964</v>
      </c>
      <c r="D709" s="2"/>
    </row>
    <row r="710" spans="1:4" x14ac:dyDescent="0.3">
      <c r="A710" s="2" t="s">
        <v>2506</v>
      </c>
      <c r="B710" s="2" t="s">
        <v>266</v>
      </c>
      <c r="C710" s="2" t="s">
        <v>2964</v>
      </c>
      <c r="D710" s="2"/>
    </row>
    <row r="711" spans="1:4" x14ac:dyDescent="0.3">
      <c r="A711" s="2" t="s">
        <v>2507</v>
      </c>
      <c r="B711" s="2" t="s">
        <v>266</v>
      </c>
      <c r="C711" s="2" t="s">
        <v>2964</v>
      </c>
      <c r="D711" s="2"/>
    </row>
    <row r="712" spans="1:4" x14ac:dyDescent="0.3">
      <c r="A712" s="2" t="s">
        <v>2508</v>
      </c>
      <c r="B712" s="2" t="s">
        <v>266</v>
      </c>
      <c r="C712" s="2" t="s">
        <v>2964</v>
      </c>
      <c r="D712" s="2"/>
    </row>
    <row r="713" spans="1:4" x14ac:dyDescent="0.3">
      <c r="A713" s="2" t="s">
        <v>2509</v>
      </c>
      <c r="B713" s="2" t="s">
        <v>266</v>
      </c>
      <c r="C713" s="2" t="s">
        <v>2964</v>
      </c>
      <c r="D713" s="2"/>
    </row>
    <row r="714" spans="1:4" x14ac:dyDescent="0.3">
      <c r="A714" s="2" t="s">
        <v>2510</v>
      </c>
      <c r="B714" s="2" t="s">
        <v>266</v>
      </c>
      <c r="C714" s="2" t="s">
        <v>2964</v>
      </c>
      <c r="D714" s="2"/>
    </row>
    <row r="715" spans="1:4" x14ac:dyDescent="0.3">
      <c r="A715" s="2" t="s">
        <v>2511</v>
      </c>
      <c r="B715" s="2" t="s">
        <v>266</v>
      </c>
      <c r="C715" s="2" t="s">
        <v>2964</v>
      </c>
      <c r="D715" s="2"/>
    </row>
    <row r="716" spans="1:4" x14ac:dyDescent="0.3">
      <c r="A716" s="2" t="s">
        <v>2512</v>
      </c>
      <c r="B716" s="2" t="s">
        <v>266</v>
      </c>
      <c r="C716" s="2" t="s">
        <v>2964</v>
      </c>
      <c r="D716" s="2"/>
    </row>
    <row r="717" spans="1:4" x14ac:dyDescent="0.3">
      <c r="A717" s="2" t="s">
        <v>2513</v>
      </c>
      <c r="B717" s="2" t="s">
        <v>266</v>
      </c>
      <c r="C717" s="2" t="s">
        <v>2964</v>
      </c>
      <c r="D717" s="2"/>
    </row>
    <row r="718" spans="1:4" x14ac:dyDescent="0.3">
      <c r="A718" s="2" t="s">
        <v>2514</v>
      </c>
      <c r="B718" s="2" t="s">
        <v>266</v>
      </c>
      <c r="C718" s="2" t="s">
        <v>2964</v>
      </c>
      <c r="D718" s="2"/>
    </row>
    <row r="719" spans="1:4" x14ac:dyDescent="0.3">
      <c r="A719" s="2" t="s">
        <v>2515</v>
      </c>
      <c r="B719" s="2" t="s">
        <v>266</v>
      </c>
      <c r="C719" s="2" t="s">
        <v>2964</v>
      </c>
      <c r="D719" s="2"/>
    </row>
    <row r="720" spans="1:4" x14ac:dyDescent="0.3">
      <c r="A720" s="2" t="s">
        <v>2516</v>
      </c>
      <c r="B720" s="2" t="s">
        <v>266</v>
      </c>
      <c r="C720" s="2" t="s">
        <v>2964</v>
      </c>
      <c r="D720" s="2"/>
    </row>
    <row r="721" spans="1:4" x14ac:dyDescent="0.3">
      <c r="A721" s="2" t="s">
        <v>2517</v>
      </c>
      <c r="B721" s="2" t="s">
        <v>266</v>
      </c>
      <c r="C721" s="2" t="s">
        <v>2964</v>
      </c>
      <c r="D721" s="2"/>
    </row>
    <row r="722" spans="1:4" x14ac:dyDescent="0.3">
      <c r="A722" s="2" t="s">
        <v>2518</v>
      </c>
      <c r="B722" s="2" t="s">
        <v>266</v>
      </c>
      <c r="C722" s="2" t="s">
        <v>2964</v>
      </c>
      <c r="D722" s="2"/>
    </row>
    <row r="723" spans="1:4" x14ac:dyDescent="0.3">
      <c r="A723" s="2" t="s">
        <v>2519</v>
      </c>
      <c r="B723" s="2" t="s">
        <v>266</v>
      </c>
      <c r="C723" s="2" t="s">
        <v>2964</v>
      </c>
      <c r="D723" s="2"/>
    </row>
    <row r="724" spans="1:4" x14ac:dyDescent="0.3">
      <c r="A724" s="2" t="s">
        <v>2520</v>
      </c>
      <c r="B724" s="2" t="s">
        <v>266</v>
      </c>
      <c r="C724" s="2" t="s">
        <v>2964</v>
      </c>
      <c r="D724" s="2"/>
    </row>
    <row r="725" spans="1:4" x14ac:dyDescent="0.3">
      <c r="A725" s="2" t="s">
        <v>2521</v>
      </c>
      <c r="B725" s="2" t="s">
        <v>266</v>
      </c>
      <c r="C725" s="2" t="s">
        <v>2964</v>
      </c>
      <c r="D725" s="2"/>
    </row>
    <row r="726" spans="1:4" x14ac:dyDescent="0.3">
      <c r="A726" s="2" t="s">
        <v>2522</v>
      </c>
      <c r="B726" s="2" t="s">
        <v>266</v>
      </c>
      <c r="C726" s="2" t="s">
        <v>2964</v>
      </c>
      <c r="D726" s="2"/>
    </row>
    <row r="727" spans="1:4" x14ac:dyDescent="0.3">
      <c r="A727" s="2" t="s">
        <v>2523</v>
      </c>
      <c r="B727" s="2" t="s">
        <v>266</v>
      </c>
      <c r="C727" s="2" t="s">
        <v>2964</v>
      </c>
      <c r="D727" s="2"/>
    </row>
    <row r="728" spans="1:4" x14ac:dyDescent="0.3">
      <c r="A728" s="2" t="s">
        <v>2524</v>
      </c>
      <c r="B728" s="2" t="s">
        <v>266</v>
      </c>
      <c r="C728" s="2" t="s">
        <v>2964</v>
      </c>
      <c r="D728" s="2"/>
    </row>
    <row r="729" spans="1:4" x14ac:dyDescent="0.3">
      <c r="A729" s="2" t="s">
        <v>2525</v>
      </c>
      <c r="B729" s="2" t="s">
        <v>266</v>
      </c>
      <c r="C729" s="2" t="s">
        <v>2964</v>
      </c>
      <c r="D729" s="2"/>
    </row>
    <row r="730" spans="1:4" x14ac:dyDescent="0.3">
      <c r="A730" s="2" t="s">
        <v>2526</v>
      </c>
      <c r="B730" s="2" t="s">
        <v>266</v>
      </c>
      <c r="C730" s="2" t="s">
        <v>2964</v>
      </c>
      <c r="D730" s="2"/>
    </row>
    <row r="731" spans="1:4" x14ac:dyDescent="0.3">
      <c r="A731" s="2" t="s">
        <v>2527</v>
      </c>
      <c r="B731" s="2" t="s">
        <v>266</v>
      </c>
      <c r="C731" s="2" t="s">
        <v>2964</v>
      </c>
      <c r="D731" s="2"/>
    </row>
    <row r="732" spans="1:4" x14ac:dyDescent="0.3">
      <c r="A732" s="2" t="s">
        <v>2528</v>
      </c>
      <c r="B732" s="2" t="s">
        <v>266</v>
      </c>
      <c r="C732" s="2" t="s">
        <v>2964</v>
      </c>
      <c r="D732" s="2"/>
    </row>
    <row r="733" spans="1:4" x14ac:dyDescent="0.3">
      <c r="A733" s="2" t="s">
        <v>2529</v>
      </c>
      <c r="B733" s="2" t="s">
        <v>266</v>
      </c>
      <c r="C733" s="2" t="s">
        <v>2964</v>
      </c>
      <c r="D733" s="2"/>
    </row>
    <row r="734" spans="1:4" x14ac:dyDescent="0.3">
      <c r="A734" s="2" t="s">
        <v>2530</v>
      </c>
      <c r="B734" s="2" t="s">
        <v>266</v>
      </c>
      <c r="C734" s="2" t="s">
        <v>2964</v>
      </c>
      <c r="D734" s="2"/>
    </row>
    <row r="735" spans="1:4" x14ac:dyDescent="0.3">
      <c r="A735" s="2" t="s">
        <v>2531</v>
      </c>
      <c r="B735" s="2" t="s">
        <v>266</v>
      </c>
      <c r="C735" s="2" t="s">
        <v>2964</v>
      </c>
      <c r="D735" s="2"/>
    </row>
    <row r="736" spans="1:4" x14ac:dyDescent="0.3">
      <c r="A736" s="2" t="s">
        <v>2532</v>
      </c>
      <c r="B736" s="2" t="s">
        <v>266</v>
      </c>
      <c r="C736" s="2" t="s">
        <v>2964</v>
      </c>
      <c r="D736" s="2"/>
    </row>
    <row r="737" spans="1:4" x14ac:dyDescent="0.3">
      <c r="A737" s="2" t="s">
        <v>2533</v>
      </c>
      <c r="B737" s="2" t="s">
        <v>266</v>
      </c>
      <c r="C737" s="2" t="s">
        <v>2964</v>
      </c>
      <c r="D737" s="2"/>
    </row>
    <row r="738" spans="1:4" x14ac:dyDescent="0.3">
      <c r="A738" s="2" t="s">
        <v>2534</v>
      </c>
      <c r="B738" s="2" t="s">
        <v>266</v>
      </c>
      <c r="C738" s="2" t="s">
        <v>2964</v>
      </c>
      <c r="D738" s="2"/>
    </row>
    <row r="739" spans="1:4" x14ac:dyDescent="0.3">
      <c r="A739" s="2" t="s">
        <v>2535</v>
      </c>
      <c r="B739" s="2" t="s">
        <v>266</v>
      </c>
      <c r="C739" s="2" t="s">
        <v>2964</v>
      </c>
      <c r="D739" s="2"/>
    </row>
    <row r="740" spans="1:4" x14ac:dyDescent="0.3">
      <c r="A740" s="2" t="s">
        <v>2536</v>
      </c>
      <c r="B740" s="2" t="s">
        <v>266</v>
      </c>
      <c r="C740" s="2" t="s">
        <v>2964</v>
      </c>
      <c r="D740" s="2"/>
    </row>
    <row r="741" spans="1:4" x14ac:dyDescent="0.3">
      <c r="A741" s="2" t="s">
        <v>2537</v>
      </c>
      <c r="B741" s="2" t="s">
        <v>266</v>
      </c>
      <c r="C741" s="2" t="s">
        <v>2964</v>
      </c>
      <c r="D741" s="2"/>
    </row>
    <row r="742" spans="1:4" x14ac:dyDescent="0.3">
      <c r="A742" s="2" t="s">
        <v>2538</v>
      </c>
      <c r="B742" s="2" t="s">
        <v>266</v>
      </c>
      <c r="C742" s="2" t="s">
        <v>2964</v>
      </c>
      <c r="D742" s="2"/>
    </row>
    <row r="743" spans="1:4" x14ac:dyDescent="0.3">
      <c r="A743" s="2" t="s">
        <v>2539</v>
      </c>
      <c r="B743" s="2" t="s">
        <v>266</v>
      </c>
      <c r="C743" s="2" t="s">
        <v>2964</v>
      </c>
      <c r="D743" s="2"/>
    </row>
    <row r="744" spans="1:4" x14ac:dyDescent="0.3">
      <c r="A744" s="2" t="s">
        <v>2540</v>
      </c>
      <c r="B744" s="2" t="s">
        <v>266</v>
      </c>
      <c r="C744" s="2" t="s">
        <v>2964</v>
      </c>
      <c r="D744" s="2"/>
    </row>
    <row r="745" spans="1:4" x14ac:dyDescent="0.3">
      <c r="A745" s="2" t="s">
        <v>2541</v>
      </c>
      <c r="B745" s="2" t="s">
        <v>266</v>
      </c>
      <c r="C745" s="2" t="s">
        <v>2964</v>
      </c>
      <c r="D745" s="2"/>
    </row>
    <row r="746" spans="1:4" x14ac:dyDescent="0.3">
      <c r="A746" s="2" t="s">
        <v>2542</v>
      </c>
      <c r="B746" s="2" t="s">
        <v>266</v>
      </c>
      <c r="C746" s="2" t="s">
        <v>2964</v>
      </c>
      <c r="D746" s="2"/>
    </row>
    <row r="747" spans="1:4" x14ac:dyDescent="0.3">
      <c r="A747" s="2" t="s">
        <v>2543</v>
      </c>
      <c r="B747" s="2" t="s">
        <v>266</v>
      </c>
      <c r="C747" s="2" t="s">
        <v>2964</v>
      </c>
      <c r="D747" s="2"/>
    </row>
    <row r="748" spans="1:4" x14ac:dyDescent="0.3">
      <c r="A748" s="2" t="s">
        <v>2544</v>
      </c>
      <c r="B748" s="2" t="s">
        <v>266</v>
      </c>
      <c r="C748" s="2" t="s">
        <v>2964</v>
      </c>
      <c r="D748" s="2"/>
    </row>
    <row r="749" spans="1:4" x14ac:dyDescent="0.3">
      <c r="A749" s="2" t="s">
        <v>2545</v>
      </c>
      <c r="B749" s="2" t="s">
        <v>266</v>
      </c>
      <c r="C749" s="2" t="s">
        <v>2964</v>
      </c>
      <c r="D749" s="2"/>
    </row>
    <row r="750" spans="1:4" x14ac:dyDescent="0.3">
      <c r="A750" s="2" t="s">
        <v>2546</v>
      </c>
      <c r="B750" s="2" t="s">
        <v>266</v>
      </c>
      <c r="C750" s="2" t="s">
        <v>2964</v>
      </c>
      <c r="D750" s="2"/>
    </row>
    <row r="751" spans="1:4" x14ac:dyDescent="0.3">
      <c r="A751" s="2" t="s">
        <v>2547</v>
      </c>
      <c r="B751" s="2" t="s">
        <v>266</v>
      </c>
      <c r="C751" s="2" t="s">
        <v>2964</v>
      </c>
      <c r="D751" s="2"/>
    </row>
    <row r="752" spans="1:4" x14ac:dyDescent="0.3">
      <c r="A752" s="2" t="s">
        <v>2548</v>
      </c>
      <c r="B752" s="2" t="s">
        <v>266</v>
      </c>
      <c r="C752" s="2" t="s">
        <v>2964</v>
      </c>
      <c r="D752" s="2"/>
    </row>
    <row r="753" spans="1:4" x14ac:dyDescent="0.3">
      <c r="A753" s="2" t="s">
        <v>2549</v>
      </c>
      <c r="B753" s="2" t="s">
        <v>266</v>
      </c>
      <c r="C753" s="2" t="s">
        <v>2964</v>
      </c>
      <c r="D753" s="2"/>
    </row>
    <row r="754" spans="1:4" x14ac:dyDescent="0.3">
      <c r="A754" s="2" t="s">
        <v>2550</v>
      </c>
      <c r="B754" s="2" t="s">
        <v>266</v>
      </c>
      <c r="C754" s="2" t="s">
        <v>2964</v>
      </c>
      <c r="D754" s="2"/>
    </row>
    <row r="755" spans="1:4" x14ac:dyDescent="0.3">
      <c r="A755" s="2" t="s">
        <v>2551</v>
      </c>
      <c r="B755" s="2" t="s">
        <v>266</v>
      </c>
      <c r="C755" s="2" t="s">
        <v>2964</v>
      </c>
      <c r="D755" s="2"/>
    </row>
    <row r="756" spans="1:4" x14ac:dyDescent="0.3">
      <c r="A756" s="2" t="s">
        <v>2552</v>
      </c>
      <c r="B756" s="2" t="s">
        <v>266</v>
      </c>
      <c r="C756" s="2" t="s">
        <v>2964</v>
      </c>
      <c r="D756" s="2"/>
    </row>
    <row r="757" spans="1:4" x14ac:dyDescent="0.3">
      <c r="A757" s="2" t="s">
        <v>2553</v>
      </c>
      <c r="B757" s="2" t="s">
        <v>266</v>
      </c>
      <c r="C757" s="2" t="s">
        <v>2964</v>
      </c>
      <c r="D757" s="2"/>
    </row>
    <row r="758" spans="1:4" x14ac:dyDescent="0.3">
      <c r="A758" s="2" t="s">
        <v>2554</v>
      </c>
      <c r="B758" s="2" t="s">
        <v>266</v>
      </c>
      <c r="C758" s="2" t="s">
        <v>2964</v>
      </c>
      <c r="D758" s="2"/>
    </row>
    <row r="759" spans="1:4" x14ac:dyDescent="0.3">
      <c r="A759" s="2" t="s">
        <v>2555</v>
      </c>
      <c r="B759" s="2" t="s">
        <v>266</v>
      </c>
      <c r="C759" s="2" t="s">
        <v>2964</v>
      </c>
      <c r="D759" s="2"/>
    </row>
    <row r="760" spans="1:4" x14ac:dyDescent="0.3">
      <c r="A760" s="2" t="s">
        <v>2556</v>
      </c>
      <c r="B760" s="2" t="s">
        <v>266</v>
      </c>
      <c r="C760" s="2" t="s">
        <v>2964</v>
      </c>
      <c r="D760" s="2"/>
    </row>
    <row r="761" spans="1:4" x14ac:dyDescent="0.3">
      <c r="A761" s="2" t="s">
        <v>2557</v>
      </c>
      <c r="B761" s="2" t="s">
        <v>266</v>
      </c>
      <c r="C761" s="2" t="s">
        <v>2964</v>
      </c>
      <c r="D761" s="2"/>
    </row>
    <row r="762" spans="1:4" x14ac:dyDescent="0.3">
      <c r="A762" s="2" t="s">
        <v>2558</v>
      </c>
      <c r="B762" s="2" t="s">
        <v>266</v>
      </c>
      <c r="C762" s="2" t="s">
        <v>2964</v>
      </c>
      <c r="D762" s="2"/>
    </row>
    <row r="763" spans="1:4" x14ac:dyDescent="0.3">
      <c r="A763" s="2" t="s">
        <v>2559</v>
      </c>
      <c r="B763" s="2" t="s">
        <v>266</v>
      </c>
      <c r="C763" s="2" t="s">
        <v>2964</v>
      </c>
      <c r="D763" s="2"/>
    </row>
    <row r="764" spans="1:4" x14ac:dyDescent="0.3">
      <c r="A764" s="2" t="s">
        <v>2560</v>
      </c>
      <c r="B764" s="2" t="s">
        <v>266</v>
      </c>
      <c r="C764" s="2" t="s">
        <v>2964</v>
      </c>
      <c r="D764" s="2"/>
    </row>
    <row r="765" spans="1:4" x14ac:dyDescent="0.3">
      <c r="A765" s="2" t="s">
        <v>2561</v>
      </c>
      <c r="B765" s="2" t="s">
        <v>266</v>
      </c>
      <c r="C765" s="2" t="s">
        <v>2964</v>
      </c>
      <c r="D765" s="2"/>
    </row>
    <row r="766" spans="1:4" x14ac:dyDescent="0.3">
      <c r="A766" s="2" t="s">
        <v>2562</v>
      </c>
      <c r="B766" s="2" t="s">
        <v>266</v>
      </c>
      <c r="C766" s="2" t="s">
        <v>2964</v>
      </c>
      <c r="D766" s="2"/>
    </row>
    <row r="767" spans="1:4" x14ac:dyDescent="0.3">
      <c r="A767" s="2" t="s">
        <v>2563</v>
      </c>
      <c r="B767" s="2" t="s">
        <v>266</v>
      </c>
      <c r="C767" s="2" t="s">
        <v>2964</v>
      </c>
      <c r="D767" s="2"/>
    </row>
    <row r="768" spans="1:4" x14ac:dyDescent="0.3">
      <c r="A768" s="2" t="s">
        <v>2564</v>
      </c>
      <c r="B768" s="2" t="s">
        <v>266</v>
      </c>
      <c r="C768" s="2" t="s">
        <v>2964</v>
      </c>
      <c r="D768" s="2"/>
    </row>
    <row r="769" spans="1:4" x14ac:dyDescent="0.3">
      <c r="A769" s="2" t="s">
        <v>2565</v>
      </c>
      <c r="B769" s="2" t="s">
        <v>266</v>
      </c>
      <c r="C769" s="2" t="s">
        <v>2964</v>
      </c>
      <c r="D769" s="2"/>
    </row>
    <row r="770" spans="1:4" x14ac:dyDescent="0.3">
      <c r="A770" s="2" t="s">
        <v>2566</v>
      </c>
      <c r="B770" s="2" t="s">
        <v>266</v>
      </c>
      <c r="C770" s="2" t="s">
        <v>2964</v>
      </c>
      <c r="D770" s="2"/>
    </row>
    <row r="771" spans="1:4" x14ac:dyDescent="0.3">
      <c r="A771" s="2" t="s">
        <v>2567</v>
      </c>
      <c r="B771" s="2" t="s">
        <v>266</v>
      </c>
      <c r="C771" s="2" t="s">
        <v>2964</v>
      </c>
      <c r="D771" s="2"/>
    </row>
    <row r="772" spans="1:4" x14ac:dyDescent="0.3">
      <c r="A772" s="2" t="s">
        <v>2568</v>
      </c>
      <c r="B772" s="2" t="s">
        <v>266</v>
      </c>
      <c r="C772" s="2" t="s">
        <v>2964</v>
      </c>
      <c r="D772" s="2"/>
    </row>
    <row r="773" spans="1:4" x14ac:dyDescent="0.3">
      <c r="A773" s="2" t="s">
        <v>2569</v>
      </c>
      <c r="B773" s="2" t="s">
        <v>266</v>
      </c>
      <c r="C773" s="2" t="s">
        <v>2964</v>
      </c>
      <c r="D773" s="2"/>
    </row>
    <row r="774" spans="1:4" x14ac:dyDescent="0.3">
      <c r="A774" s="2" t="s">
        <v>2570</v>
      </c>
      <c r="B774" s="2" t="s">
        <v>266</v>
      </c>
      <c r="C774" s="2" t="s">
        <v>2964</v>
      </c>
      <c r="D774" s="2"/>
    </row>
    <row r="775" spans="1:4" x14ac:dyDescent="0.3">
      <c r="A775" s="2" t="s">
        <v>2571</v>
      </c>
      <c r="B775" s="2" t="s">
        <v>266</v>
      </c>
      <c r="C775" s="2" t="s">
        <v>2964</v>
      </c>
      <c r="D775" s="2"/>
    </row>
    <row r="776" spans="1:4" x14ac:dyDescent="0.3">
      <c r="A776" s="2" t="s">
        <v>2572</v>
      </c>
      <c r="B776" s="2" t="s">
        <v>266</v>
      </c>
      <c r="C776" s="2" t="s">
        <v>2964</v>
      </c>
      <c r="D776" s="2"/>
    </row>
    <row r="777" spans="1:4" x14ac:dyDescent="0.3">
      <c r="A777" s="2" t="s">
        <v>2573</v>
      </c>
      <c r="B777" s="2" t="s">
        <v>266</v>
      </c>
      <c r="C777" s="2" t="s">
        <v>2964</v>
      </c>
      <c r="D777" s="2"/>
    </row>
    <row r="778" spans="1:4" x14ac:dyDescent="0.3">
      <c r="A778" s="2" t="s">
        <v>2574</v>
      </c>
      <c r="B778" s="2" t="s">
        <v>266</v>
      </c>
      <c r="C778" s="2" t="s">
        <v>2964</v>
      </c>
      <c r="D778" s="2"/>
    </row>
    <row r="779" spans="1:4" x14ac:dyDescent="0.3">
      <c r="A779" s="2" t="s">
        <v>2575</v>
      </c>
      <c r="B779" s="2" t="s">
        <v>266</v>
      </c>
      <c r="C779" s="2" t="s">
        <v>2964</v>
      </c>
      <c r="D779" s="2"/>
    </row>
    <row r="780" spans="1:4" x14ac:dyDescent="0.3">
      <c r="A780" s="2" t="s">
        <v>2576</v>
      </c>
      <c r="B780" s="2" t="s">
        <v>266</v>
      </c>
      <c r="C780" s="2" t="s">
        <v>2964</v>
      </c>
      <c r="D780" s="2"/>
    </row>
    <row r="781" spans="1:4" x14ac:dyDescent="0.3">
      <c r="A781" s="2" t="s">
        <v>2577</v>
      </c>
      <c r="B781" s="2" t="s">
        <v>266</v>
      </c>
      <c r="C781" s="2" t="s">
        <v>2964</v>
      </c>
      <c r="D781" s="2"/>
    </row>
    <row r="782" spans="1:4" x14ac:dyDescent="0.3">
      <c r="A782" s="2" t="s">
        <v>2578</v>
      </c>
      <c r="B782" s="2" t="s">
        <v>266</v>
      </c>
      <c r="C782" s="2" t="s">
        <v>2964</v>
      </c>
      <c r="D782" s="2"/>
    </row>
    <row r="783" spans="1:4" x14ac:dyDescent="0.3">
      <c r="A783" s="2" t="s">
        <v>2579</v>
      </c>
      <c r="B783" s="2" t="s">
        <v>266</v>
      </c>
      <c r="C783" s="2" t="s">
        <v>2964</v>
      </c>
      <c r="D783" s="2"/>
    </row>
    <row r="784" spans="1:4" x14ac:dyDescent="0.3">
      <c r="A784" s="2" t="s">
        <v>2580</v>
      </c>
      <c r="B784" s="2" t="s">
        <v>266</v>
      </c>
      <c r="C784" s="2" t="s">
        <v>2964</v>
      </c>
      <c r="D784" s="2"/>
    </row>
    <row r="785" spans="1:4" x14ac:dyDescent="0.3">
      <c r="A785" s="2" t="s">
        <v>2581</v>
      </c>
      <c r="B785" s="2" t="s">
        <v>266</v>
      </c>
      <c r="C785" s="2" t="s">
        <v>2964</v>
      </c>
      <c r="D785" s="2"/>
    </row>
    <row r="786" spans="1:4" x14ac:dyDescent="0.3">
      <c r="A786" s="2" t="s">
        <v>2582</v>
      </c>
      <c r="B786" s="2" t="s">
        <v>266</v>
      </c>
      <c r="C786" s="2" t="s">
        <v>2964</v>
      </c>
      <c r="D786" s="2"/>
    </row>
    <row r="787" spans="1:4" x14ac:dyDescent="0.3">
      <c r="A787" s="2" t="s">
        <v>2583</v>
      </c>
      <c r="B787" s="2" t="s">
        <v>266</v>
      </c>
      <c r="C787" s="2" t="s">
        <v>2964</v>
      </c>
      <c r="D787" s="2"/>
    </row>
    <row r="788" spans="1:4" x14ac:dyDescent="0.3">
      <c r="A788" s="2" t="s">
        <v>2584</v>
      </c>
      <c r="B788" s="2" t="s">
        <v>266</v>
      </c>
      <c r="C788" s="2" t="s">
        <v>2964</v>
      </c>
      <c r="D788" s="2"/>
    </row>
    <row r="789" spans="1:4" x14ac:dyDescent="0.3">
      <c r="A789" s="2" t="s">
        <v>2585</v>
      </c>
      <c r="B789" s="2" t="s">
        <v>266</v>
      </c>
      <c r="C789" s="2" t="s">
        <v>2964</v>
      </c>
      <c r="D789" s="2"/>
    </row>
    <row r="790" spans="1:4" x14ac:dyDescent="0.3">
      <c r="A790" s="2" t="s">
        <v>2586</v>
      </c>
      <c r="B790" s="2" t="s">
        <v>266</v>
      </c>
      <c r="C790" s="2" t="s">
        <v>2964</v>
      </c>
      <c r="D790" s="2"/>
    </row>
    <row r="791" spans="1:4" x14ac:dyDescent="0.3">
      <c r="A791" s="2" t="s">
        <v>2587</v>
      </c>
      <c r="B791" s="2" t="s">
        <v>266</v>
      </c>
      <c r="C791" s="2" t="s">
        <v>2964</v>
      </c>
      <c r="D791" s="2"/>
    </row>
    <row r="792" spans="1:4" x14ac:dyDescent="0.3">
      <c r="A792" s="2" t="s">
        <v>2588</v>
      </c>
      <c r="B792" s="2" t="s">
        <v>266</v>
      </c>
      <c r="C792" s="2" t="s">
        <v>2964</v>
      </c>
      <c r="D792" s="2"/>
    </row>
    <row r="793" spans="1:4" x14ac:dyDescent="0.3">
      <c r="A793" s="2" t="s">
        <v>2589</v>
      </c>
      <c r="B793" s="2" t="s">
        <v>266</v>
      </c>
      <c r="C793" s="2" t="s">
        <v>2964</v>
      </c>
      <c r="D793" s="2"/>
    </row>
    <row r="794" spans="1:4" x14ac:dyDescent="0.3">
      <c r="A794" s="2" t="s">
        <v>2590</v>
      </c>
      <c r="B794" s="2" t="s">
        <v>266</v>
      </c>
      <c r="C794" s="2" t="s">
        <v>2964</v>
      </c>
      <c r="D794" s="2"/>
    </row>
    <row r="795" spans="1:4" x14ac:dyDescent="0.3">
      <c r="A795" s="2" t="s">
        <v>2591</v>
      </c>
      <c r="B795" s="2" t="s">
        <v>266</v>
      </c>
      <c r="C795" s="2" t="s">
        <v>2964</v>
      </c>
      <c r="D795" s="2"/>
    </row>
    <row r="796" spans="1:4" x14ac:dyDescent="0.3">
      <c r="A796" s="2" t="s">
        <v>2592</v>
      </c>
      <c r="B796" s="2" t="s">
        <v>266</v>
      </c>
      <c r="C796" s="2" t="s">
        <v>2964</v>
      </c>
      <c r="D796" s="2"/>
    </row>
    <row r="797" spans="1:4" x14ac:dyDescent="0.3">
      <c r="A797" s="2" t="s">
        <v>2593</v>
      </c>
      <c r="B797" s="2" t="s">
        <v>266</v>
      </c>
      <c r="C797" s="2" t="s">
        <v>2964</v>
      </c>
      <c r="D797" s="2"/>
    </row>
    <row r="798" spans="1:4" x14ac:dyDescent="0.3">
      <c r="A798" s="2" t="s">
        <v>2594</v>
      </c>
      <c r="B798" s="2" t="s">
        <v>266</v>
      </c>
      <c r="C798" s="2" t="s">
        <v>2964</v>
      </c>
      <c r="D798" s="2"/>
    </row>
    <row r="799" spans="1:4" x14ac:dyDescent="0.3">
      <c r="A799" s="2" t="s">
        <v>2595</v>
      </c>
      <c r="B799" s="2" t="s">
        <v>266</v>
      </c>
      <c r="C799" s="2" t="s">
        <v>2964</v>
      </c>
      <c r="D799" s="2"/>
    </row>
    <row r="800" spans="1:4" x14ac:dyDescent="0.3">
      <c r="A800" s="2" t="s">
        <v>2596</v>
      </c>
      <c r="B800" s="2" t="s">
        <v>266</v>
      </c>
      <c r="C800" s="2" t="s">
        <v>2964</v>
      </c>
      <c r="D800" s="2"/>
    </row>
    <row r="801" spans="1:4" x14ac:dyDescent="0.3">
      <c r="A801" s="2" t="s">
        <v>3428</v>
      </c>
      <c r="B801" s="2" t="s">
        <v>266</v>
      </c>
      <c r="C801" s="2" t="s">
        <v>2964</v>
      </c>
      <c r="D801" s="2"/>
    </row>
    <row r="802" spans="1:4" x14ac:dyDescent="0.3">
      <c r="A802" s="2" t="s">
        <v>2597</v>
      </c>
      <c r="B802" s="2" t="s">
        <v>266</v>
      </c>
      <c r="C802" s="2" t="s">
        <v>2964</v>
      </c>
      <c r="D802" s="2"/>
    </row>
    <row r="803" spans="1:4" x14ac:dyDescent="0.3">
      <c r="A803" s="2" t="s">
        <v>2598</v>
      </c>
      <c r="B803" s="2" t="s">
        <v>266</v>
      </c>
      <c r="C803" s="2" t="s">
        <v>2964</v>
      </c>
      <c r="D803" s="2"/>
    </row>
    <row r="804" spans="1:4" x14ac:dyDescent="0.3">
      <c r="A804" s="2" t="s">
        <v>2599</v>
      </c>
      <c r="B804" s="2" t="s">
        <v>266</v>
      </c>
      <c r="C804" s="2" t="s">
        <v>2964</v>
      </c>
      <c r="D804" s="2"/>
    </row>
    <row r="805" spans="1:4" x14ac:dyDescent="0.3">
      <c r="A805" s="2" t="s">
        <v>2600</v>
      </c>
      <c r="B805" s="2" t="s">
        <v>266</v>
      </c>
      <c r="C805" s="2" t="s">
        <v>2964</v>
      </c>
      <c r="D805" s="2"/>
    </row>
    <row r="806" spans="1:4" x14ac:dyDescent="0.3">
      <c r="A806" s="2" t="s">
        <v>2601</v>
      </c>
      <c r="B806" s="2" t="s">
        <v>266</v>
      </c>
      <c r="C806" s="2" t="s">
        <v>2964</v>
      </c>
      <c r="D806" s="2"/>
    </row>
    <row r="807" spans="1:4" x14ac:dyDescent="0.3">
      <c r="A807" s="2" t="s">
        <v>2602</v>
      </c>
      <c r="B807" s="2" t="s">
        <v>266</v>
      </c>
      <c r="C807" s="2" t="s">
        <v>2964</v>
      </c>
      <c r="D807" s="2"/>
    </row>
    <row r="808" spans="1:4" x14ac:dyDescent="0.3">
      <c r="A808" s="2" t="s">
        <v>2603</v>
      </c>
      <c r="B808" s="2" t="s">
        <v>266</v>
      </c>
      <c r="C808" s="2" t="s">
        <v>2964</v>
      </c>
      <c r="D808" s="2"/>
    </row>
    <row r="809" spans="1:4" x14ac:dyDescent="0.3">
      <c r="A809" s="2" t="s">
        <v>2604</v>
      </c>
      <c r="B809" s="2" t="s">
        <v>266</v>
      </c>
      <c r="C809" s="2" t="s">
        <v>2964</v>
      </c>
      <c r="D809" s="2"/>
    </row>
    <row r="810" spans="1:4" x14ac:dyDescent="0.3">
      <c r="A810" s="2" t="s">
        <v>2605</v>
      </c>
      <c r="B810" s="2" t="s">
        <v>266</v>
      </c>
      <c r="C810" s="2" t="s">
        <v>2964</v>
      </c>
      <c r="D810" s="2"/>
    </row>
    <row r="811" spans="1:4" x14ac:dyDescent="0.3">
      <c r="A811" s="2" t="s">
        <v>2606</v>
      </c>
      <c r="B811" s="2" t="s">
        <v>266</v>
      </c>
      <c r="C811" s="2" t="s">
        <v>2964</v>
      </c>
      <c r="D811" s="2"/>
    </row>
    <row r="812" spans="1:4" x14ac:dyDescent="0.3">
      <c r="A812" s="2" t="s">
        <v>2607</v>
      </c>
      <c r="B812" s="2" t="s">
        <v>266</v>
      </c>
      <c r="C812" s="2" t="s">
        <v>2964</v>
      </c>
      <c r="D812" s="2"/>
    </row>
    <row r="813" spans="1:4" x14ac:dyDescent="0.3">
      <c r="A813" s="2" t="s">
        <v>2608</v>
      </c>
      <c r="B813" s="2" t="s">
        <v>266</v>
      </c>
      <c r="C813" s="2" t="s">
        <v>2964</v>
      </c>
      <c r="D813" s="2"/>
    </row>
    <row r="814" spans="1:4" x14ac:dyDescent="0.3">
      <c r="A814" s="2" t="s">
        <v>2609</v>
      </c>
      <c r="B814" s="2" t="s">
        <v>266</v>
      </c>
      <c r="C814" s="2" t="s">
        <v>2964</v>
      </c>
      <c r="D814" s="2"/>
    </row>
    <row r="815" spans="1:4" x14ac:dyDescent="0.3">
      <c r="A815" s="2" t="s">
        <v>2610</v>
      </c>
      <c r="B815" s="2" t="s">
        <v>266</v>
      </c>
      <c r="C815" s="2" t="s">
        <v>2964</v>
      </c>
      <c r="D815" s="2"/>
    </row>
    <row r="816" spans="1:4" x14ac:dyDescent="0.3">
      <c r="A816" s="2" t="s">
        <v>2611</v>
      </c>
      <c r="B816" s="2" t="s">
        <v>266</v>
      </c>
      <c r="C816" s="2" t="s">
        <v>2964</v>
      </c>
      <c r="D816" s="2"/>
    </row>
    <row r="817" spans="1:4" x14ac:dyDescent="0.3">
      <c r="A817" s="2" t="s">
        <v>2612</v>
      </c>
      <c r="B817" s="2" t="s">
        <v>266</v>
      </c>
      <c r="C817" s="2" t="s">
        <v>2964</v>
      </c>
      <c r="D817" s="2"/>
    </row>
    <row r="818" spans="1:4" x14ac:dyDescent="0.3">
      <c r="A818" s="2" t="s">
        <v>2613</v>
      </c>
      <c r="B818" s="2" t="s">
        <v>266</v>
      </c>
      <c r="C818" s="2" t="s">
        <v>2964</v>
      </c>
      <c r="D818" s="2"/>
    </row>
    <row r="819" spans="1:4" x14ac:dyDescent="0.3">
      <c r="A819" s="2" t="s">
        <v>2614</v>
      </c>
      <c r="B819" s="2" t="s">
        <v>266</v>
      </c>
      <c r="C819" s="2" t="s">
        <v>2964</v>
      </c>
      <c r="D819" s="2"/>
    </row>
    <row r="820" spans="1:4" x14ac:dyDescent="0.3">
      <c r="A820" s="2" t="s">
        <v>2615</v>
      </c>
      <c r="B820" s="2" t="s">
        <v>266</v>
      </c>
      <c r="C820" s="2" t="s">
        <v>2964</v>
      </c>
      <c r="D820" s="2"/>
    </row>
    <row r="821" spans="1:4" x14ac:dyDescent="0.3">
      <c r="A821" s="2" t="s">
        <v>2616</v>
      </c>
      <c r="B821" s="2" t="s">
        <v>266</v>
      </c>
      <c r="C821" s="2" t="s">
        <v>2964</v>
      </c>
      <c r="D821" s="2"/>
    </row>
    <row r="822" spans="1:4" x14ac:dyDescent="0.3">
      <c r="A822" s="2" t="s">
        <v>2617</v>
      </c>
      <c r="B822" s="2" t="s">
        <v>266</v>
      </c>
      <c r="C822" s="2" t="s">
        <v>2964</v>
      </c>
      <c r="D822" s="2"/>
    </row>
    <row r="823" spans="1:4" x14ac:dyDescent="0.3">
      <c r="A823" s="2" t="s">
        <v>2618</v>
      </c>
      <c r="B823" s="2" t="s">
        <v>266</v>
      </c>
      <c r="C823" s="2" t="s">
        <v>2964</v>
      </c>
      <c r="D823" s="2"/>
    </row>
    <row r="824" spans="1:4" x14ac:dyDescent="0.3">
      <c r="A824" s="2" t="s">
        <v>2619</v>
      </c>
      <c r="B824" s="2" t="s">
        <v>266</v>
      </c>
      <c r="C824" s="2" t="s">
        <v>2964</v>
      </c>
      <c r="D824" s="2"/>
    </row>
    <row r="825" spans="1:4" x14ac:dyDescent="0.3">
      <c r="A825" s="2" t="s">
        <v>2620</v>
      </c>
      <c r="B825" s="2" t="s">
        <v>266</v>
      </c>
      <c r="C825" s="2" t="s">
        <v>2964</v>
      </c>
      <c r="D825" s="2"/>
    </row>
    <row r="826" spans="1:4" x14ac:dyDescent="0.3">
      <c r="A826" s="2" t="s">
        <v>2621</v>
      </c>
      <c r="B826" s="2" t="s">
        <v>266</v>
      </c>
      <c r="C826" s="2" t="s">
        <v>2964</v>
      </c>
      <c r="D826" s="2"/>
    </row>
    <row r="827" spans="1:4" x14ac:dyDescent="0.3">
      <c r="A827" s="2" t="s">
        <v>2622</v>
      </c>
      <c r="B827" s="2" t="s">
        <v>266</v>
      </c>
      <c r="C827" s="2" t="s">
        <v>2964</v>
      </c>
      <c r="D827" s="2"/>
    </row>
    <row r="828" spans="1:4" x14ac:dyDescent="0.3">
      <c r="A828" s="2" t="s">
        <v>3429</v>
      </c>
      <c r="B828" s="2" t="s">
        <v>1762</v>
      </c>
      <c r="C828" s="2" t="s">
        <v>3148</v>
      </c>
      <c r="D828" s="2"/>
    </row>
    <row r="829" spans="1:4" x14ac:dyDescent="0.3">
      <c r="A829" s="2" t="s">
        <v>3430</v>
      </c>
      <c r="B829" s="2" t="s">
        <v>1762</v>
      </c>
      <c r="C829" s="2" t="s">
        <v>3148</v>
      </c>
      <c r="D829" s="2"/>
    </row>
    <row r="830" spans="1:4" x14ac:dyDescent="0.3">
      <c r="A830" s="2" t="s">
        <v>3431</v>
      </c>
      <c r="B830" s="2" t="s">
        <v>1762</v>
      </c>
      <c r="C830" s="2" t="s">
        <v>3148</v>
      </c>
      <c r="D830" s="2"/>
    </row>
    <row r="831" spans="1:4" x14ac:dyDescent="0.3">
      <c r="A831" s="2" t="s">
        <v>3432</v>
      </c>
      <c r="B831" s="2" t="s">
        <v>1762</v>
      </c>
      <c r="C831" s="2" t="s">
        <v>3148</v>
      </c>
      <c r="D831" s="2"/>
    </row>
    <row r="832" spans="1:4" x14ac:dyDescent="0.3">
      <c r="A832" s="2" t="s">
        <v>3433</v>
      </c>
      <c r="B832" s="2" t="s">
        <v>1762</v>
      </c>
      <c r="C832" s="2" t="s">
        <v>3148</v>
      </c>
      <c r="D832" s="2"/>
    </row>
    <row r="833" spans="1:4" x14ac:dyDescent="0.3">
      <c r="A833" s="2" t="s">
        <v>3434</v>
      </c>
      <c r="B833" s="2" t="s">
        <v>1762</v>
      </c>
      <c r="C833" s="2" t="s">
        <v>3148</v>
      </c>
      <c r="D833" s="2"/>
    </row>
    <row r="834" spans="1:4" x14ac:dyDescent="0.3">
      <c r="A834" s="2" t="s">
        <v>3435</v>
      </c>
      <c r="B834" s="2" t="s">
        <v>1762</v>
      </c>
      <c r="C834" s="2" t="s">
        <v>3148</v>
      </c>
      <c r="D834" s="2"/>
    </row>
    <row r="835" spans="1:4" x14ac:dyDescent="0.3">
      <c r="A835" s="2" t="s">
        <v>3436</v>
      </c>
      <c r="B835" s="2" t="s">
        <v>1762</v>
      </c>
      <c r="C835" s="2" t="s">
        <v>3148</v>
      </c>
      <c r="D835" s="2"/>
    </row>
    <row r="836" spans="1:4" x14ac:dyDescent="0.3">
      <c r="A836" s="2" t="s">
        <v>3437</v>
      </c>
      <c r="B836" s="2" t="s">
        <v>1762</v>
      </c>
      <c r="C836" s="2" t="s">
        <v>3148</v>
      </c>
      <c r="D836" s="2"/>
    </row>
    <row r="837" spans="1:4" x14ac:dyDescent="0.3">
      <c r="A837" s="2" t="s">
        <v>3438</v>
      </c>
      <c r="B837" s="2" t="s">
        <v>1762</v>
      </c>
      <c r="C837" s="2" t="s">
        <v>3148</v>
      </c>
      <c r="D837" s="2"/>
    </row>
    <row r="838" spans="1:4" x14ac:dyDescent="0.3">
      <c r="A838" s="2" t="s">
        <v>3439</v>
      </c>
      <c r="B838" s="2" t="s">
        <v>1762</v>
      </c>
      <c r="C838" s="2" t="s">
        <v>3148</v>
      </c>
      <c r="D838" s="2"/>
    </row>
    <row r="839" spans="1:4" x14ac:dyDescent="0.3">
      <c r="A839" s="2" t="s">
        <v>3440</v>
      </c>
      <c r="B839" s="2" t="s">
        <v>1762</v>
      </c>
      <c r="C839" s="2" t="s">
        <v>3148</v>
      </c>
      <c r="D839" s="2"/>
    </row>
    <row r="840" spans="1:4" x14ac:dyDescent="0.3">
      <c r="A840" s="2" t="s">
        <v>3441</v>
      </c>
      <c r="B840" s="2" t="s">
        <v>1762</v>
      </c>
      <c r="C840" s="2" t="s">
        <v>3148</v>
      </c>
      <c r="D840" s="2"/>
    </row>
    <row r="841" spans="1:4" x14ac:dyDescent="0.3">
      <c r="A841" s="2" t="s">
        <v>3442</v>
      </c>
      <c r="B841" s="2" t="s">
        <v>1762</v>
      </c>
      <c r="C841" s="2" t="s">
        <v>3148</v>
      </c>
      <c r="D841" s="2"/>
    </row>
    <row r="842" spans="1:4" x14ac:dyDescent="0.3">
      <c r="A842" s="2" t="s">
        <v>3443</v>
      </c>
      <c r="B842" s="2" t="s">
        <v>1762</v>
      </c>
      <c r="C842" s="2" t="s">
        <v>3148</v>
      </c>
      <c r="D842" s="2"/>
    </row>
    <row r="843" spans="1:4" x14ac:dyDescent="0.3">
      <c r="A843" s="2" t="s">
        <v>3444</v>
      </c>
      <c r="B843" s="2" t="s">
        <v>1762</v>
      </c>
      <c r="C843" s="2" t="s">
        <v>3148</v>
      </c>
      <c r="D843" s="2"/>
    </row>
    <row r="844" spans="1:4" x14ac:dyDescent="0.3">
      <c r="A844" s="2" t="s">
        <v>3445</v>
      </c>
      <c r="B844" s="2" t="s">
        <v>1762</v>
      </c>
      <c r="C844" s="2" t="s">
        <v>3148</v>
      </c>
      <c r="D844" s="2"/>
    </row>
    <row r="845" spans="1:4" x14ac:dyDescent="0.3">
      <c r="A845" s="2" t="s">
        <v>3446</v>
      </c>
      <c r="B845" s="2" t="s">
        <v>1762</v>
      </c>
      <c r="C845" s="2" t="s">
        <v>3148</v>
      </c>
      <c r="D845" s="2"/>
    </row>
    <row r="846" spans="1:4" x14ac:dyDescent="0.3">
      <c r="A846" s="2" t="s">
        <v>3447</v>
      </c>
      <c r="B846" s="2" t="s">
        <v>1762</v>
      </c>
      <c r="C846" s="2" t="s">
        <v>3148</v>
      </c>
      <c r="D846" s="2"/>
    </row>
    <row r="847" spans="1:4" x14ac:dyDescent="0.3">
      <c r="A847" s="2" t="s">
        <v>3448</v>
      </c>
      <c r="B847" s="2" t="s">
        <v>1762</v>
      </c>
      <c r="C847" s="2" t="s">
        <v>3148</v>
      </c>
      <c r="D847" s="2"/>
    </row>
    <row r="848" spans="1:4" x14ac:dyDescent="0.3">
      <c r="A848" s="2" t="s">
        <v>3449</v>
      </c>
      <c r="B848" s="2" t="s">
        <v>1762</v>
      </c>
      <c r="C848" s="2" t="s">
        <v>3148</v>
      </c>
      <c r="D848" s="2"/>
    </row>
    <row r="849" spans="1:4" x14ac:dyDescent="0.3">
      <c r="A849" s="2" t="s">
        <v>3450</v>
      </c>
      <c r="B849" s="2" t="s">
        <v>1762</v>
      </c>
      <c r="C849" s="2" t="s">
        <v>3148</v>
      </c>
      <c r="D849" s="2"/>
    </row>
    <row r="850" spans="1:4" x14ac:dyDescent="0.3">
      <c r="A850" s="2" t="s">
        <v>3451</v>
      </c>
      <c r="B850" s="2" t="s">
        <v>1762</v>
      </c>
      <c r="C850" s="2" t="s">
        <v>3148</v>
      </c>
      <c r="D850" s="2"/>
    </row>
    <row r="851" spans="1:4" x14ac:dyDescent="0.3">
      <c r="A851" s="2" t="s">
        <v>3452</v>
      </c>
      <c r="B851" s="2" t="s">
        <v>1762</v>
      </c>
      <c r="C851" s="2" t="s">
        <v>3148</v>
      </c>
      <c r="D851" s="2"/>
    </row>
    <row r="852" spans="1:4" x14ac:dyDescent="0.3">
      <c r="A852" s="2" t="s">
        <v>3453</v>
      </c>
      <c r="B852" s="2" t="s">
        <v>1762</v>
      </c>
      <c r="C852" s="2" t="s">
        <v>3148</v>
      </c>
      <c r="D852" s="2"/>
    </row>
    <row r="853" spans="1:4" x14ac:dyDescent="0.3">
      <c r="A853" s="2" t="s">
        <v>3454</v>
      </c>
      <c r="B853" s="2" t="s">
        <v>1762</v>
      </c>
      <c r="C853" s="2" t="s">
        <v>3148</v>
      </c>
      <c r="D853" s="2"/>
    </row>
    <row r="854" spans="1:4" x14ac:dyDescent="0.3">
      <c r="A854" s="2" t="s">
        <v>3455</v>
      </c>
      <c r="B854" s="2" t="s">
        <v>1762</v>
      </c>
      <c r="C854" s="2" t="s">
        <v>3148</v>
      </c>
      <c r="D854" s="2"/>
    </row>
    <row r="855" spans="1:4" x14ac:dyDescent="0.3">
      <c r="A855" s="2" t="s">
        <v>3456</v>
      </c>
      <c r="B855" s="2" t="s">
        <v>1762</v>
      </c>
      <c r="C855" s="2" t="s">
        <v>3148</v>
      </c>
      <c r="D855" s="2"/>
    </row>
    <row r="856" spans="1:4" x14ac:dyDescent="0.3">
      <c r="A856" s="2" t="s">
        <v>3457</v>
      </c>
      <c r="B856" s="2" t="s">
        <v>1762</v>
      </c>
      <c r="C856" s="2" t="s">
        <v>3148</v>
      </c>
      <c r="D856" s="2"/>
    </row>
    <row r="857" spans="1:4" x14ac:dyDescent="0.3">
      <c r="A857" s="2" t="s">
        <v>3458</v>
      </c>
      <c r="B857" s="2" t="s">
        <v>1762</v>
      </c>
      <c r="C857" s="2" t="s">
        <v>3148</v>
      </c>
      <c r="D857" s="2"/>
    </row>
    <row r="858" spans="1:4" x14ac:dyDescent="0.3">
      <c r="A858" s="2" t="s">
        <v>3459</v>
      </c>
      <c r="B858" s="2" t="s">
        <v>1762</v>
      </c>
      <c r="C858" s="2" t="s">
        <v>3148</v>
      </c>
      <c r="D858" s="2"/>
    </row>
    <row r="859" spans="1:4" x14ac:dyDescent="0.3">
      <c r="A859" s="2" t="s">
        <v>3460</v>
      </c>
      <c r="B859" s="2" t="s">
        <v>1762</v>
      </c>
      <c r="C859" s="2" t="s">
        <v>3148</v>
      </c>
      <c r="D859" s="2"/>
    </row>
    <row r="860" spans="1:4" x14ac:dyDescent="0.3">
      <c r="A860" s="2" t="s">
        <v>3461</v>
      </c>
      <c r="B860" s="2" t="s">
        <v>1762</v>
      </c>
      <c r="C860" s="2" t="s">
        <v>3148</v>
      </c>
      <c r="D860" s="2"/>
    </row>
    <row r="861" spans="1:4" x14ac:dyDescent="0.3">
      <c r="A861" s="2" t="s">
        <v>3462</v>
      </c>
      <c r="B861" s="2" t="s">
        <v>1762</v>
      </c>
      <c r="C861" s="2" t="s">
        <v>3148</v>
      </c>
      <c r="D861" s="2"/>
    </row>
    <row r="862" spans="1:4" x14ac:dyDescent="0.3">
      <c r="A862" s="2" t="s">
        <v>3463</v>
      </c>
      <c r="B862" s="2" t="s">
        <v>1762</v>
      </c>
      <c r="C862" s="2" t="s">
        <v>3148</v>
      </c>
      <c r="D862" s="2"/>
    </row>
    <row r="863" spans="1:4" x14ac:dyDescent="0.3">
      <c r="A863" s="2" t="s">
        <v>3464</v>
      </c>
      <c r="B863" s="2" t="s">
        <v>1762</v>
      </c>
      <c r="C863" s="2" t="s">
        <v>3148</v>
      </c>
      <c r="D863" s="2"/>
    </row>
    <row r="864" spans="1:4" x14ac:dyDescent="0.3">
      <c r="A864" s="2" t="s">
        <v>3465</v>
      </c>
      <c r="B864" s="2" t="s">
        <v>1762</v>
      </c>
      <c r="C864" s="2" t="s">
        <v>3148</v>
      </c>
      <c r="D864" s="2"/>
    </row>
    <row r="865" spans="1:4" x14ac:dyDescent="0.3">
      <c r="A865" s="2" t="s">
        <v>3466</v>
      </c>
      <c r="B865" s="2" t="s">
        <v>1762</v>
      </c>
      <c r="C865" s="2" t="s">
        <v>3148</v>
      </c>
      <c r="D865" s="2"/>
    </row>
    <row r="866" spans="1:4" x14ac:dyDescent="0.3">
      <c r="A866" s="2" t="s">
        <v>3467</v>
      </c>
      <c r="B866" s="2" t="s">
        <v>1762</v>
      </c>
      <c r="C866" s="2" t="s">
        <v>3148</v>
      </c>
      <c r="D866" s="2"/>
    </row>
    <row r="867" spans="1:4" x14ac:dyDescent="0.3">
      <c r="A867" s="2" t="s">
        <v>3468</v>
      </c>
      <c r="B867" s="2" t="s">
        <v>1762</v>
      </c>
      <c r="C867" s="2" t="s">
        <v>3148</v>
      </c>
      <c r="D867" s="2"/>
    </row>
    <row r="868" spans="1:4" x14ac:dyDescent="0.3">
      <c r="A868" s="2" t="s">
        <v>3469</v>
      </c>
      <c r="B868" s="2" t="s">
        <v>1762</v>
      </c>
      <c r="C868" s="2" t="s">
        <v>3148</v>
      </c>
      <c r="D868" s="2"/>
    </row>
    <row r="869" spans="1:4" x14ac:dyDescent="0.3">
      <c r="A869" s="2" t="s">
        <v>3470</v>
      </c>
      <c r="B869" s="2" t="s">
        <v>1762</v>
      </c>
      <c r="C869" s="2" t="s">
        <v>3148</v>
      </c>
      <c r="D869" s="2"/>
    </row>
    <row r="870" spans="1:4" x14ac:dyDescent="0.3">
      <c r="A870" s="2" t="s">
        <v>3471</v>
      </c>
      <c r="B870" s="2" t="s">
        <v>1762</v>
      </c>
      <c r="C870" s="2" t="s">
        <v>3148</v>
      </c>
      <c r="D870" s="2"/>
    </row>
    <row r="871" spans="1:4" x14ac:dyDescent="0.3">
      <c r="A871" s="2" t="s">
        <v>3472</v>
      </c>
      <c r="B871" s="2" t="s">
        <v>1762</v>
      </c>
      <c r="C871" s="2" t="s">
        <v>3148</v>
      </c>
      <c r="D871" s="2"/>
    </row>
    <row r="872" spans="1:4" x14ac:dyDescent="0.3">
      <c r="A872" s="2" t="s">
        <v>3473</v>
      </c>
      <c r="B872" s="2" t="s">
        <v>1762</v>
      </c>
      <c r="C872" s="2" t="s">
        <v>3148</v>
      </c>
      <c r="D872" s="2"/>
    </row>
    <row r="873" spans="1:4" x14ac:dyDescent="0.3">
      <c r="A873" s="2" t="s">
        <v>3474</v>
      </c>
      <c r="B873" s="2" t="s">
        <v>1762</v>
      </c>
      <c r="C873" s="2" t="s">
        <v>3148</v>
      </c>
      <c r="D873" s="2"/>
    </row>
    <row r="874" spans="1:4" x14ac:dyDescent="0.3">
      <c r="A874" s="2" t="s">
        <v>3475</v>
      </c>
      <c r="B874" s="2" t="s">
        <v>1762</v>
      </c>
      <c r="C874" s="2" t="s">
        <v>3148</v>
      </c>
      <c r="D874" s="2"/>
    </row>
    <row r="875" spans="1:4" x14ac:dyDescent="0.3">
      <c r="A875" s="2" t="s">
        <v>3476</v>
      </c>
      <c r="B875" s="2" t="s">
        <v>1762</v>
      </c>
      <c r="C875" s="2" t="s">
        <v>3148</v>
      </c>
      <c r="D875" s="2"/>
    </row>
    <row r="876" spans="1:4" x14ac:dyDescent="0.3">
      <c r="A876" s="2" t="s">
        <v>3477</v>
      </c>
      <c r="B876" s="2" t="s">
        <v>1762</v>
      </c>
      <c r="C876" s="2" t="s">
        <v>3148</v>
      </c>
      <c r="D876" s="2"/>
    </row>
    <row r="877" spans="1:4" x14ac:dyDescent="0.3">
      <c r="A877" s="2" t="s">
        <v>3478</v>
      </c>
      <c r="B877" s="2" t="s">
        <v>1762</v>
      </c>
      <c r="C877" s="2" t="s">
        <v>3148</v>
      </c>
      <c r="D877" s="2"/>
    </row>
    <row r="878" spans="1:4" x14ac:dyDescent="0.3">
      <c r="A878" s="2" t="s">
        <v>3479</v>
      </c>
      <c r="B878" s="2" t="s">
        <v>1762</v>
      </c>
      <c r="C878" s="2" t="s">
        <v>3148</v>
      </c>
      <c r="D878" s="2"/>
    </row>
    <row r="879" spans="1:4" x14ac:dyDescent="0.3">
      <c r="A879" s="2" t="s">
        <v>3480</v>
      </c>
      <c r="B879" s="2" t="s">
        <v>1762</v>
      </c>
      <c r="C879" s="2" t="s">
        <v>3148</v>
      </c>
      <c r="D879" s="2"/>
    </row>
    <row r="880" spans="1:4" x14ac:dyDescent="0.3">
      <c r="A880" s="2" t="s">
        <v>3481</v>
      </c>
      <c r="B880" s="2" t="s">
        <v>1762</v>
      </c>
      <c r="C880" s="2" t="s">
        <v>3148</v>
      </c>
      <c r="D880" s="2"/>
    </row>
    <row r="881" spans="1:4" x14ac:dyDescent="0.3">
      <c r="A881" s="2" t="s">
        <v>3482</v>
      </c>
      <c r="B881" s="2" t="s">
        <v>1762</v>
      </c>
      <c r="C881" s="2" t="s">
        <v>3148</v>
      </c>
      <c r="D881" s="2"/>
    </row>
    <row r="882" spans="1:4" x14ac:dyDescent="0.3">
      <c r="A882" s="2" t="s">
        <v>3483</v>
      </c>
      <c r="B882" s="2" t="s">
        <v>1762</v>
      </c>
      <c r="C882" s="2" t="s">
        <v>3148</v>
      </c>
      <c r="D882" s="2"/>
    </row>
    <row r="883" spans="1:4" x14ac:dyDescent="0.3">
      <c r="A883" s="2" t="s">
        <v>3484</v>
      </c>
      <c r="B883" s="2" t="s">
        <v>1762</v>
      </c>
      <c r="C883" s="2" t="s">
        <v>3148</v>
      </c>
      <c r="D883" s="2"/>
    </row>
    <row r="884" spans="1:4" x14ac:dyDescent="0.3">
      <c r="A884" s="2" t="s">
        <v>3485</v>
      </c>
      <c r="B884" s="2" t="s">
        <v>1762</v>
      </c>
      <c r="C884" s="2" t="s">
        <v>3148</v>
      </c>
      <c r="D884" s="2"/>
    </row>
    <row r="885" spans="1:4" x14ac:dyDescent="0.3">
      <c r="A885" s="2" t="s">
        <v>3486</v>
      </c>
      <c r="B885" s="2" t="s">
        <v>1762</v>
      </c>
      <c r="C885" s="2" t="s">
        <v>3148</v>
      </c>
      <c r="D885" s="2"/>
    </row>
    <row r="886" spans="1:4" x14ac:dyDescent="0.3">
      <c r="A886" s="2" t="s">
        <v>3487</v>
      </c>
      <c r="B886" s="2" t="s">
        <v>1762</v>
      </c>
      <c r="C886" s="2" t="s">
        <v>3148</v>
      </c>
      <c r="D886" s="2"/>
    </row>
    <row r="887" spans="1:4" x14ac:dyDescent="0.3">
      <c r="A887" s="2" t="s">
        <v>3488</v>
      </c>
      <c r="B887" s="2" t="s">
        <v>1762</v>
      </c>
      <c r="C887" s="2" t="s">
        <v>3148</v>
      </c>
      <c r="D887" s="2"/>
    </row>
    <row r="888" spans="1:4" x14ac:dyDescent="0.3">
      <c r="A888" s="2" t="s">
        <v>3489</v>
      </c>
      <c r="B888" s="2" t="s">
        <v>1762</v>
      </c>
      <c r="C888" s="2" t="s">
        <v>3148</v>
      </c>
      <c r="D888" s="2"/>
    </row>
    <row r="889" spans="1:4" x14ac:dyDescent="0.3">
      <c r="A889" s="2" t="s">
        <v>3490</v>
      </c>
      <c r="B889" s="2" t="s">
        <v>1762</v>
      </c>
      <c r="C889" s="2" t="s">
        <v>3148</v>
      </c>
      <c r="D889" s="2"/>
    </row>
    <row r="890" spans="1:4" x14ac:dyDescent="0.3">
      <c r="A890" s="2" t="s">
        <v>3491</v>
      </c>
      <c r="B890" s="2" t="s">
        <v>1762</v>
      </c>
      <c r="C890" s="2" t="s">
        <v>3148</v>
      </c>
      <c r="D890" s="2"/>
    </row>
    <row r="891" spans="1:4" x14ac:dyDescent="0.3">
      <c r="A891" s="2" t="s">
        <v>3492</v>
      </c>
      <c r="B891" s="2" t="s">
        <v>1762</v>
      </c>
      <c r="C891" s="2" t="s">
        <v>3148</v>
      </c>
      <c r="D891" s="2"/>
    </row>
    <row r="892" spans="1:4" x14ac:dyDescent="0.3">
      <c r="A892" s="2" t="s">
        <v>3493</v>
      </c>
      <c r="B892" s="2" t="s">
        <v>1762</v>
      </c>
      <c r="C892" s="2" t="s">
        <v>3148</v>
      </c>
      <c r="D892" s="2"/>
    </row>
    <row r="893" spans="1:4" x14ac:dyDescent="0.3">
      <c r="A893" s="2" t="s">
        <v>3494</v>
      </c>
      <c r="B893" s="2" t="s">
        <v>1762</v>
      </c>
      <c r="C893" s="2" t="s">
        <v>3148</v>
      </c>
      <c r="D893" s="2"/>
    </row>
    <row r="894" spans="1:4" x14ac:dyDescent="0.3">
      <c r="A894" s="2" t="s">
        <v>3495</v>
      </c>
      <c r="B894" s="2" t="s">
        <v>1762</v>
      </c>
      <c r="C894" s="2" t="s">
        <v>3148</v>
      </c>
      <c r="D894" s="2"/>
    </row>
    <row r="895" spans="1:4" x14ac:dyDescent="0.3">
      <c r="A895" s="2" t="s">
        <v>3496</v>
      </c>
      <c r="B895" s="2" t="s">
        <v>1762</v>
      </c>
      <c r="C895" s="2" t="s">
        <v>3148</v>
      </c>
      <c r="D895" s="2"/>
    </row>
    <row r="896" spans="1:4" x14ac:dyDescent="0.3">
      <c r="A896" s="2" t="s">
        <v>3497</v>
      </c>
      <c r="B896" s="2" t="s">
        <v>1762</v>
      </c>
      <c r="C896" s="2" t="s">
        <v>3148</v>
      </c>
      <c r="D896" s="2"/>
    </row>
    <row r="897" spans="1:4" x14ac:dyDescent="0.3">
      <c r="A897" s="2" t="s">
        <v>3498</v>
      </c>
      <c r="B897" s="2" t="s">
        <v>1762</v>
      </c>
      <c r="C897" s="2" t="s">
        <v>3148</v>
      </c>
      <c r="D897" s="2"/>
    </row>
    <row r="898" spans="1:4" x14ac:dyDescent="0.3">
      <c r="A898" s="2" t="s">
        <v>3499</v>
      </c>
      <c r="B898" s="2" t="s">
        <v>1762</v>
      </c>
      <c r="C898" s="2" t="s">
        <v>3148</v>
      </c>
      <c r="D898" s="2"/>
    </row>
    <row r="899" spans="1:4" x14ac:dyDescent="0.3">
      <c r="A899" s="2" t="s">
        <v>3500</v>
      </c>
      <c r="B899" s="2" t="s">
        <v>1762</v>
      </c>
      <c r="C899" s="2" t="s">
        <v>3148</v>
      </c>
      <c r="D899" s="2"/>
    </row>
    <row r="900" spans="1:4" x14ac:dyDescent="0.3">
      <c r="A900" s="2" t="s">
        <v>3501</v>
      </c>
      <c r="B900" s="2" t="s">
        <v>1762</v>
      </c>
      <c r="C900" s="2" t="s">
        <v>3148</v>
      </c>
      <c r="D900" s="2"/>
    </row>
    <row r="901" spans="1:4" x14ac:dyDescent="0.3">
      <c r="A901" s="2" t="s">
        <v>3502</v>
      </c>
      <c r="B901" s="2" t="s">
        <v>1762</v>
      </c>
      <c r="C901" s="2" t="s">
        <v>3148</v>
      </c>
      <c r="D901" s="2"/>
    </row>
    <row r="902" spans="1:4" x14ac:dyDescent="0.3">
      <c r="A902" s="2" t="s">
        <v>3503</v>
      </c>
      <c r="B902" s="2" t="s">
        <v>1762</v>
      </c>
      <c r="C902" s="2" t="s">
        <v>3148</v>
      </c>
      <c r="D902" s="2"/>
    </row>
    <row r="903" spans="1:4" x14ac:dyDescent="0.3">
      <c r="A903" s="2" t="s">
        <v>3504</v>
      </c>
      <c r="B903" s="2" t="s">
        <v>1762</v>
      </c>
      <c r="C903" s="2" t="s">
        <v>3148</v>
      </c>
      <c r="D903" s="2"/>
    </row>
    <row r="904" spans="1:4" x14ac:dyDescent="0.3">
      <c r="A904" s="2" t="s">
        <v>3505</v>
      </c>
      <c r="B904" s="2" t="s">
        <v>1762</v>
      </c>
      <c r="C904" s="2" t="s">
        <v>3148</v>
      </c>
      <c r="D904" s="2"/>
    </row>
    <row r="905" spans="1:4" x14ac:dyDescent="0.3">
      <c r="A905" s="2" t="s">
        <v>3506</v>
      </c>
      <c r="B905" s="2" t="s">
        <v>1762</v>
      </c>
      <c r="C905" s="2" t="s">
        <v>3148</v>
      </c>
      <c r="D905" s="2"/>
    </row>
    <row r="906" spans="1:4" x14ac:dyDescent="0.3">
      <c r="A906" s="2" t="s">
        <v>2623</v>
      </c>
      <c r="B906" s="2" t="s">
        <v>45</v>
      </c>
      <c r="C906" s="2" t="s">
        <v>3015</v>
      </c>
      <c r="D906" s="2"/>
    </row>
    <row r="907" spans="1:4" x14ac:dyDescent="0.3">
      <c r="A907" s="2" t="s">
        <v>2624</v>
      </c>
      <c r="B907" s="2" t="s">
        <v>45</v>
      </c>
      <c r="C907" s="2" t="s">
        <v>3015</v>
      </c>
      <c r="D907" s="2"/>
    </row>
    <row r="908" spans="1:4" x14ac:dyDescent="0.3">
      <c r="A908" s="2" t="s">
        <v>2625</v>
      </c>
      <c r="B908" s="2" t="s">
        <v>45</v>
      </c>
      <c r="C908" s="2" t="s">
        <v>3015</v>
      </c>
      <c r="D908" s="2"/>
    </row>
    <row r="909" spans="1:4" x14ac:dyDescent="0.3">
      <c r="A909" s="2" t="s">
        <v>2626</v>
      </c>
      <c r="B909" s="2" t="s">
        <v>45</v>
      </c>
      <c r="C909" s="2" t="s">
        <v>3015</v>
      </c>
      <c r="D909" s="2"/>
    </row>
    <row r="910" spans="1:4" x14ac:dyDescent="0.3">
      <c r="A910" s="2" t="s">
        <v>2627</v>
      </c>
      <c r="B910" s="2" t="s">
        <v>45</v>
      </c>
      <c r="C910" s="2" t="s">
        <v>3015</v>
      </c>
      <c r="D910" s="2"/>
    </row>
    <row r="911" spans="1:4" x14ac:dyDescent="0.3">
      <c r="A911" s="2" t="s">
        <v>2628</v>
      </c>
      <c r="B911" s="2" t="s">
        <v>45</v>
      </c>
      <c r="C911" s="2" t="s">
        <v>3015</v>
      </c>
      <c r="D911" s="2"/>
    </row>
    <row r="912" spans="1:4" x14ac:dyDescent="0.3">
      <c r="A912" s="2" t="s">
        <v>2629</v>
      </c>
      <c r="B912" s="2" t="s">
        <v>45</v>
      </c>
      <c r="C912" s="2" t="s">
        <v>3015</v>
      </c>
      <c r="D912" s="2"/>
    </row>
    <row r="913" spans="1:4" x14ac:dyDescent="0.3">
      <c r="A913" s="2" t="s">
        <v>2630</v>
      </c>
      <c r="B913" s="2" t="s">
        <v>45</v>
      </c>
      <c r="C913" s="2" t="s">
        <v>3015</v>
      </c>
      <c r="D913" s="2"/>
    </row>
    <row r="914" spans="1:4" x14ac:dyDescent="0.3">
      <c r="A914" s="2" t="s">
        <v>2631</v>
      </c>
      <c r="B914" s="2" t="s">
        <v>45</v>
      </c>
      <c r="C914" s="2" t="s">
        <v>3015</v>
      </c>
      <c r="D914" s="2"/>
    </row>
    <row r="915" spans="1:4" x14ac:dyDescent="0.3">
      <c r="A915" s="2" t="s">
        <v>2632</v>
      </c>
      <c r="B915" s="2" t="s">
        <v>45</v>
      </c>
      <c r="C915" s="2" t="s">
        <v>3015</v>
      </c>
      <c r="D915" s="2"/>
    </row>
    <row r="916" spans="1:4" x14ac:dyDescent="0.3">
      <c r="A916" s="2" t="s">
        <v>2633</v>
      </c>
      <c r="B916" s="2" t="s">
        <v>45</v>
      </c>
      <c r="C916" s="2" t="s">
        <v>3015</v>
      </c>
      <c r="D916" s="2"/>
    </row>
    <row r="917" spans="1:4" x14ac:dyDescent="0.3">
      <c r="A917" s="2" t="s">
        <v>2634</v>
      </c>
      <c r="B917" s="2" t="s">
        <v>45</v>
      </c>
      <c r="C917" s="2" t="s">
        <v>3015</v>
      </c>
      <c r="D917" s="2"/>
    </row>
    <row r="918" spans="1:4" x14ac:dyDescent="0.3">
      <c r="A918" s="2" t="s">
        <v>2635</v>
      </c>
      <c r="B918" s="2" t="s">
        <v>45</v>
      </c>
      <c r="C918" s="2" t="s">
        <v>3015</v>
      </c>
      <c r="D918" s="2"/>
    </row>
    <row r="919" spans="1:4" x14ac:dyDescent="0.3">
      <c r="A919" s="2" t="s">
        <v>2636</v>
      </c>
      <c r="B919" s="2" t="s">
        <v>45</v>
      </c>
      <c r="C919" s="2" t="s">
        <v>3015</v>
      </c>
      <c r="D919" s="2"/>
    </row>
    <row r="920" spans="1:4" x14ac:dyDescent="0.3">
      <c r="A920" s="2" t="s">
        <v>2637</v>
      </c>
      <c r="B920" s="2" t="s">
        <v>45</v>
      </c>
      <c r="C920" s="2" t="s">
        <v>3015</v>
      </c>
      <c r="D920" s="2"/>
    </row>
    <row r="921" spans="1:4" x14ac:dyDescent="0.3">
      <c r="A921" s="2" t="s">
        <v>2638</v>
      </c>
      <c r="B921" s="2" t="s">
        <v>45</v>
      </c>
      <c r="C921" s="2" t="s">
        <v>3015</v>
      </c>
      <c r="D921" s="2"/>
    </row>
    <row r="922" spans="1:4" x14ac:dyDescent="0.3">
      <c r="A922" s="2" t="s">
        <v>2639</v>
      </c>
      <c r="B922" s="2" t="s">
        <v>45</v>
      </c>
      <c r="C922" s="2" t="s">
        <v>3015</v>
      </c>
      <c r="D922" s="2"/>
    </row>
    <row r="923" spans="1:4" x14ac:dyDescent="0.3">
      <c r="A923" s="2" t="s">
        <v>2640</v>
      </c>
      <c r="B923" s="2" t="s">
        <v>45</v>
      </c>
      <c r="C923" s="2" t="s">
        <v>3015</v>
      </c>
      <c r="D923" s="2"/>
    </row>
    <row r="924" spans="1:4" x14ac:dyDescent="0.3">
      <c r="A924" s="2" t="s">
        <v>2641</v>
      </c>
      <c r="B924" s="2" t="s">
        <v>45</v>
      </c>
      <c r="C924" s="2" t="s">
        <v>3015</v>
      </c>
      <c r="D924" s="2"/>
    </row>
    <row r="925" spans="1:4" x14ac:dyDescent="0.3">
      <c r="A925" s="2" t="s">
        <v>2642</v>
      </c>
      <c r="B925" s="2" t="s">
        <v>45</v>
      </c>
      <c r="C925" s="2" t="s">
        <v>3015</v>
      </c>
      <c r="D925" s="2"/>
    </row>
    <row r="926" spans="1:4" x14ac:dyDescent="0.3">
      <c r="A926" s="2" t="s">
        <v>2643</v>
      </c>
      <c r="B926" s="2" t="s">
        <v>45</v>
      </c>
      <c r="C926" s="2" t="s">
        <v>3015</v>
      </c>
      <c r="D926" s="2"/>
    </row>
    <row r="927" spans="1:4" x14ac:dyDescent="0.3">
      <c r="A927" s="2" t="s">
        <v>2644</v>
      </c>
      <c r="B927" s="2" t="s">
        <v>45</v>
      </c>
      <c r="C927" s="2" t="s">
        <v>3015</v>
      </c>
      <c r="D927" s="2"/>
    </row>
    <row r="928" spans="1:4" x14ac:dyDescent="0.3">
      <c r="A928" s="2" t="s">
        <v>2645</v>
      </c>
      <c r="B928" s="2" t="s">
        <v>45</v>
      </c>
      <c r="C928" s="2" t="s">
        <v>3015</v>
      </c>
      <c r="D928" s="2"/>
    </row>
    <row r="929" spans="1:4" x14ac:dyDescent="0.3">
      <c r="A929" s="2" t="s">
        <v>2646</v>
      </c>
      <c r="B929" s="2" t="s">
        <v>45</v>
      </c>
      <c r="C929" s="2" t="s">
        <v>3015</v>
      </c>
      <c r="D929" s="2"/>
    </row>
    <row r="930" spans="1:4" x14ac:dyDescent="0.3">
      <c r="A930" s="2" t="s">
        <v>2647</v>
      </c>
      <c r="B930" s="2" t="s">
        <v>45</v>
      </c>
      <c r="C930" s="2" t="s">
        <v>3015</v>
      </c>
      <c r="D930" s="2"/>
    </row>
    <row r="931" spans="1:4" x14ac:dyDescent="0.3">
      <c r="A931" s="2" t="s">
        <v>2648</v>
      </c>
      <c r="B931" s="2" t="s">
        <v>45</v>
      </c>
      <c r="C931" s="2" t="s">
        <v>3015</v>
      </c>
      <c r="D931" s="2"/>
    </row>
    <row r="932" spans="1:4" x14ac:dyDescent="0.3">
      <c r="A932" s="2" t="s">
        <v>2649</v>
      </c>
      <c r="B932" s="2" t="s">
        <v>45</v>
      </c>
      <c r="C932" s="2" t="s">
        <v>3015</v>
      </c>
      <c r="D932" s="2"/>
    </row>
    <row r="933" spans="1:4" x14ac:dyDescent="0.3">
      <c r="A933" s="2" t="s">
        <v>2650</v>
      </c>
      <c r="B933" s="2" t="s">
        <v>45</v>
      </c>
      <c r="C933" s="2" t="s">
        <v>3015</v>
      </c>
      <c r="D933" s="2"/>
    </row>
    <row r="934" spans="1:4" x14ac:dyDescent="0.3">
      <c r="A934" s="2" t="s">
        <v>2651</v>
      </c>
      <c r="B934" s="2" t="s">
        <v>45</v>
      </c>
      <c r="C934" s="2" t="s">
        <v>3015</v>
      </c>
      <c r="D934" s="2"/>
    </row>
    <row r="935" spans="1:4" x14ac:dyDescent="0.3">
      <c r="A935" s="2" t="s">
        <v>2652</v>
      </c>
      <c r="B935" s="2" t="s">
        <v>45</v>
      </c>
      <c r="C935" s="2" t="s">
        <v>3015</v>
      </c>
      <c r="D935" s="2"/>
    </row>
    <row r="936" spans="1:4" x14ac:dyDescent="0.3">
      <c r="A936" s="2" t="s">
        <v>2653</v>
      </c>
      <c r="B936" s="2" t="s">
        <v>45</v>
      </c>
      <c r="C936" s="2" t="s">
        <v>3015</v>
      </c>
      <c r="D936" s="2"/>
    </row>
    <row r="937" spans="1:4" x14ac:dyDescent="0.3">
      <c r="A937" s="2" t="s">
        <v>2654</v>
      </c>
      <c r="B937" s="2" t="s">
        <v>45</v>
      </c>
      <c r="C937" s="2" t="s">
        <v>3015</v>
      </c>
      <c r="D937" s="2"/>
    </row>
    <row r="938" spans="1:4" x14ac:dyDescent="0.3">
      <c r="A938" s="2" t="s">
        <v>2655</v>
      </c>
      <c r="B938" s="2" t="s">
        <v>45</v>
      </c>
      <c r="C938" s="2" t="s">
        <v>3015</v>
      </c>
      <c r="D938" s="2"/>
    </row>
    <row r="939" spans="1:4" x14ac:dyDescent="0.3">
      <c r="A939" s="2" t="s">
        <v>2656</v>
      </c>
      <c r="B939" s="2" t="s">
        <v>45</v>
      </c>
      <c r="C939" s="2" t="s">
        <v>3015</v>
      </c>
      <c r="D939" s="2"/>
    </row>
    <row r="940" spans="1:4" x14ac:dyDescent="0.3">
      <c r="A940" s="2" t="s">
        <v>2657</v>
      </c>
      <c r="B940" s="2" t="s">
        <v>45</v>
      </c>
      <c r="C940" s="2" t="s">
        <v>3015</v>
      </c>
      <c r="D940" s="2"/>
    </row>
    <row r="941" spans="1:4" x14ac:dyDescent="0.3">
      <c r="A941" s="2" t="s">
        <v>2658</v>
      </c>
      <c r="B941" s="2" t="s">
        <v>45</v>
      </c>
      <c r="C941" s="2" t="s">
        <v>3015</v>
      </c>
      <c r="D941" s="2"/>
    </row>
    <row r="942" spans="1:4" x14ac:dyDescent="0.3">
      <c r="A942" s="2" t="s">
        <v>2659</v>
      </c>
      <c r="B942" s="2" t="s">
        <v>45</v>
      </c>
      <c r="C942" s="2" t="s">
        <v>3015</v>
      </c>
      <c r="D942" s="2"/>
    </row>
    <row r="943" spans="1:4" x14ac:dyDescent="0.3">
      <c r="A943" s="2" t="s">
        <v>2660</v>
      </c>
      <c r="B943" s="2" t="s">
        <v>45</v>
      </c>
      <c r="C943" s="2" t="s">
        <v>3015</v>
      </c>
      <c r="D943" s="2"/>
    </row>
    <row r="944" spans="1:4" x14ac:dyDescent="0.3">
      <c r="A944" s="2" t="s">
        <v>2661</v>
      </c>
      <c r="B944" s="2" t="s">
        <v>45</v>
      </c>
      <c r="C944" s="2" t="s">
        <v>3015</v>
      </c>
      <c r="D944" s="2"/>
    </row>
    <row r="945" spans="1:4" x14ac:dyDescent="0.3">
      <c r="A945" s="2" t="s">
        <v>2662</v>
      </c>
      <c r="B945" s="2" t="s">
        <v>45</v>
      </c>
      <c r="C945" s="2" t="s">
        <v>3015</v>
      </c>
      <c r="D945" s="2"/>
    </row>
    <row r="946" spans="1:4" x14ac:dyDescent="0.3">
      <c r="A946" s="2" t="s">
        <v>2663</v>
      </c>
      <c r="B946" s="2" t="s">
        <v>45</v>
      </c>
      <c r="C946" s="2" t="s">
        <v>3015</v>
      </c>
      <c r="D946" s="2"/>
    </row>
    <row r="947" spans="1:4" x14ac:dyDescent="0.3">
      <c r="A947" s="2" t="s">
        <v>2664</v>
      </c>
      <c r="B947" s="2" t="s">
        <v>45</v>
      </c>
      <c r="C947" s="2" t="s">
        <v>3015</v>
      </c>
      <c r="D947" s="2"/>
    </row>
    <row r="948" spans="1:4" x14ac:dyDescent="0.3">
      <c r="A948" s="2" t="s">
        <v>2665</v>
      </c>
      <c r="B948" s="2" t="s">
        <v>45</v>
      </c>
      <c r="C948" s="2" t="s">
        <v>3015</v>
      </c>
      <c r="D948" s="2"/>
    </row>
    <row r="949" spans="1:4" x14ac:dyDescent="0.3">
      <c r="A949" s="2" t="s">
        <v>2666</v>
      </c>
      <c r="B949" s="2" t="s">
        <v>45</v>
      </c>
      <c r="C949" s="2" t="s">
        <v>3015</v>
      </c>
      <c r="D949" s="2"/>
    </row>
    <row r="950" spans="1:4" x14ac:dyDescent="0.3">
      <c r="A950" s="2" t="s">
        <v>2667</v>
      </c>
      <c r="B950" s="2" t="s">
        <v>45</v>
      </c>
      <c r="C950" s="2" t="s">
        <v>3015</v>
      </c>
      <c r="D950" s="2"/>
    </row>
    <row r="951" spans="1:4" x14ac:dyDescent="0.3">
      <c r="A951" s="2" t="s">
        <v>2668</v>
      </c>
      <c r="B951" s="2" t="s">
        <v>45</v>
      </c>
      <c r="C951" s="2" t="s">
        <v>3015</v>
      </c>
      <c r="D951" s="2"/>
    </row>
    <row r="952" spans="1:4" x14ac:dyDescent="0.3">
      <c r="A952" s="2" t="s">
        <v>2669</v>
      </c>
      <c r="B952" s="2" t="s">
        <v>45</v>
      </c>
      <c r="C952" s="2" t="s">
        <v>3015</v>
      </c>
      <c r="D952" s="2"/>
    </row>
    <row r="953" spans="1:4" x14ac:dyDescent="0.3">
      <c r="A953" s="2" t="s">
        <v>2670</v>
      </c>
      <c r="B953" s="2" t="s">
        <v>45</v>
      </c>
      <c r="C953" s="2" t="s">
        <v>3015</v>
      </c>
      <c r="D953" s="2"/>
    </row>
    <row r="954" spans="1:4" x14ac:dyDescent="0.3">
      <c r="A954" s="2" t="s">
        <v>2671</v>
      </c>
      <c r="B954" s="2" t="s">
        <v>45</v>
      </c>
      <c r="C954" s="2" t="s">
        <v>3015</v>
      </c>
      <c r="D954" s="2"/>
    </row>
    <row r="955" spans="1:4" x14ac:dyDescent="0.3">
      <c r="A955" s="2" t="s">
        <v>2672</v>
      </c>
      <c r="B955" s="2" t="s">
        <v>45</v>
      </c>
      <c r="C955" s="2" t="s">
        <v>3015</v>
      </c>
      <c r="D955" s="2"/>
    </row>
    <row r="956" spans="1:4" x14ac:dyDescent="0.3">
      <c r="A956" s="2" t="s">
        <v>2673</v>
      </c>
      <c r="B956" s="2" t="s">
        <v>45</v>
      </c>
      <c r="C956" s="2" t="s">
        <v>3015</v>
      </c>
      <c r="D956" s="2"/>
    </row>
    <row r="957" spans="1:4" x14ac:dyDescent="0.3">
      <c r="A957" s="2" t="s">
        <v>2674</v>
      </c>
      <c r="B957" s="2" t="s">
        <v>45</v>
      </c>
      <c r="C957" s="2" t="s">
        <v>3015</v>
      </c>
      <c r="D957" s="2"/>
    </row>
    <row r="958" spans="1:4" x14ac:dyDescent="0.3">
      <c r="A958" s="2" t="s">
        <v>2675</v>
      </c>
      <c r="B958" s="2" t="s">
        <v>45</v>
      </c>
      <c r="C958" s="2" t="s">
        <v>3015</v>
      </c>
      <c r="D958" s="2"/>
    </row>
    <row r="959" spans="1:4" x14ac:dyDescent="0.3">
      <c r="A959" s="2" t="s">
        <v>2676</v>
      </c>
      <c r="B959" s="2" t="s">
        <v>45</v>
      </c>
      <c r="C959" s="2" t="s">
        <v>3015</v>
      </c>
      <c r="D959" s="2"/>
    </row>
    <row r="960" spans="1:4" x14ac:dyDescent="0.3">
      <c r="A960" s="2" t="s">
        <v>2677</v>
      </c>
      <c r="B960" s="2" t="s">
        <v>45</v>
      </c>
      <c r="C960" s="2" t="s">
        <v>3015</v>
      </c>
      <c r="D960" s="2"/>
    </row>
    <row r="961" spans="1:4" x14ac:dyDescent="0.3">
      <c r="A961" s="2" t="s">
        <v>2678</v>
      </c>
      <c r="B961" s="2" t="s">
        <v>45</v>
      </c>
      <c r="C961" s="2" t="s">
        <v>3015</v>
      </c>
      <c r="D961" s="2"/>
    </row>
    <row r="962" spans="1:4" x14ac:dyDescent="0.3">
      <c r="A962" s="2" t="s">
        <v>2679</v>
      </c>
      <c r="B962" s="2" t="s">
        <v>45</v>
      </c>
      <c r="C962" s="2" t="s">
        <v>3015</v>
      </c>
      <c r="D962" s="2"/>
    </row>
    <row r="963" spans="1:4" x14ac:dyDescent="0.3">
      <c r="A963" s="2" t="s">
        <v>2680</v>
      </c>
      <c r="B963" s="2" t="s">
        <v>45</v>
      </c>
      <c r="C963" s="2" t="s">
        <v>3015</v>
      </c>
      <c r="D963" s="2"/>
    </row>
    <row r="964" spans="1:4" x14ac:dyDescent="0.3">
      <c r="A964" s="2" t="s">
        <v>2681</v>
      </c>
      <c r="B964" s="2" t="s">
        <v>45</v>
      </c>
      <c r="C964" s="2" t="s">
        <v>3015</v>
      </c>
      <c r="D964" s="2"/>
    </row>
    <row r="965" spans="1:4" x14ac:dyDescent="0.3">
      <c r="A965" s="2" t="s">
        <v>2682</v>
      </c>
      <c r="B965" s="2" t="s">
        <v>45</v>
      </c>
      <c r="C965" s="2" t="s">
        <v>3015</v>
      </c>
      <c r="D965" s="2"/>
    </row>
    <row r="966" spans="1:4" x14ac:dyDescent="0.3">
      <c r="A966" s="2" t="s">
        <v>2683</v>
      </c>
      <c r="B966" s="2" t="s">
        <v>45</v>
      </c>
      <c r="C966" s="2" t="s">
        <v>3015</v>
      </c>
      <c r="D966" s="2"/>
    </row>
    <row r="967" spans="1:4" x14ac:dyDescent="0.3">
      <c r="A967" s="2" t="s">
        <v>2684</v>
      </c>
      <c r="B967" s="2" t="s">
        <v>45</v>
      </c>
      <c r="C967" s="2" t="s">
        <v>3015</v>
      </c>
      <c r="D967" s="2"/>
    </row>
    <row r="968" spans="1:4" x14ac:dyDescent="0.3">
      <c r="A968" s="2" t="s">
        <v>2685</v>
      </c>
      <c r="B968" s="2" t="s">
        <v>45</v>
      </c>
      <c r="C968" s="2" t="s">
        <v>3015</v>
      </c>
      <c r="D968" s="2"/>
    </row>
    <row r="969" spans="1:4" x14ac:dyDescent="0.3">
      <c r="A969" s="2" t="s">
        <v>2686</v>
      </c>
      <c r="B969" s="2" t="s">
        <v>45</v>
      </c>
      <c r="C969" s="2" t="s">
        <v>3015</v>
      </c>
      <c r="D969" s="2"/>
    </row>
    <row r="970" spans="1:4" x14ac:dyDescent="0.3">
      <c r="A970" s="2" t="s">
        <v>2687</v>
      </c>
      <c r="B970" s="2" t="s">
        <v>45</v>
      </c>
      <c r="C970" s="2" t="s">
        <v>3015</v>
      </c>
      <c r="D970" s="2"/>
    </row>
    <row r="971" spans="1:4" x14ac:dyDescent="0.3">
      <c r="A971" s="2" t="s">
        <v>2688</v>
      </c>
      <c r="B971" s="2" t="s">
        <v>45</v>
      </c>
      <c r="C971" s="2" t="s">
        <v>3015</v>
      </c>
      <c r="D971" s="2"/>
    </row>
    <row r="972" spans="1:4" x14ac:dyDescent="0.3">
      <c r="A972" s="2" t="s">
        <v>2689</v>
      </c>
      <c r="B972" s="2" t="s">
        <v>45</v>
      </c>
      <c r="C972" s="2" t="s">
        <v>3015</v>
      </c>
      <c r="D972" s="2"/>
    </row>
    <row r="973" spans="1:4" x14ac:dyDescent="0.3">
      <c r="A973" s="2" t="s">
        <v>2690</v>
      </c>
      <c r="B973" s="2" t="s">
        <v>45</v>
      </c>
      <c r="C973" s="2" t="s">
        <v>3015</v>
      </c>
      <c r="D973" s="2"/>
    </row>
    <row r="974" spans="1:4" x14ac:dyDescent="0.3">
      <c r="A974" s="2" t="s">
        <v>2691</v>
      </c>
      <c r="B974" s="2" t="s">
        <v>45</v>
      </c>
      <c r="C974" s="2" t="s">
        <v>3015</v>
      </c>
      <c r="D974" s="2"/>
    </row>
    <row r="975" spans="1:4" x14ac:dyDescent="0.3">
      <c r="A975" s="2" t="s">
        <v>2692</v>
      </c>
      <c r="B975" s="2" t="s">
        <v>45</v>
      </c>
      <c r="C975" s="2" t="s">
        <v>3015</v>
      </c>
      <c r="D975" s="2"/>
    </row>
    <row r="976" spans="1:4" x14ac:dyDescent="0.3">
      <c r="A976" s="2" t="s">
        <v>2693</v>
      </c>
      <c r="B976" s="2" t="s">
        <v>45</v>
      </c>
      <c r="C976" s="2" t="s">
        <v>3015</v>
      </c>
      <c r="D976" s="2"/>
    </row>
    <row r="977" spans="1:4" x14ac:dyDescent="0.3">
      <c r="A977" s="2" t="s">
        <v>2694</v>
      </c>
      <c r="B977" s="2" t="s">
        <v>45</v>
      </c>
      <c r="C977" s="2" t="s">
        <v>3015</v>
      </c>
      <c r="D977" s="2"/>
    </row>
    <row r="978" spans="1:4" x14ac:dyDescent="0.3">
      <c r="A978" s="2" t="s">
        <v>2695</v>
      </c>
      <c r="B978" s="2" t="s">
        <v>45</v>
      </c>
      <c r="C978" s="2" t="s">
        <v>3015</v>
      </c>
      <c r="D978" s="2"/>
    </row>
    <row r="979" spans="1:4" x14ac:dyDescent="0.3">
      <c r="A979" s="2" t="s">
        <v>2696</v>
      </c>
      <c r="B979" s="2" t="s">
        <v>45</v>
      </c>
      <c r="C979" s="2" t="s">
        <v>3015</v>
      </c>
      <c r="D979" s="2"/>
    </row>
    <row r="980" spans="1:4" x14ac:dyDescent="0.3">
      <c r="A980" s="2" t="s">
        <v>2697</v>
      </c>
      <c r="B980" s="2" t="s">
        <v>45</v>
      </c>
      <c r="C980" s="2" t="s">
        <v>3015</v>
      </c>
      <c r="D980" s="2"/>
    </row>
    <row r="981" spans="1:4" x14ac:dyDescent="0.3">
      <c r="A981" s="2" t="s">
        <v>2698</v>
      </c>
      <c r="B981" s="2" t="s">
        <v>45</v>
      </c>
      <c r="C981" s="2" t="s">
        <v>3015</v>
      </c>
      <c r="D981" s="2"/>
    </row>
    <row r="982" spans="1:4" x14ac:dyDescent="0.3">
      <c r="A982" s="2" t="s">
        <v>2699</v>
      </c>
      <c r="B982" s="2" t="s">
        <v>45</v>
      </c>
      <c r="C982" s="2" t="s">
        <v>3015</v>
      </c>
      <c r="D982" s="2"/>
    </row>
    <row r="983" spans="1:4" x14ac:dyDescent="0.3">
      <c r="A983" s="2" t="s">
        <v>2700</v>
      </c>
      <c r="B983" s="2" t="s">
        <v>45</v>
      </c>
      <c r="C983" s="2" t="s">
        <v>3015</v>
      </c>
      <c r="D983" s="2"/>
    </row>
    <row r="984" spans="1:4" x14ac:dyDescent="0.3">
      <c r="A984" s="2" t="s">
        <v>2701</v>
      </c>
      <c r="B984" s="2" t="s">
        <v>45</v>
      </c>
      <c r="C984" s="2" t="s">
        <v>3015</v>
      </c>
      <c r="D984" s="2"/>
    </row>
    <row r="985" spans="1:4" x14ac:dyDescent="0.3">
      <c r="A985" s="2" t="s">
        <v>2702</v>
      </c>
      <c r="B985" s="2" t="s">
        <v>45</v>
      </c>
      <c r="C985" s="2" t="s">
        <v>3015</v>
      </c>
      <c r="D985" s="2"/>
    </row>
    <row r="986" spans="1:4" x14ac:dyDescent="0.3">
      <c r="A986" s="2" t="s">
        <v>2703</v>
      </c>
      <c r="B986" s="2" t="s">
        <v>45</v>
      </c>
      <c r="C986" s="2" t="s">
        <v>3015</v>
      </c>
      <c r="D986" s="2"/>
    </row>
    <row r="987" spans="1:4" x14ac:dyDescent="0.3">
      <c r="A987" s="2" t="s">
        <v>2704</v>
      </c>
      <c r="B987" s="2" t="s">
        <v>45</v>
      </c>
      <c r="C987" s="2" t="s">
        <v>3015</v>
      </c>
      <c r="D987" s="2"/>
    </row>
    <row r="988" spans="1:4" x14ac:dyDescent="0.3">
      <c r="A988" s="2" t="s">
        <v>2705</v>
      </c>
      <c r="B988" s="2" t="s">
        <v>45</v>
      </c>
      <c r="C988" s="2" t="s">
        <v>3015</v>
      </c>
      <c r="D988" s="2"/>
    </row>
    <row r="989" spans="1:4" x14ac:dyDescent="0.3">
      <c r="A989" s="2" t="s">
        <v>2706</v>
      </c>
      <c r="B989" s="2" t="s">
        <v>45</v>
      </c>
      <c r="C989" s="2" t="s">
        <v>3015</v>
      </c>
      <c r="D989" s="2"/>
    </row>
    <row r="990" spans="1:4" x14ac:dyDescent="0.3">
      <c r="A990" s="2" t="s">
        <v>2707</v>
      </c>
      <c r="B990" s="2" t="s">
        <v>45</v>
      </c>
      <c r="C990" s="2" t="s">
        <v>3015</v>
      </c>
      <c r="D990" s="2"/>
    </row>
    <row r="991" spans="1:4" x14ac:dyDescent="0.3">
      <c r="A991" s="2" t="s">
        <v>2708</v>
      </c>
      <c r="B991" s="2" t="s">
        <v>45</v>
      </c>
      <c r="C991" s="2" t="s">
        <v>3015</v>
      </c>
      <c r="D991" s="2"/>
    </row>
    <row r="992" spans="1:4" x14ac:dyDescent="0.3">
      <c r="A992" s="2" t="s">
        <v>2709</v>
      </c>
      <c r="B992" s="2" t="s">
        <v>45</v>
      </c>
      <c r="C992" s="2" t="s">
        <v>3015</v>
      </c>
      <c r="D992" s="2"/>
    </row>
    <row r="993" spans="1:4" x14ac:dyDescent="0.3">
      <c r="A993" s="2" t="s">
        <v>2710</v>
      </c>
      <c r="B993" s="2" t="s">
        <v>45</v>
      </c>
      <c r="C993" s="2" t="s">
        <v>3015</v>
      </c>
      <c r="D993" s="2"/>
    </row>
    <row r="994" spans="1:4" x14ac:dyDescent="0.3">
      <c r="A994" s="2" t="s">
        <v>2711</v>
      </c>
      <c r="B994" s="2" t="s">
        <v>45</v>
      </c>
      <c r="C994" s="2" t="s">
        <v>3015</v>
      </c>
      <c r="D994" s="2"/>
    </row>
    <row r="995" spans="1:4" x14ac:dyDescent="0.3">
      <c r="A995" s="2" t="s">
        <v>2712</v>
      </c>
      <c r="B995" s="2" t="s">
        <v>45</v>
      </c>
      <c r="C995" s="2" t="s">
        <v>3015</v>
      </c>
      <c r="D995" s="2"/>
    </row>
    <row r="996" spans="1:4" x14ac:dyDescent="0.3">
      <c r="A996" s="2" t="s">
        <v>2713</v>
      </c>
      <c r="B996" s="2" t="s">
        <v>45</v>
      </c>
      <c r="C996" s="2" t="s">
        <v>3015</v>
      </c>
      <c r="D996" s="2"/>
    </row>
    <row r="997" spans="1:4" x14ac:dyDescent="0.3">
      <c r="A997" s="2" t="s">
        <v>2714</v>
      </c>
      <c r="B997" s="2" t="s">
        <v>45</v>
      </c>
      <c r="C997" s="2" t="s">
        <v>3015</v>
      </c>
      <c r="D997" s="2"/>
    </row>
    <row r="998" spans="1:4" x14ac:dyDescent="0.3">
      <c r="A998" s="2" t="s">
        <v>2715</v>
      </c>
      <c r="B998" s="2" t="s">
        <v>45</v>
      </c>
      <c r="C998" s="2" t="s">
        <v>3015</v>
      </c>
      <c r="D998" s="2"/>
    </row>
    <row r="999" spans="1:4" x14ac:dyDescent="0.3">
      <c r="A999" s="2" t="s">
        <v>2716</v>
      </c>
      <c r="B999" s="2" t="s">
        <v>45</v>
      </c>
      <c r="C999" s="2" t="s">
        <v>3015</v>
      </c>
      <c r="D999" s="2"/>
    </row>
    <row r="1000" spans="1:4" x14ac:dyDescent="0.3">
      <c r="A1000" s="2" t="s">
        <v>2717</v>
      </c>
      <c r="B1000" s="2" t="s">
        <v>45</v>
      </c>
      <c r="C1000" s="2" t="s">
        <v>3015</v>
      </c>
      <c r="D1000" s="2"/>
    </row>
    <row r="1001" spans="1:4" x14ac:dyDescent="0.3">
      <c r="A1001" s="2" t="s">
        <v>2718</v>
      </c>
      <c r="B1001" s="2" t="s">
        <v>45</v>
      </c>
      <c r="C1001" s="2" t="s">
        <v>3015</v>
      </c>
      <c r="D1001" s="2"/>
    </row>
    <row r="1002" spans="1:4" x14ac:dyDescent="0.3">
      <c r="A1002" s="2" t="s">
        <v>2719</v>
      </c>
      <c r="B1002" s="2" t="s">
        <v>45</v>
      </c>
      <c r="C1002" s="2" t="s">
        <v>3015</v>
      </c>
      <c r="D1002" s="2"/>
    </row>
    <row r="1003" spans="1:4" x14ac:dyDescent="0.3">
      <c r="A1003" s="2" t="s">
        <v>2720</v>
      </c>
      <c r="B1003" s="2" t="s">
        <v>45</v>
      </c>
      <c r="C1003" s="2" t="s">
        <v>3015</v>
      </c>
      <c r="D1003" s="2"/>
    </row>
    <row r="1004" spans="1:4" x14ac:dyDescent="0.3">
      <c r="A1004" s="2" t="s">
        <v>2721</v>
      </c>
      <c r="B1004" s="2" t="s">
        <v>45</v>
      </c>
      <c r="C1004" s="2" t="s">
        <v>3015</v>
      </c>
      <c r="D1004" s="2"/>
    </row>
    <row r="1005" spans="1:4" x14ac:dyDescent="0.3">
      <c r="A1005" s="2" t="s">
        <v>2722</v>
      </c>
      <c r="B1005" s="2" t="s">
        <v>45</v>
      </c>
      <c r="C1005" s="2" t="s">
        <v>3015</v>
      </c>
      <c r="D1005" s="2"/>
    </row>
    <row r="1006" spans="1:4" x14ac:dyDescent="0.3">
      <c r="A1006" s="2" t="s">
        <v>2723</v>
      </c>
      <c r="B1006" s="2" t="s">
        <v>45</v>
      </c>
      <c r="C1006" s="2" t="s">
        <v>3015</v>
      </c>
      <c r="D1006" s="2"/>
    </row>
    <row r="1007" spans="1:4" x14ac:dyDescent="0.3">
      <c r="A1007" s="2" t="s">
        <v>2724</v>
      </c>
      <c r="B1007" s="2" t="s">
        <v>45</v>
      </c>
      <c r="C1007" s="2" t="s">
        <v>3015</v>
      </c>
      <c r="D1007" s="2"/>
    </row>
    <row r="1008" spans="1:4" x14ac:dyDescent="0.3">
      <c r="A1008" s="2" t="s">
        <v>2725</v>
      </c>
      <c r="B1008" s="2" t="s">
        <v>45</v>
      </c>
      <c r="C1008" s="2" t="s">
        <v>3015</v>
      </c>
      <c r="D1008" s="2"/>
    </row>
    <row r="1009" spans="1:4" x14ac:dyDescent="0.3">
      <c r="A1009" s="2" t="s">
        <v>2726</v>
      </c>
      <c r="B1009" s="2" t="s">
        <v>45</v>
      </c>
      <c r="C1009" s="2" t="s">
        <v>3015</v>
      </c>
      <c r="D1009" s="2"/>
    </row>
    <row r="1010" spans="1:4" x14ac:dyDescent="0.3">
      <c r="A1010" s="2" t="s">
        <v>2727</v>
      </c>
      <c r="B1010" s="2" t="s">
        <v>45</v>
      </c>
      <c r="C1010" s="2" t="s">
        <v>3015</v>
      </c>
      <c r="D1010" s="2"/>
    </row>
    <row r="1011" spans="1:4" x14ac:dyDescent="0.3">
      <c r="A1011" s="2" t="s">
        <v>2728</v>
      </c>
      <c r="B1011" s="2" t="s">
        <v>45</v>
      </c>
      <c r="C1011" s="2" t="s">
        <v>3015</v>
      </c>
      <c r="D1011" s="2"/>
    </row>
    <row r="1012" spans="1:4" x14ac:dyDescent="0.3">
      <c r="A1012" s="2" t="s">
        <v>2729</v>
      </c>
      <c r="B1012" s="2" t="s">
        <v>45</v>
      </c>
      <c r="C1012" s="2" t="s">
        <v>3015</v>
      </c>
      <c r="D1012" s="2"/>
    </row>
    <row r="1013" spans="1:4" x14ac:dyDescent="0.3">
      <c r="A1013" s="2" t="s">
        <v>2730</v>
      </c>
      <c r="B1013" s="2" t="s">
        <v>45</v>
      </c>
      <c r="C1013" s="2" t="s">
        <v>3015</v>
      </c>
      <c r="D1013" s="2"/>
    </row>
    <row r="1014" spans="1:4" x14ac:dyDescent="0.3">
      <c r="A1014" s="2" t="s">
        <v>2731</v>
      </c>
      <c r="B1014" s="2" t="s">
        <v>45</v>
      </c>
      <c r="C1014" s="2" t="s">
        <v>3015</v>
      </c>
      <c r="D1014" s="2"/>
    </row>
    <row r="1015" spans="1:4" x14ac:dyDescent="0.3">
      <c r="A1015" s="2" t="s">
        <v>2732</v>
      </c>
      <c r="B1015" s="2" t="s">
        <v>45</v>
      </c>
      <c r="C1015" s="2" t="s">
        <v>3015</v>
      </c>
      <c r="D1015" s="2"/>
    </row>
    <row r="1016" spans="1:4" x14ac:dyDescent="0.3">
      <c r="A1016" s="2" t="s">
        <v>2733</v>
      </c>
      <c r="B1016" s="2" t="s">
        <v>45</v>
      </c>
      <c r="C1016" s="2" t="s">
        <v>3015</v>
      </c>
      <c r="D1016" s="2"/>
    </row>
    <row r="1017" spans="1:4" x14ac:dyDescent="0.3">
      <c r="A1017" s="2" t="s">
        <v>2734</v>
      </c>
      <c r="B1017" s="2" t="s">
        <v>45</v>
      </c>
      <c r="C1017" s="2" t="s">
        <v>3015</v>
      </c>
      <c r="D1017" s="2"/>
    </row>
    <row r="1018" spans="1:4" x14ac:dyDescent="0.3">
      <c r="A1018" s="2" t="s">
        <v>2735</v>
      </c>
      <c r="B1018" s="2" t="s">
        <v>45</v>
      </c>
      <c r="C1018" s="2" t="s">
        <v>3015</v>
      </c>
      <c r="D1018" s="2"/>
    </row>
    <row r="1019" spans="1:4" x14ac:dyDescent="0.3">
      <c r="A1019" s="2" t="s">
        <v>2736</v>
      </c>
      <c r="B1019" s="2" t="s">
        <v>45</v>
      </c>
      <c r="C1019" s="2" t="s">
        <v>3015</v>
      </c>
      <c r="D1019" s="2"/>
    </row>
    <row r="1020" spans="1:4" x14ac:dyDescent="0.3">
      <c r="A1020" s="2" t="s">
        <v>2737</v>
      </c>
      <c r="B1020" s="2" t="s">
        <v>45</v>
      </c>
      <c r="C1020" s="2" t="s">
        <v>3015</v>
      </c>
      <c r="D1020" s="2"/>
    </row>
    <row r="1021" spans="1:4" x14ac:dyDescent="0.3">
      <c r="A1021" s="2" t="s">
        <v>2738</v>
      </c>
      <c r="B1021" s="2" t="s">
        <v>45</v>
      </c>
      <c r="C1021" s="2" t="s">
        <v>3015</v>
      </c>
      <c r="D1021" s="2"/>
    </row>
    <row r="1022" spans="1:4" x14ac:dyDescent="0.3">
      <c r="A1022" s="2" t="s">
        <v>2739</v>
      </c>
      <c r="B1022" s="2" t="s">
        <v>45</v>
      </c>
      <c r="C1022" s="2" t="s">
        <v>3015</v>
      </c>
      <c r="D1022" s="2"/>
    </row>
    <row r="1023" spans="1:4" x14ac:dyDescent="0.3">
      <c r="A1023" s="2" t="s">
        <v>2740</v>
      </c>
      <c r="B1023" s="2" t="s">
        <v>45</v>
      </c>
      <c r="C1023" s="2" t="s">
        <v>3015</v>
      </c>
      <c r="D1023" s="2"/>
    </row>
    <row r="1024" spans="1:4" x14ac:dyDescent="0.3">
      <c r="A1024" s="2" t="s">
        <v>2741</v>
      </c>
      <c r="B1024" s="2" t="s">
        <v>45</v>
      </c>
      <c r="C1024" s="2" t="s">
        <v>3015</v>
      </c>
      <c r="D1024" s="2"/>
    </row>
    <row r="1025" spans="1:4" x14ac:dyDescent="0.3">
      <c r="A1025" s="2" t="s">
        <v>2742</v>
      </c>
      <c r="B1025" s="2" t="s">
        <v>45</v>
      </c>
      <c r="C1025" s="2" t="s">
        <v>3015</v>
      </c>
      <c r="D1025" s="2"/>
    </row>
    <row r="1026" spans="1:4" x14ac:dyDescent="0.3">
      <c r="A1026" s="2" t="s">
        <v>2743</v>
      </c>
      <c r="B1026" s="2" t="s">
        <v>45</v>
      </c>
      <c r="C1026" s="2" t="s">
        <v>3015</v>
      </c>
      <c r="D1026" s="2"/>
    </row>
    <row r="1027" spans="1:4" x14ac:dyDescent="0.3">
      <c r="A1027" s="2" t="s">
        <v>2744</v>
      </c>
      <c r="B1027" s="2" t="s">
        <v>45</v>
      </c>
      <c r="C1027" s="2" t="s">
        <v>3015</v>
      </c>
      <c r="D1027" s="2"/>
    </row>
    <row r="1028" spans="1:4" x14ac:dyDescent="0.3">
      <c r="A1028" s="2" t="s">
        <v>2745</v>
      </c>
      <c r="B1028" s="2" t="s">
        <v>45</v>
      </c>
      <c r="C1028" s="2" t="s">
        <v>3015</v>
      </c>
      <c r="D1028" s="2"/>
    </row>
    <row r="1029" spans="1:4" x14ac:dyDescent="0.3">
      <c r="A1029" s="2" t="s">
        <v>2746</v>
      </c>
      <c r="B1029" s="2" t="s">
        <v>45</v>
      </c>
      <c r="C1029" s="2" t="s">
        <v>3015</v>
      </c>
      <c r="D1029" s="2"/>
    </row>
    <row r="1030" spans="1:4" x14ac:dyDescent="0.3">
      <c r="A1030" s="2" t="s">
        <v>2747</v>
      </c>
      <c r="B1030" s="2" t="s">
        <v>45</v>
      </c>
      <c r="C1030" s="2" t="s">
        <v>3015</v>
      </c>
      <c r="D1030" s="2"/>
    </row>
    <row r="1031" spans="1:4" x14ac:dyDescent="0.3">
      <c r="A1031" s="2" t="s">
        <v>2748</v>
      </c>
      <c r="B1031" s="2" t="s">
        <v>45</v>
      </c>
      <c r="C1031" s="2" t="s">
        <v>3015</v>
      </c>
      <c r="D1031" s="2"/>
    </row>
    <row r="1032" spans="1:4" x14ac:dyDescent="0.3">
      <c r="A1032" s="2" t="s">
        <v>2749</v>
      </c>
      <c r="B1032" s="2" t="s">
        <v>45</v>
      </c>
      <c r="C1032" s="2" t="s">
        <v>3015</v>
      </c>
      <c r="D1032" s="2"/>
    </row>
    <row r="1033" spans="1:4" x14ac:dyDescent="0.3">
      <c r="A1033" s="2" t="s">
        <v>2750</v>
      </c>
      <c r="B1033" s="2" t="s">
        <v>45</v>
      </c>
      <c r="C1033" s="2" t="s">
        <v>3015</v>
      </c>
      <c r="D1033" s="2"/>
    </row>
    <row r="1034" spans="1:4" x14ac:dyDescent="0.3">
      <c r="A1034" s="2" t="s">
        <v>2751</v>
      </c>
      <c r="B1034" s="2" t="s">
        <v>45</v>
      </c>
      <c r="C1034" s="2" t="s">
        <v>3015</v>
      </c>
      <c r="D1034" s="2"/>
    </row>
    <row r="1035" spans="1:4" x14ac:dyDescent="0.3">
      <c r="A1035" s="2" t="s">
        <v>2752</v>
      </c>
      <c r="B1035" s="2" t="s">
        <v>45</v>
      </c>
      <c r="C1035" s="2" t="s">
        <v>3015</v>
      </c>
      <c r="D1035" s="2"/>
    </row>
    <row r="1036" spans="1:4" x14ac:dyDescent="0.3">
      <c r="A1036" s="2" t="s">
        <v>2753</v>
      </c>
      <c r="B1036" s="2" t="s">
        <v>45</v>
      </c>
      <c r="C1036" s="2" t="s">
        <v>3015</v>
      </c>
      <c r="D1036" s="2"/>
    </row>
    <row r="1037" spans="1:4" x14ac:dyDescent="0.3">
      <c r="A1037" s="2" t="s">
        <v>2754</v>
      </c>
      <c r="B1037" s="2" t="s">
        <v>45</v>
      </c>
      <c r="C1037" s="2" t="s">
        <v>3015</v>
      </c>
      <c r="D1037" s="2"/>
    </row>
    <row r="1038" spans="1:4" x14ac:dyDescent="0.3">
      <c r="A1038" s="2" t="s">
        <v>2755</v>
      </c>
      <c r="B1038" s="2" t="s">
        <v>45</v>
      </c>
      <c r="C1038" s="2" t="s">
        <v>3015</v>
      </c>
      <c r="D1038" s="2"/>
    </row>
    <row r="1039" spans="1:4" x14ac:dyDescent="0.3">
      <c r="A1039" s="2" t="s">
        <v>2756</v>
      </c>
      <c r="B1039" s="2" t="s">
        <v>45</v>
      </c>
      <c r="C1039" s="2" t="s">
        <v>3015</v>
      </c>
      <c r="D1039" s="2"/>
    </row>
    <row r="1040" spans="1:4" x14ac:dyDescent="0.3">
      <c r="A1040" s="2" t="s">
        <v>2757</v>
      </c>
      <c r="B1040" s="2" t="s">
        <v>45</v>
      </c>
      <c r="C1040" s="2" t="s">
        <v>3015</v>
      </c>
      <c r="D1040" s="2"/>
    </row>
    <row r="1041" spans="1:4" x14ac:dyDescent="0.3">
      <c r="A1041" s="2" t="s">
        <v>3507</v>
      </c>
      <c r="B1041" s="2" t="s">
        <v>3018</v>
      </c>
      <c r="C1041" s="2" t="s">
        <v>2966</v>
      </c>
      <c r="D1041" s="2"/>
    </row>
    <row r="1042" spans="1:4" x14ac:dyDescent="0.3">
      <c r="A1042" s="2" t="s">
        <v>3508</v>
      </c>
      <c r="B1042" s="2" t="s">
        <v>3018</v>
      </c>
      <c r="C1042" s="2" t="s">
        <v>2966</v>
      </c>
      <c r="D1042" s="2"/>
    </row>
    <row r="1043" spans="1:4" x14ac:dyDescent="0.3">
      <c r="A1043" s="2" t="s">
        <v>3509</v>
      </c>
      <c r="B1043" s="2" t="s">
        <v>3018</v>
      </c>
      <c r="C1043" s="2" t="s">
        <v>2966</v>
      </c>
      <c r="D1043" s="2"/>
    </row>
    <row r="1044" spans="1:4" x14ac:dyDescent="0.3">
      <c r="A1044" s="2" t="s">
        <v>3510</v>
      </c>
      <c r="B1044" s="2" t="s">
        <v>3018</v>
      </c>
      <c r="C1044" s="2" t="s">
        <v>2966</v>
      </c>
      <c r="D1044" s="2"/>
    </row>
    <row r="1045" spans="1:4" x14ac:dyDescent="0.3">
      <c r="A1045" s="2" t="s">
        <v>3511</v>
      </c>
      <c r="B1045" s="2" t="s">
        <v>3018</v>
      </c>
      <c r="C1045" s="2" t="s">
        <v>2966</v>
      </c>
      <c r="D1045" s="2"/>
    </row>
    <row r="1046" spans="1:4" x14ac:dyDescent="0.3">
      <c r="A1046" s="2" t="s">
        <v>3512</v>
      </c>
      <c r="B1046" s="2" t="s">
        <v>3018</v>
      </c>
      <c r="C1046" s="2" t="s">
        <v>2966</v>
      </c>
      <c r="D1046" s="2"/>
    </row>
    <row r="1047" spans="1:4" x14ac:dyDescent="0.3">
      <c r="A1047" s="2" t="s">
        <v>3513</v>
      </c>
      <c r="B1047" s="2" t="s">
        <v>3018</v>
      </c>
      <c r="C1047" s="2" t="s">
        <v>2966</v>
      </c>
      <c r="D1047" s="2"/>
    </row>
    <row r="1048" spans="1:4" x14ac:dyDescent="0.3">
      <c r="A1048" s="2" t="s">
        <v>3514</v>
      </c>
      <c r="B1048" s="2" t="s">
        <v>2963</v>
      </c>
      <c r="C1048" s="2" t="s">
        <v>3125</v>
      </c>
      <c r="D1048" s="2"/>
    </row>
    <row r="1049" spans="1:4" x14ac:dyDescent="0.3">
      <c r="A1049" s="2" t="s">
        <v>3515</v>
      </c>
      <c r="B1049" s="2" t="s">
        <v>2963</v>
      </c>
      <c r="C1049" s="2" t="s">
        <v>3125</v>
      </c>
      <c r="D1049" s="2"/>
    </row>
    <row r="1050" spans="1:4" x14ac:dyDescent="0.3">
      <c r="A1050" s="2" t="s">
        <v>3516</v>
      </c>
      <c r="B1050" s="2" t="s">
        <v>2963</v>
      </c>
      <c r="C1050" s="2" t="s">
        <v>3125</v>
      </c>
      <c r="D1050" s="2"/>
    </row>
    <row r="1051" spans="1:4" x14ac:dyDescent="0.3">
      <c r="A1051" s="2" t="s">
        <v>3517</v>
      </c>
      <c r="B1051" s="2" t="s">
        <v>2963</v>
      </c>
      <c r="C1051" s="2" t="s">
        <v>3125</v>
      </c>
      <c r="D1051" s="2"/>
    </row>
    <row r="1052" spans="1:4" x14ac:dyDescent="0.3">
      <c r="A1052" s="2" t="s">
        <v>3518</v>
      </c>
      <c r="B1052" s="2" t="s">
        <v>2963</v>
      </c>
      <c r="C1052" s="2" t="s">
        <v>3125</v>
      </c>
      <c r="D1052" s="2"/>
    </row>
    <row r="1053" spans="1:4" x14ac:dyDescent="0.3">
      <c r="A1053" s="2" t="s">
        <v>3519</v>
      </c>
      <c r="B1053" s="2" t="s">
        <v>2963</v>
      </c>
      <c r="C1053" s="2" t="s">
        <v>3125</v>
      </c>
      <c r="D1053" s="2"/>
    </row>
    <row r="1054" spans="1:4" x14ac:dyDescent="0.3">
      <c r="A1054" s="2" t="s">
        <v>3520</v>
      </c>
      <c r="B1054" s="2" t="s">
        <v>2963</v>
      </c>
      <c r="C1054" s="2" t="s">
        <v>3125</v>
      </c>
      <c r="D1054" s="2"/>
    </row>
    <row r="1055" spans="1:4" x14ac:dyDescent="0.3">
      <c r="A1055" s="2" t="s">
        <v>3521</v>
      </c>
      <c r="B1055" s="2" t="s">
        <v>2963</v>
      </c>
      <c r="C1055" s="2" t="s">
        <v>3125</v>
      </c>
      <c r="D1055" s="2"/>
    </row>
    <row r="1056" spans="1:4" x14ac:dyDescent="0.3">
      <c r="A1056" s="2" t="s">
        <v>3522</v>
      </c>
      <c r="B1056" s="2" t="s">
        <v>2963</v>
      </c>
      <c r="C1056" s="2" t="s">
        <v>3125</v>
      </c>
      <c r="D1056" s="2"/>
    </row>
    <row r="1057" spans="1:4" x14ac:dyDescent="0.3">
      <c r="A1057" s="2" t="s">
        <v>3523</v>
      </c>
      <c r="B1057" s="2" t="s">
        <v>2973</v>
      </c>
      <c r="C1057" s="2" t="s">
        <v>2973</v>
      </c>
      <c r="D1057" s="2"/>
    </row>
    <row r="1058" spans="1:4" x14ac:dyDescent="0.3">
      <c r="A1058" s="2" t="s">
        <v>3524</v>
      </c>
      <c r="B1058" s="2" t="s">
        <v>2973</v>
      </c>
      <c r="C1058" s="2" t="s">
        <v>2973</v>
      </c>
      <c r="D1058" s="2"/>
    </row>
    <row r="1059" spans="1:4" x14ac:dyDescent="0.3">
      <c r="A1059" s="2" t="s">
        <v>3525</v>
      </c>
      <c r="B1059" s="2" t="s">
        <v>2973</v>
      </c>
      <c r="C1059" s="2" t="s">
        <v>2973</v>
      </c>
      <c r="D1059" s="2"/>
    </row>
    <row r="1060" spans="1:4" x14ac:dyDescent="0.3">
      <c r="A1060" t="s">
        <v>3526</v>
      </c>
      <c r="B1060" s="2" t="s">
        <v>2758</v>
      </c>
      <c r="C1060" s="2" t="s">
        <v>2758</v>
      </c>
    </row>
    <row r="1061" spans="1:4" x14ac:dyDescent="0.3">
      <c r="A1061" t="s">
        <v>3527</v>
      </c>
      <c r="B1061" s="2" t="s">
        <v>2758</v>
      </c>
      <c r="C1061" s="2" t="s">
        <v>2758</v>
      </c>
    </row>
    <row r="1062" spans="1:4" x14ac:dyDescent="0.3">
      <c r="A1062" t="s">
        <v>3528</v>
      </c>
      <c r="B1062" s="2" t="s">
        <v>2758</v>
      </c>
      <c r="C1062" s="2" t="s">
        <v>2758</v>
      </c>
    </row>
    <row r="1063" spans="1:4" x14ac:dyDescent="0.3">
      <c r="A1063" t="s">
        <v>3529</v>
      </c>
      <c r="B1063" s="2" t="s">
        <v>2758</v>
      </c>
      <c r="C1063" s="2" t="s">
        <v>2758</v>
      </c>
    </row>
    <row r="1064" spans="1:4" x14ac:dyDescent="0.3">
      <c r="A1064" t="s">
        <v>3530</v>
      </c>
      <c r="B1064" s="2" t="s">
        <v>2758</v>
      </c>
      <c r="C1064" s="2" t="s">
        <v>2758</v>
      </c>
    </row>
    <row r="1065" spans="1:4" x14ac:dyDescent="0.3">
      <c r="A1065" t="s">
        <v>3531</v>
      </c>
      <c r="B1065" s="2" t="s">
        <v>2758</v>
      </c>
      <c r="C1065" s="2" t="s">
        <v>2758</v>
      </c>
    </row>
    <row r="1066" spans="1:4" x14ac:dyDescent="0.3">
      <c r="A1066" t="s">
        <v>3532</v>
      </c>
      <c r="B1066" s="2" t="s">
        <v>2758</v>
      </c>
      <c r="C1066" s="2" t="s">
        <v>2758</v>
      </c>
    </row>
    <row r="1067" spans="1:4" x14ac:dyDescent="0.3">
      <c r="A1067" t="s">
        <v>3533</v>
      </c>
      <c r="B1067" s="2" t="s">
        <v>2758</v>
      </c>
      <c r="C1067" s="2" t="s">
        <v>2758</v>
      </c>
    </row>
    <row r="1068" spans="1:4" x14ac:dyDescent="0.3">
      <c r="A1068" t="s">
        <v>3534</v>
      </c>
      <c r="B1068" s="2" t="s">
        <v>2758</v>
      </c>
      <c r="C1068" s="2" t="s">
        <v>2758</v>
      </c>
    </row>
    <row r="1069" spans="1:4" x14ac:dyDescent="0.3">
      <c r="A1069" t="s">
        <v>3535</v>
      </c>
      <c r="B1069" s="2" t="s">
        <v>2758</v>
      </c>
      <c r="C1069" s="2" t="s">
        <v>2758</v>
      </c>
    </row>
    <row r="1070" spans="1:4" x14ac:dyDescent="0.3">
      <c r="A1070" t="s">
        <v>3536</v>
      </c>
      <c r="B1070" s="2" t="s">
        <v>2758</v>
      </c>
      <c r="C1070" s="2" t="s">
        <v>2758</v>
      </c>
    </row>
    <row r="1071" spans="1:4" x14ac:dyDescent="0.3">
      <c r="A1071" t="s">
        <v>3537</v>
      </c>
      <c r="B1071" s="2" t="s">
        <v>2758</v>
      </c>
      <c r="C1071" s="2" t="s">
        <v>2758</v>
      </c>
    </row>
    <row r="1072" spans="1:4" x14ac:dyDescent="0.3">
      <c r="A1072" t="s">
        <v>3538</v>
      </c>
      <c r="B1072" s="2" t="s">
        <v>2758</v>
      </c>
      <c r="C1072" s="2" t="s">
        <v>2758</v>
      </c>
    </row>
    <row r="1073" spans="1:3" x14ac:dyDescent="0.3">
      <c r="A1073" t="s">
        <v>3539</v>
      </c>
      <c r="B1073" s="2" t="s">
        <v>2758</v>
      </c>
      <c r="C1073" s="2" t="s">
        <v>2758</v>
      </c>
    </row>
    <row r="1074" spans="1:3" x14ac:dyDescent="0.3">
      <c r="A1074" t="s">
        <v>3540</v>
      </c>
      <c r="B1074" s="2" t="s">
        <v>2758</v>
      </c>
      <c r="C1074" s="2" t="s">
        <v>2758</v>
      </c>
    </row>
    <row r="1075" spans="1:3" x14ac:dyDescent="0.3">
      <c r="A1075" t="s">
        <v>3541</v>
      </c>
      <c r="B1075" s="2" t="s">
        <v>2758</v>
      </c>
      <c r="C1075" s="2" t="s">
        <v>2758</v>
      </c>
    </row>
    <row r="1076" spans="1:3" x14ac:dyDescent="0.3">
      <c r="A1076" t="s">
        <v>3542</v>
      </c>
      <c r="B1076" s="2" t="s">
        <v>2758</v>
      </c>
      <c r="C1076" s="2" t="s">
        <v>2758</v>
      </c>
    </row>
    <row r="1077" spans="1:3" x14ac:dyDescent="0.3">
      <c r="A1077" t="s">
        <v>3543</v>
      </c>
      <c r="B1077" s="2" t="s">
        <v>2758</v>
      </c>
      <c r="C1077" s="2" t="s">
        <v>2758</v>
      </c>
    </row>
    <row r="1078" spans="1:3" x14ac:dyDescent="0.3">
      <c r="A1078" t="s">
        <v>3544</v>
      </c>
      <c r="B1078" s="2" t="s">
        <v>2758</v>
      </c>
      <c r="C1078" s="2" t="s">
        <v>2758</v>
      </c>
    </row>
    <row r="1079" spans="1:3" x14ac:dyDescent="0.3">
      <c r="A1079" t="s">
        <v>3545</v>
      </c>
      <c r="B1079" s="2" t="s">
        <v>2758</v>
      </c>
      <c r="C1079" s="2" t="s">
        <v>2758</v>
      </c>
    </row>
    <row r="1080" spans="1:3" x14ac:dyDescent="0.3">
      <c r="A1080" t="s">
        <v>3546</v>
      </c>
      <c r="B1080" s="2" t="s">
        <v>2758</v>
      </c>
      <c r="C1080" s="2" t="s">
        <v>2758</v>
      </c>
    </row>
    <row r="1081" spans="1:3" x14ac:dyDescent="0.3">
      <c r="A1081" t="s">
        <v>3547</v>
      </c>
      <c r="B1081" s="2" t="s">
        <v>2758</v>
      </c>
      <c r="C1081" s="2" t="s">
        <v>2758</v>
      </c>
    </row>
    <row r="1082" spans="1:3" x14ac:dyDescent="0.3">
      <c r="A1082" t="s">
        <v>3548</v>
      </c>
      <c r="B1082" s="2" t="s">
        <v>2758</v>
      </c>
      <c r="C1082" s="2" t="s">
        <v>2758</v>
      </c>
    </row>
    <row r="1083" spans="1:3" x14ac:dyDescent="0.3">
      <c r="A1083" t="s">
        <v>3549</v>
      </c>
      <c r="B1083" s="2" t="s">
        <v>2758</v>
      </c>
      <c r="C1083" s="2" t="s">
        <v>2758</v>
      </c>
    </row>
    <row r="1084" spans="1:3" x14ac:dyDescent="0.3">
      <c r="A1084" t="s">
        <v>3550</v>
      </c>
      <c r="B1084" s="2" t="s">
        <v>2758</v>
      </c>
      <c r="C1084" s="2" t="s">
        <v>2758</v>
      </c>
    </row>
    <row r="1085" spans="1:3" x14ac:dyDescent="0.3">
      <c r="A1085" t="s">
        <v>3551</v>
      </c>
      <c r="B1085" s="2" t="s">
        <v>2758</v>
      </c>
      <c r="C1085" s="2" t="s">
        <v>2758</v>
      </c>
    </row>
    <row r="1086" spans="1:3" x14ac:dyDescent="0.3">
      <c r="A1086" t="s">
        <v>3552</v>
      </c>
      <c r="B1086" s="2" t="s">
        <v>2758</v>
      </c>
      <c r="C1086" s="2" t="s">
        <v>2758</v>
      </c>
    </row>
    <row r="1087" spans="1:3" x14ac:dyDescent="0.3">
      <c r="A1087" t="s">
        <v>3553</v>
      </c>
      <c r="B1087" s="2" t="s">
        <v>2758</v>
      </c>
      <c r="C1087" s="2" t="s">
        <v>2758</v>
      </c>
    </row>
    <row r="1088" spans="1:3" x14ac:dyDescent="0.3">
      <c r="A1088" t="s">
        <v>3554</v>
      </c>
      <c r="B1088" s="2" t="s">
        <v>2758</v>
      </c>
      <c r="C1088" s="2" t="s">
        <v>2758</v>
      </c>
    </row>
    <row r="1089" spans="1:3" x14ac:dyDescent="0.3">
      <c r="A1089" t="s">
        <v>3555</v>
      </c>
      <c r="B1089" s="2" t="s">
        <v>2758</v>
      </c>
      <c r="C1089" s="2" t="s">
        <v>2758</v>
      </c>
    </row>
    <row r="1090" spans="1:3" x14ac:dyDescent="0.3">
      <c r="A1090" t="s">
        <v>3556</v>
      </c>
      <c r="B1090" s="2" t="s">
        <v>2758</v>
      </c>
      <c r="C1090" s="2" t="s">
        <v>2758</v>
      </c>
    </row>
    <row r="1091" spans="1:3" x14ac:dyDescent="0.3">
      <c r="A1091" t="s">
        <v>3557</v>
      </c>
      <c r="B1091" s="2" t="s">
        <v>2758</v>
      </c>
      <c r="C1091" s="2" t="s">
        <v>2758</v>
      </c>
    </row>
    <row r="1092" spans="1:3" x14ac:dyDescent="0.3">
      <c r="A1092" t="s">
        <v>3558</v>
      </c>
      <c r="B1092" s="2" t="s">
        <v>2758</v>
      </c>
      <c r="C1092" s="2" t="s">
        <v>2758</v>
      </c>
    </row>
    <row r="1093" spans="1:3" x14ac:dyDescent="0.3">
      <c r="A1093" t="s">
        <v>3559</v>
      </c>
      <c r="B1093" s="2" t="s">
        <v>2758</v>
      </c>
      <c r="C1093" s="2" t="s">
        <v>2758</v>
      </c>
    </row>
    <row r="1094" spans="1:3" x14ac:dyDescent="0.3">
      <c r="A1094" t="s">
        <v>3560</v>
      </c>
      <c r="B1094" s="2" t="s">
        <v>2758</v>
      </c>
      <c r="C1094" s="2" t="s">
        <v>2758</v>
      </c>
    </row>
    <row r="1095" spans="1:3" x14ac:dyDescent="0.3">
      <c r="A1095" t="s">
        <v>3561</v>
      </c>
      <c r="B1095" s="2" t="s">
        <v>2758</v>
      </c>
      <c r="C1095" s="2" t="s">
        <v>2758</v>
      </c>
    </row>
    <row r="1096" spans="1:3" x14ac:dyDescent="0.3">
      <c r="A1096" t="s">
        <v>3562</v>
      </c>
      <c r="B1096" s="2" t="s">
        <v>2758</v>
      </c>
      <c r="C1096" s="2" t="s">
        <v>2758</v>
      </c>
    </row>
    <row r="1097" spans="1:3" x14ac:dyDescent="0.3">
      <c r="A1097" t="s">
        <v>3563</v>
      </c>
      <c r="B1097" s="2" t="s">
        <v>2758</v>
      </c>
      <c r="C1097" s="2" t="s">
        <v>2758</v>
      </c>
    </row>
    <row r="1098" spans="1:3" x14ac:dyDescent="0.3">
      <c r="A1098" t="s">
        <v>3564</v>
      </c>
      <c r="B1098" s="2" t="s">
        <v>2758</v>
      </c>
      <c r="C1098" s="2" t="s">
        <v>2758</v>
      </c>
    </row>
    <row r="1099" spans="1:3" x14ac:dyDescent="0.3">
      <c r="A1099" t="s">
        <v>3565</v>
      </c>
      <c r="B1099" s="2" t="s">
        <v>2758</v>
      </c>
      <c r="C1099" s="2" t="s">
        <v>2758</v>
      </c>
    </row>
    <row r="1100" spans="1:3" x14ac:dyDescent="0.3">
      <c r="A1100" t="s">
        <v>3566</v>
      </c>
      <c r="B1100" s="2" t="s">
        <v>2758</v>
      </c>
      <c r="C1100" s="2" t="s">
        <v>2758</v>
      </c>
    </row>
    <row r="1101" spans="1:3" x14ac:dyDescent="0.3">
      <c r="A1101" t="s">
        <v>3567</v>
      </c>
      <c r="B1101" s="2" t="s">
        <v>2758</v>
      </c>
      <c r="C1101" s="2" t="s">
        <v>2758</v>
      </c>
    </row>
    <row r="1102" spans="1:3" x14ac:dyDescent="0.3">
      <c r="A1102" t="s">
        <v>3568</v>
      </c>
      <c r="B1102" s="2" t="s">
        <v>2758</v>
      </c>
      <c r="C1102" s="2" t="s">
        <v>2758</v>
      </c>
    </row>
    <row r="1103" spans="1:3" x14ac:dyDescent="0.3">
      <c r="A1103" t="s">
        <v>3569</v>
      </c>
      <c r="B1103" s="2" t="s">
        <v>2758</v>
      </c>
      <c r="C1103" s="2" t="s">
        <v>2758</v>
      </c>
    </row>
    <row r="1104" spans="1:3" x14ac:dyDescent="0.3">
      <c r="A1104" t="s">
        <v>3570</v>
      </c>
      <c r="B1104" s="2" t="s">
        <v>3346</v>
      </c>
      <c r="C1104" s="2" t="s">
        <v>3346</v>
      </c>
    </row>
    <row r="1105" spans="1:3" x14ac:dyDescent="0.3">
      <c r="A1105" t="s">
        <v>3571</v>
      </c>
      <c r="B1105" s="2" t="s">
        <v>3346</v>
      </c>
      <c r="C1105" s="2" t="s">
        <v>3346</v>
      </c>
    </row>
    <row r="1106" spans="1:3" x14ac:dyDescent="0.3">
      <c r="A1106" t="s">
        <v>3572</v>
      </c>
      <c r="B1106" s="2" t="s">
        <v>3346</v>
      </c>
      <c r="C1106" s="2" t="s">
        <v>3346</v>
      </c>
    </row>
    <row r="1107" spans="1:3" x14ac:dyDescent="0.3">
      <c r="A1107" t="s">
        <v>3573</v>
      </c>
      <c r="B1107" s="2" t="s">
        <v>3346</v>
      </c>
      <c r="C1107" s="2" t="s">
        <v>3346</v>
      </c>
    </row>
    <row r="1108" spans="1:3" x14ac:dyDescent="0.3">
      <c r="A1108" t="s">
        <v>3574</v>
      </c>
      <c r="B1108" s="2" t="s">
        <v>3346</v>
      </c>
      <c r="C1108" s="2" t="s">
        <v>3346</v>
      </c>
    </row>
    <row r="1109" spans="1:3" x14ac:dyDescent="0.3">
      <c r="A1109" t="s">
        <v>3575</v>
      </c>
      <c r="B1109" s="2" t="s">
        <v>3346</v>
      </c>
      <c r="C1109" s="2" t="s">
        <v>3346</v>
      </c>
    </row>
    <row r="1110" spans="1:3" x14ac:dyDescent="0.3">
      <c r="A1110" t="s">
        <v>3576</v>
      </c>
      <c r="B1110" s="2" t="s">
        <v>3346</v>
      </c>
      <c r="C1110" s="2" t="s">
        <v>3346</v>
      </c>
    </row>
    <row r="1111" spans="1:3" x14ac:dyDescent="0.3">
      <c r="A1111" t="s">
        <v>3577</v>
      </c>
      <c r="B1111" s="2" t="s">
        <v>3346</v>
      </c>
      <c r="C1111" s="2" t="s">
        <v>3346</v>
      </c>
    </row>
    <row r="1112" spans="1:3" x14ac:dyDescent="0.3">
      <c r="A1112" t="s">
        <v>3578</v>
      </c>
      <c r="B1112" s="2" t="s">
        <v>3346</v>
      </c>
      <c r="C1112" s="2" t="s">
        <v>3346</v>
      </c>
    </row>
    <row r="1113" spans="1:3" x14ac:dyDescent="0.3">
      <c r="A1113" t="s">
        <v>3579</v>
      </c>
      <c r="B1113" s="2" t="s">
        <v>3346</v>
      </c>
      <c r="C1113" s="2" t="s">
        <v>3346</v>
      </c>
    </row>
    <row r="1114" spans="1:3" x14ac:dyDescent="0.3">
      <c r="A1114" t="s">
        <v>3580</v>
      </c>
      <c r="B1114" s="2" t="s">
        <v>3346</v>
      </c>
      <c r="C1114" s="2" t="s">
        <v>3346</v>
      </c>
    </row>
    <row r="1115" spans="1:3" x14ac:dyDescent="0.3">
      <c r="A1115" t="s">
        <v>3581</v>
      </c>
      <c r="B1115" s="2" t="s">
        <v>3346</v>
      </c>
      <c r="C1115" s="2" t="s">
        <v>3346</v>
      </c>
    </row>
    <row r="1116" spans="1:3" x14ac:dyDescent="0.3">
      <c r="A1116" t="s">
        <v>3582</v>
      </c>
      <c r="B1116" s="2" t="s">
        <v>3346</v>
      </c>
      <c r="C1116" s="2" t="s">
        <v>3346</v>
      </c>
    </row>
    <row r="1117" spans="1:3" x14ac:dyDescent="0.3">
      <c r="A1117" t="s">
        <v>3583</v>
      </c>
      <c r="B1117" s="2" t="s">
        <v>3346</v>
      </c>
      <c r="C1117" s="2" t="s">
        <v>3346</v>
      </c>
    </row>
    <row r="1118" spans="1:3" x14ac:dyDescent="0.3">
      <c r="A1118" t="s">
        <v>3584</v>
      </c>
      <c r="B1118" s="2" t="s">
        <v>3346</v>
      </c>
      <c r="C1118" s="2" t="s">
        <v>3346</v>
      </c>
    </row>
    <row r="1119" spans="1:3" x14ac:dyDescent="0.3">
      <c r="A1119" t="s">
        <v>3585</v>
      </c>
      <c r="B1119" s="2" t="s">
        <v>3346</v>
      </c>
      <c r="C1119" s="2" t="s">
        <v>3346</v>
      </c>
    </row>
    <row r="1120" spans="1:3" x14ac:dyDescent="0.3">
      <c r="A1120" t="s">
        <v>3586</v>
      </c>
      <c r="B1120" s="2" t="s">
        <v>3346</v>
      </c>
      <c r="C1120" s="2" t="s">
        <v>3346</v>
      </c>
    </row>
    <row r="1121" spans="1:3" x14ac:dyDescent="0.3">
      <c r="A1121" t="s">
        <v>3587</v>
      </c>
      <c r="B1121" s="2" t="s">
        <v>3346</v>
      </c>
      <c r="C1121" s="2" t="s">
        <v>3346</v>
      </c>
    </row>
    <row r="1122" spans="1:3" x14ac:dyDescent="0.3">
      <c r="A1122" t="s">
        <v>3588</v>
      </c>
      <c r="B1122" s="2" t="s">
        <v>3346</v>
      </c>
      <c r="C1122" s="2" t="s">
        <v>3346</v>
      </c>
    </row>
    <row r="1123" spans="1:3" x14ac:dyDescent="0.3">
      <c r="A1123" t="s">
        <v>3589</v>
      </c>
      <c r="B1123" s="2" t="s">
        <v>3346</v>
      </c>
      <c r="C1123" s="2" t="s">
        <v>3346</v>
      </c>
    </row>
    <row r="1124" spans="1:3" x14ac:dyDescent="0.3">
      <c r="A1124" t="s">
        <v>3590</v>
      </c>
      <c r="B1124" s="2" t="s">
        <v>3346</v>
      </c>
      <c r="C1124" s="2" t="s">
        <v>3346</v>
      </c>
    </row>
    <row r="1125" spans="1:3" x14ac:dyDescent="0.3">
      <c r="A1125" t="s">
        <v>3591</v>
      </c>
      <c r="B1125" s="2" t="s">
        <v>3346</v>
      </c>
      <c r="C1125" s="2" t="s">
        <v>3346</v>
      </c>
    </row>
    <row r="1126" spans="1:3" x14ac:dyDescent="0.3">
      <c r="A1126" t="s">
        <v>3592</v>
      </c>
      <c r="B1126" s="2" t="s">
        <v>3346</v>
      </c>
      <c r="C1126" s="2" t="s">
        <v>3346</v>
      </c>
    </row>
    <row r="1127" spans="1:3" x14ac:dyDescent="0.3">
      <c r="A1127" t="s">
        <v>3593</v>
      </c>
      <c r="B1127" s="2" t="s">
        <v>3346</v>
      </c>
      <c r="C1127" s="2" t="s">
        <v>3346</v>
      </c>
    </row>
    <row r="1128" spans="1:3" x14ac:dyDescent="0.3">
      <c r="A1128" t="s">
        <v>3594</v>
      </c>
      <c r="B1128" s="2" t="s">
        <v>3346</v>
      </c>
      <c r="C1128" s="2" t="s">
        <v>3346</v>
      </c>
    </row>
    <row r="1129" spans="1:3" x14ac:dyDescent="0.3">
      <c r="A1129" t="s">
        <v>3595</v>
      </c>
      <c r="B1129" s="2" t="s">
        <v>3346</v>
      </c>
      <c r="C1129" s="2" t="s">
        <v>3346</v>
      </c>
    </row>
    <row r="1130" spans="1:3" x14ac:dyDescent="0.3">
      <c r="A1130" t="s">
        <v>3596</v>
      </c>
      <c r="B1130" s="2" t="s">
        <v>3346</v>
      </c>
      <c r="C1130" s="2" t="s">
        <v>3346</v>
      </c>
    </row>
    <row r="1131" spans="1:3" x14ac:dyDescent="0.3">
      <c r="A1131" t="s">
        <v>3597</v>
      </c>
      <c r="B1131" s="2" t="s">
        <v>3346</v>
      </c>
      <c r="C1131" s="2" t="s">
        <v>3346</v>
      </c>
    </row>
    <row r="1132" spans="1:3" x14ac:dyDescent="0.3">
      <c r="A1132" t="s">
        <v>3598</v>
      </c>
      <c r="B1132" s="2" t="s">
        <v>3346</v>
      </c>
      <c r="C1132" s="2" t="s">
        <v>3346</v>
      </c>
    </row>
    <row r="1133" spans="1:3" x14ac:dyDescent="0.3">
      <c r="A1133" t="s">
        <v>3599</v>
      </c>
      <c r="B1133" s="2" t="s">
        <v>3346</v>
      </c>
      <c r="C1133" s="2" t="s">
        <v>3346</v>
      </c>
    </row>
    <row r="1134" spans="1:3" x14ac:dyDescent="0.3">
      <c r="A1134" t="s">
        <v>3600</v>
      </c>
      <c r="B1134" s="2" t="s">
        <v>3346</v>
      </c>
      <c r="C1134" s="2" t="s">
        <v>3346</v>
      </c>
    </row>
    <row r="1135" spans="1:3" x14ac:dyDescent="0.3">
      <c r="A1135" t="s">
        <v>3601</v>
      </c>
      <c r="B1135" s="2" t="s">
        <v>3346</v>
      </c>
      <c r="C1135" s="2" t="s">
        <v>3346</v>
      </c>
    </row>
    <row r="1136" spans="1:3" x14ac:dyDescent="0.3">
      <c r="A1136" t="s">
        <v>3602</v>
      </c>
      <c r="B1136" s="2" t="s">
        <v>3346</v>
      </c>
      <c r="C1136" s="2" t="s">
        <v>3346</v>
      </c>
    </row>
    <row r="1137" spans="1:3" x14ac:dyDescent="0.3">
      <c r="A1137" t="s">
        <v>3603</v>
      </c>
      <c r="B1137" s="2" t="s">
        <v>3346</v>
      </c>
      <c r="C1137" s="2" t="s">
        <v>3346</v>
      </c>
    </row>
    <row r="1138" spans="1:3" x14ac:dyDescent="0.3">
      <c r="A1138" t="s">
        <v>3604</v>
      </c>
      <c r="B1138" s="2" t="s">
        <v>3346</v>
      </c>
      <c r="C1138" s="2" t="s">
        <v>3346</v>
      </c>
    </row>
    <row r="1139" spans="1:3" x14ac:dyDescent="0.3">
      <c r="A1139" t="s">
        <v>3605</v>
      </c>
      <c r="B1139" s="2" t="s">
        <v>3346</v>
      </c>
      <c r="C1139" s="2" t="s">
        <v>3346</v>
      </c>
    </row>
    <row r="1140" spans="1:3" x14ac:dyDescent="0.3">
      <c r="A1140" t="s">
        <v>3606</v>
      </c>
      <c r="B1140" s="2" t="s">
        <v>3346</v>
      </c>
      <c r="C1140" s="2" t="s">
        <v>3346</v>
      </c>
    </row>
    <row r="1141" spans="1:3" x14ac:dyDescent="0.3">
      <c r="A1141" t="s">
        <v>3607</v>
      </c>
      <c r="B1141" s="2" t="s">
        <v>3346</v>
      </c>
      <c r="C1141" s="2" t="s">
        <v>3346</v>
      </c>
    </row>
    <row r="1142" spans="1:3" x14ac:dyDescent="0.3">
      <c r="A1142" t="s">
        <v>3608</v>
      </c>
      <c r="B1142" s="2" t="s">
        <v>3346</v>
      </c>
      <c r="C1142" s="2" t="s">
        <v>3346</v>
      </c>
    </row>
    <row r="1143" spans="1:3" x14ac:dyDescent="0.3">
      <c r="A1143" t="s">
        <v>3609</v>
      </c>
      <c r="B1143" s="2" t="s">
        <v>3346</v>
      </c>
      <c r="C1143" s="2" t="s">
        <v>3346</v>
      </c>
    </row>
    <row r="1144" spans="1:3" x14ac:dyDescent="0.3">
      <c r="A1144" t="s">
        <v>3610</v>
      </c>
      <c r="B1144" s="2" t="s">
        <v>3346</v>
      </c>
      <c r="C1144" s="2" t="s">
        <v>3346</v>
      </c>
    </row>
    <row r="1145" spans="1:3" x14ac:dyDescent="0.3">
      <c r="A1145" t="s">
        <v>3611</v>
      </c>
      <c r="B1145" s="2" t="s">
        <v>3346</v>
      </c>
      <c r="C1145" s="2" t="s">
        <v>3346</v>
      </c>
    </row>
    <row r="1146" spans="1:3" x14ac:dyDescent="0.3">
      <c r="A1146" t="s">
        <v>3612</v>
      </c>
      <c r="B1146" s="2" t="s">
        <v>3346</v>
      </c>
      <c r="C1146" s="2" t="s">
        <v>3346</v>
      </c>
    </row>
    <row r="1147" spans="1:3" x14ac:dyDescent="0.3">
      <c r="A1147" t="s">
        <v>3613</v>
      </c>
      <c r="B1147" s="2" t="s">
        <v>3346</v>
      </c>
      <c r="C1147" s="2" t="s">
        <v>3346</v>
      </c>
    </row>
    <row r="1148" spans="1:3" x14ac:dyDescent="0.3">
      <c r="A1148" t="s">
        <v>3614</v>
      </c>
      <c r="B1148" s="2" t="s">
        <v>3346</v>
      </c>
      <c r="C1148" s="2" t="s">
        <v>3346</v>
      </c>
    </row>
    <row r="1149" spans="1:3" x14ac:dyDescent="0.3">
      <c r="A1149" t="s">
        <v>3615</v>
      </c>
      <c r="B1149" s="2" t="s">
        <v>3346</v>
      </c>
      <c r="C1149" s="2" t="s">
        <v>3346</v>
      </c>
    </row>
    <row r="1150" spans="1:3" x14ac:dyDescent="0.3">
      <c r="A1150" t="s">
        <v>3616</v>
      </c>
      <c r="B1150" s="2" t="s">
        <v>3346</v>
      </c>
      <c r="C1150" s="2" t="s">
        <v>3346</v>
      </c>
    </row>
    <row r="1151" spans="1:3" x14ac:dyDescent="0.3">
      <c r="A1151" t="s">
        <v>3617</v>
      </c>
      <c r="B1151" s="2" t="s">
        <v>3346</v>
      </c>
      <c r="C1151" s="2" t="s">
        <v>3346</v>
      </c>
    </row>
    <row r="1152" spans="1:3" x14ac:dyDescent="0.3">
      <c r="A1152" t="s">
        <v>3618</v>
      </c>
      <c r="B1152" s="2" t="s">
        <v>3346</v>
      </c>
      <c r="C1152" s="2" t="s">
        <v>3346</v>
      </c>
    </row>
    <row r="1153" spans="1:3" x14ac:dyDescent="0.3">
      <c r="A1153" t="s">
        <v>3619</v>
      </c>
      <c r="B1153" s="2" t="s">
        <v>3346</v>
      </c>
      <c r="C1153" s="2" t="s">
        <v>3346</v>
      </c>
    </row>
    <row r="1154" spans="1:3" x14ac:dyDescent="0.3">
      <c r="A1154" t="s">
        <v>3620</v>
      </c>
      <c r="B1154" s="2" t="s">
        <v>3346</v>
      </c>
      <c r="C1154" s="2" t="s">
        <v>3346</v>
      </c>
    </row>
    <row r="1155" spans="1:3" x14ac:dyDescent="0.3">
      <c r="A1155" t="s">
        <v>3621</v>
      </c>
      <c r="B1155" s="2" t="s">
        <v>2759</v>
      </c>
      <c r="C1155" s="2" t="s">
        <v>2759</v>
      </c>
    </row>
    <row r="1156" spans="1:3" x14ac:dyDescent="0.3">
      <c r="A1156" t="s">
        <v>3622</v>
      </c>
      <c r="B1156" s="2" t="s">
        <v>2759</v>
      </c>
      <c r="C1156" s="2" t="s">
        <v>2759</v>
      </c>
    </row>
    <row r="1157" spans="1:3" x14ac:dyDescent="0.3">
      <c r="A1157" t="s">
        <v>3623</v>
      </c>
      <c r="B1157" s="2" t="s">
        <v>2759</v>
      </c>
      <c r="C1157" s="2" t="s">
        <v>2759</v>
      </c>
    </row>
    <row r="1158" spans="1:3" x14ac:dyDescent="0.3">
      <c r="A1158" t="s">
        <v>3624</v>
      </c>
      <c r="B1158" s="2" t="s">
        <v>2759</v>
      </c>
      <c r="C1158" s="2" t="s">
        <v>2759</v>
      </c>
    </row>
    <row r="1159" spans="1:3" x14ac:dyDescent="0.3">
      <c r="A1159" t="s">
        <v>3625</v>
      </c>
      <c r="B1159" s="2" t="s">
        <v>2759</v>
      </c>
      <c r="C1159" s="2" t="s">
        <v>2759</v>
      </c>
    </row>
    <row r="1160" spans="1:3" x14ac:dyDescent="0.3">
      <c r="A1160" t="s">
        <v>3626</v>
      </c>
      <c r="B1160" s="2" t="s">
        <v>2759</v>
      </c>
      <c r="C1160" s="2" t="s">
        <v>2759</v>
      </c>
    </row>
    <row r="1161" spans="1:3" x14ac:dyDescent="0.3">
      <c r="A1161" t="s">
        <v>3627</v>
      </c>
      <c r="B1161" s="2" t="s">
        <v>2759</v>
      </c>
      <c r="C1161" s="2" t="s">
        <v>2759</v>
      </c>
    </row>
    <row r="1162" spans="1:3" x14ac:dyDescent="0.3">
      <c r="A1162" t="s">
        <v>3628</v>
      </c>
      <c r="B1162" s="2" t="s">
        <v>2759</v>
      </c>
      <c r="C1162" s="2" t="s">
        <v>2759</v>
      </c>
    </row>
    <row r="1163" spans="1:3" x14ac:dyDescent="0.3">
      <c r="A1163" t="s">
        <v>3629</v>
      </c>
      <c r="B1163" s="2" t="s">
        <v>2759</v>
      </c>
      <c r="C1163" s="2" t="s">
        <v>2759</v>
      </c>
    </row>
    <row r="1164" spans="1:3" x14ac:dyDescent="0.3">
      <c r="A1164" t="s">
        <v>3630</v>
      </c>
      <c r="B1164" s="2" t="s">
        <v>2759</v>
      </c>
      <c r="C1164" s="2" t="s">
        <v>2759</v>
      </c>
    </row>
    <row r="1165" spans="1:3" x14ac:dyDescent="0.3">
      <c r="A1165" t="s">
        <v>3631</v>
      </c>
      <c r="B1165" s="2" t="s">
        <v>2759</v>
      </c>
      <c r="C1165" s="2" t="s">
        <v>2759</v>
      </c>
    </row>
    <row r="1166" spans="1:3" x14ac:dyDescent="0.3">
      <c r="A1166" t="s">
        <v>3632</v>
      </c>
      <c r="B1166" s="2" t="s">
        <v>2759</v>
      </c>
      <c r="C1166" s="2" t="s">
        <v>2759</v>
      </c>
    </row>
    <row r="1167" spans="1:3" x14ac:dyDescent="0.3">
      <c r="A1167" t="s">
        <v>3633</v>
      </c>
      <c r="B1167" s="2" t="s">
        <v>2759</v>
      </c>
      <c r="C1167" s="2" t="s">
        <v>2759</v>
      </c>
    </row>
    <row r="1168" spans="1:3" x14ac:dyDescent="0.3">
      <c r="A1168" t="s">
        <v>3634</v>
      </c>
      <c r="B1168" s="2" t="s">
        <v>2759</v>
      </c>
      <c r="C1168" s="2" t="s">
        <v>2759</v>
      </c>
    </row>
    <row r="1169" spans="1:3" x14ac:dyDescent="0.3">
      <c r="A1169" t="s">
        <v>3635</v>
      </c>
      <c r="B1169" s="2" t="s">
        <v>2759</v>
      </c>
      <c r="C1169" s="2" t="s">
        <v>2759</v>
      </c>
    </row>
    <row r="1170" spans="1:3" x14ac:dyDescent="0.3">
      <c r="A1170" t="s">
        <v>3636</v>
      </c>
      <c r="B1170" s="2" t="s">
        <v>2759</v>
      </c>
      <c r="C1170" s="2" t="s">
        <v>2759</v>
      </c>
    </row>
    <row r="1171" spans="1:3" x14ac:dyDescent="0.3">
      <c r="A1171" t="s">
        <v>3637</v>
      </c>
      <c r="B1171" s="2" t="s">
        <v>2759</v>
      </c>
      <c r="C1171" s="2" t="s">
        <v>2759</v>
      </c>
    </row>
    <row r="1172" spans="1:3" x14ac:dyDescent="0.3">
      <c r="A1172" t="s">
        <v>3638</v>
      </c>
      <c r="B1172" s="2" t="s">
        <v>2759</v>
      </c>
      <c r="C1172" s="2" t="s">
        <v>2759</v>
      </c>
    </row>
    <row r="1173" spans="1:3" x14ac:dyDescent="0.3">
      <c r="A1173" t="s">
        <v>3639</v>
      </c>
      <c r="B1173" s="2" t="s">
        <v>2759</v>
      </c>
      <c r="C1173" s="2" t="s">
        <v>2759</v>
      </c>
    </row>
    <row r="1174" spans="1:3" x14ac:dyDescent="0.3">
      <c r="A1174" t="s">
        <v>3640</v>
      </c>
      <c r="B1174" s="2" t="s">
        <v>2759</v>
      </c>
      <c r="C1174" s="2" t="s">
        <v>2759</v>
      </c>
    </row>
    <row r="1175" spans="1:3" x14ac:dyDescent="0.3">
      <c r="A1175" t="s">
        <v>3641</v>
      </c>
      <c r="B1175" s="2" t="s">
        <v>2759</v>
      </c>
      <c r="C1175" s="2" t="s">
        <v>2759</v>
      </c>
    </row>
    <row r="1176" spans="1:3" x14ac:dyDescent="0.3">
      <c r="A1176" t="s">
        <v>3642</v>
      </c>
      <c r="B1176" s="2" t="s">
        <v>2759</v>
      </c>
      <c r="C1176" s="2" t="s">
        <v>2759</v>
      </c>
    </row>
    <row r="1177" spans="1:3" x14ac:dyDescent="0.3">
      <c r="A1177" t="s">
        <v>3643</v>
      </c>
      <c r="B1177" s="2" t="s">
        <v>2759</v>
      </c>
      <c r="C1177" s="2" t="s">
        <v>2759</v>
      </c>
    </row>
    <row r="1178" spans="1:3" x14ac:dyDescent="0.3">
      <c r="A1178" t="s">
        <v>3644</v>
      </c>
      <c r="B1178" s="2" t="s">
        <v>2759</v>
      </c>
      <c r="C1178" s="2" t="s">
        <v>2759</v>
      </c>
    </row>
    <row r="1179" spans="1:3" x14ac:dyDescent="0.3">
      <c r="A1179" t="s">
        <v>3645</v>
      </c>
      <c r="B1179" s="2" t="s">
        <v>2759</v>
      </c>
      <c r="C1179" s="2" t="s">
        <v>2759</v>
      </c>
    </row>
    <row r="1180" spans="1:3" x14ac:dyDescent="0.3">
      <c r="A1180" t="s">
        <v>3646</v>
      </c>
      <c r="B1180" s="2" t="s">
        <v>2759</v>
      </c>
      <c r="C1180" s="2" t="s">
        <v>2759</v>
      </c>
    </row>
    <row r="1181" spans="1:3" x14ac:dyDescent="0.3">
      <c r="A1181" t="s">
        <v>3647</v>
      </c>
      <c r="B1181" s="2" t="s">
        <v>2759</v>
      </c>
      <c r="C1181" s="2" t="s">
        <v>2759</v>
      </c>
    </row>
    <row r="1182" spans="1:3" x14ac:dyDescent="0.3">
      <c r="A1182" t="s">
        <v>3648</v>
      </c>
      <c r="B1182" s="2" t="s">
        <v>2759</v>
      </c>
      <c r="C1182" s="2" t="s">
        <v>2759</v>
      </c>
    </row>
    <row r="1183" spans="1:3" x14ac:dyDescent="0.3">
      <c r="A1183" t="s">
        <v>3649</v>
      </c>
      <c r="B1183" s="2" t="s">
        <v>2759</v>
      </c>
      <c r="C1183" s="2" t="s">
        <v>2759</v>
      </c>
    </row>
    <row r="1184" spans="1:3" x14ac:dyDescent="0.3">
      <c r="A1184" t="s">
        <v>3650</v>
      </c>
      <c r="B1184" s="2" t="s">
        <v>2759</v>
      </c>
      <c r="C1184" s="2" t="s">
        <v>2759</v>
      </c>
    </row>
    <row r="1185" spans="1:3" x14ac:dyDescent="0.3">
      <c r="A1185" t="s">
        <v>3651</v>
      </c>
      <c r="B1185" s="2" t="s">
        <v>2759</v>
      </c>
      <c r="C1185" s="2" t="s">
        <v>2759</v>
      </c>
    </row>
    <row r="1186" spans="1:3" x14ac:dyDescent="0.3">
      <c r="A1186" t="s">
        <v>3652</v>
      </c>
      <c r="B1186" s="2" t="s">
        <v>2759</v>
      </c>
      <c r="C1186" s="2" t="s">
        <v>2759</v>
      </c>
    </row>
    <row r="1187" spans="1:3" x14ac:dyDescent="0.3">
      <c r="A1187" t="s">
        <v>3653</v>
      </c>
      <c r="B1187" s="2" t="s">
        <v>2759</v>
      </c>
      <c r="C1187" s="2" t="s">
        <v>2759</v>
      </c>
    </row>
    <row r="1188" spans="1:3" x14ac:dyDescent="0.3">
      <c r="A1188" t="s">
        <v>3654</v>
      </c>
      <c r="B1188" s="2" t="s">
        <v>2759</v>
      </c>
      <c r="C1188" s="2" t="s">
        <v>2759</v>
      </c>
    </row>
    <row r="1189" spans="1:3" x14ac:dyDescent="0.3">
      <c r="A1189" t="s">
        <v>3655</v>
      </c>
      <c r="B1189" s="2" t="s">
        <v>2759</v>
      </c>
      <c r="C1189" s="2" t="s">
        <v>2759</v>
      </c>
    </row>
    <row r="1190" spans="1:3" x14ac:dyDescent="0.3">
      <c r="A1190" t="s">
        <v>3656</v>
      </c>
      <c r="B1190" s="2" t="s">
        <v>2759</v>
      </c>
      <c r="C1190" s="2" t="s">
        <v>2759</v>
      </c>
    </row>
    <row r="1191" spans="1:3" x14ac:dyDescent="0.3">
      <c r="A1191" t="s">
        <v>3657</v>
      </c>
      <c r="B1191" s="2" t="s">
        <v>2759</v>
      </c>
      <c r="C1191" s="2" t="s">
        <v>2759</v>
      </c>
    </row>
    <row r="1192" spans="1:3" x14ac:dyDescent="0.3">
      <c r="A1192" t="s">
        <v>3658</v>
      </c>
      <c r="B1192" s="2" t="s">
        <v>2759</v>
      </c>
      <c r="C1192" s="2" t="s">
        <v>2759</v>
      </c>
    </row>
    <row r="1193" spans="1:3" x14ac:dyDescent="0.3">
      <c r="A1193" t="s">
        <v>3659</v>
      </c>
      <c r="B1193" s="2" t="s">
        <v>2759</v>
      </c>
      <c r="C1193" s="2" t="s">
        <v>2759</v>
      </c>
    </row>
    <row r="1194" spans="1:3" x14ac:dyDescent="0.3">
      <c r="A1194" t="s">
        <v>3660</v>
      </c>
      <c r="B1194" s="2" t="s">
        <v>2759</v>
      </c>
      <c r="C1194" s="2" t="s">
        <v>2759</v>
      </c>
    </row>
    <row r="1195" spans="1:3" x14ac:dyDescent="0.3">
      <c r="A1195" t="s">
        <v>3661</v>
      </c>
      <c r="B1195" s="2" t="s">
        <v>2759</v>
      </c>
      <c r="C1195" s="2" t="s">
        <v>2759</v>
      </c>
    </row>
    <row r="1196" spans="1:3" x14ac:dyDescent="0.3">
      <c r="A1196" t="s">
        <v>3662</v>
      </c>
      <c r="B1196" s="2" t="s">
        <v>2759</v>
      </c>
      <c r="C1196" s="2" t="s">
        <v>2759</v>
      </c>
    </row>
    <row r="1197" spans="1:3" x14ac:dyDescent="0.3">
      <c r="A1197" t="s">
        <v>3663</v>
      </c>
      <c r="B1197" s="2" t="s">
        <v>2759</v>
      </c>
      <c r="C1197" s="2" t="s">
        <v>2759</v>
      </c>
    </row>
    <row r="1198" spans="1:3" x14ac:dyDescent="0.3">
      <c r="A1198" t="s">
        <v>3664</v>
      </c>
      <c r="B1198" s="2" t="s">
        <v>2759</v>
      </c>
      <c r="C1198" s="2" t="s">
        <v>2759</v>
      </c>
    </row>
    <row r="1199" spans="1:3" x14ac:dyDescent="0.3">
      <c r="A1199" t="s">
        <v>3665</v>
      </c>
      <c r="B1199" s="2" t="s">
        <v>2759</v>
      </c>
      <c r="C1199" s="2" t="s">
        <v>2759</v>
      </c>
    </row>
    <row r="1200" spans="1:3" x14ac:dyDescent="0.3">
      <c r="A1200" t="s">
        <v>3666</v>
      </c>
      <c r="B1200" s="2" t="s">
        <v>2759</v>
      </c>
      <c r="C1200" s="2" t="s">
        <v>2759</v>
      </c>
    </row>
    <row r="1201" spans="1:3" x14ac:dyDescent="0.3">
      <c r="A1201" t="s">
        <v>3667</v>
      </c>
      <c r="B1201" s="2" t="s">
        <v>2759</v>
      </c>
      <c r="C1201" s="2" t="s">
        <v>2759</v>
      </c>
    </row>
    <row r="1202" spans="1:3" x14ac:dyDescent="0.3">
      <c r="A1202" t="s">
        <v>3668</v>
      </c>
      <c r="B1202" s="2" t="s">
        <v>2759</v>
      </c>
      <c r="C1202" s="2" t="s">
        <v>2759</v>
      </c>
    </row>
    <row r="1203" spans="1:3" x14ac:dyDescent="0.3">
      <c r="A1203" t="s">
        <v>3669</v>
      </c>
      <c r="B1203" s="2" t="s">
        <v>2759</v>
      </c>
      <c r="C1203" s="2" t="s">
        <v>2759</v>
      </c>
    </row>
    <row r="1204" spans="1:3" x14ac:dyDescent="0.3">
      <c r="A1204" t="s">
        <v>3670</v>
      </c>
      <c r="B1204" s="2" t="s">
        <v>2759</v>
      </c>
      <c r="C1204" s="2" t="s">
        <v>2759</v>
      </c>
    </row>
    <row r="1205" spans="1:3" x14ac:dyDescent="0.3">
      <c r="A1205" t="s">
        <v>3671</v>
      </c>
      <c r="B1205" s="2" t="s">
        <v>2759</v>
      </c>
      <c r="C1205" s="2" t="s">
        <v>2759</v>
      </c>
    </row>
    <row r="1206" spans="1:3" x14ac:dyDescent="0.3">
      <c r="A1206" t="s">
        <v>3672</v>
      </c>
      <c r="B1206" s="2" t="s">
        <v>2759</v>
      </c>
      <c r="C1206" s="2" t="s">
        <v>2759</v>
      </c>
    </row>
    <row r="1207" spans="1:3" x14ac:dyDescent="0.3">
      <c r="A1207" t="s">
        <v>3673</v>
      </c>
      <c r="B1207" s="2" t="s">
        <v>2759</v>
      </c>
      <c r="C1207" s="2" t="s">
        <v>2759</v>
      </c>
    </row>
    <row r="1208" spans="1:3" x14ac:dyDescent="0.3">
      <c r="A1208" t="s">
        <v>3674</v>
      </c>
      <c r="B1208" s="2" t="s">
        <v>2759</v>
      </c>
      <c r="C1208" s="2" t="s">
        <v>2759</v>
      </c>
    </row>
    <row r="1209" spans="1:3" x14ac:dyDescent="0.3">
      <c r="A1209" t="s">
        <v>3675</v>
      </c>
      <c r="B1209" s="2" t="s">
        <v>2759</v>
      </c>
      <c r="C1209" s="2" t="s">
        <v>2759</v>
      </c>
    </row>
    <row r="1210" spans="1:3" x14ac:dyDescent="0.3">
      <c r="A1210" t="s">
        <v>3676</v>
      </c>
      <c r="B1210" s="2" t="s">
        <v>2759</v>
      </c>
      <c r="C1210" s="2" t="s">
        <v>2759</v>
      </c>
    </row>
    <row r="1211" spans="1:3" x14ac:dyDescent="0.3">
      <c r="A1211" t="s">
        <v>3677</v>
      </c>
      <c r="B1211" s="2" t="s">
        <v>2759</v>
      </c>
      <c r="C1211" s="2" t="s">
        <v>2759</v>
      </c>
    </row>
    <row r="1212" spans="1:3" x14ac:dyDescent="0.3">
      <c r="A1212" t="s">
        <v>3678</v>
      </c>
      <c r="B1212" s="2" t="s">
        <v>2759</v>
      </c>
      <c r="C1212" s="2" t="s">
        <v>2759</v>
      </c>
    </row>
    <row r="1213" spans="1:3" x14ac:dyDescent="0.3">
      <c r="A1213" t="s">
        <v>3679</v>
      </c>
      <c r="B1213" s="2" t="s">
        <v>2759</v>
      </c>
      <c r="C1213" s="2" t="s">
        <v>2759</v>
      </c>
    </row>
    <row r="1214" spans="1:3" x14ac:dyDescent="0.3">
      <c r="A1214" t="s">
        <v>3680</v>
      </c>
      <c r="B1214" s="2" t="s">
        <v>2759</v>
      </c>
      <c r="C1214" s="2" t="s">
        <v>2759</v>
      </c>
    </row>
    <row r="1215" spans="1:3" x14ac:dyDescent="0.3">
      <c r="A1215" t="s">
        <v>3681</v>
      </c>
      <c r="B1215" s="2" t="s">
        <v>2759</v>
      </c>
      <c r="C1215" s="2" t="s">
        <v>2759</v>
      </c>
    </row>
    <row r="1216" spans="1:3" x14ac:dyDescent="0.3">
      <c r="A1216" t="s">
        <v>3682</v>
      </c>
      <c r="B1216" s="2" t="s">
        <v>2759</v>
      </c>
      <c r="C1216" s="2" t="s">
        <v>2759</v>
      </c>
    </row>
    <row r="1217" spans="1:3" x14ac:dyDescent="0.3">
      <c r="A1217" t="s">
        <v>3683</v>
      </c>
      <c r="B1217" s="2" t="s">
        <v>2759</v>
      </c>
      <c r="C1217" s="2" t="s">
        <v>2759</v>
      </c>
    </row>
    <row r="1218" spans="1:3" x14ac:dyDescent="0.3">
      <c r="A1218" t="s">
        <v>3684</v>
      </c>
      <c r="B1218" s="2" t="s">
        <v>2759</v>
      </c>
      <c r="C1218" s="2" t="s">
        <v>2759</v>
      </c>
    </row>
    <row r="1219" spans="1:3" x14ac:dyDescent="0.3">
      <c r="A1219" t="s">
        <v>3685</v>
      </c>
      <c r="B1219" s="2" t="s">
        <v>2759</v>
      </c>
      <c r="C1219" s="2" t="s">
        <v>2759</v>
      </c>
    </row>
    <row r="1220" spans="1:3" x14ac:dyDescent="0.3">
      <c r="A1220" t="s">
        <v>3686</v>
      </c>
      <c r="B1220" s="2" t="s">
        <v>2759</v>
      </c>
      <c r="C1220" s="2" t="s">
        <v>2759</v>
      </c>
    </row>
    <row r="1221" spans="1:3" x14ac:dyDescent="0.3">
      <c r="A1221" t="s">
        <v>3687</v>
      </c>
      <c r="B1221" s="2" t="s">
        <v>2759</v>
      </c>
      <c r="C1221" s="2" t="s">
        <v>2759</v>
      </c>
    </row>
    <row r="1222" spans="1:3" x14ac:dyDescent="0.3">
      <c r="A1222" t="s">
        <v>3688</v>
      </c>
      <c r="B1222" s="2" t="s">
        <v>2759</v>
      </c>
      <c r="C1222" s="2" t="s">
        <v>2759</v>
      </c>
    </row>
    <row r="1223" spans="1:3" x14ac:dyDescent="0.3">
      <c r="A1223" t="s">
        <v>3689</v>
      </c>
      <c r="B1223" s="2" t="s">
        <v>2759</v>
      </c>
      <c r="C1223" s="2" t="s">
        <v>2759</v>
      </c>
    </row>
    <row r="1224" spans="1:3" x14ac:dyDescent="0.3">
      <c r="A1224" t="s">
        <v>3690</v>
      </c>
      <c r="B1224" s="2" t="s">
        <v>2759</v>
      </c>
      <c r="C1224" s="2" t="s">
        <v>2759</v>
      </c>
    </row>
    <row r="1225" spans="1:3" x14ac:dyDescent="0.3">
      <c r="A1225" t="s">
        <v>3691</v>
      </c>
      <c r="B1225" s="2" t="s">
        <v>2759</v>
      </c>
      <c r="C1225" s="2" t="s">
        <v>2759</v>
      </c>
    </row>
    <row r="1226" spans="1:3" x14ac:dyDescent="0.3">
      <c r="A1226" t="s">
        <v>3692</v>
      </c>
      <c r="B1226" s="2" t="s">
        <v>2759</v>
      </c>
      <c r="C1226" s="2" t="s">
        <v>2759</v>
      </c>
    </row>
    <row r="1227" spans="1:3" x14ac:dyDescent="0.3">
      <c r="A1227" t="s">
        <v>3693</v>
      </c>
      <c r="B1227" s="2" t="s">
        <v>2759</v>
      </c>
      <c r="C1227" s="2" t="s">
        <v>2759</v>
      </c>
    </row>
    <row r="1228" spans="1:3" x14ac:dyDescent="0.3">
      <c r="A1228" t="s">
        <v>3694</v>
      </c>
      <c r="B1228" s="2" t="s">
        <v>2759</v>
      </c>
      <c r="C1228" s="2" t="s">
        <v>2759</v>
      </c>
    </row>
    <row r="1229" spans="1:3" x14ac:dyDescent="0.3">
      <c r="A1229" t="s">
        <v>3695</v>
      </c>
      <c r="B1229" s="2" t="s">
        <v>2759</v>
      </c>
      <c r="C1229" s="2" t="s">
        <v>2759</v>
      </c>
    </row>
    <row r="1230" spans="1:3" x14ac:dyDescent="0.3">
      <c r="A1230" t="s">
        <v>3696</v>
      </c>
      <c r="B1230" s="2" t="s">
        <v>2759</v>
      </c>
      <c r="C1230" s="2" t="s">
        <v>2759</v>
      </c>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64"/>
  <sheetViews>
    <sheetView tabSelected="1" zoomScale="55" zoomScaleNormal="55" workbookViewId="0">
      <selection activeCell="J1" sqref="J1"/>
    </sheetView>
  </sheetViews>
  <sheetFormatPr defaultColWidth="8.6640625" defaultRowHeight="14.4" outlineLevelRow="1" x14ac:dyDescent="0.3"/>
  <cols>
    <col min="1" max="1" width="32.5546875" bestFit="1" customWidth="1"/>
    <col min="2" max="2" width="18.109375" bestFit="1" customWidth="1"/>
    <col min="3" max="3" width="13" customWidth="1"/>
    <col min="4" max="4" width="71.5546875" bestFit="1" customWidth="1"/>
    <col min="5" max="5" width="57.44140625" bestFit="1" customWidth="1"/>
    <col min="6" max="6" width="67.6640625" customWidth="1"/>
    <col min="7" max="7" width="20.21875" bestFit="1" customWidth="1"/>
    <col min="8" max="8" width="60.44140625" bestFit="1" customWidth="1"/>
    <col min="9" max="9" width="22.33203125" bestFit="1" customWidth="1"/>
    <col min="10" max="10" width="40" customWidth="1"/>
  </cols>
  <sheetData>
    <row r="1" spans="1:10" ht="19.2" customHeight="1" x14ac:dyDescent="0.3">
      <c r="A1" s="26" t="s">
        <v>0</v>
      </c>
      <c r="B1" s="27"/>
      <c r="C1" s="27"/>
      <c r="D1" s="27"/>
    </row>
    <row r="2" spans="1:10" ht="30" customHeight="1" x14ac:dyDescent="0.3">
      <c r="A2" s="13" t="s">
        <v>1</v>
      </c>
      <c r="B2" s="1" t="s">
        <v>2</v>
      </c>
      <c r="C2" s="1" t="s">
        <v>3</v>
      </c>
      <c r="D2" s="12" t="s">
        <v>4</v>
      </c>
      <c r="H2" s="12" t="s">
        <v>6967</v>
      </c>
      <c r="J2" s="12" t="s">
        <v>7406</v>
      </c>
    </row>
    <row r="3" spans="1:10" ht="18" customHeight="1" x14ac:dyDescent="0.3">
      <c r="A3" s="28" t="s">
        <v>5</v>
      </c>
      <c r="B3" s="27"/>
      <c r="C3" s="27"/>
      <c r="D3" s="27"/>
    </row>
    <row r="4" spans="1:10" ht="18" customHeight="1" outlineLevel="1" x14ac:dyDescent="0.3">
      <c r="A4" t="s">
        <v>6</v>
      </c>
      <c r="B4" t="s">
        <v>7</v>
      </c>
      <c r="C4" t="s">
        <v>8</v>
      </c>
      <c r="D4" t="s">
        <v>3937</v>
      </c>
      <c r="E4" t="s">
        <v>6113</v>
      </c>
    </row>
    <row r="5" spans="1:10" ht="18" customHeight="1" outlineLevel="1" x14ac:dyDescent="0.3">
      <c r="A5" t="s">
        <v>9</v>
      </c>
      <c r="B5" t="s">
        <v>7</v>
      </c>
      <c r="C5" t="s">
        <v>10</v>
      </c>
      <c r="D5" t="s">
        <v>3937</v>
      </c>
      <c r="E5" t="s">
        <v>6113</v>
      </c>
    </row>
    <row r="6" spans="1:10" ht="18" customHeight="1" outlineLevel="1" x14ac:dyDescent="0.3">
      <c r="A6" t="s">
        <v>11</v>
      </c>
      <c r="B6" t="s">
        <v>7</v>
      </c>
      <c r="C6" t="s">
        <v>10</v>
      </c>
      <c r="D6" t="s">
        <v>3937</v>
      </c>
      <c r="E6" t="s">
        <v>6113</v>
      </c>
    </row>
    <row r="7" spans="1:10" ht="18" customHeight="1" outlineLevel="1" x14ac:dyDescent="0.3">
      <c r="A7" t="s">
        <v>12</v>
      </c>
      <c r="B7" t="s">
        <v>7</v>
      </c>
      <c r="C7" t="s">
        <v>8</v>
      </c>
      <c r="D7" t="s">
        <v>3937</v>
      </c>
      <c r="E7" t="s">
        <v>6113</v>
      </c>
    </row>
    <row r="8" spans="1:10" ht="18" customHeight="1" outlineLevel="1" x14ac:dyDescent="0.3">
      <c r="A8" t="s">
        <v>13</v>
      </c>
      <c r="B8" t="s">
        <v>7</v>
      </c>
      <c r="C8" t="s">
        <v>8</v>
      </c>
      <c r="D8" t="s">
        <v>3937</v>
      </c>
      <c r="E8" t="s">
        <v>6113</v>
      </c>
    </row>
    <row r="9" spans="1:10" ht="18" customHeight="1" outlineLevel="1" x14ac:dyDescent="0.3">
      <c r="A9" t="s">
        <v>14</v>
      </c>
      <c r="B9" t="s">
        <v>7</v>
      </c>
      <c r="C9" t="s">
        <v>8</v>
      </c>
      <c r="D9" t="s">
        <v>3937</v>
      </c>
      <c r="E9" t="s">
        <v>6113</v>
      </c>
    </row>
    <row r="10" spans="1:10" ht="18" customHeight="1" outlineLevel="1" x14ac:dyDescent="0.3">
      <c r="A10" t="s">
        <v>15</v>
      </c>
      <c r="B10" t="s">
        <v>7</v>
      </c>
      <c r="C10" t="s">
        <v>8</v>
      </c>
      <c r="D10" t="s">
        <v>3937</v>
      </c>
      <c r="E10" t="s">
        <v>6113</v>
      </c>
    </row>
    <row r="11" spans="1:10" ht="18" customHeight="1" outlineLevel="1" x14ac:dyDescent="0.3">
      <c r="A11" t="s">
        <v>16</v>
      </c>
      <c r="B11" t="s">
        <v>7</v>
      </c>
      <c r="C11" t="s">
        <v>8</v>
      </c>
      <c r="D11" t="s">
        <v>3937</v>
      </c>
      <c r="E11" t="s">
        <v>6113</v>
      </c>
    </row>
    <row r="12" spans="1:10" ht="18" customHeight="1" outlineLevel="1" x14ac:dyDescent="0.3">
      <c r="A12" t="s">
        <v>17</v>
      </c>
      <c r="B12" t="s">
        <v>7</v>
      </c>
      <c r="C12" t="s">
        <v>8</v>
      </c>
      <c r="D12" t="s">
        <v>3937</v>
      </c>
      <c r="E12" t="s">
        <v>6113</v>
      </c>
    </row>
    <row r="13" spans="1:10" ht="18" customHeight="1" outlineLevel="1" x14ac:dyDescent="0.3">
      <c r="A13" t="s">
        <v>18</v>
      </c>
      <c r="B13" t="s">
        <v>7</v>
      </c>
      <c r="C13" t="s">
        <v>8</v>
      </c>
      <c r="D13" t="s">
        <v>19</v>
      </c>
      <c r="E13" t="s">
        <v>3947</v>
      </c>
    </row>
    <row r="14" spans="1:10" ht="18" customHeight="1" outlineLevel="1" x14ac:dyDescent="0.3">
      <c r="A14" t="s">
        <v>20</v>
      </c>
      <c r="B14" t="s">
        <v>7</v>
      </c>
      <c r="C14" t="s">
        <v>8</v>
      </c>
      <c r="D14" t="s">
        <v>21</v>
      </c>
      <c r="E14" t="s">
        <v>3948</v>
      </c>
    </row>
    <row r="15" spans="1:10" outlineLevel="1" x14ac:dyDescent="0.3">
      <c r="A15" t="s">
        <v>22</v>
      </c>
      <c r="B15" t="s">
        <v>7</v>
      </c>
      <c r="C15" t="s">
        <v>8</v>
      </c>
      <c r="D15" t="s">
        <v>21</v>
      </c>
      <c r="E15" t="s">
        <v>3948</v>
      </c>
    </row>
    <row r="16" spans="1:10" ht="18" customHeight="1" outlineLevel="1" x14ac:dyDescent="0.3">
      <c r="A16" t="s">
        <v>23</v>
      </c>
      <c r="B16" t="s">
        <v>7</v>
      </c>
      <c r="C16" t="s">
        <v>8</v>
      </c>
      <c r="D16" t="s">
        <v>24</v>
      </c>
      <c r="E16" t="s">
        <v>3949</v>
      </c>
    </row>
    <row r="17" spans="1:10" ht="18" customHeight="1" outlineLevel="1" x14ac:dyDescent="0.3">
      <c r="A17" t="s">
        <v>25</v>
      </c>
      <c r="B17" t="s">
        <v>7</v>
      </c>
      <c r="C17" t="s">
        <v>8</v>
      </c>
      <c r="D17" t="s">
        <v>24</v>
      </c>
      <c r="E17" t="s">
        <v>3949</v>
      </c>
    </row>
    <row r="18" spans="1:10" ht="18" customHeight="1" outlineLevel="1" x14ac:dyDescent="0.3">
      <c r="A18" t="s">
        <v>26</v>
      </c>
      <c r="B18" t="s">
        <v>7</v>
      </c>
      <c r="C18" t="s">
        <v>8</v>
      </c>
      <c r="D18" t="s">
        <v>27</v>
      </c>
      <c r="E18" t="s">
        <v>3950</v>
      </c>
    </row>
    <row r="19" spans="1:10" ht="18" customHeight="1" outlineLevel="1" x14ac:dyDescent="0.3">
      <c r="A19" t="s">
        <v>28</v>
      </c>
      <c r="B19" t="s">
        <v>7</v>
      </c>
      <c r="C19" t="s">
        <v>10</v>
      </c>
      <c r="D19" t="s">
        <v>29</v>
      </c>
      <c r="E19" t="s">
        <v>3951</v>
      </c>
    </row>
    <row r="20" spans="1:10" ht="18" customHeight="1" outlineLevel="1" x14ac:dyDescent="0.3">
      <c r="A20" t="s">
        <v>30</v>
      </c>
      <c r="B20" t="s">
        <v>7</v>
      </c>
      <c r="C20" t="s">
        <v>10</v>
      </c>
      <c r="D20" t="s">
        <v>29</v>
      </c>
      <c r="E20" t="s">
        <v>3951</v>
      </c>
    </row>
    <row r="21" spans="1:10" ht="18" customHeight="1" outlineLevel="1" x14ac:dyDescent="0.3">
      <c r="A21" t="s">
        <v>31</v>
      </c>
      <c r="B21" t="s">
        <v>7</v>
      </c>
      <c r="C21" t="s">
        <v>10</v>
      </c>
      <c r="D21" t="s">
        <v>32</v>
      </c>
      <c r="E21" t="s">
        <v>3952</v>
      </c>
    </row>
    <row r="22" spans="1:10" ht="18" customHeight="1" outlineLevel="1" x14ac:dyDescent="0.3">
      <c r="A22" t="s">
        <v>33</v>
      </c>
      <c r="B22" t="s">
        <v>7</v>
      </c>
      <c r="C22" t="s">
        <v>10</v>
      </c>
      <c r="D22" t="s">
        <v>32</v>
      </c>
      <c r="E22" t="s">
        <v>3952</v>
      </c>
    </row>
    <row r="23" spans="1:10" ht="18" customHeight="1" outlineLevel="1" x14ac:dyDescent="0.3">
      <c r="A23" t="s">
        <v>34</v>
      </c>
      <c r="B23" t="s">
        <v>7</v>
      </c>
      <c r="C23" t="s">
        <v>10</v>
      </c>
      <c r="D23" t="s">
        <v>35</v>
      </c>
      <c r="E23" t="s">
        <v>3953</v>
      </c>
    </row>
    <row r="24" spans="1:10" ht="18" customHeight="1" outlineLevel="1" x14ac:dyDescent="0.3">
      <c r="A24" t="s">
        <v>36</v>
      </c>
      <c r="B24" t="s">
        <v>7</v>
      </c>
      <c r="C24" t="s">
        <v>10</v>
      </c>
      <c r="D24" t="s">
        <v>35</v>
      </c>
      <c r="E24" t="s">
        <v>3953</v>
      </c>
    </row>
    <row r="25" spans="1:10" ht="18" customHeight="1" outlineLevel="1" x14ac:dyDescent="0.3">
      <c r="A25" t="s">
        <v>37</v>
      </c>
      <c r="B25" t="s">
        <v>7</v>
      </c>
      <c r="C25" t="s">
        <v>10</v>
      </c>
      <c r="D25" t="s">
        <v>38</v>
      </c>
      <c r="E25" t="s">
        <v>3954</v>
      </c>
    </row>
    <row r="26" spans="1:10" ht="18" customHeight="1" outlineLevel="1" x14ac:dyDescent="0.3">
      <c r="A26" t="s">
        <v>39</v>
      </c>
      <c r="B26" t="s">
        <v>7</v>
      </c>
      <c r="C26" t="s">
        <v>10</v>
      </c>
      <c r="D26" t="s">
        <v>29</v>
      </c>
      <c r="E26" t="s">
        <v>3951</v>
      </c>
    </row>
    <row r="27" spans="1:10" ht="18" customHeight="1" outlineLevel="1" x14ac:dyDescent="0.3">
      <c r="A27" t="s">
        <v>40</v>
      </c>
      <c r="B27" t="s">
        <v>7</v>
      </c>
      <c r="C27" t="s">
        <v>10</v>
      </c>
      <c r="D27" t="s">
        <v>41</v>
      </c>
      <c r="E27" t="s">
        <v>3955</v>
      </c>
    </row>
    <row r="28" spans="1:10" ht="18" customHeight="1" outlineLevel="1" x14ac:dyDescent="0.3">
      <c r="A28" t="s">
        <v>42</v>
      </c>
      <c r="B28" t="s">
        <v>7</v>
      </c>
      <c r="C28" t="s">
        <v>10</v>
      </c>
      <c r="D28" t="s">
        <v>41</v>
      </c>
      <c r="E28" t="s">
        <v>3955</v>
      </c>
    </row>
    <row r="29" spans="1:10" ht="18" customHeight="1" outlineLevel="1" x14ac:dyDescent="0.3">
      <c r="A29" t="s">
        <v>43</v>
      </c>
      <c r="B29" t="s">
        <v>7</v>
      </c>
      <c r="C29" t="s">
        <v>10</v>
      </c>
      <c r="D29" t="s">
        <v>41</v>
      </c>
      <c r="E29" t="s">
        <v>3955</v>
      </c>
    </row>
    <row r="30" spans="1:10" ht="18" customHeight="1" outlineLevel="1" x14ac:dyDescent="0.3">
      <c r="A30" t="s">
        <v>44</v>
      </c>
      <c r="B30" t="s">
        <v>45</v>
      </c>
      <c r="C30" t="s">
        <v>8</v>
      </c>
      <c r="D30" t="s">
        <v>46</v>
      </c>
      <c r="E30" t="s">
        <v>3956</v>
      </c>
      <c r="J30" s="33"/>
    </row>
    <row r="31" spans="1:10" ht="18" customHeight="1" outlineLevel="1" x14ac:dyDescent="0.3">
      <c r="A31" t="s">
        <v>47</v>
      </c>
      <c r="B31" t="s">
        <v>45</v>
      </c>
      <c r="C31" t="s">
        <v>8</v>
      </c>
      <c r="D31" t="s">
        <v>48</v>
      </c>
      <c r="E31" t="s">
        <v>3957</v>
      </c>
      <c r="H31" t="s">
        <v>6968</v>
      </c>
    </row>
    <row r="32" spans="1:10" ht="18" customHeight="1" outlineLevel="1" x14ac:dyDescent="0.3">
      <c r="A32" t="s">
        <v>49</v>
      </c>
      <c r="B32" t="s">
        <v>45</v>
      </c>
      <c r="C32" t="s">
        <v>10</v>
      </c>
      <c r="D32" t="s">
        <v>50</v>
      </c>
      <c r="E32" t="s">
        <v>3958</v>
      </c>
    </row>
    <row r="33" spans="1:10" ht="18" customHeight="1" outlineLevel="1" x14ac:dyDescent="0.3">
      <c r="A33" s="24" t="s">
        <v>51</v>
      </c>
      <c r="B33" s="24" t="s">
        <v>45</v>
      </c>
      <c r="C33" s="24" t="s">
        <v>8</v>
      </c>
      <c r="D33" s="24" t="s">
        <v>52</v>
      </c>
      <c r="E33" s="24" t="s">
        <v>3959</v>
      </c>
      <c r="F33" s="24"/>
      <c r="G33" s="24"/>
      <c r="H33" s="24" t="s">
        <v>6969</v>
      </c>
      <c r="I33" s="24"/>
      <c r="J33" s="24" t="s">
        <v>7433</v>
      </c>
    </row>
    <row r="34" spans="1:10" ht="18" customHeight="1" outlineLevel="1" x14ac:dyDescent="0.3">
      <c r="A34" s="33" t="s">
        <v>53</v>
      </c>
      <c r="B34" s="33" t="s">
        <v>45</v>
      </c>
      <c r="C34" s="33" t="s">
        <v>8</v>
      </c>
      <c r="D34" s="33" t="s">
        <v>54</v>
      </c>
      <c r="E34" s="33" t="s">
        <v>3960</v>
      </c>
      <c r="F34" s="33"/>
      <c r="G34" s="33"/>
      <c r="H34" s="33"/>
      <c r="I34" s="33"/>
      <c r="J34" s="33"/>
    </row>
    <row r="35" spans="1:10" ht="18" customHeight="1" outlineLevel="1" x14ac:dyDescent="0.3">
      <c r="A35" t="s">
        <v>55</v>
      </c>
      <c r="B35" t="s">
        <v>45</v>
      </c>
      <c r="C35" t="s">
        <v>10</v>
      </c>
      <c r="D35" t="s">
        <v>56</v>
      </c>
      <c r="E35" t="s">
        <v>3961</v>
      </c>
      <c r="H35" t="s">
        <v>6970</v>
      </c>
      <c r="J35" s="33"/>
    </row>
    <row r="36" spans="1:10" ht="18" customHeight="1" outlineLevel="1" x14ac:dyDescent="0.3">
      <c r="A36" t="s">
        <v>57</v>
      </c>
      <c r="B36" t="s">
        <v>45</v>
      </c>
      <c r="C36" t="s">
        <v>10</v>
      </c>
      <c r="D36" t="s">
        <v>58</v>
      </c>
      <c r="E36" t="s">
        <v>3962</v>
      </c>
      <c r="H36" t="s">
        <v>6971</v>
      </c>
      <c r="J36" s="33"/>
    </row>
    <row r="37" spans="1:10" ht="18" customHeight="1" outlineLevel="1" x14ac:dyDescent="0.3">
      <c r="A37" s="33" t="s">
        <v>59</v>
      </c>
      <c r="B37" s="33" t="s">
        <v>45</v>
      </c>
      <c r="C37" s="33" t="s">
        <v>10</v>
      </c>
      <c r="D37" s="33" t="s">
        <v>60</v>
      </c>
      <c r="E37" s="33" t="s">
        <v>3963</v>
      </c>
    </row>
    <row r="38" spans="1:10" ht="18" customHeight="1" outlineLevel="1" x14ac:dyDescent="0.3">
      <c r="A38" t="s">
        <v>61</v>
      </c>
      <c r="B38" t="s">
        <v>45</v>
      </c>
      <c r="C38" t="s">
        <v>10</v>
      </c>
      <c r="D38" t="s">
        <v>60</v>
      </c>
      <c r="E38" t="s">
        <v>3963</v>
      </c>
    </row>
    <row r="39" spans="1:10" ht="18" customHeight="1" outlineLevel="1" x14ac:dyDescent="0.3">
      <c r="A39" s="24" t="s">
        <v>62</v>
      </c>
      <c r="B39" s="24" t="s">
        <v>45</v>
      </c>
      <c r="C39" s="24" t="s">
        <v>10</v>
      </c>
      <c r="D39" s="24" t="s">
        <v>63</v>
      </c>
      <c r="E39" s="24" t="s">
        <v>3964</v>
      </c>
      <c r="F39" s="24"/>
      <c r="G39" s="24"/>
      <c r="H39" s="24" t="s">
        <v>6972</v>
      </c>
      <c r="J39" s="33"/>
    </row>
    <row r="40" spans="1:10" ht="18" customHeight="1" outlineLevel="1" x14ac:dyDescent="0.3">
      <c r="A40" t="s">
        <v>64</v>
      </c>
      <c r="B40" t="s">
        <v>45</v>
      </c>
      <c r="C40" t="s">
        <v>10</v>
      </c>
      <c r="D40" t="s">
        <v>65</v>
      </c>
      <c r="E40" t="s">
        <v>3965</v>
      </c>
      <c r="J40" t="s">
        <v>7436</v>
      </c>
    </row>
    <row r="41" spans="1:10" ht="18" customHeight="1" outlineLevel="1" x14ac:dyDescent="0.3">
      <c r="A41" t="s">
        <v>66</v>
      </c>
      <c r="B41" t="s">
        <v>45</v>
      </c>
      <c r="C41" t="s">
        <v>8</v>
      </c>
      <c r="D41" t="s">
        <v>67</v>
      </c>
      <c r="E41" t="s">
        <v>3966</v>
      </c>
      <c r="J41" s="33"/>
    </row>
    <row r="42" spans="1:10" ht="18" customHeight="1" outlineLevel="1" x14ac:dyDescent="0.3">
      <c r="A42" s="33" t="s">
        <v>68</v>
      </c>
      <c r="B42" s="33" t="s">
        <v>45</v>
      </c>
      <c r="C42" s="33" t="s">
        <v>8</v>
      </c>
      <c r="D42" s="33" t="s">
        <v>67</v>
      </c>
      <c r="E42" s="33" t="s">
        <v>3966</v>
      </c>
      <c r="F42" s="33"/>
      <c r="G42" s="33"/>
      <c r="H42" s="33"/>
      <c r="I42" s="33"/>
      <c r="J42" s="33" t="s">
        <v>7407</v>
      </c>
    </row>
    <row r="43" spans="1:10" ht="18" customHeight="1" outlineLevel="1" x14ac:dyDescent="0.3">
      <c r="A43" t="s">
        <v>69</v>
      </c>
      <c r="B43" t="s">
        <v>45</v>
      </c>
      <c r="C43" t="s">
        <v>8</v>
      </c>
      <c r="D43" t="s">
        <v>70</v>
      </c>
      <c r="E43" t="s">
        <v>3967</v>
      </c>
      <c r="J43" s="33"/>
    </row>
    <row r="44" spans="1:10" ht="18" customHeight="1" outlineLevel="1" x14ac:dyDescent="0.3">
      <c r="A44" t="s">
        <v>71</v>
      </c>
      <c r="B44" t="s">
        <v>45</v>
      </c>
      <c r="C44" t="s">
        <v>8</v>
      </c>
      <c r="D44" t="s">
        <v>72</v>
      </c>
      <c r="E44" t="s">
        <v>3968</v>
      </c>
      <c r="H44" t="s">
        <v>6973</v>
      </c>
      <c r="J44" t="s">
        <v>7408</v>
      </c>
    </row>
    <row r="45" spans="1:10" ht="18" customHeight="1" outlineLevel="1" x14ac:dyDescent="0.3">
      <c r="A45" t="s">
        <v>73</v>
      </c>
      <c r="B45" t="s">
        <v>45</v>
      </c>
      <c r="C45" t="s">
        <v>10</v>
      </c>
      <c r="D45" t="s">
        <v>74</v>
      </c>
      <c r="E45" t="s">
        <v>3969</v>
      </c>
      <c r="H45" t="s">
        <v>6974</v>
      </c>
      <c r="J45" s="33"/>
    </row>
    <row r="46" spans="1:10" ht="18" customHeight="1" outlineLevel="1" x14ac:dyDescent="0.3">
      <c r="A46" s="24" t="s">
        <v>75</v>
      </c>
      <c r="B46" s="24" t="s">
        <v>45</v>
      </c>
      <c r="C46" s="24" t="s">
        <v>8</v>
      </c>
      <c r="D46" s="24" t="s">
        <v>76</v>
      </c>
      <c r="E46" s="24" t="s">
        <v>3970</v>
      </c>
      <c r="F46" s="24"/>
      <c r="G46" s="24"/>
      <c r="H46" s="24" t="s">
        <v>6975</v>
      </c>
      <c r="I46" s="24"/>
      <c r="J46" s="24" t="s">
        <v>7409</v>
      </c>
    </row>
    <row r="47" spans="1:10" ht="18" customHeight="1" outlineLevel="1" x14ac:dyDescent="0.3">
      <c r="A47" t="s">
        <v>77</v>
      </c>
      <c r="B47" t="s">
        <v>45</v>
      </c>
      <c r="C47" t="s">
        <v>8</v>
      </c>
      <c r="D47" t="s">
        <v>78</v>
      </c>
      <c r="E47" t="s">
        <v>3971</v>
      </c>
      <c r="H47" t="s">
        <v>6976</v>
      </c>
      <c r="J47" s="33"/>
    </row>
    <row r="48" spans="1:10" ht="18" customHeight="1" outlineLevel="1" x14ac:dyDescent="0.3">
      <c r="A48" t="s">
        <v>79</v>
      </c>
      <c r="B48" t="s">
        <v>45</v>
      </c>
      <c r="C48" t="s">
        <v>8</v>
      </c>
      <c r="D48" t="s">
        <v>80</v>
      </c>
      <c r="E48" t="s">
        <v>3972</v>
      </c>
    </row>
    <row r="49" spans="1:10" ht="18" customHeight="1" outlineLevel="1" x14ac:dyDescent="0.3">
      <c r="A49" t="s">
        <v>81</v>
      </c>
      <c r="B49" t="s">
        <v>45</v>
      </c>
      <c r="C49" t="s">
        <v>8</v>
      </c>
      <c r="D49" t="s">
        <v>80</v>
      </c>
      <c r="E49" t="s">
        <v>3972</v>
      </c>
    </row>
    <row r="50" spans="1:10" ht="18" customHeight="1" outlineLevel="1" x14ac:dyDescent="0.3">
      <c r="A50" t="s">
        <v>82</v>
      </c>
      <c r="B50" t="s">
        <v>45</v>
      </c>
      <c r="C50" t="s">
        <v>8</v>
      </c>
      <c r="D50" t="s">
        <v>83</v>
      </c>
      <c r="E50" t="s">
        <v>3973</v>
      </c>
      <c r="J50" t="s">
        <v>7437</v>
      </c>
    </row>
    <row r="51" spans="1:10" ht="18" customHeight="1" outlineLevel="1" x14ac:dyDescent="0.3">
      <c r="A51" t="s">
        <v>84</v>
      </c>
      <c r="B51" t="s">
        <v>45</v>
      </c>
      <c r="C51" t="s">
        <v>10</v>
      </c>
      <c r="D51" t="s">
        <v>85</v>
      </c>
      <c r="E51" t="s">
        <v>3974</v>
      </c>
      <c r="H51" t="s">
        <v>6977</v>
      </c>
      <c r="J51" t="s">
        <v>7438</v>
      </c>
    </row>
    <row r="52" spans="1:10" ht="18" customHeight="1" outlineLevel="1" x14ac:dyDescent="0.3">
      <c r="A52" t="s">
        <v>86</v>
      </c>
      <c r="B52" t="s">
        <v>45</v>
      </c>
      <c r="C52" t="s">
        <v>8</v>
      </c>
      <c r="D52" t="s">
        <v>87</v>
      </c>
      <c r="E52" t="s">
        <v>3975</v>
      </c>
    </row>
    <row r="53" spans="1:10" ht="18" customHeight="1" outlineLevel="1" x14ac:dyDescent="0.3">
      <c r="A53" t="s">
        <v>88</v>
      </c>
      <c r="B53" t="s">
        <v>45</v>
      </c>
      <c r="C53" t="s">
        <v>8</v>
      </c>
      <c r="D53" t="s">
        <v>87</v>
      </c>
      <c r="E53" t="s">
        <v>3975</v>
      </c>
    </row>
    <row r="54" spans="1:10" ht="18" customHeight="1" outlineLevel="1" x14ac:dyDescent="0.3">
      <c r="A54" s="33" t="s">
        <v>89</v>
      </c>
      <c r="B54" t="s">
        <v>45</v>
      </c>
      <c r="C54" t="s">
        <v>8</v>
      </c>
      <c r="D54" t="s">
        <v>90</v>
      </c>
      <c r="E54" t="s">
        <v>3976</v>
      </c>
      <c r="H54" t="s">
        <v>6978</v>
      </c>
    </row>
    <row r="55" spans="1:10" ht="18" customHeight="1" outlineLevel="1" x14ac:dyDescent="0.3">
      <c r="A55" s="33" t="s">
        <v>91</v>
      </c>
      <c r="B55" t="s">
        <v>45</v>
      </c>
      <c r="C55" t="s">
        <v>8</v>
      </c>
      <c r="D55" t="s">
        <v>90</v>
      </c>
      <c r="E55" t="s">
        <v>3976</v>
      </c>
      <c r="H55" t="s">
        <v>6978</v>
      </c>
    </row>
    <row r="56" spans="1:10" ht="18" customHeight="1" outlineLevel="1" x14ac:dyDescent="0.3">
      <c r="A56" s="33" t="s">
        <v>92</v>
      </c>
      <c r="B56" t="s">
        <v>45</v>
      </c>
      <c r="C56" t="s">
        <v>8</v>
      </c>
      <c r="D56" t="s">
        <v>90</v>
      </c>
      <c r="E56" t="s">
        <v>3976</v>
      </c>
      <c r="H56" t="s">
        <v>6978</v>
      </c>
    </row>
    <row r="57" spans="1:10" ht="18" customHeight="1" outlineLevel="1" x14ac:dyDescent="0.3">
      <c r="A57" s="33" t="s">
        <v>93</v>
      </c>
      <c r="B57" t="s">
        <v>45</v>
      </c>
      <c r="C57" t="s">
        <v>10</v>
      </c>
      <c r="D57" t="s">
        <v>94</v>
      </c>
      <c r="E57" t="s">
        <v>3977</v>
      </c>
      <c r="H57" t="s">
        <v>6979</v>
      </c>
    </row>
    <row r="58" spans="1:10" ht="18" customHeight="1" outlineLevel="1" x14ac:dyDescent="0.3">
      <c r="A58" s="33" t="s">
        <v>95</v>
      </c>
      <c r="B58" t="s">
        <v>45</v>
      </c>
      <c r="C58" t="s">
        <v>8</v>
      </c>
      <c r="D58" t="s">
        <v>96</v>
      </c>
      <c r="E58" t="s">
        <v>3978</v>
      </c>
      <c r="H58" t="s">
        <v>6980</v>
      </c>
    </row>
    <row r="59" spans="1:10" ht="18" customHeight="1" outlineLevel="1" x14ac:dyDescent="0.3">
      <c r="A59" t="s">
        <v>97</v>
      </c>
      <c r="B59" t="s">
        <v>45</v>
      </c>
      <c r="C59" t="s">
        <v>8</v>
      </c>
      <c r="D59" t="s">
        <v>96</v>
      </c>
      <c r="E59" t="s">
        <v>3978</v>
      </c>
    </row>
    <row r="60" spans="1:10" ht="18" customHeight="1" outlineLevel="1" x14ac:dyDescent="0.3">
      <c r="A60" t="s">
        <v>98</v>
      </c>
      <c r="B60" t="s">
        <v>45</v>
      </c>
      <c r="C60" t="s">
        <v>8</v>
      </c>
      <c r="D60" t="s">
        <v>99</v>
      </c>
      <c r="E60" t="s">
        <v>3979</v>
      </c>
      <c r="H60" t="s">
        <v>6981</v>
      </c>
    </row>
    <row r="61" spans="1:10" ht="18" customHeight="1" outlineLevel="1" x14ac:dyDescent="0.3">
      <c r="A61" t="s">
        <v>100</v>
      </c>
      <c r="B61" t="s">
        <v>45</v>
      </c>
      <c r="C61" t="s">
        <v>8</v>
      </c>
      <c r="D61" t="s">
        <v>99</v>
      </c>
      <c r="E61" t="s">
        <v>3979</v>
      </c>
    </row>
    <row r="62" spans="1:10" ht="18" customHeight="1" outlineLevel="1" x14ac:dyDescent="0.3">
      <c r="A62" t="s">
        <v>101</v>
      </c>
      <c r="B62" t="s">
        <v>45</v>
      </c>
      <c r="C62" t="s">
        <v>8</v>
      </c>
      <c r="D62" t="s">
        <v>99</v>
      </c>
      <c r="E62" t="s">
        <v>3979</v>
      </c>
    </row>
    <row r="63" spans="1:10" ht="18" customHeight="1" outlineLevel="1" x14ac:dyDescent="0.3">
      <c r="A63" t="s">
        <v>102</v>
      </c>
      <c r="B63" t="s">
        <v>45</v>
      </c>
      <c r="C63" t="s">
        <v>8</v>
      </c>
      <c r="D63" t="s">
        <v>103</v>
      </c>
      <c r="E63" t="s">
        <v>3980</v>
      </c>
      <c r="H63" t="s">
        <v>6982</v>
      </c>
      <c r="J63" t="s">
        <v>7439</v>
      </c>
    </row>
    <row r="64" spans="1:10" ht="18" customHeight="1" outlineLevel="1" x14ac:dyDescent="0.3">
      <c r="A64" t="s">
        <v>104</v>
      </c>
      <c r="B64" t="s">
        <v>45</v>
      </c>
      <c r="C64" t="s">
        <v>8</v>
      </c>
      <c r="D64" t="s">
        <v>105</v>
      </c>
      <c r="E64" t="s">
        <v>3981</v>
      </c>
      <c r="H64" t="s">
        <v>6983</v>
      </c>
      <c r="J64" t="s">
        <v>7440</v>
      </c>
    </row>
    <row r="65" spans="1:10" ht="18" customHeight="1" outlineLevel="1" x14ac:dyDescent="0.3">
      <c r="A65" t="s">
        <v>106</v>
      </c>
      <c r="B65" t="s">
        <v>45</v>
      </c>
      <c r="C65" t="s">
        <v>8</v>
      </c>
      <c r="D65" t="s">
        <v>107</v>
      </c>
      <c r="E65" t="s">
        <v>3982</v>
      </c>
      <c r="H65" t="s">
        <v>6984</v>
      </c>
      <c r="J65" t="s">
        <v>7441</v>
      </c>
    </row>
    <row r="66" spans="1:10" ht="18" customHeight="1" outlineLevel="1" x14ac:dyDescent="0.3">
      <c r="A66" t="s">
        <v>108</v>
      </c>
      <c r="B66" t="s">
        <v>45</v>
      </c>
      <c r="C66" t="s">
        <v>8</v>
      </c>
      <c r="D66" t="s">
        <v>107</v>
      </c>
      <c r="E66" t="s">
        <v>3982</v>
      </c>
    </row>
    <row r="67" spans="1:10" ht="18" customHeight="1" outlineLevel="1" x14ac:dyDescent="0.3">
      <c r="A67" t="s">
        <v>109</v>
      </c>
      <c r="B67" t="s">
        <v>45</v>
      </c>
      <c r="C67" t="s">
        <v>8</v>
      </c>
      <c r="D67" t="s">
        <v>110</v>
      </c>
      <c r="E67" t="s">
        <v>3983</v>
      </c>
      <c r="H67" t="s">
        <v>6985</v>
      </c>
      <c r="J67" t="s">
        <v>5506</v>
      </c>
    </row>
    <row r="68" spans="1:10" ht="18" customHeight="1" outlineLevel="1" x14ac:dyDescent="0.3">
      <c r="A68" t="s">
        <v>111</v>
      </c>
      <c r="B68" t="s">
        <v>45</v>
      </c>
      <c r="C68" t="s">
        <v>8</v>
      </c>
      <c r="D68" t="s">
        <v>112</v>
      </c>
      <c r="E68" t="s">
        <v>3984</v>
      </c>
      <c r="H68" t="s">
        <v>6986</v>
      </c>
      <c r="J68" t="s">
        <v>5507</v>
      </c>
    </row>
    <row r="69" spans="1:10" ht="18" customHeight="1" outlineLevel="1" x14ac:dyDescent="0.3">
      <c r="A69" t="s">
        <v>113</v>
      </c>
      <c r="B69" t="s">
        <v>45</v>
      </c>
      <c r="C69" t="s">
        <v>8</v>
      </c>
      <c r="D69" t="s">
        <v>112</v>
      </c>
      <c r="E69" t="s">
        <v>3984</v>
      </c>
      <c r="J69" s="33"/>
    </row>
    <row r="70" spans="1:10" ht="18" customHeight="1" outlineLevel="1" x14ac:dyDescent="0.3">
      <c r="A70" t="s">
        <v>114</v>
      </c>
      <c r="B70" t="s">
        <v>45</v>
      </c>
      <c r="C70" t="s">
        <v>8</v>
      </c>
      <c r="D70" t="s">
        <v>115</v>
      </c>
      <c r="E70" t="s">
        <v>3985</v>
      </c>
      <c r="H70" t="s">
        <v>6987</v>
      </c>
    </row>
    <row r="71" spans="1:10" ht="18" customHeight="1" outlineLevel="1" x14ac:dyDescent="0.3">
      <c r="A71" t="s">
        <v>116</v>
      </c>
      <c r="B71" t="s">
        <v>45</v>
      </c>
      <c r="C71" t="s">
        <v>8</v>
      </c>
      <c r="D71" t="s">
        <v>117</v>
      </c>
      <c r="E71" t="s">
        <v>3986</v>
      </c>
      <c r="H71" t="s">
        <v>6988</v>
      </c>
      <c r="J71" t="s">
        <v>5509</v>
      </c>
    </row>
    <row r="72" spans="1:10" ht="18" customHeight="1" outlineLevel="1" x14ac:dyDescent="0.3">
      <c r="A72" t="s">
        <v>118</v>
      </c>
      <c r="B72" t="s">
        <v>45</v>
      </c>
      <c r="C72" t="s">
        <v>8</v>
      </c>
      <c r="D72" t="s">
        <v>119</v>
      </c>
      <c r="E72" t="s">
        <v>3987</v>
      </c>
      <c r="H72" t="s">
        <v>6989</v>
      </c>
    </row>
    <row r="73" spans="1:10" ht="18" customHeight="1" outlineLevel="1" x14ac:dyDescent="0.3">
      <c r="A73" t="s">
        <v>120</v>
      </c>
      <c r="B73" t="s">
        <v>45</v>
      </c>
      <c r="C73" t="s">
        <v>8</v>
      </c>
      <c r="D73" t="s">
        <v>119</v>
      </c>
      <c r="E73" t="s">
        <v>3987</v>
      </c>
      <c r="J73" t="s">
        <v>7442</v>
      </c>
    </row>
    <row r="74" spans="1:10" ht="18" customHeight="1" outlineLevel="1" x14ac:dyDescent="0.3">
      <c r="A74" t="s">
        <v>121</v>
      </c>
      <c r="B74" t="s">
        <v>45</v>
      </c>
      <c r="C74" t="s">
        <v>8</v>
      </c>
      <c r="D74" t="s">
        <v>122</v>
      </c>
      <c r="E74" t="s">
        <v>3988</v>
      </c>
      <c r="H74" t="s">
        <v>6990</v>
      </c>
    </row>
    <row r="75" spans="1:10" ht="18" customHeight="1" outlineLevel="1" x14ac:dyDescent="0.3">
      <c r="A75" t="s">
        <v>123</v>
      </c>
      <c r="B75" t="s">
        <v>45</v>
      </c>
      <c r="C75" t="s">
        <v>8</v>
      </c>
      <c r="D75" t="s">
        <v>122</v>
      </c>
      <c r="E75" t="s">
        <v>3988</v>
      </c>
    </row>
    <row r="76" spans="1:10" ht="18" customHeight="1" outlineLevel="1" x14ac:dyDescent="0.3">
      <c r="A76" t="s">
        <v>124</v>
      </c>
      <c r="B76" t="s">
        <v>45</v>
      </c>
      <c r="C76" t="s">
        <v>8</v>
      </c>
      <c r="D76" t="s">
        <v>122</v>
      </c>
      <c r="E76" t="s">
        <v>3988</v>
      </c>
    </row>
    <row r="77" spans="1:10" ht="18" customHeight="1" outlineLevel="1" x14ac:dyDescent="0.3">
      <c r="A77" t="s">
        <v>125</v>
      </c>
      <c r="B77" t="s">
        <v>45</v>
      </c>
      <c r="C77" t="s">
        <v>8</v>
      </c>
      <c r="D77" t="s">
        <v>126</v>
      </c>
      <c r="E77" t="s">
        <v>3989</v>
      </c>
      <c r="H77" t="s">
        <v>6991</v>
      </c>
    </row>
    <row r="78" spans="1:10" ht="18" customHeight="1" outlineLevel="1" x14ac:dyDescent="0.3">
      <c r="A78" t="s">
        <v>127</v>
      </c>
      <c r="B78" t="s">
        <v>45</v>
      </c>
      <c r="C78" t="s">
        <v>8</v>
      </c>
      <c r="D78" t="s">
        <v>128</v>
      </c>
      <c r="E78" t="s">
        <v>3990</v>
      </c>
      <c r="H78" t="s">
        <v>6992</v>
      </c>
    </row>
    <row r="79" spans="1:10" ht="18" customHeight="1" outlineLevel="1" x14ac:dyDescent="0.3">
      <c r="A79" t="s">
        <v>129</v>
      </c>
      <c r="B79" t="s">
        <v>45</v>
      </c>
      <c r="C79" t="s">
        <v>8</v>
      </c>
      <c r="D79" t="s">
        <v>130</v>
      </c>
      <c r="E79" t="s">
        <v>3991</v>
      </c>
      <c r="H79" t="s">
        <v>6993</v>
      </c>
    </row>
    <row r="80" spans="1:10" ht="18" customHeight="1" outlineLevel="1" x14ac:dyDescent="0.3">
      <c r="A80" t="s">
        <v>131</v>
      </c>
      <c r="B80" t="s">
        <v>45</v>
      </c>
      <c r="C80" t="s">
        <v>8</v>
      </c>
      <c r="D80" t="s">
        <v>132</v>
      </c>
      <c r="E80" t="s">
        <v>3992</v>
      </c>
      <c r="H80" t="s">
        <v>6994</v>
      </c>
    </row>
    <row r="81" spans="1:10" ht="18" customHeight="1" outlineLevel="1" x14ac:dyDescent="0.3">
      <c r="A81" t="s">
        <v>133</v>
      </c>
      <c r="B81" t="s">
        <v>45</v>
      </c>
      <c r="C81" t="s">
        <v>8</v>
      </c>
      <c r="D81" t="s">
        <v>132</v>
      </c>
      <c r="E81" t="s">
        <v>3992</v>
      </c>
    </row>
    <row r="82" spans="1:10" ht="18" customHeight="1" outlineLevel="1" x14ac:dyDescent="0.3">
      <c r="A82" t="s">
        <v>134</v>
      </c>
      <c r="B82" t="s">
        <v>45</v>
      </c>
      <c r="C82" t="s">
        <v>8</v>
      </c>
      <c r="D82" t="s">
        <v>135</v>
      </c>
      <c r="E82" t="s">
        <v>3993</v>
      </c>
      <c r="H82" t="s">
        <v>6995</v>
      </c>
    </row>
    <row r="83" spans="1:10" ht="18" customHeight="1" outlineLevel="1" x14ac:dyDescent="0.3">
      <c r="A83" t="s">
        <v>136</v>
      </c>
      <c r="B83" t="s">
        <v>45</v>
      </c>
      <c r="C83" t="s">
        <v>8</v>
      </c>
      <c r="D83" t="s">
        <v>137</v>
      </c>
      <c r="E83" t="s">
        <v>3994</v>
      </c>
      <c r="H83" t="s">
        <v>6996</v>
      </c>
    </row>
    <row r="84" spans="1:10" ht="18" customHeight="1" outlineLevel="1" x14ac:dyDescent="0.3">
      <c r="A84" t="s">
        <v>138</v>
      </c>
      <c r="B84" t="s">
        <v>45</v>
      </c>
      <c r="C84" t="s">
        <v>8</v>
      </c>
      <c r="D84" t="s">
        <v>137</v>
      </c>
      <c r="E84" t="s">
        <v>3994</v>
      </c>
    </row>
    <row r="85" spans="1:10" ht="18" customHeight="1" outlineLevel="1" x14ac:dyDescent="0.3">
      <c r="A85" t="s">
        <v>139</v>
      </c>
      <c r="B85" t="s">
        <v>45</v>
      </c>
      <c r="C85" t="s">
        <v>8</v>
      </c>
      <c r="D85" t="s">
        <v>140</v>
      </c>
      <c r="E85" t="s">
        <v>3995</v>
      </c>
    </row>
    <row r="86" spans="1:10" ht="18" customHeight="1" outlineLevel="1" x14ac:dyDescent="0.3">
      <c r="A86" t="s">
        <v>141</v>
      </c>
      <c r="B86" t="s">
        <v>45</v>
      </c>
      <c r="C86" t="s">
        <v>8</v>
      </c>
      <c r="D86" t="s">
        <v>19</v>
      </c>
      <c r="E86" t="s">
        <v>3947</v>
      </c>
      <c r="H86" t="s">
        <v>6997</v>
      </c>
    </row>
    <row r="87" spans="1:10" ht="18" customHeight="1" outlineLevel="1" x14ac:dyDescent="0.3">
      <c r="A87" s="24" t="s">
        <v>142</v>
      </c>
      <c r="B87" s="24" t="s">
        <v>45</v>
      </c>
      <c r="C87" s="24" t="s">
        <v>8</v>
      </c>
      <c r="D87" s="24" t="s">
        <v>19</v>
      </c>
      <c r="E87" s="24" t="s">
        <v>3947</v>
      </c>
      <c r="F87" s="24"/>
      <c r="G87" s="24"/>
      <c r="H87" s="24" t="s">
        <v>6997</v>
      </c>
      <c r="I87" s="24"/>
      <c r="J87" s="24" t="s">
        <v>7443</v>
      </c>
    </row>
    <row r="88" spans="1:10" ht="18" customHeight="1" outlineLevel="1" x14ac:dyDescent="0.3">
      <c r="A88" t="s">
        <v>143</v>
      </c>
      <c r="B88" t="s">
        <v>45</v>
      </c>
      <c r="C88" t="s">
        <v>8</v>
      </c>
      <c r="D88" t="s">
        <v>144</v>
      </c>
      <c r="E88" t="s">
        <v>3996</v>
      </c>
    </row>
    <row r="89" spans="1:10" ht="18" customHeight="1" outlineLevel="1" x14ac:dyDescent="0.3">
      <c r="A89" t="s">
        <v>145</v>
      </c>
      <c r="B89" t="s">
        <v>45</v>
      </c>
      <c r="C89" t="s">
        <v>8</v>
      </c>
      <c r="D89" t="s">
        <v>144</v>
      </c>
      <c r="E89" t="s">
        <v>3996</v>
      </c>
    </row>
    <row r="90" spans="1:10" ht="18" customHeight="1" outlineLevel="1" x14ac:dyDescent="0.3">
      <c r="A90" t="s">
        <v>146</v>
      </c>
      <c r="B90" t="s">
        <v>45</v>
      </c>
      <c r="C90" t="s">
        <v>8</v>
      </c>
      <c r="D90" t="s">
        <v>147</v>
      </c>
      <c r="E90" t="s">
        <v>3997</v>
      </c>
    </row>
    <row r="91" spans="1:10" ht="18" customHeight="1" outlineLevel="1" x14ac:dyDescent="0.3">
      <c r="A91" t="s">
        <v>148</v>
      </c>
      <c r="B91" t="s">
        <v>45</v>
      </c>
      <c r="C91" t="s">
        <v>10</v>
      </c>
      <c r="D91" t="s">
        <v>149</v>
      </c>
      <c r="E91" t="s">
        <v>3998</v>
      </c>
      <c r="H91" t="s">
        <v>6998</v>
      </c>
    </row>
    <row r="92" spans="1:10" ht="18" customHeight="1" outlineLevel="1" x14ac:dyDescent="0.3">
      <c r="A92" t="s">
        <v>150</v>
      </c>
      <c r="B92" t="s">
        <v>45</v>
      </c>
      <c r="C92" t="s">
        <v>10</v>
      </c>
      <c r="D92" t="s">
        <v>151</v>
      </c>
      <c r="E92" t="s">
        <v>3999</v>
      </c>
      <c r="H92" t="s">
        <v>6999</v>
      </c>
    </row>
    <row r="93" spans="1:10" ht="18" customHeight="1" outlineLevel="1" x14ac:dyDescent="0.3">
      <c r="A93" s="24" t="s">
        <v>152</v>
      </c>
      <c r="B93" s="24" t="s">
        <v>45</v>
      </c>
      <c r="C93" s="24" t="s">
        <v>8</v>
      </c>
      <c r="D93" s="24" t="s">
        <v>153</v>
      </c>
      <c r="E93" s="24" t="s">
        <v>4000</v>
      </c>
      <c r="F93" s="24"/>
      <c r="G93" s="24"/>
      <c r="H93" s="24" t="s">
        <v>7000</v>
      </c>
    </row>
    <row r="94" spans="1:10" ht="18" customHeight="1" outlineLevel="1" x14ac:dyDescent="0.3">
      <c r="A94" s="24" t="s">
        <v>154</v>
      </c>
      <c r="B94" s="24" t="s">
        <v>45</v>
      </c>
      <c r="C94" s="24" t="s">
        <v>8</v>
      </c>
      <c r="D94" s="24" t="s">
        <v>153</v>
      </c>
      <c r="E94" s="24" t="s">
        <v>4000</v>
      </c>
      <c r="F94" s="24"/>
      <c r="G94" s="24"/>
      <c r="H94" s="24" t="s">
        <v>7000</v>
      </c>
    </row>
    <row r="95" spans="1:10" ht="18" customHeight="1" outlineLevel="1" x14ac:dyDescent="0.3">
      <c r="A95" s="24" t="s">
        <v>155</v>
      </c>
      <c r="B95" s="24" t="s">
        <v>45</v>
      </c>
      <c r="C95" s="24" t="s">
        <v>8</v>
      </c>
      <c r="D95" s="24" t="s">
        <v>153</v>
      </c>
      <c r="E95" s="24" t="s">
        <v>4000</v>
      </c>
      <c r="F95" s="24"/>
      <c r="G95" s="24"/>
      <c r="H95" s="24" t="s">
        <v>7000</v>
      </c>
    </row>
    <row r="96" spans="1:10" ht="18" customHeight="1" outlineLevel="1" x14ac:dyDescent="0.3">
      <c r="A96" s="24" t="s">
        <v>156</v>
      </c>
      <c r="B96" s="24" t="s">
        <v>45</v>
      </c>
      <c r="C96" s="24" t="s">
        <v>10</v>
      </c>
      <c r="D96" s="24" t="s">
        <v>157</v>
      </c>
      <c r="E96" s="24" t="s">
        <v>4001</v>
      </c>
      <c r="F96" s="24"/>
      <c r="G96" s="24"/>
      <c r="H96" s="24" t="s">
        <v>7001</v>
      </c>
    </row>
    <row r="97" spans="1:8" ht="18" customHeight="1" outlineLevel="1" x14ac:dyDescent="0.3">
      <c r="A97" s="24" t="s">
        <v>158</v>
      </c>
      <c r="B97" s="24" t="s">
        <v>45</v>
      </c>
      <c r="C97" s="24" t="s">
        <v>10</v>
      </c>
      <c r="D97" s="24" t="s">
        <v>157</v>
      </c>
      <c r="E97" s="24" t="s">
        <v>4001</v>
      </c>
      <c r="F97" s="24"/>
      <c r="G97" s="24"/>
      <c r="H97" s="24" t="s">
        <v>7001</v>
      </c>
    </row>
    <row r="98" spans="1:8" ht="18" customHeight="1" outlineLevel="1" x14ac:dyDescent="0.3">
      <c r="A98" s="24" t="s">
        <v>159</v>
      </c>
      <c r="B98" s="24" t="s">
        <v>45</v>
      </c>
      <c r="C98" s="24" t="s">
        <v>10</v>
      </c>
      <c r="D98" s="24" t="s">
        <v>157</v>
      </c>
      <c r="E98" s="24" t="s">
        <v>4001</v>
      </c>
      <c r="F98" s="24"/>
      <c r="G98" s="24"/>
      <c r="H98" s="24" t="s">
        <v>7001</v>
      </c>
    </row>
    <row r="99" spans="1:8" ht="18" customHeight="1" outlineLevel="1" x14ac:dyDescent="0.3">
      <c r="A99" s="24" t="s">
        <v>160</v>
      </c>
      <c r="B99" s="24" t="s">
        <v>45</v>
      </c>
      <c r="C99" s="24" t="s">
        <v>10</v>
      </c>
      <c r="D99" s="24" t="s">
        <v>157</v>
      </c>
      <c r="E99" s="24" t="s">
        <v>4001</v>
      </c>
      <c r="F99" s="24"/>
      <c r="G99" s="24"/>
      <c r="H99" s="24" t="s">
        <v>7001</v>
      </c>
    </row>
    <row r="100" spans="1:8" ht="18" customHeight="1" outlineLevel="1" x14ac:dyDescent="0.3">
      <c r="A100" t="s">
        <v>161</v>
      </c>
      <c r="B100" t="s">
        <v>45</v>
      </c>
      <c r="C100" t="s">
        <v>8</v>
      </c>
      <c r="D100" t="s">
        <v>162</v>
      </c>
      <c r="E100" t="s">
        <v>4002</v>
      </c>
    </row>
    <row r="101" spans="1:8" ht="18" customHeight="1" outlineLevel="1" x14ac:dyDescent="0.3">
      <c r="A101" t="s">
        <v>163</v>
      </c>
      <c r="B101" t="s">
        <v>45</v>
      </c>
      <c r="C101" t="s">
        <v>8</v>
      </c>
      <c r="D101" t="s">
        <v>162</v>
      </c>
      <c r="E101" t="s">
        <v>4002</v>
      </c>
    </row>
    <row r="102" spans="1:8" ht="18" customHeight="1" outlineLevel="1" x14ac:dyDescent="0.3">
      <c r="A102" t="s">
        <v>164</v>
      </c>
      <c r="B102" t="s">
        <v>45</v>
      </c>
      <c r="C102" t="s">
        <v>8</v>
      </c>
      <c r="D102" t="s">
        <v>165</v>
      </c>
      <c r="E102" t="s">
        <v>4003</v>
      </c>
    </row>
    <row r="103" spans="1:8" ht="18" customHeight="1" outlineLevel="1" x14ac:dyDescent="0.3">
      <c r="A103" s="24" t="s">
        <v>166</v>
      </c>
      <c r="B103" s="24" t="s">
        <v>45</v>
      </c>
      <c r="C103" s="24" t="s">
        <v>10</v>
      </c>
      <c r="D103" s="24" t="s">
        <v>167</v>
      </c>
      <c r="E103" s="24" t="s">
        <v>7405</v>
      </c>
      <c r="F103" s="24"/>
      <c r="G103" s="24"/>
      <c r="H103" s="24" t="s">
        <v>7002</v>
      </c>
    </row>
    <row r="104" spans="1:8" ht="18" customHeight="1" outlineLevel="1" x14ac:dyDescent="0.3">
      <c r="A104" s="24" t="s">
        <v>168</v>
      </c>
      <c r="B104" s="24" t="s">
        <v>45</v>
      </c>
      <c r="C104" s="24" t="s">
        <v>8</v>
      </c>
      <c r="D104" s="24" t="s">
        <v>169</v>
      </c>
      <c r="E104" s="24" t="s">
        <v>6114</v>
      </c>
      <c r="F104" s="24"/>
      <c r="G104" s="24"/>
      <c r="H104" s="24" t="s">
        <v>7003</v>
      </c>
    </row>
    <row r="105" spans="1:8" ht="18" customHeight="1" outlineLevel="1" x14ac:dyDescent="0.3">
      <c r="A105" s="24" t="s">
        <v>170</v>
      </c>
      <c r="B105" s="24" t="s">
        <v>45</v>
      </c>
      <c r="C105" s="24" t="s">
        <v>8</v>
      </c>
      <c r="D105" s="24" t="s">
        <v>169</v>
      </c>
      <c r="E105" s="24" t="s">
        <v>6114</v>
      </c>
      <c r="F105" s="24"/>
      <c r="G105" s="24"/>
      <c r="H105" s="24" t="s">
        <v>7003</v>
      </c>
    </row>
    <row r="106" spans="1:8" ht="18" customHeight="1" outlineLevel="1" x14ac:dyDescent="0.3">
      <c r="A106" t="s">
        <v>171</v>
      </c>
      <c r="B106" t="s">
        <v>45</v>
      </c>
      <c r="C106" t="s">
        <v>10</v>
      </c>
      <c r="D106" t="s">
        <v>3936</v>
      </c>
      <c r="E106" t="s">
        <v>4005</v>
      </c>
      <c r="H106" t="s">
        <v>7004</v>
      </c>
    </row>
    <row r="107" spans="1:8" outlineLevel="1" x14ac:dyDescent="0.3">
      <c r="A107" t="s">
        <v>172</v>
      </c>
      <c r="B107" t="s">
        <v>45</v>
      </c>
      <c r="C107" t="s">
        <v>10</v>
      </c>
      <c r="D107" t="s">
        <v>3936</v>
      </c>
      <c r="E107" t="s">
        <v>4005</v>
      </c>
      <c r="H107" t="s">
        <v>7004</v>
      </c>
    </row>
    <row r="108" spans="1:8" outlineLevel="1" x14ac:dyDescent="0.3">
      <c r="A108" t="s">
        <v>173</v>
      </c>
      <c r="B108" t="s">
        <v>45</v>
      </c>
      <c r="C108" t="s">
        <v>10</v>
      </c>
      <c r="D108" t="s">
        <v>3936</v>
      </c>
      <c r="E108" t="s">
        <v>4005</v>
      </c>
      <c r="H108" t="s">
        <v>7004</v>
      </c>
    </row>
    <row r="109" spans="1:8" ht="18" customHeight="1" outlineLevel="1" x14ac:dyDescent="0.3">
      <c r="A109" t="s">
        <v>174</v>
      </c>
      <c r="B109" t="s">
        <v>45</v>
      </c>
      <c r="C109" t="s">
        <v>10</v>
      </c>
      <c r="D109" t="s">
        <v>3936</v>
      </c>
      <c r="E109" t="s">
        <v>4005</v>
      </c>
      <c r="H109" t="s">
        <v>7004</v>
      </c>
    </row>
    <row r="110" spans="1:8" ht="18" customHeight="1" outlineLevel="1" x14ac:dyDescent="0.3">
      <c r="A110" t="s">
        <v>175</v>
      </c>
      <c r="B110" t="s">
        <v>45</v>
      </c>
      <c r="C110" t="s">
        <v>8</v>
      </c>
      <c r="D110" t="s">
        <v>176</v>
      </c>
      <c r="E110" t="s">
        <v>4006</v>
      </c>
      <c r="H110" t="s">
        <v>7005</v>
      </c>
    </row>
    <row r="111" spans="1:8" ht="18" customHeight="1" outlineLevel="1" x14ac:dyDescent="0.3">
      <c r="A111" t="s">
        <v>177</v>
      </c>
      <c r="B111" t="s">
        <v>45</v>
      </c>
      <c r="C111" t="s">
        <v>8</v>
      </c>
      <c r="D111" t="s">
        <v>178</v>
      </c>
      <c r="E111" t="s">
        <v>4007</v>
      </c>
      <c r="H111" t="s">
        <v>7006</v>
      </c>
    </row>
    <row r="112" spans="1:8" ht="18" customHeight="1" outlineLevel="1" x14ac:dyDescent="0.3">
      <c r="A112" t="s">
        <v>179</v>
      </c>
      <c r="B112" t="s">
        <v>45</v>
      </c>
      <c r="C112" t="s">
        <v>8</v>
      </c>
      <c r="D112" t="s">
        <v>176</v>
      </c>
      <c r="E112" t="s">
        <v>4006</v>
      </c>
      <c r="H112" t="s">
        <v>7005</v>
      </c>
    </row>
    <row r="113" spans="1:10" ht="18" customHeight="1" outlineLevel="1" x14ac:dyDescent="0.3">
      <c r="A113" t="s">
        <v>180</v>
      </c>
      <c r="B113" t="s">
        <v>45</v>
      </c>
      <c r="C113" t="s">
        <v>10</v>
      </c>
      <c r="D113" t="s">
        <v>181</v>
      </c>
      <c r="E113" t="s">
        <v>6115</v>
      </c>
      <c r="H113" t="s">
        <v>7007</v>
      </c>
    </row>
    <row r="114" spans="1:10" ht="18" customHeight="1" outlineLevel="1" x14ac:dyDescent="0.3">
      <c r="A114" t="s">
        <v>182</v>
      </c>
      <c r="B114" t="s">
        <v>45</v>
      </c>
      <c r="C114" t="s">
        <v>8</v>
      </c>
      <c r="D114" t="s">
        <v>183</v>
      </c>
      <c r="E114" t="s">
        <v>4008</v>
      </c>
    </row>
    <row r="115" spans="1:10" ht="18" customHeight="1" outlineLevel="1" x14ac:dyDescent="0.3">
      <c r="A115" t="s">
        <v>184</v>
      </c>
      <c r="B115" t="s">
        <v>45</v>
      </c>
      <c r="C115" t="s">
        <v>8</v>
      </c>
      <c r="D115" t="s">
        <v>183</v>
      </c>
      <c r="E115" t="s">
        <v>4008</v>
      </c>
    </row>
    <row r="116" spans="1:10" ht="18" customHeight="1" outlineLevel="1" x14ac:dyDescent="0.3">
      <c r="A116" t="s">
        <v>185</v>
      </c>
      <c r="B116" t="s">
        <v>45</v>
      </c>
      <c r="C116" t="s">
        <v>8</v>
      </c>
      <c r="D116" t="s">
        <v>186</v>
      </c>
      <c r="E116" t="s">
        <v>4009</v>
      </c>
    </row>
    <row r="117" spans="1:10" ht="18" customHeight="1" outlineLevel="1" x14ac:dyDescent="0.3">
      <c r="A117" t="s">
        <v>187</v>
      </c>
      <c r="B117" t="s">
        <v>45</v>
      </c>
      <c r="C117" t="s">
        <v>10</v>
      </c>
      <c r="D117" t="s">
        <v>188</v>
      </c>
      <c r="E117" t="s">
        <v>4010</v>
      </c>
      <c r="H117" t="s">
        <v>7008</v>
      </c>
    </row>
    <row r="118" spans="1:10" outlineLevel="1" x14ac:dyDescent="0.3">
      <c r="A118" t="s">
        <v>189</v>
      </c>
      <c r="B118" t="s">
        <v>45</v>
      </c>
      <c r="C118" t="s">
        <v>8</v>
      </c>
      <c r="D118" t="s">
        <v>190</v>
      </c>
      <c r="E118" t="s">
        <v>4011</v>
      </c>
      <c r="H118" t="s">
        <v>7009</v>
      </c>
    </row>
    <row r="119" spans="1:10" ht="18" customHeight="1" outlineLevel="1" x14ac:dyDescent="0.3">
      <c r="A119" t="s">
        <v>191</v>
      </c>
      <c r="B119" t="s">
        <v>45</v>
      </c>
      <c r="C119" t="s">
        <v>8</v>
      </c>
      <c r="D119" t="s">
        <v>190</v>
      </c>
      <c r="E119" t="s">
        <v>4011</v>
      </c>
      <c r="H119" t="s">
        <v>7009</v>
      </c>
    </row>
    <row r="120" spans="1:10" ht="18" customHeight="1" outlineLevel="1" x14ac:dyDescent="0.3">
      <c r="A120" t="s">
        <v>192</v>
      </c>
      <c r="B120" t="s">
        <v>45</v>
      </c>
      <c r="C120" t="s">
        <v>8</v>
      </c>
      <c r="D120" t="s">
        <v>190</v>
      </c>
      <c r="E120" t="s">
        <v>4011</v>
      </c>
      <c r="H120" t="s">
        <v>7009</v>
      </c>
    </row>
    <row r="121" spans="1:10" ht="18" customHeight="1" outlineLevel="1" x14ac:dyDescent="0.3">
      <c r="A121" t="s">
        <v>193</v>
      </c>
      <c r="B121" t="s">
        <v>45</v>
      </c>
      <c r="C121" t="s">
        <v>8</v>
      </c>
      <c r="D121" t="s">
        <v>194</v>
      </c>
      <c r="E121" t="s">
        <v>4001</v>
      </c>
      <c r="H121" t="s">
        <v>7010</v>
      </c>
    </row>
    <row r="122" spans="1:10" ht="18" customHeight="1" outlineLevel="1" x14ac:dyDescent="0.3">
      <c r="A122" t="s">
        <v>195</v>
      </c>
      <c r="B122" t="s">
        <v>45</v>
      </c>
      <c r="C122" t="s">
        <v>8</v>
      </c>
      <c r="D122" t="s">
        <v>194</v>
      </c>
      <c r="E122" t="s">
        <v>4001</v>
      </c>
      <c r="H122" t="s">
        <v>7010</v>
      </c>
    </row>
    <row r="123" spans="1:10" ht="18" customHeight="1" outlineLevel="1" x14ac:dyDescent="0.3">
      <c r="A123" t="s">
        <v>196</v>
      </c>
      <c r="B123" t="s">
        <v>45</v>
      </c>
      <c r="C123" t="s">
        <v>8</v>
      </c>
      <c r="D123" t="s">
        <v>194</v>
      </c>
      <c r="E123" t="s">
        <v>4001</v>
      </c>
      <c r="H123" t="s">
        <v>7010</v>
      </c>
    </row>
    <row r="124" spans="1:10" ht="18" customHeight="1" outlineLevel="1" x14ac:dyDescent="0.3">
      <c r="A124" t="s">
        <v>197</v>
      </c>
      <c r="B124" t="s">
        <v>45</v>
      </c>
      <c r="C124" t="s">
        <v>8</v>
      </c>
      <c r="D124" t="s">
        <v>194</v>
      </c>
      <c r="E124" t="s">
        <v>4001</v>
      </c>
      <c r="H124" t="s">
        <v>7010</v>
      </c>
    </row>
    <row r="125" spans="1:10" ht="18" customHeight="1" outlineLevel="1" x14ac:dyDescent="0.3">
      <c r="A125" t="s">
        <v>198</v>
      </c>
      <c r="B125" t="s">
        <v>45</v>
      </c>
      <c r="C125" t="s">
        <v>8</v>
      </c>
      <c r="D125" t="s">
        <v>199</v>
      </c>
      <c r="E125" t="s">
        <v>4012</v>
      </c>
    </row>
    <row r="126" spans="1:10" ht="18" customHeight="1" outlineLevel="1" x14ac:dyDescent="0.3">
      <c r="A126" s="24" t="s">
        <v>200</v>
      </c>
      <c r="B126" s="24" t="s">
        <v>45</v>
      </c>
      <c r="C126" s="25"/>
      <c r="D126" s="24" t="s">
        <v>201</v>
      </c>
      <c r="E126" s="24"/>
      <c r="F126" s="24"/>
      <c r="G126" s="24"/>
      <c r="H126" s="24" t="s">
        <v>46</v>
      </c>
      <c r="I126" s="24"/>
      <c r="J126" s="24" t="s">
        <v>7410</v>
      </c>
    </row>
    <row r="127" spans="1:10" ht="18" customHeight="1" outlineLevel="1" x14ac:dyDescent="0.3">
      <c r="A127" t="s">
        <v>202</v>
      </c>
      <c r="B127" t="s">
        <v>45</v>
      </c>
      <c r="C127" t="s">
        <v>8</v>
      </c>
      <c r="D127" t="s">
        <v>203</v>
      </c>
      <c r="E127" t="s">
        <v>4013</v>
      </c>
    </row>
    <row r="128" spans="1:10" ht="18" customHeight="1" outlineLevel="1" x14ac:dyDescent="0.3">
      <c r="A128" t="s">
        <v>204</v>
      </c>
      <c r="B128" t="s">
        <v>45</v>
      </c>
      <c r="C128" t="s">
        <v>8</v>
      </c>
      <c r="D128" t="s">
        <v>205</v>
      </c>
      <c r="E128" t="s">
        <v>4014</v>
      </c>
      <c r="H128" t="s">
        <v>7011</v>
      </c>
    </row>
    <row r="129" spans="1:10" ht="18" customHeight="1" outlineLevel="1" x14ac:dyDescent="0.3">
      <c r="A129" t="s">
        <v>206</v>
      </c>
      <c r="B129" t="s">
        <v>45</v>
      </c>
      <c r="C129" t="s">
        <v>8</v>
      </c>
      <c r="D129" t="s">
        <v>205</v>
      </c>
      <c r="E129" t="s">
        <v>4014</v>
      </c>
      <c r="H129" t="s">
        <v>7011</v>
      </c>
    </row>
    <row r="130" spans="1:10" ht="18" customHeight="1" outlineLevel="1" x14ac:dyDescent="0.3">
      <c r="A130" t="s">
        <v>207</v>
      </c>
      <c r="B130" t="s">
        <v>45</v>
      </c>
      <c r="C130" t="s">
        <v>8</v>
      </c>
      <c r="D130" t="s">
        <v>205</v>
      </c>
      <c r="E130" t="s">
        <v>4014</v>
      </c>
      <c r="H130" t="s">
        <v>7011</v>
      </c>
    </row>
    <row r="131" spans="1:10" ht="18" customHeight="1" outlineLevel="1" x14ac:dyDescent="0.3">
      <c r="A131" t="s">
        <v>208</v>
      </c>
      <c r="B131" t="s">
        <v>45</v>
      </c>
      <c r="C131" t="s">
        <v>10</v>
      </c>
      <c r="D131" t="s">
        <v>209</v>
      </c>
      <c r="E131" t="s">
        <v>4015</v>
      </c>
      <c r="H131" t="s">
        <v>7012</v>
      </c>
    </row>
    <row r="132" spans="1:10" ht="18" customHeight="1" outlineLevel="1" x14ac:dyDescent="0.3">
      <c r="A132" t="s">
        <v>210</v>
      </c>
      <c r="B132" t="s">
        <v>45</v>
      </c>
      <c r="C132" t="s">
        <v>10</v>
      </c>
      <c r="D132" t="s">
        <v>211</v>
      </c>
      <c r="E132" t="s">
        <v>4016</v>
      </c>
      <c r="H132" t="s">
        <v>7013</v>
      </c>
    </row>
    <row r="133" spans="1:10" ht="18" customHeight="1" outlineLevel="1" x14ac:dyDescent="0.3">
      <c r="A133" t="s">
        <v>212</v>
      </c>
      <c r="B133" t="s">
        <v>45</v>
      </c>
      <c r="C133" t="s">
        <v>8</v>
      </c>
      <c r="D133" t="s">
        <v>213</v>
      </c>
      <c r="E133" t="s">
        <v>4017</v>
      </c>
    </row>
    <row r="134" spans="1:10" ht="18" customHeight="1" outlineLevel="1" x14ac:dyDescent="0.3">
      <c r="A134" t="s">
        <v>214</v>
      </c>
      <c r="B134" t="s">
        <v>45</v>
      </c>
      <c r="C134" t="s">
        <v>8</v>
      </c>
      <c r="D134" t="s">
        <v>213</v>
      </c>
      <c r="E134" t="s">
        <v>4017</v>
      </c>
    </row>
    <row r="135" spans="1:10" ht="18" customHeight="1" outlineLevel="1" x14ac:dyDescent="0.3">
      <c r="A135" t="s">
        <v>215</v>
      </c>
      <c r="B135" t="s">
        <v>45</v>
      </c>
      <c r="C135" t="s">
        <v>8</v>
      </c>
      <c r="D135" t="s">
        <v>216</v>
      </c>
      <c r="E135" t="s">
        <v>4018</v>
      </c>
    </row>
    <row r="136" spans="1:10" ht="18" customHeight="1" outlineLevel="1" x14ac:dyDescent="0.3">
      <c r="A136" t="s">
        <v>217</v>
      </c>
      <c r="B136" t="s">
        <v>45</v>
      </c>
      <c r="C136" t="s">
        <v>10</v>
      </c>
      <c r="D136" t="s">
        <v>218</v>
      </c>
      <c r="E136" t="s">
        <v>4019</v>
      </c>
      <c r="H136" t="s">
        <v>7014</v>
      </c>
    </row>
    <row r="137" spans="1:10" ht="18" customHeight="1" outlineLevel="1" x14ac:dyDescent="0.3">
      <c r="A137" t="s">
        <v>219</v>
      </c>
      <c r="B137" t="s">
        <v>45</v>
      </c>
      <c r="C137" t="s">
        <v>10</v>
      </c>
      <c r="D137" t="s">
        <v>220</v>
      </c>
      <c r="E137" t="s">
        <v>4020</v>
      </c>
      <c r="H137" t="s">
        <v>7015</v>
      </c>
    </row>
    <row r="138" spans="1:10" ht="18" customHeight="1" outlineLevel="1" x14ac:dyDescent="0.3">
      <c r="A138" t="s">
        <v>221</v>
      </c>
      <c r="B138" t="s">
        <v>45</v>
      </c>
      <c r="C138" t="s">
        <v>8</v>
      </c>
      <c r="D138" t="s">
        <v>222</v>
      </c>
      <c r="E138" t="s">
        <v>4021</v>
      </c>
    </row>
    <row r="139" spans="1:10" ht="18" customHeight="1" outlineLevel="1" x14ac:dyDescent="0.3">
      <c r="A139" t="s">
        <v>223</v>
      </c>
      <c r="B139" t="s">
        <v>45</v>
      </c>
      <c r="C139" t="s">
        <v>8</v>
      </c>
      <c r="D139" t="s">
        <v>224</v>
      </c>
      <c r="E139" t="s">
        <v>4022</v>
      </c>
    </row>
    <row r="140" spans="1:10" ht="18" customHeight="1" outlineLevel="1" x14ac:dyDescent="0.3">
      <c r="A140" t="s">
        <v>225</v>
      </c>
      <c r="B140" t="s">
        <v>45</v>
      </c>
      <c r="C140" t="s">
        <v>8</v>
      </c>
      <c r="D140" t="s">
        <v>70</v>
      </c>
      <c r="E140" t="s">
        <v>3967</v>
      </c>
      <c r="J140" s="33"/>
    </row>
    <row r="141" spans="1:10" ht="18" customHeight="1" outlineLevel="1" x14ac:dyDescent="0.3">
      <c r="A141" t="s">
        <v>226</v>
      </c>
      <c r="B141" t="s">
        <v>45</v>
      </c>
      <c r="C141" t="s">
        <v>8</v>
      </c>
      <c r="D141" t="s">
        <v>227</v>
      </c>
      <c r="E141" t="s">
        <v>4023</v>
      </c>
    </row>
    <row r="142" spans="1:10" ht="18" customHeight="1" outlineLevel="1" x14ac:dyDescent="0.3">
      <c r="A142" t="s">
        <v>228</v>
      </c>
      <c r="B142" t="s">
        <v>45</v>
      </c>
      <c r="C142" t="s">
        <v>8</v>
      </c>
      <c r="D142" t="s">
        <v>229</v>
      </c>
      <c r="E142" t="s">
        <v>4024</v>
      </c>
    </row>
    <row r="143" spans="1:10" ht="18" customHeight="1" outlineLevel="1" x14ac:dyDescent="0.3">
      <c r="A143" s="24" t="s">
        <v>230</v>
      </c>
      <c r="B143" s="24" t="s">
        <v>45</v>
      </c>
      <c r="C143" s="24" t="s">
        <v>8</v>
      </c>
      <c r="D143" s="24" t="s">
        <v>231</v>
      </c>
      <c r="E143" s="24" t="s">
        <v>4025</v>
      </c>
      <c r="F143" s="24"/>
      <c r="G143" s="24"/>
      <c r="H143" s="24" t="s">
        <v>7016</v>
      </c>
      <c r="J143" t="s">
        <v>7411</v>
      </c>
    </row>
    <row r="144" spans="1:10" ht="18" customHeight="1" outlineLevel="1" x14ac:dyDescent="0.3">
      <c r="A144" t="s">
        <v>232</v>
      </c>
      <c r="B144" t="s">
        <v>45</v>
      </c>
      <c r="C144" t="s">
        <v>8</v>
      </c>
      <c r="D144" t="s">
        <v>233</v>
      </c>
      <c r="E144" t="s">
        <v>4026</v>
      </c>
    </row>
    <row r="145" spans="1:10" ht="18" customHeight="1" outlineLevel="1" x14ac:dyDescent="0.3">
      <c r="A145" t="s">
        <v>234</v>
      </c>
      <c r="B145" t="s">
        <v>45</v>
      </c>
      <c r="C145" t="s">
        <v>10</v>
      </c>
      <c r="D145" t="s">
        <v>235</v>
      </c>
      <c r="E145" t="s">
        <v>4027</v>
      </c>
      <c r="H145" t="s">
        <v>7017</v>
      </c>
    </row>
    <row r="146" spans="1:10" ht="18" customHeight="1" outlineLevel="1" x14ac:dyDescent="0.3">
      <c r="A146" t="s">
        <v>236</v>
      </c>
      <c r="B146" t="s">
        <v>45</v>
      </c>
      <c r="C146" t="s">
        <v>10</v>
      </c>
      <c r="D146" t="s">
        <v>237</v>
      </c>
      <c r="E146" t="s">
        <v>4028</v>
      </c>
      <c r="H146" t="s">
        <v>7018</v>
      </c>
    </row>
    <row r="147" spans="1:10" ht="18" customHeight="1" outlineLevel="1" x14ac:dyDescent="0.3">
      <c r="A147" t="s">
        <v>238</v>
      </c>
      <c r="B147" t="s">
        <v>45</v>
      </c>
      <c r="C147" t="s">
        <v>10</v>
      </c>
      <c r="D147" t="s">
        <v>239</v>
      </c>
      <c r="E147" t="s">
        <v>4029</v>
      </c>
      <c r="H147" t="s">
        <v>7019</v>
      </c>
    </row>
    <row r="148" spans="1:10" ht="18" customHeight="1" outlineLevel="1" x14ac:dyDescent="0.3">
      <c r="A148" t="s">
        <v>240</v>
      </c>
      <c r="B148" t="s">
        <v>45</v>
      </c>
      <c r="C148" t="s">
        <v>8</v>
      </c>
      <c r="D148" t="s">
        <v>241</v>
      </c>
      <c r="E148" t="s">
        <v>4030</v>
      </c>
    </row>
    <row r="149" spans="1:10" ht="18" customHeight="1" outlineLevel="1" x14ac:dyDescent="0.3">
      <c r="A149" t="s">
        <v>242</v>
      </c>
      <c r="B149" t="s">
        <v>45</v>
      </c>
      <c r="C149" t="s">
        <v>8</v>
      </c>
      <c r="D149" t="s">
        <v>241</v>
      </c>
      <c r="E149" t="s">
        <v>4030</v>
      </c>
    </row>
    <row r="150" spans="1:10" ht="18" customHeight="1" outlineLevel="1" x14ac:dyDescent="0.3">
      <c r="A150" s="24" t="s">
        <v>243</v>
      </c>
      <c r="B150" s="24" t="s">
        <v>45</v>
      </c>
      <c r="C150" s="24" t="s">
        <v>10</v>
      </c>
      <c r="D150" s="24" t="s">
        <v>244</v>
      </c>
      <c r="E150" s="24" t="s">
        <v>4031</v>
      </c>
      <c r="F150" s="24"/>
      <c r="G150" s="24"/>
      <c r="H150" s="24" t="s">
        <v>7020</v>
      </c>
      <c r="J150" s="33"/>
    </row>
    <row r="151" spans="1:10" ht="18" customHeight="1" outlineLevel="1" x14ac:dyDescent="0.3">
      <c r="A151" t="s">
        <v>245</v>
      </c>
      <c r="B151" t="s">
        <v>45</v>
      </c>
      <c r="C151" t="s">
        <v>8</v>
      </c>
      <c r="D151" t="s">
        <v>246</v>
      </c>
      <c r="E151" t="s">
        <v>4032</v>
      </c>
      <c r="J151" s="33"/>
    </row>
    <row r="152" spans="1:10" ht="18" customHeight="1" outlineLevel="1" x14ac:dyDescent="0.3">
      <c r="A152" t="s">
        <v>247</v>
      </c>
      <c r="B152" t="s">
        <v>45</v>
      </c>
      <c r="C152" t="s">
        <v>10</v>
      </c>
      <c r="D152" t="s">
        <v>248</v>
      </c>
      <c r="E152" t="s">
        <v>4033</v>
      </c>
      <c r="J152" s="33"/>
    </row>
    <row r="153" spans="1:10" ht="18" customHeight="1" outlineLevel="1" x14ac:dyDescent="0.3">
      <c r="A153" t="s">
        <v>249</v>
      </c>
      <c r="B153" t="s">
        <v>45</v>
      </c>
      <c r="C153" t="s">
        <v>8</v>
      </c>
      <c r="D153" t="s">
        <v>250</v>
      </c>
      <c r="E153" t="s">
        <v>4034</v>
      </c>
      <c r="J153" s="33"/>
    </row>
    <row r="154" spans="1:10" ht="18" customHeight="1" outlineLevel="1" x14ac:dyDescent="0.3">
      <c r="A154" t="s">
        <v>251</v>
      </c>
      <c r="B154" t="s">
        <v>45</v>
      </c>
      <c r="C154" t="s">
        <v>8</v>
      </c>
      <c r="D154" t="s">
        <v>252</v>
      </c>
      <c r="E154" t="s">
        <v>4035</v>
      </c>
      <c r="J154" s="33"/>
    </row>
    <row r="155" spans="1:10" ht="18" customHeight="1" outlineLevel="1" x14ac:dyDescent="0.3">
      <c r="A155" t="s">
        <v>253</v>
      </c>
      <c r="B155" t="s">
        <v>45</v>
      </c>
      <c r="C155" t="s">
        <v>8</v>
      </c>
      <c r="D155" t="s">
        <v>254</v>
      </c>
      <c r="E155" t="s">
        <v>4036</v>
      </c>
      <c r="H155" t="s">
        <v>7021</v>
      </c>
      <c r="J155" s="33"/>
    </row>
    <row r="156" spans="1:10" ht="18" customHeight="1" outlineLevel="1" x14ac:dyDescent="0.3">
      <c r="A156" t="s">
        <v>255</v>
      </c>
      <c r="B156" t="s">
        <v>45</v>
      </c>
      <c r="C156" t="s">
        <v>8</v>
      </c>
      <c r="D156" t="s">
        <v>254</v>
      </c>
      <c r="E156" t="s">
        <v>4036</v>
      </c>
      <c r="H156" t="s">
        <v>7022</v>
      </c>
      <c r="J156" s="33"/>
    </row>
    <row r="157" spans="1:10" ht="18" customHeight="1" outlineLevel="1" x14ac:dyDescent="0.3">
      <c r="A157" t="s">
        <v>256</v>
      </c>
      <c r="B157" t="s">
        <v>45</v>
      </c>
      <c r="C157" t="s">
        <v>8</v>
      </c>
      <c r="D157" t="s">
        <v>257</v>
      </c>
      <c r="E157" t="s">
        <v>4037</v>
      </c>
      <c r="H157" t="s">
        <v>7023</v>
      </c>
      <c r="J157" s="33"/>
    </row>
    <row r="158" spans="1:10" ht="18" customHeight="1" outlineLevel="1" x14ac:dyDescent="0.3">
      <c r="A158" t="s">
        <v>258</v>
      </c>
      <c r="B158" t="s">
        <v>45</v>
      </c>
      <c r="C158" t="s">
        <v>8</v>
      </c>
      <c r="D158" t="s">
        <v>257</v>
      </c>
      <c r="E158" t="s">
        <v>4037</v>
      </c>
      <c r="H158" t="s">
        <v>7024</v>
      </c>
      <c r="J158" s="33"/>
    </row>
    <row r="159" spans="1:10" ht="18" customHeight="1" outlineLevel="1" x14ac:dyDescent="0.3">
      <c r="A159" t="s">
        <v>259</v>
      </c>
      <c r="B159" t="s">
        <v>45</v>
      </c>
      <c r="C159" t="s">
        <v>8</v>
      </c>
      <c r="D159" t="s">
        <v>260</v>
      </c>
      <c r="E159" t="s">
        <v>4038</v>
      </c>
      <c r="H159" t="s">
        <v>7025</v>
      </c>
      <c r="J159" s="33"/>
    </row>
    <row r="160" spans="1:10" ht="18" customHeight="1" outlineLevel="1" x14ac:dyDescent="0.3">
      <c r="A160" t="s">
        <v>261</v>
      </c>
      <c r="B160" t="s">
        <v>45</v>
      </c>
      <c r="C160" t="s">
        <v>8</v>
      </c>
      <c r="D160" t="s">
        <v>262</v>
      </c>
      <c r="E160" t="s">
        <v>6116</v>
      </c>
      <c r="H160" t="s">
        <v>7026</v>
      </c>
      <c r="J160" s="33"/>
    </row>
    <row r="161" spans="1:10" ht="18" customHeight="1" outlineLevel="1" x14ac:dyDescent="0.3">
      <c r="A161" s="24" t="s">
        <v>263</v>
      </c>
      <c r="B161" s="24" t="s">
        <v>45</v>
      </c>
      <c r="C161" s="24" t="s">
        <v>8</v>
      </c>
      <c r="D161" s="24" t="s">
        <v>264</v>
      </c>
      <c r="E161" s="24" t="s">
        <v>4039</v>
      </c>
      <c r="F161" s="24"/>
      <c r="G161" s="24"/>
      <c r="H161" s="24" t="s">
        <v>7027</v>
      </c>
      <c r="J161" s="33"/>
    </row>
    <row r="162" spans="1:10" ht="18" customHeight="1" outlineLevel="1" x14ac:dyDescent="0.3">
      <c r="A162" s="24" t="s">
        <v>265</v>
      </c>
      <c r="B162" s="24" t="s">
        <v>266</v>
      </c>
      <c r="C162" s="24" t="s">
        <v>8</v>
      </c>
      <c r="D162" s="24" t="s">
        <v>267</v>
      </c>
      <c r="E162" s="24" t="s">
        <v>4040</v>
      </c>
      <c r="F162" s="24"/>
      <c r="G162" s="24"/>
      <c r="H162" s="24" t="s">
        <v>7028</v>
      </c>
      <c r="I162" s="24"/>
      <c r="J162" s="33"/>
    </row>
    <row r="163" spans="1:10" ht="18" customHeight="1" outlineLevel="1" x14ac:dyDescent="0.3">
      <c r="A163" t="s">
        <v>268</v>
      </c>
      <c r="B163" t="s">
        <v>266</v>
      </c>
      <c r="C163" t="s">
        <v>8</v>
      </c>
      <c r="D163" t="s">
        <v>269</v>
      </c>
      <c r="E163" t="s">
        <v>4041</v>
      </c>
      <c r="J163" s="33"/>
    </row>
    <row r="164" spans="1:10" ht="18" customHeight="1" outlineLevel="1" x14ac:dyDescent="0.3">
      <c r="A164" t="s">
        <v>270</v>
      </c>
      <c r="B164" t="s">
        <v>266</v>
      </c>
      <c r="C164" t="s">
        <v>8</v>
      </c>
      <c r="D164" t="s">
        <v>269</v>
      </c>
      <c r="E164" t="s">
        <v>4041</v>
      </c>
      <c r="J164" s="33"/>
    </row>
    <row r="165" spans="1:10" ht="18" customHeight="1" outlineLevel="1" x14ac:dyDescent="0.3">
      <c r="A165" s="24" t="s">
        <v>271</v>
      </c>
      <c r="B165" s="24" t="s">
        <v>266</v>
      </c>
      <c r="C165" s="24" t="s">
        <v>10</v>
      </c>
      <c r="D165" s="24" t="s">
        <v>272</v>
      </c>
      <c r="E165" s="24" t="s">
        <v>4042</v>
      </c>
      <c r="F165" s="24"/>
      <c r="G165" s="24"/>
      <c r="H165" s="24" t="s">
        <v>7029</v>
      </c>
      <c r="I165" s="24"/>
      <c r="J165" s="33"/>
    </row>
    <row r="166" spans="1:10" ht="18" customHeight="1" outlineLevel="1" x14ac:dyDescent="0.3">
      <c r="A166" t="s">
        <v>273</v>
      </c>
      <c r="B166" t="s">
        <v>266</v>
      </c>
      <c r="C166" t="s">
        <v>8</v>
      </c>
      <c r="D166" t="s">
        <v>274</v>
      </c>
      <c r="E166" t="s">
        <v>4043</v>
      </c>
    </row>
    <row r="167" spans="1:10" ht="18" customHeight="1" outlineLevel="1" x14ac:dyDescent="0.3">
      <c r="A167" t="s">
        <v>275</v>
      </c>
      <c r="B167" t="s">
        <v>266</v>
      </c>
      <c r="C167" t="s">
        <v>8</v>
      </c>
      <c r="D167" t="s">
        <v>274</v>
      </c>
      <c r="E167" t="s">
        <v>4043</v>
      </c>
      <c r="J167" s="33"/>
    </row>
    <row r="168" spans="1:10" ht="18" customHeight="1" outlineLevel="1" x14ac:dyDescent="0.3">
      <c r="A168" t="s">
        <v>276</v>
      </c>
      <c r="B168" t="s">
        <v>266</v>
      </c>
      <c r="C168" t="s">
        <v>8</v>
      </c>
      <c r="D168" t="s">
        <v>277</v>
      </c>
      <c r="E168" t="s">
        <v>4044</v>
      </c>
      <c r="J168" t="s">
        <v>7412</v>
      </c>
    </row>
    <row r="169" spans="1:10" ht="18" customHeight="1" outlineLevel="1" x14ac:dyDescent="0.3">
      <c r="A169" t="s">
        <v>278</v>
      </c>
      <c r="B169" t="s">
        <v>266</v>
      </c>
      <c r="C169" t="s">
        <v>8</v>
      </c>
      <c r="D169" t="s">
        <v>279</v>
      </c>
      <c r="E169" t="s">
        <v>4045</v>
      </c>
      <c r="J169" t="s">
        <v>4696</v>
      </c>
    </row>
    <row r="170" spans="1:10" ht="18" customHeight="1" outlineLevel="1" x14ac:dyDescent="0.3">
      <c r="A170" t="s">
        <v>280</v>
      </c>
      <c r="B170" t="s">
        <v>266</v>
      </c>
      <c r="C170" t="s">
        <v>10</v>
      </c>
      <c r="D170" t="s">
        <v>281</v>
      </c>
      <c r="E170" t="s">
        <v>4046</v>
      </c>
      <c r="J170" t="s">
        <v>7413</v>
      </c>
    </row>
    <row r="171" spans="1:10" ht="18" customHeight="1" outlineLevel="1" x14ac:dyDescent="0.3">
      <c r="A171" t="s">
        <v>282</v>
      </c>
      <c r="B171" t="s">
        <v>266</v>
      </c>
      <c r="C171" t="s">
        <v>10</v>
      </c>
      <c r="D171" t="s">
        <v>283</v>
      </c>
      <c r="E171" t="s">
        <v>4047</v>
      </c>
      <c r="H171" t="s">
        <v>7030</v>
      </c>
      <c r="J171" t="s">
        <v>7414</v>
      </c>
    </row>
    <row r="172" spans="1:10" ht="18" customHeight="1" outlineLevel="1" x14ac:dyDescent="0.3">
      <c r="A172" t="s">
        <v>284</v>
      </c>
      <c r="B172" t="s">
        <v>266</v>
      </c>
      <c r="C172" t="s">
        <v>10</v>
      </c>
      <c r="D172" t="s">
        <v>285</v>
      </c>
      <c r="E172" t="s">
        <v>4048</v>
      </c>
      <c r="J172" t="s">
        <v>7415</v>
      </c>
    </row>
    <row r="173" spans="1:10" ht="18" customHeight="1" outlineLevel="1" x14ac:dyDescent="0.3">
      <c r="A173" t="s">
        <v>286</v>
      </c>
      <c r="B173" t="s">
        <v>266</v>
      </c>
      <c r="C173" t="s">
        <v>8</v>
      </c>
      <c r="D173" t="s">
        <v>287</v>
      </c>
      <c r="E173" t="s">
        <v>4049</v>
      </c>
      <c r="H173" t="s">
        <v>7031</v>
      </c>
      <c r="J173" t="s">
        <v>7416</v>
      </c>
    </row>
    <row r="174" spans="1:10" ht="18" customHeight="1" outlineLevel="1" x14ac:dyDescent="0.3">
      <c r="A174" t="s">
        <v>288</v>
      </c>
      <c r="B174" t="s">
        <v>266</v>
      </c>
      <c r="C174" t="s">
        <v>10</v>
      </c>
      <c r="D174" t="s">
        <v>289</v>
      </c>
      <c r="E174" t="s">
        <v>4050</v>
      </c>
      <c r="J174" t="s">
        <v>7417</v>
      </c>
    </row>
    <row r="175" spans="1:10" ht="18" customHeight="1" outlineLevel="1" x14ac:dyDescent="0.3">
      <c r="A175" t="s">
        <v>290</v>
      </c>
      <c r="B175" t="s">
        <v>266</v>
      </c>
      <c r="C175" t="s">
        <v>10</v>
      </c>
      <c r="D175" t="s">
        <v>291</v>
      </c>
      <c r="E175" t="s">
        <v>4051</v>
      </c>
      <c r="H175" t="s">
        <v>7032</v>
      </c>
      <c r="J175" t="s">
        <v>7418</v>
      </c>
    </row>
    <row r="176" spans="1:10" ht="18" customHeight="1" outlineLevel="1" x14ac:dyDescent="0.3">
      <c r="A176" t="s">
        <v>292</v>
      </c>
      <c r="B176" t="s">
        <v>266</v>
      </c>
      <c r="C176" t="s">
        <v>10</v>
      </c>
      <c r="D176" t="s">
        <v>293</v>
      </c>
      <c r="E176" t="s">
        <v>4052</v>
      </c>
      <c r="H176" t="s">
        <v>7033</v>
      </c>
      <c r="J176" t="s">
        <v>7419</v>
      </c>
    </row>
    <row r="177" spans="1:10" ht="18" customHeight="1" outlineLevel="1" x14ac:dyDescent="0.3">
      <c r="A177" t="s">
        <v>294</v>
      </c>
      <c r="B177" t="s">
        <v>266</v>
      </c>
      <c r="C177" t="s">
        <v>10</v>
      </c>
      <c r="D177" t="s">
        <v>295</v>
      </c>
      <c r="E177" t="s">
        <v>4053</v>
      </c>
      <c r="H177" t="s">
        <v>7034</v>
      </c>
      <c r="J177" t="s">
        <v>7420</v>
      </c>
    </row>
    <row r="178" spans="1:10" ht="18" customHeight="1" outlineLevel="1" x14ac:dyDescent="0.3">
      <c r="A178" t="s">
        <v>296</v>
      </c>
      <c r="B178" t="s">
        <v>266</v>
      </c>
      <c r="C178" t="s">
        <v>10</v>
      </c>
      <c r="D178" t="s">
        <v>297</v>
      </c>
      <c r="E178" t="s">
        <v>4054</v>
      </c>
      <c r="H178" t="s">
        <v>7035</v>
      </c>
      <c r="J178" t="s">
        <v>7421</v>
      </c>
    </row>
    <row r="179" spans="1:10" ht="18" customHeight="1" outlineLevel="1" x14ac:dyDescent="0.3">
      <c r="A179" t="s">
        <v>298</v>
      </c>
      <c r="B179" t="s">
        <v>266</v>
      </c>
      <c r="C179" t="s">
        <v>10</v>
      </c>
      <c r="D179" t="s">
        <v>299</v>
      </c>
      <c r="E179" t="s">
        <v>4055</v>
      </c>
      <c r="H179" t="s">
        <v>7036</v>
      </c>
      <c r="J179" t="s">
        <v>7422</v>
      </c>
    </row>
    <row r="180" spans="1:10" ht="18" customHeight="1" outlineLevel="1" x14ac:dyDescent="0.3">
      <c r="A180" t="s">
        <v>300</v>
      </c>
      <c r="B180" t="s">
        <v>266</v>
      </c>
      <c r="C180" t="s">
        <v>10</v>
      </c>
      <c r="D180" t="s">
        <v>301</v>
      </c>
      <c r="E180" t="s">
        <v>4056</v>
      </c>
      <c r="J180" s="33"/>
    </row>
    <row r="181" spans="1:10" ht="18" customHeight="1" outlineLevel="1" x14ac:dyDescent="0.3">
      <c r="A181" t="s">
        <v>302</v>
      </c>
      <c r="B181" t="s">
        <v>266</v>
      </c>
      <c r="C181" t="s">
        <v>8</v>
      </c>
      <c r="D181" t="s">
        <v>303</v>
      </c>
      <c r="E181" t="s">
        <v>4057</v>
      </c>
      <c r="H181" t="s">
        <v>7037</v>
      </c>
      <c r="J181" t="s">
        <v>7423</v>
      </c>
    </row>
    <row r="182" spans="1:10" ht="18" customHeight="1" outlineLevel="1" x14ac:dyDescent="0.3">
      <c r="A182" t="s">
        <v>304</v>
      </c>
      <c r="B182" t="s">
        <v>266</v>
      </c>
      <c r="C182" t="s">
        <v>8</v>
      </c>
      <c r="D182" t="s">
        <v>303</v>
      </c>
      <c r="E182" t="s">
        <v>4057</v>
      </c>
      <c r="J182" t="s">
        <v>7423</v>
      </c>
    </row>
    <row r="183" spans="1:10" ht="18" customHeight="1" outlineLevel="1" x14ac:dyDescent="0.3">
      <c r="A183" t="s">
        <v>305</v>
      </c>
      <c r="B183" t="s">
        <v>266</v>
      </c>
      <c r="C183" t="s">
        <v>10</v>
      </c>
      <c r="D183" t="s">
        <v>306</v>
      </c>
      <c r="E183" t="s">
        <v>4058</v>
      </c>
      <c r="J183" t="s">
        <v>7424</v>
      </c>
    </row>
    <row r="184" spans="1:10" ht="18" customHeight="1" outlineLevel="1" x14ac:dyDescent="0.3">
      <c r="A184" t="s">
        <v>307</v>
      </c>
      <c r="B184" t="s">
        <v>266</v>
      </c>
      <c r="C184" t="s">
        <v>8</v>
      </c>
      <c r="D184" t="s">
        <v>308</v>
      </c>
      <c r="E184" t="s">
        <v>4059</v>
      </c>
      <c r="H184" t="s">
        <v>7038</v>
      </c>
      <c r="J184" t="s">
        <v>7425</v>
      </c>
    </row>
    <row r="185" spans="1:10" ht="18" customHeight="1" outlineLevel="1" x14ac:dyDescent="0.3">
      <c r="A185" s="24" t="s">
        <v>309</v>
      </c>
      <c r="B185" s="24" t="s">
        <v>266</v>
      </c>
      <c r="C185" s="24" t="s">
        <v>8</v>
      </c>
      <c r="D185" s="24" t="s">
        <v>308</v>
      </c>
      <c r="E185" s="24" t="s">
        <v>4059</v>
      </c>
      <c r="F185" s="24"/>
      <c r="G185" s="24"/>
      <c r="H185" s="24" t="s">
        <v>7039</v>
      </c>
      <c r="I185" s="24"/>
      <c r="J185" s="24" t="s">
        <v>7425</v>
      </c>
    </row>
    <row r="186" spans="1:10" ht="18" customHeight="1" outlineLevel="1" x14ac:dyDescent="0.3">
      <c r="A186" t="s">
        <v>310</v>
      </c>
      <c r="B186" t="s">
        <v>266</v>
      </c>
      <c r="C186" t="s">
        <v>8</v>
      </c>
      <c r="D186" t="s">
        <v>311</v>
      </c>
      <c r="E186" t="s">
        <v>4060</v>
      </c>
      <c r="J186" s="33" t="s">
        <v>7435</v>
      </c>
    </row>
    <row r="187" spans="1:10" ht="18" customHeight="1" outlineLevel="1" x14ac:dyDescent="0.3">
      <c r="A187" t="s">
        <v>312</v>
      </c>
      <c r="B187" t="s">
        <v>266</v>
      </c>
      <c r="C187" t="s">
        <v>8</v>
      </c>
      <c r="D187" t="s">
        <v>313</v>
      </c>
      <c r="E187" t="s">
        <v>4061</v>
      </c>
      <c r="J187" t="s">
        <v>4686</v>
      </c>
    </row>
    <row r="188" spans="1:10" ht="18" customHeight="1" outlineLevel="1" x14ac:dyDescent="0.3">
      <c r="A188" t="s">
        <v>314</v>
      </c>
      <c r="B188" t="s">
        <v>266</v>
      </c>
      <c r="C188" t="s">
        <v>8</v>
      </c>
      <c r="D188" t="s">
        <v>315</v>
      </c>
      <c r="E188" t="s">
        <v>4062</v>
      </c>
      <c r="J188" s="33" t="s">
        <v>4685</v>
      </c>
    </row>
    <row r="189" spans="1:10" ht="18" customHeight="1" outlineLevel="1" x14ac:dyDescent="0.3">
      <c r="A189" t="s">
        <v>316</v>
      </c>
      <c r="B189" t="s">
        <v>266</v>
      </c>
      <c r="C189" t="s">
        <v>8</v>
      </c>
      <c r="D189" t="s">
        <v>317</v>
      </c>
      <c r="E189" t="s">
        <v>4063</v>
      </c>
      <c r="J189" t="s">
        <v>4683</v>
      </c>
    </row>
    <row r="190" spans="1:10" ht="18" customHeight="1" outlineLevel="1" x14ac:dyDescent="0.3">
      <c r="A190" s="24" t="s">
        <v>318</v>
      </c>
      <c r="B190" s="24" t="s">
        <v>266</v>
      </c>
      <c r="C190" s="24" t="s">
        <v>8</v>
      </c>
      <c r="D190" s="24" t="s">
        <v>319</v>
      </c>
      <c r="E190" s="24" t="s">
        <v>6117</v>
      </c>
      <c r="F190" s="24"/>
      <c r="G190" s="24"/>
      <c r="H190" s="24" t="s">
        <v>7040</v>
      </c>
      <c r="J190" s="33"/>
    </row>
    <row r="191" spans="1:10" ht="18" customHeight="1" outlineLevel="1" x14ac:dyDescent="0.3">
      <c r="A191" t="s">
        <v>320</v>
      </c>
      <c r="B191" t="s">
        <v>266</v>
      </c>
      <c r="C191" t="s">
        <v>10</v>
      </c>
      <c r="D191" t="s">
        <v>321</v>
      </c>
      <c r="E191" t="s">
        <v>4064</v>
      </c>
      <c r="J191" t="s">
        <v>5347</v>
      </c>
    </row>
    <row r="192" spans="1:10" ht="18" customHeight="1" outlineLevel="1" x14ac:dyDescent="0.3">
      <c r="A192" t="s">
        <v>322</v>
      </c>
      <c r="B192" t="s">
        <v>266</v>
      </c>
      <c r="C192" t="s">
        <v>10</v>
      </c>
      <c r="D192" t="s">
        <v>323</v>
      </c>
      <c r="E192" t="s">
        <v>4065</v>
      </c>
      <c r="J192" t="s">
        <v>4738</v>
      </c>
    </row>
    <row r="193" spans="1:10" ht="18" customHeight="1" outlineLevel="1" x14ac:dyDescent="0.3">
      <c r="A193" t="s">
        <v>324</v>
      </c>
      <c r="B193" t="s">
        <v>266</v>
      </c>
      <c r="C193" t="s">
        <v>10</v>
      </c>
      <c r="D193" t="s">
        <v>325</v>
      </c>
      <c r="E193" t="s">
        <v>4066</v>
      </c>
      <c r="J193" t="s">
        <v>4737</v>
      </c>
    </row>
    <row r="194" spans="1:10" ht="18" customHeight="1" outlineLevel="1" x14ac:dyDescent="0.3">
      <c r="A194" t="s">
        <v>326</v>
      </c>
      <c r="B194" t="s">
        <v>266</v>
      </c>
      <c r="C194" t="s">
        <v>10</v>
      </c>
      <c r="D194" t="s">
        <v>327</v>
      </c>
      <c r="E194" t="s">
        <v>4067</v>
      </c>
      <c r="J194" t="s">
        <v>4736</v>
      </c>
    </row>
    <row r="195" spans="1:10" ht="18" customHeight="1" outlineLevel="1" x14ac:dyDescent="0.3">
      <c r="A195" t="s">
        <v>328</v>
      </c>
      <c r="B195" t="s">
        <v>266</v>
      </c>
      <c r="C195" t="s">
        <v>10</v>
      </c>
      <c r="D195" t="s">
        <v>329</v>
      </c>
      <c r="E195" t="s">
        <v>4068</v>
      </c>
      <c r="J195" t="s">
        <v>4735</v>
      </c>
    </row>
    <row r="196" spans="1:10" ht="18" customHeight="1" outlineLevel="1" x14ac:dyDescent="0.3">
      <c r="A196" t="s">
        <v>330</v>
      </c>
      <c r="B196" t="s">
        <v>266</v>
      </c>
      <c r="C196" t="s">
        <v>10</v>
      </c>
      <c r="D196" t="s">
        <v>331</v>
      </c>
      <c r="E196" t="s">
        <v>4069</v>
      </c>
      <c r="J196" t="s">
        <v>4734</v>
      </c>
    </row>
    <row r="197" spans="1:10" ht="18" customHeight="1" outlineLevel="1" x14ac:dyDescent="0.3">
      <c r="A197" t="s">
        <v>332</v>
      </c>
      <c r="B197" t="s">
        <v>266</v>
      </c>
      <c r="C197" t="s">
        <v>10</v>
      </c>
      <c r="D197" t="s">
        <v>333</v>
      </c>
      <c r="E197" t="s">
        <v>4070</v>
      </c>
      <c r="J197" t="s">
        <v>4733</v>
      </c>
    </row>
    <row r="198" spans="1:10" ht="18" customHeight="1" outlineLevel="1" x14ac:dyDescent="0.3">
      <c r="A198" t="s">
        <v>334</v>
      </c>
      <c r="B198" t="s">
        <v>266</v>
      </c>
      <c r="C198" t="s">
        <v>10</v>
      </c>
      <c r="D198" t="s">
        <v>335</v>
      </c>
      <c r="E198" t="s">
        <v>4071</v>
      </c>
      <c r="J198" t="s">
        <v>4732</v>
      </c>
    </row>
    <row r="199" spans="1:10" ht="18" customHeight="1" outlineLevel="1" x14ac:dyDescent="0.3">
      <c r="A199" t="s">
        <v>336</v>
      </c>
      <c r="B199" t="s">
        <v>266</v>
      </c>
      <c r="C199" t="s">
        <v>10</v>
      </c>
      <c r="D199" t="s">
        <v>7041</v>
      </c>
      <c r="E199" t="s">
        <v>7470</v>
      </c>
      <c r="H199" t="s">
        <v>7041</v>
      </c>
      <c r="J199" s="33"/>
    </row>
    <row r="200" spans="1:10" ht="18" customHeight="1" outlineLevel="1" x14ac:dyDescent="0.3">
      <c r="A200" t="s">
        <v>337</v>
      </c>
      <c r="B200" t="s">
        <v>266</v>
      </c>
      <c r="C200" t="s">
        <v>10</v>
      </c>
      <c r="D200" t="s">
        <v>7042</v>
      </c>
      <c r="E200" t="s">
        <v>4073</v>
      </c>
      <c r="H200" t="s">
        <v>7042</v>
      </c>
      <c r="J200" s="33"/>
    </row>
    <row r="201" spans="1:10" ht="18" customHeight="1" outlineLevel="1" x14ac:dyDescent="0.3">
      <c r="A201" t="s">
        <v>338</v>
      </c>
      <c r="B201" t="s">
        <v>266</v>
      </c>
      <c r="C201" t="s">
        <v>10</v>
      </c>
      <c r="D201" t="s">
        <v>7042</v>
      </c>
      <c r="E201" t="s">
        <v>4073</v>
      </c>
      <c r="J201" t="s">
        <v>7426</v>
      </c>
    </row>
    <row r="202" spans="1:10" ht="18" customHeight="1" outlineLevel="1" x14ac:dyDescent="0.3">
      <c r="A202" t="s">
        <v>339</v>
      </c>
      <c r="B202" t="s">
        <v>266</v>
      </c>
      <c r="C202" t="s">
        <v>8</v>
      </c>
      <c r="D202" t="s">
        <v>340</v>
      </c>
      <c r="E202" t="s">
        <v>4074</v>
      </c>
      <c r="H202" t="s">
        <v>7043</v>
      </c>
      <c r="J202" t="s">
        <v>7427</v>
      </c>
    </row>
    <row r="203" spans="1:10" ht="18" customHeight="1" outlineLevel="1" x14ac:dyDescent="0.3">
      <c r="A203" t="s">
        <v>341</v>
      </c>
      <c r="B203" t="s">
        <v>266</v>
      </c>
      <c r="C203" t="s">
        <v>10</v>
      </c>
      <c r="D203" t="s">
        <v>342</v>
      </c>
      <c r="E203" s="33" t="s">
        <v>4075</v>
      </c>
      <c r="F203" s="33"/>
      <c r="G203" s="33"/>
      <c r="H203" s="33"/>
      <c r="I203" s="33"/>
      <c r="J203" s="33"/>
    </row>
    <row r="204" spans="1:10" ht="18" customHeight="1" outlineLevel="1" x14ac:dyDescent="0.3">
      <c r="A204" t="s">
        <v>343</v>
      </c>
      <c r="B204" t="s">
        <v>266</v>
      </c>
      <c r="C204" t="s">
        <v>8</v>
      </c>
      <c r="D204" t="s">
        <v>344</v>
      </c>
      <c r="E204" t="s">
        <v>4076</v>
      </c>
      <c r="J204" s="33"/>
    </row>
    <row r="205" spans="1:10" ht="18" customHeight="1" outlineLevel="1" x14ac:dyDescent="0.3">
      <c r="A205" t="s">
        <v>345</v>
      </c>
      <c r="B205" t="s">
        <v>266</v>
      </c>
      <c r="C205" t="s">
        <v>8</v>
      </c>
      <c r="D205" t="s">
        <v>346</v>
      </c>
      <c r="E205" t="s">
        <v>4077</v>
      </c>
      <c r="H205" t="s">
        <v>7044</v>
      </c>
      <c r="J205" t="s">
        <v>7428</v>
      </c>
    </row>
    <row r="206" spans="1:10" ht="18" customHeight="1" outlineLevel="1" x14ac:dyDescent="0.3">
      <c r="A206" t="s">
        <v>347</v>
      </c>
      <c r="B206" t="s">
        <v>266</v>
      </c>
      <c r="C206" t="s">
        <v>8</v>
      </c>
      <c r="D206" t="s">
        <v>348</v>
      </c>
      <c r="E206" t="s">
        <v>4078</v>
      </c>
    </row>
    <row r="207" spans="1:10" ht="18" customHeight="1" outlineLevel="1" x14ac:dyDescent="0.3">
      <c r="A207" t="s">
        <v>349</v>
      </c>
      <c r="B207" t="s">
        <v>266</v>
      </c>
      <c r="C207" t="s">
        <v>8</v>
      </c>
      <c r="D207" t="s">
        <v>350</v>
      </c>
      <c r="E207" t="s">
        <v>4079</v>
      </c>
    </row>
    <row r="208" spans="1:10" ht="18" customHeight="1" outlineLevel="1" x14ac:dyDescent="0.3">
      <c r="A208" t="s">
        <v>351</v>
      </c>
      <c r="B208" t="s">
        <v>266</v>
      </c>
      <c r="C208" t="s">
        <v>10</v>
      </c>
      <c r="D208" t="s">
        <v>352</v>
      </c>
      <c r="E208" t="s">
        <v>4080</v>
      </c>
      <c r="J208" s="33"/>
    </row>
    <row r="209" spans="1:10" ht="18" customHeight="1" outlineLevel="1" x14ac:dyDescent="0.3">
      <c r="A209" t="s">
        <v>353</v>
      </c>
      <c r="B209" t="s">
        <v>266</v>
      </c>
      <c r="C209" t="s">
        <v>10</v>
      </c>
      <c r="D209" t="s">
        <v>352</v>
      </c>
      <c r="E209" t="s">
        <v>4080</v>
      </c>
    </row>
    <row r="210" spans="1:10" ht="18" customHeight="1" outlineLevel="1" x14ac:dyDescent="0.3">
      <c r="A210" t="s">
        <v>354</v>
      </c>
      <c r="B210" t="s">
        <v>266</v>
      </c>
      <c r="C210" t="s">
        <v>10</v>
      </c>
      <c r="D210" t="s">
        <v>352</v>
      </c>
      <c r="E210" t="s">
        <v>4080</v>
      </c>
      <c r="J210" t="s">
        <v>7429</v>
      </c>
    </row>
    <row r="211" spans="1:10" ht="18" customHeight="1" outlineLevel="1" x14ac:dyDescent="0.3">
      <c r="A211" t="s">
        <v>355</v>
      </c>
      <c r="B211" t="s">
        <v>266</v>
      </c>
      <c r="C211" t="s">
        <v>10</v>
      </c>
      <c r="D211" t="s">
        <v>352</v>
      </c>
      <c r="E211" t="s">
        <v>4080</v>
      </c>
      <c r="J211" t="s">
        <v>7429</v>
      </c>
    </row>
    <row r="212" spans="1:10" ht="18" customHeight="1" outlineLevel="1" x14ac:dyDescent="0.3">
      <c r="A212" t="s">
        <v>356</v>
      </c>
      <c r="B212" t="s">
        <v>266</v>
      </c>
      <c r="C212" t="s">
        <v>10</v>
      </c>
      <c r="D212" s="33" t="s">
        <v>7430</v>
      </c>
      <c r="E212" t="s">
        <v>4081</v>
      </c>
      <c r="H212" t="s">
        <v>7045</v>
      </c>
      <c r="J212" s="33" t="s">
        <v>7430</v>
      </c>
    </row>
    <row r="213" spans="1:10" ht="18" customHeight="1" outlineLevel="1" x14ac:dyDescent="0.3">
      <c r="A213" t="s">
        <v>357</v>
      </c>
      <c r="B213" t="s">
        <v>266</v>
      </c>
      <c r="C213" t="s">
        <v>10</v>
      </c>
      <c r="D213" s="33" t="s">
        <v>7430</v>
      </c>
      <c r="E213" t="s">
        <v>4081</v>
      </c>
      <c r="J213" s="33" t="s">
        <v>7430</v>
      </c>
    </row>
    <row r="214" spans="1:10" ht="18" customHeight="1" outlineLevel="1" x14ac:dyDescent="0.3">
      <c r="A214" t="s">
        <v>358</v>
      </c>
      <c r="B214" t="s">
        <v>266</v>
      </c>
      <c r="C214" t="s">
        <v>8</v>
      </c>
      <c r="D214" t="s">
        <v>359</v>
      </c>
      <c r="E214" t="s">
        <v>4082</v>
      </c>
      <c r="J214" t="s">
        <v>7444</v>
      </c>
    </row>
    <row r="215" spans="1:10" ht="18" customHeight="1" outlineLevel="1" x14ac:dyDescent="0.3">
      <c r="A215" t="s">
        <v>360</v>
      </c>
      <c r="B215" t="s">
        <v>266</v>
      </c>
      <c r="C215" t="s">
        <v>8</v>
      </c>
      <c r="D215" t="s">
        <v>361</v>
      </c>
      <c r="E215" t="s">
        <v>4083</v>
      </c>
      <c r="J215" t="s">
        <v>7445</v>
      </c>
    </row>
    <row r="216" spans="1:10" ht="18" customHeight="1" outlineLevel="1" x14ac:dyDescent="0.3">
      <c r="A216" t="s">
        <v>362</v>
      </c>
      <c r="B216" t="s">
        <v>266</v>
      </c>
      <c r="C216" t="s">
        <v>8</v>
      </c>
      <c r="D216" t="s">
        <v>363</v>
      </c>
      <c r="E216" t="s">
        <v>4084</v>
      </c>
      <c r="J216" t="s">
        <v>7446</v>
      </c>
    </row>
    <row r="217" spans="1:10" ht="18" customHeight="1" outlineLevel="1" x14ac:dyDescent="0.3">
      <c r="A217" t="s">
        <v>364</v>
      </c>
      <c r="B217" t="s">
        <v>266</v>
      </c>
      <c r="C217" t="s">
        <v>10</v>
      </c>
      <c r="D217" t="s">
        <v>365</v>
      </c>
      <c r="E217" t="s">
        <v>4085</v>
      </c>
      <c r="H217" t="s">
        <v>7046</v>
      </c>
      <c r="J217" t="s">
        <v>7447</v>
      </c>
    </row>
    <row r="218" spans="1:10" ht="18" customHeight="1" outlineLevel="1" x14ac:dyDescent="0.3">
      <c r="A218" t="s">
        <v>366</v>
      </c>
      <c r="B218" t="s">
        <v>266</v>
      </c>
      <c r="C218" t="s">
        <v>10</v>
      </c>
      <c r="D218" t="s">
        <v>367</v>
      </c>
      <c r="E218" t="s">
        <v>4086</v>
      </c>
      <c r="H218" t="s">
        <v>7047</v>
      </c>
      <c r="J218" t="s">
        <v>7448</v>
      </c>
    </row>
    <row r="219" spans="1:10" ht="18" customHeight="1" outlineLevel="1" x14ac:dyDescent="0.3">
      <c r="A219" t="s">
        <v>368</v>
      </c>
      <c r="B219" t="s">
        <v>266</v>
      </c>
      <c r="C219" t="s">
        <v>10</v>
      </c>
      <c r="D219" t="s">
        <v>369</v>
      </c>
      <c r="E219" t="s">
        <v>4087</v>
      </c>
      <c r="J219" t="s">
        <v>7449</v>
      </c>
    </row>
    <row r="220" spans="1:10" ht="18" customHeight="1" outlineLevel="1" x14ac:dyDescent="0.3">
      <c r="A220" t="s">
        <v>370</v>
      </c>
      <c r="B220" t="s">
        <v>266</v>
      </c>
      <c r="C220" t="s">
        <v>8</v>
      </c>
      <c r="D220" t="s">
        <v>371</v>
      </c>
      <c r="E220" t="s">
        <v>4088</v>
      </c>
      <c r="H220" t="s">
        <v>7048</v>
      </c>
    </row>
    <row r="221" spans="1:10" ht="18" customHeight="1" outlineLevel="1" x14ac:dyDescent="0.3">
      <c r="A221" t="s">
        <v>372</v>
      </c>
      <c r="B221" t="s">
        <v>266</v>
      </c>
      <c r="C221" t="s">
        <v>8</v>
      </c>
      <c r="D221" t="s">
        <v>373</v>
      </c>
      <c r="E221" t="s">
        <v>4089</v>
      </c>
    </row>
    <row r="222" spans="1:10" ht="18" customHeight="1" outlineLevel="1" x14ac:dyDescent="0.3">
      <c r="A222" t="s">
        <v>374</v>
      </c>
      <c r="B222" t="s">
        <v>266</v>
      </c>
      <c r="C222" t="s">
        <v>8</v>
      </c>
      <c r="D222" t="s">
        <v>375</v>
      </c>
      <c r="E222" t="s">
        <v>4090</v>
      </c>
    </row>
    <row r="223" spans="1:10" ht="18" customHeight="1" outlineLevel="1" x14ac:dyDescent="0.3">
      <c r="A223" t="s">
        <v>376</v>
      </c>
      <c r="B223" t="s">
        <v>266</v>
      </c>
      <c r="C223" t="s">
        <v>8</v>
      </c>
      <c r="D223" t="s">
        <v>377</v>
      </c>
      <c r="E223" t="s">
        <v>4091</v>
      </c>
      <c r="J223" t="s">
        <v>7450</v>
      </c>
    </row>
    <row r="224" spans="1:10" ht="18" customHeight="1" outlineLevel="1" x14ac:dyDescent="0.3">
      <c r="A224" t="s">
        <v>378</v>
      </c>
      <c r="B224" t="s">
        <v>266</v>
      </c>
      <c r="C224" t="s">
        <v>10</v>
      </c>
      <c r="D224" t="s">
        <v>379</v>
      </c>
      <c r="E224" t="s">
        <v>4092</v>
      </c>
      <c r="H224" t="s">
        <v>7049</v>
      </c>
    </row>
    <row r="225" spans="1:10" ht="18" customHeight="1" outlineLevel="1" x14ac:dyDescent="0.3">
      <c r="A225" t="s">
        <v>380</v>
      </c>
      <c r="B225" t="s">
        <v>266</v>
      </c>
      <c r="C225" t="s">
        <v>10</v>
      </c>
      <c r="D225" t="s">
        <v>381</v>
      </c>
      <c r="E225" t="s">
        <v>4093</v>
      </c>
      <c r="H225" t="s">
        <v>7050</v>
      </c>
    </row>
    <row r="226" spans="1:10" ht="18" customHeight="1" outlineLevel="1" x14ac:dyDescent="0.3">
      <c r="A226" t="s">
        <v>382</v>
      </c>
      <c r="B226" t="s">
        <v>266</v>
      </c>
      <c r="C226" t="s">
        <v>10</v>
      </c>
      <c r="D226" t="s">
        <v>383</v>
      </c>
      <c r="E226" t="s">
        <v>4094</v>
      </c>
      <c r="H226" t="s">
        <v>7051</v>
      </c>
    </row>
    <row r="227" spans="1:10" ht="18" customHeight="1" outlineLevel="1" x14ac:dyDescent="0.3">
      <c r="A227" t="s">
        <v>384</v>
      </c>
      <c r="B227" t="s">
        <v>266</v>
      </c>
      <c r="C227" t="s">
        <v>10</v>
      </c>
      <c r="D227" t="s">
        <v>385</v>
      </c>
      <c r="E227" t="s">
        <v>4095</v>
      </c>
      <c r="H227" t="s">
        <v>7052</v>
      </c>
    </row>
    <row r="228" spans="1:10" ht="18" customHeight="1" outlineLevel="1" x14ac:dyDescent="0.3">
      <c r="A228" t="s">
        <v>386</v>
      </c>
      <c r="B228" t="s">
        <v>266</v>
      </c>
      <c r="C228" t="s">
        <v>10</v>
      </c>
      <c r="D228" t="s">
        <v>387</v>
      </c>
      <c r="E228" t="s">
        <v>4096</v>
      </c>
      <c r="H228" t="s">
        <v>7053</v>
      </c>
    </row>
    <row r="229" spans="1:10" ht="18" customHeight="1" outlineLevel="1" x14ac:dyDescent="0.3">
      <c r="A229" t="s">
        <v>388</v>
      </c>
      <c r="B229" t="s">
        <v>266</v>
      </c>
      <c r="C229" t="s">
        <v>10</v>
      </c>
      <c r="D229" t="s">
        <v>389</v>
      </c>
      <c r="E229" t="s">
        <v>4097</v>
      </c>
      <c r="H229" t="s">
        <v>7054</v>
      </c>
    </row>
    <row r="230" spans="1:10" ht="18" customHeight="1" outlineLevel="1" x14ac:dyDescent="0.3">
      <c r="A230" t="s">
        <v>390</v>
      </c>
      <c r="B230" t="s">
        <v>266</v>
      </c>
      <c r="C230" t="s">
        <v>8</v>
      </c>
      <c r="D230" t="s">
        <v>391</v>
      </c>
      <c r="E230" t="s">
        <v>4098</v>
      </c>
      <c r="H230" t="s">
        <v>7055</v>
      </c>
    </row>
    <row r="231" spans="1:10" ht="18" customHeight="1" outlineLevel="1" x14ac:dyDescent="0.3">
      <c r="A231" t="s">
        <v>392</v>
      </c>
      <c r="B231" t="s">
        <v>266</v>
      </c>
      <c r="C231" t="s">
        <v>8</v>
      </c>
      <c r="D231" t="s">
        <v>393</v>
      </c>
      <c r="E231" t="s">
        <v>4099</v>
      </c>
    </row>
    <row r="232" spans="1:10" ht="18" customHeight="1" outlineLevel="1" x14ac:dyDescent="0.3">
      <c r="A232" t="s">
        <v>394</v>
      </c>
      <c r="B232" t="s">
        <v>266</v>
      </c>
      <c r="C232" t="s">
        <v>8</v>
      </c>
      <c r="D232" t="s">
        <v>395</v>
      </c>
      <c r="E232" t="s">
        <v>4100</v>
      </c>
    </row>
    <row r="233" spans="1:10" ht="18" customHeight="1" outlineLevel="1" x14ac:dyDescent="0.3">
      <c r="A233" t="s">
        <v>396</v>
      </c>
      <c r="B233" t="s">
        <v>266</v>
      </c>
      <c r="C233" t="s">
        <v>10</v>
      </c>
      <c r="D233" t="s">
        <v>397</v>
      </c>
      <c r="E233" t="s">
        <v>4101</v>
      </c>
      <c r="H233" t="s">
        <v>7056</v>
      </c>
    </row>
    <row r="234" spans="1:10" ht="18" customHeight="1" outlineLevel="1" x14ac:dyDescent="0.3">
      <c r="A234" t="s">
        <v>398</v>
      </c>
      <c r="B234" t="s">
        <v>266</v>
      </c>
      <c r="C234" t="s">
        <v>8</v>
      </c>
      <c r="D234" t="s">
        <v>399</v>
      </c>
      <c r="E234" t="s">
        <v>4102</v>
      </c>
      <c r="H234" t="s">
        <v>7057</v>
      </c>
      <c r="J234" t="s">
        <v>7451</v>
      </c>
    </row>
    <row r="235" spans="1:10" ht="18" customHeight="1" outlineLevel="1" x14ac:dyDescent="0.3">
      <c r="A235" t="s">
        <v>400</v>
      </c>
      <c r="B235" t="s">
        <v>266</v>
      </c>
      <c r="C235" t="s">
        <v>8</v>
      </c>
      <c r="D235" t="s">
        <v>401</v>
      </c>
      <c r="E235" t="s">
        <v>4103</v>
      </c>
      <c r="J235" t="s">
        <v>7452</v>
      </c>
    </row>
    <row r="236" spans="1:10" ht="18" customHeight="1" outlineLevel="1" x14ac:dyDescent="0.3">
      <c r="A236" t="s">
        <v>402</v>
      </c>
      <c r="B236" t="s">
        <v>266</v>
      </c>
      <c r="C236" t="s">
        <v>8</v>
      </c>
      <c r="D236" t="s">
        <v>403</v>
      </c>
      <c r="E236" t="s">
        <v>4104</v>
      </c>
      <c r="J236" s="33"/>
    </row>
    <row r="237" spans="1:10" ht="18" customHeight="1" outlineLevel="1" x14ac:dyDescent="0.3">
      <c r="A237" t="s">
        <v>404</v>
      </c>
      <c r="B237" t="s">
        <v>266</v>
      </c>
      <c r="C237" t="s">
        <v>10</v>
      </c>
      <c r="D237" t="s">
        <v>405</v>
      </c>
      <c r="E237" t="s">
        <v>4105</v>
      </c>
      <c r="J237" t="s">
        <v>7453</v>
      </c>
    </row>
    <row r="238" spans="1:10" ht="18" customHeight="1" outlineLevel="1" x14ac:dyDescent="0.3">
      <c r="A238" t="s">
        <v>406</v>
      </c>
      <c r="B238" t="s">
        <v>266</v>
      </c>
      <c r="C238" t="s">
        <v>10</v>
      </c>
      <c r="D238" t="s">
        <v>407</v>
      </c>
      <c r="E238" t="s">
        <v>4106</v>
      </c>
      <c r="H238" t="s">
        <v>7058</v>
      </c>
      <c r="J238" t="s">
        <v>7454</v>
      </c>
    </row>
    <row r="239" spans="1:10" ht="18" customHeight="1" outlineLevel="1" x14ac:dyDescent="0.3">
      <c r="A239" t="s">
        <v>408</v>
      </c>
      <c r="B239" t="s">
        <v>266</v>
      </c>
      <c r="C239" t="s">
        <v>10</v>
      </c>
      <c r="D239" t="s">
        <v>409</v>
      </c>
      <c r="E239" t="s">
        <v>4107</v>
      </c>
      <c r="H239" t="s">
        <v>7059</v>
      </c>
      <c r="J239" t="s">
        <v>7455</v>
      </c>
    </row>
    <row r="240" spans="1:10" ht="18" customHeight="1" outlineLevel="1" x14ac:dyDescent="0.3">
      <c r="A240" t="s">
        <v>410</v>
      </c>
      <c r="B240" t="s">
        <v>266</v>
      </c>
      <c r="C240" t="s">
        <v>8</v>
      </c>
      <c r="D240" t="s">
        <v>411</v>
      </c>
      <c r="E240" t="s">
        <v>4108</v>
      </c>
    </row>
    <row r="241" spans="1:10" ht="18" customHeight="1" outlineLevel="1" x14ac:dyDescent="0.3">
      <c r="A241" t="s">
        <v>412</v>
      </c>
      <c r="B241" t="s">
        <v>266</v>
      </c>
      <c r="C241" t="s">
        <v>8</v>
      </c>
      <c r="D241" t="s">
        <v>411</v>
      </c>
      <c r="E241" t="s">
        <v>4108</v>
      </c>
    </row>
    <row r="242" spans="1:10" ht="18" customHeight="1" outlineLevel="1" x14ac:dyDescent="0.3">
      <c r="A242" t="s">
        <v>413</v>
      </c>
      <c r="B242" t="s">
        <v>266</v>
      </c>
      <c r="C242" t="s">
        <v>8</v>
      </c>
      <c r="D242" t="s">
        <v>411</v>
      </c>
      <c r="E242" t="s">
        <v>4108</v>
      </c>
    </row>
    <row r="243" spans="1:10" ht="18" customHeight="1" outlineLevel="1" x14ac:dyDescent="0.3">
      <c r="A243" t="s">
        <v>414</v>
      </c>
      <c r="B243" t="s">
        <v>266</v>
      </c>
      <c r="C243" t="s">
        <v>8</v>
      </c>
      <c r="D243" t="s">
        <v>415</v>
      </c>
      <c r="E243" t="s">
        <v>4109</v>
      </c>
    </row>
    <row r="244" spans="1:10" ht="18" customHeight="1" outlineLevel="1" x14ac:dyDescent="0.3">
      <c r="A244" t="s">
        <v>416</v>
      </c>
      <c r="B244" t="s">
        <v>266</v>
      </c>
      <c r="C244" t="s">
        <v>8</v>
      </c>
      <c r="D244" t="s">
        <v>415</v>
      </c>
      <c r="E244" t="s">
        <v>4109</v>
      </c>
    </row>
    <row r="245" spans="1:10" ht="18" customHeight="1" outlineLevel="1" x14ac:dyDescent="0.3">
      <c r="A245" t="s">
        <v>417</v>
      </c>
      <c r="B245" t="s">
        <v>266</v>
      </c>
      <c r="C245" t="s">
        <v>8</v>
      </c>
      <c r="D245" t="s">
        <v>415</v>
      </c>
      <c r="E245" t="s">
        <v>4109</v>
      </c>
    </row>
    <row r="246" spans="1:10" ht="18" customHeight="1" outlineLevel="1" x14ac:dyDescent="0.3">
      <c r="A246" t="s">
        <v>418</v>
      </c>
      <c r="B246" t="s">
        <v>266</v>
      </c>
      <c r="C246" t="s">
        <v>8</v>
      </c>
      <c r="D246" t="s">
        <v>415</v>
      </c>
      <c r="E246" t="s">
        <v>4109</v>
      </c>
    </row>
    <row r="247" spans="1:10" ht="18" customHeight="1" outlineLevel="1" x14ac:dyDescent="0.3">
      <c r="A247" t="s">
        <v>419</v>
      </c>
      <c r="B247" t="s">
        <v>266</v>
      </c>
      <c r="C247" t="s">
        <v>10</v>
      </c>
      <c r="D247" t="s">
        <v>420</v>
      </c>
      <c r="E247" t="s">
        <v>4110</v>
      </c>
      <c r="H247" t="s">
        <v>7060</v>
      </c>
      <c r="J247" t="s">
        <v>7456</v>
      </c>
    </row>
    <row r="248" spans="1:10" ht="18" customHeight="1" outlineLevel="1" x14ac:dyDescent="0.3">
      <c r="A248" t="s">
        <v>421</v>
      </c>
      <c r="B248" t="s">
        <v>266</v>
      </c>
      <c r="C248" t="s">
        <v>10</v>
      </c>
      <c r="D248" t="s">
        <v>422</v>
      </c>
      <c r="E248" t="s">
        <v>4111</v>
      </c>
      <c r="H248" t="s">
        <v>7061</v>
      </c>
      <c r="J248" t="s">
        <v>7457</v>
      </c>
    </row>
    <row r="249" spans="1:10" ht="18" customHeight="1" outlineLevel="1" x14ac:dyDescent="0.3">
      <c r="A249" t="s">
        <v>423</v>
      </c>
      <c r="B249" t="s">
        <v>266</v>
      </c>
      <c r="C249" t="s">
        <v>10</v>
      </c>
      <c r="D249" t="s">
        <v>422</v>
      </c>
      <c r="E249" t="s">
        <v>4111</v>
      </c>
      <c r="J249" t="s">
        <v>7457</v>
      </c>
    </row>
    <row r="250" spans="1:10" ht="18" customHeight="1" outlineLevel="1" x14ac:dyDescent="0.3">
      <c r="A250" s="33" t="s">
        <v>424</v>
      </c>
      <c r="B250" s="33" t="s">
        <v>266</v>
      </c>
      <c r="C250" s="33" t="s">
        <v>10</v>
      </c>
      <c r="D250" s="33" t="s">
        <v>446</v>
      </c>
      <c r="E250" s="33" t="s">
        <v>4059</v>
      </c>
      <c r="F250" s="33"/>
      <c r="G250" s="33"/>
      <c r="H250" s="33"/>
      <c r="I250" s="33"/>
      <c r="J250" s="33" t="s">
        <v>446</v>
      </c>
    </row>
    <row r="251" spans="1:10" ht="18" customHeight="1" outlineLevel="1" x14ac:dyDescent="0.3">
      <c r="A251" t="s">
        <v>425</v>
      </c>
      <c r="B251" t="s">
        <v>266</v>
      </c>
      <c r="C251" t="s">
        <v>8</v>
      </c>
      <c r="D251" t="s">
        <v>426</v>
      </c>
      <c r="E251" t="s">
        <v>4113</v>
      </c>
      <c r="H251" t="s">
        <v>7062</v>
      </c>
    </row>
    <row r="252" spans="1:10" ht="18" customHeight="1" outlineLevel="1" x14ac:dyDescent="0.3">
      <c r="A252" t="s">
        <v>427</v>
      </c>
      <c r="B252" t="s">
        <v>266</v>
      </c>
      <c r="C252" t="s">
        <v>10</v>
      </c>
      <c r="D252" t="s">
        <v>7471</v>
      </c>
      <c r="E252" t="s">
        <v>7472</v>
      </c>
    </row>
    <row r="253" spans="1:10" ht="18" customHeight="1" outlineLevel="1" x14ac:dyDescent="0.3">
      <c r="A253" t="s">
        <v>428</v>
      </c>
      <c r="B253" t="s">
        <v>266</v>
      </c>
      <c r="C253" t="s">
        <v>10</v>
      </c>
      <c r="D253" t="s">
        <v>7473</v>
      </c>
      <c r="E253" t="s">
        <v>7474</v>
      </c>
      <c r="J253" s="33" t="s">
        <v>7458</v>
      </c>
    </row>
    <row r="254" spans="1:10" ht="18" customHeight="1" outlineLevel="1" x14ac:dyDescent="0.3">
      <c r="A254" t="s">
        <v>429</v>
      </c>
      <c r="B254" t="s">
        <v>266</v>
      </c>
      <c r="C254" t="s">
        <v>10</v>
      </c>
      <c r="D254" t="s">
        <v>430</v>
      </c>
      <c r="E254" t="s">
        <v>4116</v>
      </c>
    </row>
    <row r="255" spans="1:10" ht="18" customHeight="1" outlineLevel="1" x14ac:dyDescent="0.3">
      <c r="A255" t="s">
        <v>431</v>
      </c>
      <c r="B255" t="s">
        <v>266</v>
      </c>
      <c r="C255" t="s">
        <v>10</v>
      </c>
      <c r="D255" t="s">
        <v>432</v>
      </c>
      <c r="E255" t="s">
        <v>4117</v>
      </c>
    </row>
    <row r="256" spans="1:10" ht="18" customHeight="1" outlineLevel="1" x14ac:dyDescent="0.3">
      <c r="A256" s="33" t="s">
        <v>433</v>
      </c>
      <c r="B256" s="33" t="s">
        <v>266</v>
      </c>
      <c r="C256" s="33" t="s">
        <v>8</v>
      </c>
      <c r="D256" s="33" t="s">
        <v>415</v>
      </c>
      <c r="E256" s="33" t="s">
        <v>4109</v>
      </c>
      <c r="F256" s="33"/>
      <c r="G256" s="33"/>
      <c r="H256" s="33"/>
      <c r="I256" s="33"/>
      <c r="J256" s="33" t="s">
        <v>7431</v>
      </c>
    </row>
    <row r="257" spans="1:10" ht="18" customHeight="1" outlineLevel="1" x14ac:dyDescent="0.3">
      <c r="A257" t="s">
        <v>434</v>
      </c>
      <c r="B257" t="s">
        <v>266</v>
      </c>
      <c r="C257" t="s">
        <v>8</v>
      </c>
      <c r="D257" t="s">
        <v>435</v>
      </c>
      <c r="E257" t="s">
        <v>4118</v>
      </c>
    </row>
    <row r="258" spans="1:10" ht="18" customHeight="1" outlineLevel="1" x14ac:dyDescent="0.3">
      <c r="A258" t="s">
        <v>436</v>
      </c>
      <c r="B258" t="s">
        <v>266</v>
      </c>
      <c r="C258" t="s">
        <v>8</v>
      </c>
      <c r="D258" t="s">
        <v>435</v>
      </c>
      <c r="E258" t="s">
        <v>4118</v>
      </c>
      <c r="H258" t="s">
        <v>7063</v>
      </c>
    </row>
    <row r="259" spans="1:10" ht="18" customHeight="1" outlineLevel="1" x14ac:dyDescent="0.3">
      <c r="A259" t="s">
        <v>437</v>
      </c>
      <c r="B259" t="s">
        <v>266</v>
      </c>
      <c r="C259" t="s">
        <v>10</v>
      </c>
      <c r="D259" t="s">
        <v>438</v>
      </c>
      <c r="E259" t="s">
        <v>4119</v>
      </c>
      <c r="H259" t="s">
        <v>7064</v>
      </c>
    </row>
    <row r="260" spans="1:10" ht="18" customHeight="1" outlineLevel="1" x14ac:dyDescent="0.3">
      <c r="A260" t="s">
        <v>439</v>
      </c>
      <c r="B260" t="s">
        <v>266</v>
      </c>
      <c r="C260" t="s">
        <v>10</v>
      </c>
      <c r="D260" t="s">
        <v>440</v>
      </c>
      <c r="E260" t="s">
        <v>4120</v>
      </c>
      <c r="H260" t="s">
        <v>7065</v>
      </c>
    </row>
    <row r="261" spans="1:10" ht="18" customHeight="1" outlineLevel="1" x14ac:dyDescent="0.3">
      <c r="A261" t="s">
        <v>441</v>
      </c>
      <c r="B261" t="s">
        <v>266</v>
      </c>
      <c r="C261" t="s">
        <v>10</v>
      </c>
      <c r="D261" t="s">
        <v>442</v>
      </c>
      <c r="E261" t="s">
        <v>4121</v>
      </c>
    </row>
    <row r="262" spans="1:10" ht="18" customHeight="1" outlineLevel="1" x14ac:dyDescent="0.3">
      <c r="A262" s="24" t="s">
        <v>443</v>
      </c>
      <c r="B262" s="24" t="s">
        <v>266</v>
      </c>
      <c r="C262" s="24" t="s">
        <v>10</v>
      </c>
      <c r="D262" s="24" t="s">
        <v>444</v>
      </c>
      <c r="E262" s="24" t="s">
        <v>4122</v>
      </c>
      <c r="F262" s="24"/>
      <c r="G262" s="24"/>
      <c r="H262" s="24" t="s">
        <v>7066</v>
      </c>
      <c r="I262" s="24"/>
      <c r="J262" s="24" t="s">
        <v>7432</v>
      </c>
    </row>
    <row r="263" spans="1:10" ht="18" customHeight="1" outlineLevel="1" x14ac:dyDescent="0.3">
      <c r="A263" t="s">
        <v>445</v>
      </c>
      <c r="B263" t="s">
        <v>266</v>
      </c>
      <c r="C263" t="s">
        <v>8</v>
      </c>
      <c r="D263" t="s">
        <v>446</v>
      </c>
      <c r="E263" t="s">
        <v>4059</v>
      </c>
      <c r="J263" t="s">
        <v>446</v>
      </c>
    </row>
    <row r="264" spans="1:10" ht="18" customHeight="1" outlineLevel="1" x14ac:dyDescent="0.3">
      <c r="A264" t="s">
        <v>447</v>
      </c>
      <c r="B264" t="s">
        <v>266</v>
      </c>
      <c r="C264" t="s">
        <v>8</v>
      </c>
      <c r="D264" t="s">
        <v>446</v>
      </c>
      <c r="E264" t="s">
        <v>4059</v>
      </c>
      <c r="J264" t="s">
        <v>446</v>
      </c>
    </row>
    <row r="265" spans="1:10" ht="18" customHeight="1" outlineLevel="1" x14ac:dyDescent="0.3">
      <c r="A265" t="s">
        <v>448</v>
      </c>
      <c r="B265" t="s">
        <v>266</v>
      </c>
      <c r="C265" t="s">
        <v>8</v>
      </c>
      <c r="D265" t="s">
        <v>446</v>
      </c>
      <c r="E265" t="s">
        <v>4059</v>
      </c>
      <c r="J265" t="s">
        <v>446</v>
      </c>
    </row>
    <row r="266" spans="1:10" ht="18" customHeight="1" outlineLevel="1" x14ac:dyDescent="0.3">
      <c r="A266" t="s">
        <v>449</v>
      </c>
      <c r="B266" t="s">
        <v>266</v>
      </c>
      <c r="C266" t="s">
        <v>8</v>
      </c>
      <c r="D266" t="s">
        <v>446</v>
      </c>
      <c r="E266" t="s">
        <v>4059</v>
      </c>
      <c r="J266" t="s">
        <v>446</v>
      </c>
    </row>
    <row r="267" spans="1:10" ht="18" customHeight="1" outlineLevel="1" x14ac:dyDescent="0.3">
      <c r="A267" t="s">
        <v>450</v>
      </c>
      <c r="B267" t="s">
        <v>266</v>
      </c>
      <c r="C267" t="s">
        <v>8</v>
      </c>
      <c r="D267" t="s">
        <v>451</v>
      </c>
      <c r="E267" t="s">
        <v>4123</v>
      </c>
      <c r="J267" t="s">
        <v>7459</v>
      </c>
    </row>
    <row r="268" spans="1:10" ht="18" customHeight="1" outlineLevel="1" x14ac:dyDescent="0.3">
      <c r="A268" t="s">
        <v>452</v>
      </c>
      <c r="B268" t="s">
        <v>266</v>
      </c>
      <c r="C268" t="s">
        <v>8</v>
      </c>
      <c r="D268" t="s">
        <v>451</v>
      </c>
      <c r="E268" t="s">
        <v>4123</v>
      </c>
      <c r="J268" t="s">
        <v>7459</v>
      </c>
    </row>
    <row r="269" spans="1:10" ht="18" customHeight="1" outlineLevel="1" x14ac:dyDescent="0.3">
      <c r="A269" t="s">
        <v>453</v>
      </c>
      <c r="B269" t="s">
        <v>266</v>
      </c>
      <c r="C269" t="s">
        <v>8</v>
      </c>
      <c r="D269" t="s">
        <v>454</v>
      </c>
      <c r="E269" t="s">
        <v>4124</v>
      </c>
      <c r="H269" t="s">
        <v>7067</v>
      </c>
    </row>
    <row r="270" spans="1:10" ht="18" customHeight="1" outlineLevel="1" x14ac:dyDescent="0.3">
      <c r="A270" t="s">
        <v>455</v>
      </c>
      <c r="B270" t="s">
        <v>266</v>
      </c>
      <c r="C270" t="s">
        <v>10</v>
      </c>
      <c r="D270" t="s">
        <v>456</v>
      </c>
      <c r="E270" t="s">
        <v>4125</v>
      </c>
      <c r="H270" t="s">
        <v>7068</v>
      </c>
    </row>
    <row r="271" spans="1:10" ht="18" customHeight="1" outlineLevel="1" x14ac:dyDescent="0.3">
      <c r="A271" t="s">
        <v>457</v>
      </c>
      <c r="B271" t="s">
        <v>266</v>
      </c>
      <c r="C271" t="s">
        <v>10</v>
      </c>
      <c r="D271" t="s">
        <v>458</v>
      </c>
      <c r="E271" t="s">
        <v>4126</v>
      </c>
      <c r="H271" t="s">
        <v>7069</v>
      </c>
    </row>
    <row r="272" spans="1:10" ht="18" customHeight="1" outlineLevel="1" x14ac:dyDescent="0.3">
      <c r="A272" t="s">
        <v>459</v>
      </c>
      <c r="B272" t="s">
        <v>266</v>
      </c>
      <c r="C272" t="s">
        <v>10</v>
      </c>
      <c r="D272" t="s">
        <v>460</v>
      </c>
      <c r="E272" t="s">
        <v>4127</v>
      </c>
      <c r="H272" t="s">
        <v>7070</v>
      </c>
    </row>
    <row r="273" spans="1:10" ht="18" customHeight="1" outlineLevel="1" x14ac:dyDescent="0.3">
      <c r="A273" t="s">
        <v>461</v>
      </c>
      <c r="B273" t="s">
        <v>266</v>
      </c>
      <c r="C273" t="s">
        <v>10</v>
      </c>
      <c r="D273" t="s">
        <v>462</v>
      </c>
      <c r="E273" t="s">
        <v>4128</v>
      </c>
      <c r="H273" t="s">
        <v>7071</v>
      </c>
    </row>
    <row r="274" spans="1:10" ht="18" customHeight="1" outlineLevel="1" x14ac:dyDescent="0.3">
      <c r="A274" t="s">
        <v>463</v>
      </c>
      <c r="B274" t="s">
        <v>266</v>
      </c>
      <c r="C274" t="s">
        <v>10</v>
      </c>
      <c r="D274" t="s">
        <v>464</v>
      </c>
      <c r="E274" t="s">
        <v>4129</v>
      </c>
      <c r="H274" t="s">
        <v>7072</v>
      </c>
    </row>
    <row r="275" spans="1:10" ht="18" customHeight="1" outlineLevel="1" x14ac:dyDescent="0.3">
      <c r="A275" t="s">
        <v>465</v>
      </c>
      <c r="B275" t="s">
        <v>266</v>
      </c>
      <c r="C275" t="s">
        <v>10</v>
      </c>
      <c r="D275" t="s">
        <v>466</v>
      </c>
      <c r="E275" t="s">
        <v>4130</v>
      </c>
      <c r="H275" t="s">
        <v>7073</v>
      </c>
    </row>
    <row r="276" spans="1:10" ht="18" customHeight="1" outlineLevel="1" x14ac:dyDescent="0.3">
      <c r="A276" t="s">
        <v>467</v>
      </c>
      <c r="B276" t="s">
        <v>266</v>
      </c>
      <c r="C276" t="s">
        <v>10</v>
      </c>
      <c r="D276" t="s">
        <v>468</v>
      </c>
      <c r="E276" t="s">
        <v>4131</v>
      </c>
      <c r="H276" t="s">
        <v>7074</v>
      </c>
    </row>
    <row r="277" spans="1:10" ht="18" customHeight="1" outlineLevel="1" x14ac:dyDescent="0.3">
      <c r="A277" t="s">
        <v>469</v>
      </c>
      <c r="B277" t="s">
        <v>266</v>
      </c>
      <c r="C277" t="s">
        <v>10</v>
      </c>
      <c r="D277" t="s">
        <v>470</v>
      </c>
      <c r="E277" t="s">
        <v>4132</v>
      </c>
      <c r="H277" t="s">
        <v>7075</v>
      </c>
    </row>
    <row r="278" spans="1:10" ht="18" customHeight="1" outlineLevel="1" x14ac:dyDescent="0.3">
      <c r="A278" t="s">
        <v>471</v>
      </c>
      <c r="B278" t="s">
        <v>266</v>
      </c>
      <c r="C278" t="s">
        <v>10</v>
      </c>
      <c r="D278" t="s">
        <v>472</v>
      </c>
      <c r="E278" t="s">
        <v>4133</v>
      </c>
      <c r="H278" t="s">
        <v>7076</v>
      </c>
    </row>
    <row r="279" spans="1:10" ht="18" customHeight="1" outlineLevel="1" x14ac:dyDescent="0.3">
      <c r="A279" t="s">
        <v>473</v>
      </c>
      <c r="B279" t="s">
        <v>266</v>
      </c>
      <c r="C279" t="s">
        <v>10</v>
      </c>
      <c r="D279" t="s">
        <v>474</v>
      </c>
      <c r="E279" t="s">
        <v>4134</v>
      </c>
      <c r="H279" t="s">
        <v>7077</v>
      </c>
      <c r="J279" t="s">
        <v>7460</v>
      </c>
    </row>
    <row r="280" spans="1:10" ht="18" customHeight="1" outlineLevel="1" x14ac:dyDescent="0.3">
      <c r="A280" t="s">
        <v>475</v>
      </c>
      <c r="B280" t="s">
        <v>266</v>
      </c>
      <c r="C280" t="s">
        <v>10</v>
      </c>
      <c r="D280" t="s">
        <v>476</v>
      </c>
      <c r="E280" t="s">
        <v>4135</v>
      </c>
      <c r="H280" t="s">
        <v>7078</v>
      </c>
    </row>
    <row r="281" spans="1:10" ht="18" customHeight="1" outlineLevel="1" x14ac:dyDescent="0.3">
      <c r="A281" t="s">
        <v>477</v>
      </c>
      <c r="B281" t="s">
        <v>266</v>
      </c>
      <c r="C281" t="s">
        <v>10</v>
      </c>
      <c r="D281" t="s">
        <v>478</v>
      </c>
      <c r="E281" t="s">
        <v>4136</v>
      </c>
      <c r="H281" t="s">
        <v>7079</v>
      </c>
    </row>
    <row r="282" spans="1:10" ht="18" customHeight="1" outlineLevel="1" x14ac:dyDescent="0.3">
      <c r="A282" t="s">
        <v>479</v>
      </c>
      <c r="B282" t="s">
        <v>266</v>
      </c>
      <c r="C282" t="s">
        <v>10</v>
      </c>
      <c r="D282" t="s">
        <v>480</v>
      </c>
      <c r="E282" t="s">
        <v>4137</v>
      </c>
      <c r="H282" t="s">
        <v>7080</v>
      </c>
    </row>
    <row r="283" spans="1:10" ht="18" customHeight="1" outlineLevel="1" x14ac:dyDescent="0.3">
      <c r="A283" t="s">
        <v>481</v>
      </c>
      <c r="B283" t="s">
        <v>266</v>
      </c>
      <c r="C283" t="s">
        <v>10</v>
      </c>
      <c r="D283" t="s">
        <v>482</v>
      </c>
      <c r="E283" t="s">
        <v>4138</v>
      </c>
      <c r="H283" t="s">
        <v>7081</v>
      </c>
    </row>
    <row r="284" spans="1:10" ht="18" customHeight="1" outlineLevel="1" x14ac:dyDescent="0.3">
      <c r="A284" t="s">
        <v>483</v>
      </c>
      <c r="B284" t="s">
        <v>266</v>
      </c>
      <c r="C284" t="s">
        <v>10</v>
      </c>
      <c r="D284" t="s">
        <v>484</v>
      </c>
      <c r="E284" t="s">
        <v>4139</v>
      </c>
      <c r="H284" t="s">
        <v>7082</v>
      </c>
    </row>
    <row r="285" spans="1:10" ht="18" customHeight="1" outlineLevel="1" x14ac:dyDescent="0.3">
      <c r="A285" t="s">
        <v>485</v>
      </c>
      <c r="B285" t="s">
        <v>266</v>
      </c>
      <c r="C285" t="s">
        <v>10</v>
      </c>
      <c r="D285" t="s">
        <v>486</v>
      </c>
      <c r="E285" t="s">
        <v>4140</v>
      </c>
      <c r="H285" t="s">
        <v>7083</v>
      </c>
    </row>
    <row r="286" spans="1:10" ht="18" customHeight="1" outlineLevel="1" x14ac:dyDescent="0.3">
      <c r="A286" t="s">
        <v>487</v>
      </c>
      <c r="B286" t="s">
        <v>266</v>
      </c>
      <c r="C286" t="s">
        <v>10</v>
      </c>
      <c r="D286" t="s">
        <v>488</v>
      </c>
      <c r="E286" t="s">
        <v>4141</v>
      </c>
      <c r="H286" t="s">
        <v>7084</v>
      </c>
    </row>
    <row r="287" spans="1:10" ht="18" customHeight="1" outlineLevel="1" x14ac:dyDescent="0.3">
      <c r="A287" t="s">
        <v>489</v>
      </c>
      <c r="B287" t="s">
        <v>266</v>
      </c>
      <c r="C287" t="s">
        <v>10</v>
      </c>
      <c r="D287" t="s">
        <v>490</v>
      </c>
      <c r="E287" t="s">
        <v>4142</v>
      </c>
      <c r="H287" t="s">
        <v>7085</v>
      </c>
      <c r="J287" t="s">
        <v>7461</v>
      </c>
    </row>
    <row r="288" spans="1:10" ht="18" customHeight="1" outlineLevel="1" x14ac:dyDescent="0.3">
      <c r="A288" t="s">
        <v>491</v>
      </c>
      <c r="B288" t="s">
        <v>266</v>
      </c>
      <c r="C288" t="s">
        <v>10</v>
      </c>
      <c r="D288" t="s">
        <v>492</v>
      </c>
      <c r="E288" t="s">
        <v>4143</v>
      </c>
      <c r="H288" t="s">
        <v>7086</v>
      </c>
      <c r="J288" t="s">
        <v>7462</v>
      </c>
    </row>
    <row r="289" spans="1:10" ht="18" customHeight="1" outlineLevel="1" x14ac:dyDescent="0.3">
      <c r="A289" t="s">
        <v>493</v>
      </c>
      <c r="B289" t="s">
        <v>266</v>
      </c>
      <c r="C289" t="s">
        <v>8</v>
      </c>
      <c r="D289" t="s">
        <v>494</v>
      </c>
      <c r="E289" t="s">
        <v>4144</v>
      </c>
      <c r="H289" t="s">
        <v>7037</v>
      </c>
    </row>
    <row r="290" spans="1:10" ht="18" customHeight="1" outlineLevel="1" x14ac:dyDescent="0.3">
      <c r="A290" t="s">
        <v>495</v>
      </c>
      <c r="B290" t="s">
        <v>266</v>
      </c>
      <c r="C290" t="s">
        <v>8</v>
      </c>
      <c r="D290" t="s">
        <v>494</v>
      </c>
      <c r="E290" t="s">
        <v>4144</v>
      </c>
      <c r="H290" t="s">
        <v>3735</v>
      </c>
    </row>
    <row r="291" spans="1:10" ht="18" customHeight="1" outlineLevel="1" x14ac:dyDescent="0.3">
      <c r="A291" t="s">
        <v>496</v>
      </c>
      <c r="B291" t="s">
        <v>266</v>
      </c>
      <c r="C291" t="s">
        <v>8</v>
      </c>
      <c r="D291" t="s">
        <v>497</v>
      </c>
      <c r="E291" t="s">
        <v>4145</v>
      </c>
      <c r="H291" t="s">
        <v>7087</v>
      </c>
    </row>
    <row r="292" spans="1:10" ht="18" customHeight="1" outlineLevel="1" x14ac:dyDescent="0.3">
      <c r="A292" t="s">
        <v>498</v>
      </c>
      <c r="B292" t="s">
        <v>266</v>
      </c>
      <c r="C292" t="s">
        <v>10</v>
      </c>
      <c r="D292" t="s">
        <v>499</v>
      </c>
      <c r="E292" t="s">
        <v>4146</v>
      </c>
      <c r="H292" t="s">
        <v>7088</v>
      </c>
    </row>
    <row r="293" spans="1:10" ht="18" customHeight="1" outlineLevel="1" x14ac:dyDescent="0.3">
      <c r="A293" t="s">
        <v>500</v>
      </c>
      <c r="B293" t="s">
        <v>266</v>
      </c>
      <c r="C293" t="s">
        <v>10</v>
      </c>
      <c r="D293" t="s">
        <v>499</v>
      </c>
      <c r="E293" t="s">
        <v>4146</v>
      </c>
    </row>
    <row r="294" spans="1:10" ht="18" customHeight="1" outlineLevel="1" x14ac:dyDescent="0.3">
      <c r="A294" t="s">
        <v>501</v>
      </c>
      <c r="B294" t="s">
        <v>266</v>
      </c>
      <c r="C294" t="s">
        <v>8</v>
      </c>
      <c r="D294" t="s">
        <v>502</v>
      </c>
      <c r="E294" t="s">
        <v>4147</v>
      </c>
      <c r="J294" s="33"/>
    </row>
    <row r="295" spans="1:10" ht="18" customHeight="1" outlineLevel="1" x14ac:dyDescent="0.3">
      <c r="A295" t="s">
        <v>503</v>
      </c>
      <c r="B295" t="s">
        <v>266</v>
      </c>
      <c r="C295" t="s">
        <v>10</v>
      </c>
      <c r="D295" t="s">
        <v>504</v>
      </c>
      <c r="E295" t="s">
        <v>4148</v>
      </c>
      <c r="H295" t="s">
        <v>7089</v>
      </c>
      <c r="J295" s="33"/>
    </row>
    <row r="296" spans="1:10" ht="18" customHeight="1" outlineLevel="1" x14ac:dyDescent="0.3">
      <c r="A296" t="s">
        <v>505</v>
      </c>
      <c r="B296" t="s">
        <v>266</v>
      </c>
      <c r="C296" t="s">
        <v>10</v>
      </c>
      <c r="D296" t="s">
        <v>504</v>
      </c>
      <c r="E296" t="s">
        <v>4148</v>
      </c>
      <c r="J296" s="33"/>
    </row>
    <row r="297" spans="1:10" ht="18" customHeight="1" outlineLevel="1" x14ac:dyDescent="0.3">
      <c r="A297" t="s">
        <v>506</v>
      </c>
      <c r="B297" t="s">
        <v>266</v>
      </c>
      <c r="C297" t="s">
        <v>10</v>
      </c>
      <c r="D297" t="s">
        <v>507</v>
      </c>
      <c r="E297" t="s">
        <v>4149</v>
      </c>
      <c r="H297" t="s">
        <v>7090</v>
      </c>
    </row>
    <row r="298" spans="1:10" ht="18" customHeight="1" outlineLevel="1" x14ac:dyDescent="0.3">
      <c r="A298" t="s">
        <v>508</v>
      </c>
      <c r="B298" t="s">
        <v>266</v>
      </c>
      <c r="C298" t="s">
        <v>10</v>
      </c>
      <c r="D298" t="s">
        <v>509</v>
      </c>
      <c r="E298" t="s">
        <v>4150</v>
      </c>
      <c r="H298" t="s">
        <v>7091</v>
      </c>
    </row>
    <row r="299" spans="1:10" ht="18" customHeight="1" outlineLevel="1" x14ac:dyDescent="0.3">
      <c r="A299" t="s">
        <v>510</v>
      </c>
      <c r="B299" t="s">
        <v>266</v>
      </c>
      <c r="C299" t="s">
        <v>10</v>
      </c>
      <c r="D299" t="s">
        <v>511</v>
      </c>
      <c r="E299" t="s">
        <v>4151</v>
      </c>
      <c r="H299" t="s">
        <v>7092</v>
      </c>
    </row>
    <row r="300" spans="1:10" ht="18" customHeight="1" outlineLevel="1" x14ac:dyDescent="0.3">
      <c r="A300" t="s">
        <v>512</v>
      </c>
      <c r="B300" t="s">
        <v>266</v>
      </c>
      <c r="C300" t="s">
        <v>10</v>
      </c>
      <c r="D300" t="s">
        <v>513</v>
      </c>
      <c r="E300" t="s">
        <v>4152</v>
      </c>
      <c r="H300" t="s">
        <v>7093</v>
      </c>
    </row>
    <row r="301" spans="1:10" ht="18" customHeight="1" outlineLevel="1" x14ac:dyDescent="0.3">
      <c r="A301" t="s">
        <v>514</v>
      </c>
      <c r="B301" t="s">
        <v>266</v>
      </c>
      <c r="C301" t="s">
        <v>10</v>
      </c>
      <c r="D301" t="s">
        <v>515</v>
      </c>
      <c r="E301" t="s">
        <v>4153</v>
      </c>
      <c r="H301" t="s">
        <v>7094</v>
      </c>
      <c r="J301" t="s">
        <v>7463</v>
      </c>
    </row>
    <row r="302" spans="1:10" ht="18" customHeight="1" outlineLevel="1" x14ac:dyDescent="0.3">
      <c r="A302" t="s">
        <v>516</v>
      </c>
      <c r="B302" t="s">
        <v>266</v>
      </c>
      <c r="C302" t="s">
        <v>10</v>
      </c>
      <c r="D302" t="s">
        <v>517</v>
      </c>
      <c r="E302" t="s">
        <v>4154</v>
      </c>
      <c r="H302" t="s">
        <v>7095</v>
      </c>
      <c r="J302" t="s">
        <v>7464</v>
      </c>
    </row>
    <row r="303" spans="1:10" ht="18" customHeight="1" outlineLevel="1" x14ac:dyDescent="0.3">
      <c r="A303" t="s">
        <v>518</v>
      </c>
      <c r="B303" t="s">
        <v>266</v>
      </c>
      <c r="C303" t="s">
        <v>10</v>
      </c>
      <c r="D303" t="s">
        <v>519</v>
      </c>
      <c r="E303" t="s">
        <v>4155</v>
      </c>
      <c r="H303" t="s">
        <v>7096</v>
      </c>
      <c r="J303" t="s">
        <v>7465</v>
      </c>
    </row>
    <row r="304" spans="1:10" ht="18" customHeight="1" outlineLevel="1" x14ac:dyDescent="0.3">
      <c r="A304" t="s">
        <v>520</v>
      </c>
      <c r="B304" t="s">
        <v>266</v>
      </c>
      <c r="C304" t="s">
        <v>10</v>
      </c>
      <c r="D304" t="s">
        <v>521</v>
      </c>
      <c r="E304" t="s">
        <v>4156</v>
      </c>
      <c r="H304" t="s">
        <v>7097</v>
      </c>
      <c r="J304" t="s">
        <v>7466</v>
      </c>
    </row>
    <row r="305" spans="1:10" ht="18" customHeight="1" outlineLevel="1" x14ac:dyDescent="0.3">
      <c r="A305" t="s">
        <v>522</v>
      </c>
      <c r="B305" t="s">
        <v>266</v>
      </c>
      <c r="C305" t="s">
        <v>10</v>
      </c>
      <c r="D305" t="s">
        <v>523</v>
      </c>
      <c r="E305" t="s">
        <v>4157</v>
      </c>
      <c r="H305" t="s">
        <v>7098</v>
      </c>
      <c r="J305" s="33"/>
    </row>
    <row r="306" spans="1:10" ht="18" customHeight="1" outlineLevel="1" x14ac:dyDescent="0.3">
      <c r="A306" t="s">
        <v>524</v>
      </c>
      <c r="B306" t="s">
        <v>266</v>
      </c>
      <c r="C306" t="s">
        <v>10</v>
      </c>
      <c r="D306" t="s">
        <v>525</v>
      </c>
      <c r="E306" t="s">
        <v>4158</v>
      </c>
      <c r="H306" t="s">
        <v>7099</v>
      </c>
      <c r="J306" s="33"/>
    </row>
    <row r="307" spans="1:10" ht="18" customHeight="1" outlineLevel="1" x14ac:dyDescent="0.3">
      <c r="A307" t="s">
        <v>526</v>
      </c>
      <c r="B307" t="s">
        <v>266</v>
      </c>
      <c r="C307" t="s">
        <v>8</v>
      </c>
      <c r="D307" t="s">
        <v>527</v>
      </c>
      <c r="E307" t="s">
        <v>4159</v>
      </c>
      <c r="H307" t="s">
        <v>7100</v>
      </c>
    </row>
    <row r="308" spans="1:10" ht="18" customHeight="1" outlineLevel="1" x14ac:dyDescent="0.3">
      <c r="A308" t="s">
        <v>528</v>
      </c>
      <c r="B308" t="s">
        <v>266</v>
      </c>
      <c r="C308" t="s">
        <v>8</v>
      </c>
      <c r="D308" t="s">
        <v>529</v>
      </c>
      <c r="E308" t="s">
        <v>4160</v>
      </c>
      <c r="H308" t="s">
        <v>7101</v>
      </c>
    </row>
    <row r="309" spans="1:10" ht="18" customHeight="1" outlineLevel="1" x14ac:dyDescent="0.3">
      <c r="A309" t="s">
        <v>530</v>
      </c>
      <c r="B309" t="s">
        <v>266</v>
      </c>
      <c r="C309" t="s">
        <v>8</v>
      </c>
      <c r="D309" t="s">
        <v>531</v>
      </c>
      <c r="E309" t="s">
        <v>4161</v>
      </c>
      <c r="H309" t="s">
        <v>7102</v>
      </c>
      <c r="J309" t="s">
        <v>7467</v>
      </c>
    </row>
    <row r="310" spans="1:10" ht="18" customHeight="1" outlineLevel="1" x14ac:dyDescent="0.3">
      <c r="A310" t="s">
        <v>532</v>
      </c>
      <c r="B310" t="s">
        <v>266</v>
      </c>
      <c r="C310" t="s">
        <v>8</v>
      </c>
      <c r="D310" t="s">
        <v>533</v>
      </c>
      <c r="E310" t="s">
        <v>4162</v>
      </c>
      <c r="H310" t="s">
        <v>7103</v>
      </c>
      <c r="J310" t="s">
        <v>7468</v>
      </c>
    </row>
    <row r="311" spans="1:10" ht="18" customHeight="1" outlineLevel="1" x14ac:dyDescent="0.3">
      <c r="A311" t="s">
        <v>534</v>
      </c>
      <c r="B311" t="s">
        <v>266</v>
      </c>
      <c r="C311" t="s">
        <v>10</v>
      </c>
      <c r="D311" t="s">
        <v>535</v>
      </c>
      <c r="E311" t="s">
        <v>4163</v>
      </c>
      <c r="H311" t="s">
        <v>7104</v>
      </c>
      <c r="J311" t="s">
        <v>7469</v>
      </c>
    </row>
    <row r="312" spans="1:10" ht="18" customHeight="1" outlineLevel="1" x14ac:dyDescent="0.3">
      <c r="A312" t="s">
        <v>536</v>
      </c>
      <c r="B312" t="s">
        <v>266</v>
      </c>
      <c r="C312" t="s">
        <v>8</v>
      </c>
      <c r="D312" t="s">
        <v>537</v>
      </c>
      <c r="E312" t="s">
        <v>4164</v>
      </c>
      <c r="H312" t="s">
        <v>7105</v>
      </c>
    </row>
    <row r="313" spans="1:10" ht="18" customHeight="1" outlineLevel="1" x14ac:dyDescent="0.3">
      <c r="A313" t="s">
        <v>538</v>
      </c>
      <c r="B313" t="s">
        <v>266</v>
      </c>
      <c r="C313" t="s">
        <v>8</v>
      </c>
      <c r="D313" t="s">
        <v>539</v>
      </c>
      <c r="E313" t="s">
        <v>4165</v>
      </c>
      <c r="H313" t="s">
        <v>7106</v>
      </c>
    </row>
    <row r="314" spans="1:10" ht="18" customHeight="1" outlineLevel="1" x14ac:dyDescent="0.3">
      <c r="A314" t="s">
        <v>540</v>
      </c>
      <c r="B314" t="s">
        <v>266</v>
      </c>
      <c r="C314" t="s">
        <v>10</v>
      </c>
      <c r="D314" t="s">
        <v>541</v>
      </c>
      <c r="E314" t="s">
        <v>4166</v>
      </c>
    </row>
    <row r="315" spans="1:10" ht="18" customHeight="1" outlineLevel="1" x14ac:dyDescent="0.3">
      <c r="A315" t="s">
        <v>542</v>
      </c>
      <c r="B315" t="s">
        <v>266</v>
      </c>
      <c r="C315" t="s">
        <v>10</v>
      </c>
      <c r="D315" t="s">
        <v>543</v>
      </c>
      <c r="E315" t="s">
        <v>4167</v>
      </c>
      <c r="H315" t="s">
        <v>7107</v>
      </c>
    </row>
    <row r="316" spans="1:10" ht="18" customHeight="1" outlineLevel="1" x14ac:dyDescent="0.3">
      <c r="A316" t="s">
        <v>544</v>
      </c>
      <c r="B316" t="s">
        <v>266</v>
      </c>
      <c r="C316" t="s">
        <v>8</v>
      </c>
      <c r="D316" t="s">
        <v>494</v>
      </c>
      <c r="E316" t="s">
        <v>4144</v>
      </c>
      <c r="H316" t="s">
        <v>7040</v>
      </c>
    </row>
    <row r="317" spans="1:10" ht="18" customHeight="1" outlineLevel="1" x14ac:dyDescent="0.3">
      <c r="A317" t="s">
        <v>545</v>
      </c>
      <c r="B317" t="s">
        <v>266</v>
      </c>
      <c r="C317" t="s">
        <v>10</v>
      </c>
      <c r="D317" t="s">
        <v>546</v>
      </c>
      <c r="E317" t="s">
        <v>4168</v>
      </c>
      <c r="H317" t="s">
        <v>7108</v>
      </c>
    </row>
    <row r="318" spans="1:10" ht="18" customHeight="1" outlineLevel="1" x14ac:dyDescent="0.3">
      <c r="A318" t="s">
        <v>547</v>
      </c>
      <c r="B318" t="s">
        <v>266</v>
      </c>
      <c r="C318" t="s">
        <v>10</v>
      </c>
      <c r="D318" t="s">
        <v>548</v>
      </c>
      <c r="E318" t="s">
        <v>4169</v>
      </c>
      <c r="H318" t="s">
        <v>7109</v>
      </c>
    </row>
    <row r="319" spans="1:10" ht="18" customHeight="1" outlineLevel="1" x14ac:dyDescent="0.3">
      <c r="A319" t="s">
        <v>549</v>
      </c>
      <c r="B319" t="s">
        <v>266</v>
      </c>
      <c r="C319" t="s">
        <v>10</v>
      </c>
      <c r="D319" t="s">
        <v>550</v>
      </c>
      <c r="E319" t="s">
        <v>4170</v>
      </c>
      <c r="H319" t="s">
        <v>7110</v>
      </c>
    </row>
    <row r="320" spans="1:10" ht="18" customHeight="1" outlineLevel="1" x14ac:dyDescent="0.3">
      <c r="A320" t="s">
        <v>551</v>
      </c>
      <c r="B320" t="s">
        <v>266</v>
      </c>
      <c r="C320" t="s">
        <v>10</v>
      </c>
      <c r="D320" t="s">
        <v>552</v>
      </c>
      <c r="E320" t="s">
        <v>4171</v>
      </c>
      <c r="H320" t="s">
        <v>7111</v>
      </c>
    </row>
    <row r="321" spans="1:8" ht="18" customHeight="1" outlineLevel="1" x14ac:dyDescent="0.3">
      <c r="A321" t="s">
        <v>553</v>
      </c>
      <c r="B321" t="s">
        <v>266</v>
      </c>
      <c r="C321" t="s">
        <v>10</v>
      </c>
      <c r="D321" t="s">
        <v>554</v>
      </c>
      <c r="E321" t="s">
        <v>4172</v>
      </c>
      <c r="H321" t="s">
        <v>7112</v>
      </c>
    </row>
    <row r="322" spans="1:8" ht="18" customHeight="1" outlineLevel="1" x14ac:dyDescent="0.3">
      <c r="A322" t="s">
        <v>555</v>
      </c>
      <c r="B322" t="s">
        <v>266</v>
      </c>
      <c r="C322" t="s">
        <v>10</v>
      </c>
      <c r="D322" t="s">
        <v>556</v>
      </c>
      <c r="E322" t="s">
        <v>4173</v>
      </c>
      <c r="H322" t="s">
        <v>7113</v>
      </c>
    </row>
    <row r="323" spans="1:8" ht="18" customHeight="1" outlineLevel="1" x14ac:dyDescent="0.3">
      <c r="A323" t="s">
        <v>557</v>
      </c>
      <c r="B323" t="s">
        <v>266</v>
      </c>
      <c r="C323" t="s">
        <v>10</v>
      </c>
      <c r="D323" t="s">
        <v>558</v>
      </c>
      <c r="E323" t="s">
        <v>4174</v>
      </c>
      <c r="H323" t="s">
        <v>7114</v>
      </c>
    </row>
    <row r="324" spans="1:8" ht="18" customHeight="1" outlineLevel="1" x14ac:dyDescent="0.3">
      <c r="A324" t="s">
        <v>559</v>
      </c>
      <c r="B324" t="s">
        <v>266</v>
      </c>
      <c r="C324" t="s">
        <v>10</v>
      </c>
      <c r="D324" t="s">
        <v>560</v>
      </c>
      <c r="E324" t="s">
        <v>4175</v>
      </c>
      <c r="H324" t="s">
        <v>7115</v>
      </c>
    </row>
    <row r="325" spans="1:8" ht="18" customHeight="1" outlineLevel="1" x14ac:dyDescent="0.3">
      <c r="A325" t="s">
        <v>561</v>
      </c>
      <c r="B325" t="s">
        <v>266</v>
      </c>
      <c r="C325" t="s">
        <v>10</v>
      </c>
      <c r="D325" t="s">
        <v>562</v>
      </c>
      <c r="E325" t="s">
        <v>4176</v>
      </c>
      <c r="H325" t="s">
        <v>7116</v>
      </c>
    </row>
    <row r="326" spans="1:8" ht="18" customHeight="1" outlineLevel="1" x14ac:dyDescent="0.3">
      <c r="A326" t="s">
        <v>563</v>
      </c>
      <c r="B326" t="s">
        <v>266</v>
      </c>
      <c r="C326" t="s">
        <v>10</v>
      </c>
      <c r="D326" t="s">
        <v>564</v>
      </c>
      <c r="E326" t="s">
        <v>4177</v>
      </c>
      <c r="H326" t="s">
        <v>7117</v>
      </c>
    </row>
    <row r="327" spans="1:8" ht="18" customHeight="1" outlineLevel="1" x14ac:dyDescent="0.3">
      <c r="A327" t="s">
        <v>565</v>
      </c>
      <c r="B327" t="s">
        <v>266</v>
      </c>
      <c r="C327" t="s">
        <v>10</v>
      </c>
      <c r="D327" t="s">
        <v>566</v>
      </c>
      <c r="E327" t="s">
        <v>4178</v>
      </c>
      <c r="H327" t="s">
        <v>7118</v>
      </c>
    </row>
    <row r="328" spans="1:8" ht="18" customHeight="1" outlineLevel="1" x14ac:dyDescent="0.3">
      <c r="A328" t="s">
        <v>567</v>
      </c>
      <c r="B328" t="s">
        <v>266</v>
      </c>
      <c r="C328" t="s">
        <v>10</v>
      </c>
      <c r="D328" t="s">
        <v>568</v>
      </c>
      <c r="E328" t="s">
        <v>4179</v>
      </c>
      <c r="H328" t="s">
        <v>7119</v>
      </c>
    </row>
    <row r="329" spans="1:8" ht="18" customHeight="1" outlineLevel="1" x14ac:dyDescent="0.3">
      <c r="A329" t="s">
        <v>569</v>
      </c>
      <c r="B329" t="s">
        <v>266</v>
      </c>
      <c r="C329" t="s">
        <v>10</v>
      </c>
      <c r="D329" t="s">
        <v>570</v>
      </c>
      <c r="E329" t="s">
        <v>4180</v>
      </c>
      <c r="H329" t="s">
        <v>7120</v>
      </c>
    </row>
    <row r="330" spans="1:8" ht="18" customHeight="1" outlineLevel="1" x14ac:dyDescent="0.3">
      <c r="A330" t="s">
        <v>571</v>
      </c>
      <c r="B330" t="s">
        <v>266</v>
      </c>
      <c r="C330" t="s">
        <v>10</v>
      </c>
      <c r="D330" t="s">
        <v>572</v>
      </c>
      <c r="E330" t="s">
        <v>4181</v>
      </c>
      <c r="H330" t="s">
        <v>7121</v>
      </c>
    </row>
    <row r="331" spans="1:8" ht="18" customHeight="1" outlineLevel="1" x14ac:dyDescent="0.3">
      <c r="A331" t="s">
        <v>573</v>
      </c>
      <c r="B331" t="s">
        <v>266</v>
      </c>
      <c r="C331" t="s">
        <v>10</v>
      </c>
      <c r="D331" t="s">
        <v>574</v>
      </c>
      <c r="E331" t="s">
        <v>4182</v>
      </c>
      <c r="H331" t="s">
        <v>7122</v>
      </c>
    </row>
    <row r="332" spans="1:8" ht="18" customHeight="1" outlineLevel="1" x14ac:dyDescent="0.3">
      <c r="A332" t="s">
        <v>575</v>
      </c>
      <c r="B332" t="s">
        <v>266</v>
      </c>
      <c r="C332" t="s">
        <v>10</v>
      </c>
      <c r="D332" t="s">
        <v>576</v>
      </c>
      <c r="E332" t="s">
        <v>4183</v>
      </c>
      <c r="H332" t="s">
        <v>7123</v>
      </c>
    </row>
    <row r="333" spans="1:8" ht="18" customHeight="1" outlineLevel="1" x14ac:dyDescent="0.3">
      <c r="A333" t="s">
        <v>577</v>
      </c>
      <c r="B333" t="s">
        <v>266</v>
      </c>
      <c r="C333" t="s">
        <v>10</v>
      </c>
      <c r="D333" t="s">
        <v>578</v>
      </c>
      <c r="E333" t="s">
        <v>4184</v>
      </c>
    </row>
    <row r="334" spans="1:8" ht="18" customHeight="1" outlineLevel="1" x14ac:dyDescent="0.3">
      <c r="A334" t="s">
        <v>579</v>
      </c>
      <c r="B334" t="s">
        <v>266</v>
      </c>
      <c r="C334" t="s">
        <v>10</v>
      </c>
      <c r="D334" t="s">
        <v>578</v>
      </c>
      <c r="E334" t="s">
        <v>4184</v>
      </c>
    </row>
    <row r="335" spans="1:8" ht="18" customHeight="1" outlineLevel="1" x14ac:dyDescent="0.3">
      <c r="A335" t="s">
        <v>580</v>
      </c>
      <c r="B335" t="s">
        <v>266</v>
      </c>
      <c r="C335" t="s">
        <v>10</v>
      </c>
      <c r="D335" t="s">
        <v>581</v>
      </c>
      <c r="E335" t="s">
        <v>4185</v>
      </c>
      <c r="H335" t="s">
        <v>7124</v>
      </c>
    </row>
    <row r="336" spans="1:8" ht="18" customHeight="1" outlineLevel="1" x14ac:dyDescent="0.3">
      <c r="A336" t="s">
        <v>582</v>
      </c>
      <c r="B336" t="s">
        <v>266</v>
      </c>
      <c r="C336" t="s">
        <v>8</v>
      </c>
      <c r="D336" t="s">
        <v>583</v>
      </c>
      <c r="E336" t="s">
        <v>4186</v>
      </c>
      <c r="H336" t="s">
        <v>7037</v>
      </c>
    </row>
    <row r="337" spans="1:8" ht="18" customHeight="1" outlineLevel="1" x14ac:dyDescent="0.3">
      <c r="A337" t="s">
        <v>584</v>
      </c>
      <c r="B337" t="s">
        <v>266</v>
      </c>
      <c r="C337" t="s">
        <v>8</v>
      </c>
      <c r="D337" t="s">
        <v>585</v>
      </c>
      <c r="E337" t="s">
        <v>4187</v>
      </c>
      <c r="H337" t="s">
        <v>7125</v>
      </c>
    </row>
    <row r="338" spans="1:8" outlineLevel="1" x14ac:dyDescent="0.3">
      <c r="A338" t="s">
        <v>586</v>
      </c>
      <c r="B338" t="s">
        <v>266</v>
      </c>
      <c r="C338" t="s">
        <v>8</v>
      </c>
      <c r="D338" t="s">
        <v>587</v>
      </c>
      <c r="E338" t="s">
        <v>4188</v>
      </c>
    </row>
    <row r="339" spans="1:8" outlineLevel="1" x14ac:dyDescent="0.3">
      <c r="A339" t="s">
        <v>588</v>
      </c>
      <c r="B339" t="s">
        <v>266</v>
      </c>
      <c r="C339" t="s">
        <v>8</v>
      </c>
      <c r="D339" t="s">
        <v>583</v>
      </c>
      <c r="E339" t="s">
        <v>4186</v>
      </c>
      <c r="H339" t="s">
        <v>3735</v>
      </c>
    </row>
    <row r="340" spans="1:8" outlineLevel="1" x14ac:dyDescent="0.3">
      <c r="A340" t="s">
        <v>589</v>
      </c>
      <c r="B340" t="s">
        <v>266</v>
      </c>
      <c r="C340" t="s">
        <v>8</v>
      </c>
      <c r="D340" t="s">
        <v>590</v>
      </c>
      <c r="E340" t="s">
        <v>4189</v>
      </c>
    </row>
    <row r="341" spans="1:8" outlineLevel="1" x14ac:dyDescent="0.3">
      <c r="A341" t="s">
        <v>591</v>
      </c>
      <c r="B341" t="s">
        <v>266</v>
      </c>
      <c r="C341" t="s">
        <v>10</v>
      </c>
      <c r="D341" t="s">
        <v>592</v>
      </c>
      <c r="E341" t="s">
        <v>4190</v>
      </c>
    </row>
    <row r="342" spans="1:8" outlineLevel="1" x14ac:dyDescent="0.3">
      <c r="A342" t="s">
        <v>593</v>
      </c>
      <c r="B342" t="s">
        <v>266</v>
      </c>
      <c r="C342" t="s">
        <v>10</v>
      </c>
      <c r="D342" t="s">
        <v>592</v>
      </c>
      <c r="E342" t="s">
        <v>4190</v>
      </c>
    </row>
    <row r="343" spans="1:8" outlineLevel="1" x14ac:dyDescent="0.3">
      <c r="A343" t="s">
        <v>594</v>
      </c>
      <c r="B343" t="s">
        <v>266</v>
      </c>
      <c r="C343" t="s">
        <v>10</v>
      </c>
      <c r="D343" t="s">
        <v>592</v>
      </c>
      <c r="E343" t="s">
        <v>4190</v>
      </c>
    </row>
    <row r="344" spans="1:8" outlineLevel="1" x14ac:dyDescent="0.3">
      <c r="A344" t="s">
        <v>595</v>
      </c>
      <c r="B344" t="s">
        <v>266</v>
      </c>
      <c r="C344" t="s">
        <v>10</v>
      </c>
      <c r="D344" t="s">
        <v>596</v>
      </c>
      <c r="E344" t="s">
        <v>4191</v>
      </c>
      <c r="H344" t="s">
        <v>7126</v>
      </c>
    </row>
    <row r="345" spans="1:8" outlineLevel="1" x14ac:dyDescent="0.3">
      <c r="A345" t="s">
        <v>597</v>
      </c>
      <c r="B345" t="s">
        <v>266</v>
      </c>
      <c r="C345" t="s">
        <v>10</v>
      </c>
      <c r="D345" t="s">
        <v>598</v>
      </c>
      <c r="E345" t="s">
        <v>4192</v>
      </c>
      <c r="H345" t="s">
        <v>7127</v>
      </c>
    </row>
    <row r="346" spans="1:8" outlineLevel="1" x14ac:dyDescent="0.3">
      <c r="A346" t="s">
        <v>599</v>
      </c>
      <c r="B346" t="s">
        <v>266</v>
      </c>
      <c r="C346" t="s">
        <v>10</v>
      </c>
      <c r="D346" t="s">
        <v>600</v>
      </c>
      <c r="E346" t="s">
        <v>4193</v>
      </c>
      <c r="H346" t="s">
        <v>7128</v>
      </c>
    </row>
    <row r="347" spans="1:8" outlineLevel="1" x14ac:dyDescent="0.3">
      <c r="A347" t="s">
        <v>601</v>
      </c>
      <c r="B347" t="s">
        <v>266</v>
      </c>
      <c r="C347" t="s">
        <v>10</v>
      </c>
      <c r="D347" t="s">
        <v>602</v>
      </c>
      <c r="E347" t="s">
        <v>4194</v>
      </c>
      <c r="H347" t="s">
        <v>7129</v>
      </c>
    </row>
    <row r="348" spans="1:8" outlineLevel="1" x14ac:dyDescent="0.3">
      <c r="A348" t="s">
        <v>603</v>
      </c>
      <c r="B348" t="s">
        <v>266</v>
      </c>
      <c r="C348" t="s">
        <v>10</v>
      </c>
      <c r="D348" t="s">
        <v>604</v>
      </c>
      <c r="E348" t="s">
        <v>4195</v>
      </c>
      <c r="H348" t="s">
        <v>7130</v>
      </c>
    </row>
    <row r="349" spans="1:8" outlineLevel="1" x14ac:dyDescent="0.3">
      <c r="A349" t="s">
        <v>605</v>
      </c>
      <c r="B349" t="s">
        <v>266</v>
      </c>
      <c r="C349" t="s">
        <v>10</v>
      </c>
      <c r="D349" t="s">
        <v>606</v>
      </c>
      <c r="E349" t="s">
        <v>4196</v>
      </c>
      <c r="H349" t="s">
        <v>7131</v>
      </c>
    </row>
    <row r="350" spans="1:8" outlineLevel="1" x14ac:dyDescent="0.3">
      <c r="A350" t="s">
        <v>607</v>
      </c>
      <c r="B350" t="s">
        <v>266</v>
      </c>
      <c r="C350" t="s">
        <v>10</v>
      </c>
      <c r="D350" t="s">
        <v>608</v>
      </c>
      <c r="E350" t="s">
        <v>4197</v>
      </c>
      <c r="H350" t="s">
        <v>7132</v>
      </c>
    </row>
    <row r="351" spans="1:8" outlineLevel="1" x14ac:dyDescent="0.3">
      <c r="A351" t="s">
        <v>609</v>
      </c>
      <c r="B351" t="s">
        <v>266</v>
      </c>
      <c r="C351" t="s">
        <v>10</v>
      </c>
      <c r="D351" t="s">
        <v>610</v>
      </c>
      <c r="E351" t="s">
        <v>4198</v>
      </c>
      <c r="H351" t="s">
        <v>7133</v>
      </c>
    </row>
    <row r="352" spans="1:8" outlineLevel="1" x14ac:dyDescent="0.3">
      <c r="A352" t="s">
        <v>611</v>
      </c>
      <c r="B352" t="s">
        <v>266</v>
      </c>
      <c r="C352" t="s">
        <v>10</v>
      </c>
      <c r="D352" t="s">
        <v>612</v>
      </c>
      <c r="E352" t="s">
        <v>4199</v>
      </c>
      <c r="H352" t="s">
        <v>7134</v>
      </c>
    </row>
    <row r="353" spans="1:8" outlineLevel="1" x14ac:dyDescent="0.3">
      <c r="A353" t="s">
        <v>613</v>
      </c>
      <c r="B353" t="s">
        <v>266</v>
      </c>
      <c r="C353" t="s">
        <v>10</v>
      </c>
      <c r="D353" t="s">
        <v>614</v>
      </c>
      <c r="E353" t="s">
        <v>4200</v>
      </c>
      <c r="H353" t="s">
        <v>7135</v>
      </c>
    </row>
    <row r="354" spans="1:8" outlineLevel="1" x14ac:dyDescent="0.3">
      <c r="A354" t="s">
        <v>615</v>
      </c>
      <c r="B354" t="s">
        <v>266</v>
      </c>
      <c r="C354" t="s">
        <v>10</v>
      </c>
      <c r="D354" t="s">
        <v>616</v>
      </c>
      <c r="E354" t="s">
        <v>4201</v>
      </c>
      <c r="H354" t="s">
        <v>7136</v>
      </c>
    </row>
    <row r="355" spans="1:8" outlineLevel="1" x14ac:dyDescent="0.3">
      <c r="A355" t="s">
        <v>617</v>
      </c>
      <c r="B355" t="s">
        <v>266</v>
      </c>
      <c r="C355" t="s">
        <v>10</v>
      </c>
      <c r="D355" t="s">
        <v>618</v>
      </c>
      <c r="E355" t="s">
        <v>4202</v>
      </c>
      <c r="H355" t="s">
        <v>7137</v>
      </c>
    </row>
    <row r="356" spans="1:8" outlineLevel="1" x14ac:dyDescent="0.3">
      <c r="A356" t="s">
        <v>619</v>
      </c>
      <c r="B356" t="s">
        <v>266</v>
      </c>
      <c r="C356" t="s">
        <v>10</v>
      </c>
      <c r="D356" t="s">
        <v>620</v>
      </c>
      <c r="E356" t="s">
        <v>4203</v>
      </c>
      <c r="H356" t="s">
        <v>7138</v>
      </c>
    </row>
    <row r="357" spans="1:8" outlineLevel="1" x14ac:dyDescent="0.3">
      <c r="A357" t="s">
        <v>621</v>
      </c>
      <c r="B357" t="s">
        <v>266</v>
      </c>
      <c r="C357" t="s">
        <v>10</v>
      </c>
      <c r="D357" t="s">
        <v>622</v>
      </c>
      <c r="E357" t="s">
        <v>4204</v>
      </c>
      <c r="H357" t="s">
        <v>7139</v>
      </c>
    </row>
    <row r="358" spans="1:8" outlineLevel="1" x14ac:dyDescent="0.3">
      <c r="A358" t="s">
        <v>623</v>
      </c>
      <c r="B358" t="s">
        <v>266</v>
      </c>
      <c r="C358" t="s">
        <v>10</v>
      </c>
      <c r="D358" t="s">
        <v>624</v>
      </c>
      <c r="E358" t="s">
        <v>4205</v>
      </c>
      <c r="H358" t="s">
        <v>7140</v>
      </c>
    </row>
    <row r="359" spans="1:8" outlineLevel="1" x14ac:dyDescent="0.3">
      <c r="A359" t="s">
        <v>625</v>
      </c>
      <c r="B359" t="s">
        <v>266</v>
      </c>
      <c r="C359" t="s">
        <v>10</v>
      </c>
      <c r="D359" t="s">
        <v>626</v>
      </c>
      <c r="E359" t="s">
        <v>4206</v>
      </c>
      <c r="H359" t="s">
        <v>7141</v>
      </c>
    </row>
    <row r="360" spans="1:8" outlineLevel="1" x14ac:dyDescent="0.3">
      <c r="A360" t="s">
        <v>627</v>
      </c>
      <c r="B360" t="s">
        <v>266</v>
      </c>
      <c r="C360" t="s">
        <v>10</v>
      </c>
      <c r="D360" t="s">
        <v>628</v>
      </c>
      <c r="E360" t="s">
        <v>4207</v>
      </c>
      <c r="H360" t="s">
        <v>7142</v>
      </c>
    </row>
    <row r="361" spans="1:8" outlineLevel="1" x14ac:dyDescent="0.3">
      <c r="A361" t="s">
        <v>629</v>
      </c>
      <c r="B361" t="s">
        <v>266</v>
      </c>
      <c r="C361" t="s">
        <v>8</v>
      </c>
      <c r="D361" t="s">
        <v>583</v>
      </c>
      <c r="E361" t="s">
        <v>4186</v>
      </c>
      <c r="H361" t="s">
        <v>7143</v>
      </c>
    </row>
    <row r="362" spans="1:8" outlineLevel="1" x14ac:dyDescent="0.3">
      <c r="A362" t="s">
        <v>630</v>
      </c>
      <c r="B362" t="s">
        <v>266</v>
      </c>
      <c r="C362" t="s">
        <v>10</v>
      </c>
      <c r="D362" t="s">
        <v>631</v>
      </c>
      <c r="E362" t="s">
        <v>4208</v>
      </c>
      <c r="H362" t="s">
        <v>7144</v>
      </c>
    </row>
    <row r="363" spans="1:8" outlineLevel="1" x14ac:dyDescent="0.3">
      <c r="A363" t="s">
        <v>632</v>
      </c>
      <c r="B363" t="s">
        <v>266</v>
      </c>
      <c r="C363" t="s">
        <v>10</v>
      </c>
      <c r="D363" t="s">
        <v>633</v>
      </c>
      <c r="E363" t="s">
        <v>4209</v>
      </c>
      <c r="H363" t="s">
        <v>7145</v>
      </c>
    </row>
    <row r="364" spans="1:8" outlineLevel="1" x14ac:dyDescent="0.3">
      <c r="A364" t="s">
        <v>634</v>
      </c>
      <c r="B364" t="s">
        <v>266</v>
      </c>
      <c r="C364" t="s">
        <v>10</v>
      </c>
      <c r="D364" t="s">
        <v>635</v>
      </c>
      <c r="E364" t="s">
        <v>4210</v>
      </c>
      <c r="H364" t="s">
        <v>7146</v>
      </c>
    </row>
    <row r="365" spans="1:8" outlineLevel="1" x14ac:dyDescent="0.3">
      <c r="A365" t="s">
        <v>636</v>
      </c>
      <c r="B365" t="s">
        <v>266</v>
      </c>
      <c r="C365" t="s">
        <v>8</v>
      </c>
      <c r="D365" t="s">
        <v>637</v>
      </c>
      <c r="E365" t="s">
        <v>4211</v>
      </c>
      <c r="H365" t="s">
        <v>7147</v>
      </c>
    </row>
    <row r="366" spans="1:8" outlineLevel="1" x14ac:dyDescent="0.3">
      <c r="A366" t="s">
        <v>638</v>
      </c>
      <c r="B366" t="s">
        <v>266</v>
      </c>
      <c r="C366" t="s">
        <v>8</v>
      </c>
      <c r="D366" t="s">
        <v>639</v>
      </c>
      <c r="E366" t="s">
        <v>4212</v>
      </c>
      <c r="H366" t="s">
        <v>7148</v>
      </c>
    </row>
    <row r="367" spans="1:8" outlineLevel="1" x14ac:dyDescent="0.3">
      <c r="A367" t="s">
        <v>640</v>
      </c>
      <c r="B367" t="s">
        <v>266</v>
      </c>
      <c r="C367" t="s">
        <v>8</v>
      </c>
      <c r="D367" t="s">
        <v>641</v>
      </c>
      <c r="E367" t="s">
        <v>4213</v>
      </c>
      <c r="H367" t="s">
        <v>7149</v>
      </c>
    </row>
    <row r="368" spans="1:8" outlineLevel="1" x14ac:dyDescent="0.3">
      <c r="A368" t="s">
        <v>642</v>
      </c>
      <c r="B368" t="s">
        <v>266</v>
      </c>
      <c r="C368" t="s">
        <v>8</v>
      </c>
      <c r="D368" t="s">
        <v>643</v>
      </c>
      <c r="E368" t="s">
        <v>4214</v>
      </c>
      <c r="H368" t="s">
        <v>7150</v>
      </c>
    </row>
    <row r="369" spans="1:8" outlineLevel="1" x14ac:dyDescent="0.3">
      <c r="A369" t="s">
        <v>644</v>
      </c>
      <c r="B369" t="s">
        <v>266</v>
      </c>
      <c r="C369" t="s">
        <v>10</v>
      </c>
      <c r="D369" t="s">
        <v>645</v>
      </c>
      <c r="E369" t="s">
        <v>4215</v>
      </c>
      <c r="H369" t="s">
        <v>7151</v>
      </c>
    </row>
    <row r="370" spans="1:8" outlineLevel="1" x14ac:dyDescent="0.3">
      <c r="A370" t="s">
        <v>646</v>
      </c>
      <c r="B370" t="s">
        <v>266</v>
      </c>
      <c r="C370" t="s">
        <v>10</v>
      </c>
      <c r="D370" t="s">
        <v>645</v>
      </c>
      <c r="E370" t="s">
        <v>4215</v>
      </c>
    </row>
    <row r="371" spans="1:8" outlineLevel="1" x14ac:dyDescent="0.3">
      <c r="A371" t="s">
        <v>647</v>
      </c>
      <c r="B371" t="s">
        <v>266</v>
      </c>
      <c r="C371" t="s">
        <v>8</v>
      </c>
      <c r="D371" t="s">
        <v>648</v>
      </c>
      <c r="E371" t="s">
        <v>4216</v>
      </c>
      <c r="H371" t="s">
        <v>7152</v>
      </c>
    </row>
    <row r="372" spans="1:8" outlineLevel="1" x14ac:dyDescent="0.3">
      <c r="A372" t="s">
        <v>649</v>
      </c>
      <c r="B372" t="s">
        <v>266</v>
      </c>
      <c r="C372" t="s">
        <v>10</v>
      </c>
      <c r="D372" t="s">
        <v>650</v>
      </c>
      <c r="E372" t="s">
        <v>4217</v>
      </c>
      <c r="H372" t="s">
        <v>7153</v>
      </c>
    </row>
    <row r="373" spans="1:8" outlineLevel="1" x14ac:dyDescent="0.3">
      <c r="A373" t="s">
        <v>651</v>
      </c>
      <c r="B373" t="s">
        <v>266</v>
      </c>
      <c r="C373" t="s">
        <v>8</v>
      </c>
      <c r="D373" t="s">
        <v>652</v>
      </c>
      <c r="E373" t="s">
        <v>4218</v>
      </c>
      <c r="H373" t="s">
        <v>7154</v>
      </c>
    </row>
    <row r="374" spans="1:8" outlineLevel="1" x14ac:dyDescent="0.3">
      <c r="A374" t="s">
        <v>653</v>
      </c>
      <c r="B374" t="s">
        <v>266</v>
      </c>
      <c r="C374" t="s">
        <v>8</v>
      </c>
      <c r="D374" t="s">
        <v>654</v>
      </c>
      <c r="E374" t="s">
        <v>4219</v>
      </c>
      <c r="H374" t="s">
        <v>7155</v>
      </c>
    </row>
    <row r="375" spans="1:8" outlineLevel="1" x14ac:dyDescent="0.3">
      <c r="A375" t="s">
        <v>655</v>
      </c>
      <c r="B375" t="s">
        <v>266</v>
      </c>
      <c r="C375" t="s">
        <v>8</v>
      </c>
      <c r="D375" t="s">
        <v>656</v>
      </c>
      <c r="E375" t="s">
        <v>4220</v>
      </c>
      <c r="H375" t="s">
        <v>7156</v>
      </c>
    </row>
    <row r="376" spans="1:8" outlineLevel="1" x14ac:dyDescent="0.3">
      <c r="A376" t="s">
        <v>657</v>
      </c>
      <c r="B376" t="s">
        <v>266</v>
      </c>
      <c r="C376" t="s">
        <v>10</v>
      </c>
      <c r="D376" t="s">
        <v>658</v>
      </c>
      <c r="E376" t="s">
        <v>4221</v>
      </c>
      <c r="H376" t="s">
        <v>7157</v>
      </c>
    </row>
    <row r="377" spans="1:8" outlineLevel="1" x14ac:dyDescent="0.3">
      <c r="A377" t="s">
        <v>659</v>
      </c>
      <c r="B377" t="s">
        <v>266</v>
      </c>
      <c r="C377" t="s">
        <v>8</v>
      </c>
      <c r="D377" t="s">
        <v>660</v>
      </c>
      <c r="E377" t="s">
        <v>4222</v>
      </c>
      <c r="H377" t="s">
        <v>7158</v>
      </c>
    </row>
    <row r="378" spans="1:8" outlineLevel="1" x14ac:dyDescent="0.3">
      <c r="A378" t="s">
        <v>661</v>
      </c>
      <c r="B378" t="s">
        <v>266</v>
      </c>
      <c r="C378" t="s">
        <v>10</v>
      </c>
      <c r="D378" t="s">
        <v>662</v>
      </c>
      <c r="E378" t="s">
        <v>4223</v>
      </c>
      <c r="H378" t="s">
        <v>7159</v>
      </c>
    </row>
    <row r="379" spans="1:8" outlineLevel="1" x14ac:dyDescent="0.3">
      <c r="A379" t="s">
        <v>663</v>
      </c>
      <c r="B379" t="s">
        <v>266</v>
      </c>
      <c r="C379" t="s">
        <v>10</v>
      </c>
      <c r="D379" t="s">
        <v>662</v>
      </c>
      <c r="E379" t="s">
        <v>4223</v>
      </c>
    </row>
    <row r="380" spans="1:8" outlineLevel="1" x14ac:dyDescent="0.3">
      <c r="A380" t="s">
        <v>664</v>
      </c>
      <c r="B380" t="s">
        <v>266</v>
      </c>
      <c r="C380" t="s">
        <v>10</v>
      </c>
      <c r="D380" t="s">
        <v>665</v>
      </c>
      <c r="E380" t="s">
        <v>4224</v>
      </c>
      <c r="H380" t="s">
        <v>7160</v>
      </c>
    </row>
    <row r="381" spans="1:8" outlineLevel="1" x14ac:dyDescent="0.3">
      <c r="A381" t="s">
        <v>666</v>
      </c>
      <c r="B381" t="s">
        <v>266</v>
      </c>
      <c r="C381" t="s">
        <v>8</v>
      </c>
      <c r="D381" t="s">
        <v>667</v>
      </c>
      <c r="E381" t="s">
        <v>4225</v>
      </c>
      <c r="H381" t="s">
        <v>7044</v>
      </c>
    </row>
    <row r="382" spans="1:8" outlineLevel="1" x14ac:dyDescent="0.3">
      <c r="A382" t="s">
        <v>668</v>
      </c>
      <c r="B382" t="s">
        <v>266</v>
      </c>
      <c r="C382" t="s">
        <v>8</v>
      </c>
      <c r="D382" t="s">
        <v>669</v>
      </c>
      <c r="E382" t="s">
        <v>6118</v>
      </c>
    </row>
    <row r="383" spans="1:8" outlineLevel="1" x14ac:dyDescent="0.3">
      <c r="A383" t="s">
        <v>670</v>
      </c>
      <c r="B383" t="s">
        <v>266</v>
      </c>
      <c r="C383" t="s">
        <v>8</v>
      </c>
      <c r="D383" t="s">
        <v>671</v>
      </c>
      <c r="E383" t="s">
        <v>4226</v>
      </c>
      <c r="H383" t="s">
        <v>7161</v>
      </c>
    </row>
    <row r="384" spans="1:8" outlineLevel="1" x14ac:dyDescent="0.3">
      <c r="A384" t="s">
        <v>672</v>
      </c>
      <c r="B384" t="s">
        <v>266</v>
      </c>
      <c r="C384" t="s">
        <v>8</v>
      </c>
      <c r="D384" t="s">
        <v>673</v>
      </c>
      <c r="E384" t="s">
        <v>4227</v>
      </c>
    </row>
    <row r="385" spans="1:8" outlineLevel="1" x14ac:dyDescent="0.3">
      <c r="A385" t="s">
        <v>674</v>
      </c>
      <c r="B385" t="s">
        <v>266</v>
      </c>
      <c r="C385" t="s">
        <v>8</v>
      </c>
      <c r="D385" t="s">
        <v>675</v>
      </c>
      <c r="E385" t="s">
        <v>4228</v>
      </c>
    </row>
    <row r="386" spans="1:8" outlineLevel="1" x14ac:dyDescent="0.3">
      <c r="A386" t="s">
        <v>676</v>
      </c>
      <c r="B386" t="s">
        <v>266</v>
      </c>
      <c r="C386" t="s">
        <v>8</v>
      </c>
      <c r="D386" t="s">
        <v>677</v>
      </c>
      <c r="E386" t="s">
        <v>4229</v>
      </c>
    </row>
    <row r="387" spans="1:8" outlineLevel="1" x14ac:dyDescent="0.3">
      <c r="A387" t="s">
        <v>678</v>
      </c>
      <c r="B387" t="s">
        <v>266</v>
      </c>
      <c r="C387" t="s">
        <v>8</v>
      </c>
      <c r="D387" t="s">
        <v>679</v>
      </c>
      <c r="E387" t="s">
        <v>4230</v>
      </c>
    </row>
    <row r="388" spans="1:8" outlineLevel="1" x14ac:dyDescent="0.3">
      <c r="A388" t="s">
        <v>680</v>
      </c>
      <c r="B388" t="s">
        <v>266</v>
      </c>
      <c r="C388" t="s">
        <v>8</v>
      </c>
      <c r="D388" t="s">
        <v>681</v>
      </c>
      <c r="E388" t="s">
        <v>4231</v>
      </c>
    </row>
    <row r="389" spans="1:8" outlineLevel="1" x14ac:dyDescent="0.3">
      <c r="A389" t="s">
        <v>682</v>
      </c>
      <c r="B389" t="s">
        <v>266</v>
      </c>
      <c r="C389" t="s">
        <v>8</v>
      </c>
      <c r="D389" t="s">
        <v>683</v>
      </c>
      <c r="E389" t="s">
        <v>4232</v>
      </c>
    </row>
    <row r="390" spans="1:8" outlineLevel="1" x14ac:dyDescent="0.3">
      <c r="A390" t="s">
        <v>684</v>
      </c>
      <c r="B390" t="s">
        <v>266</v>
      </c>
      <c r="C390" t="s">
        <v>8</v>
      </c>
      <c r="D390" t="s">
        <v>685</v>
      </c>
      <c r="E390" t="s">
        <v>4233</v>
      </c>
    </row>
    <row r="391" spans="1:8" outlineLevel="1" x14ac:dyDescent="0.3">
      <c r="A391" t="s">
        <v>686</v>
      </c>
      <c r="B391" t="s">
        <v>266</v>
      </c>
      <c r="C391" t="s">
        <v>8</v>
      </c>
      <c r="D391" t="s">
        <v>687</v>
      </c>
      <c r="E391" t="s">
        <v>4234</v>
      </c>
    </row>
    <row r="392" spans="1:8" outlineLevel="1" x14ac:dyDescent="0.3">
      <c r="A392" t="s">
        <v>688</v>
      </c>
      <c r="B392" t="s">
        <v>266</v>
      </c>
      <c r="C392" t="s">
        <v>8</v>
      </c>
      <c r="D392" t="s">
        <v>689</v>
      </c>
      <c r="E392" t="s">
        <v>4235</v>
      </c>
    </row>
    <row r="393" spans="1:8" outlineLevel="1" x14ac:dyDescent="0.3">
      <c r="A393" t="s">
        <v>690</v>
      </c>
      <c r="B393" t="s">
        <v>266</v>
      </c>
      <c r="C393" t="s">
        <v>10</v>
      </c>
      <c r="D393" t="s">
        <v>691</v>
      </c>
      <c r="E393" t="s">
        <v>6119</v>
      </c>
      <c r="H393" t="s">
        <v>7162</v>
      </c>
    </row>
    <row r="394" spans="1:8" outlineLevel="1" x14ac:dyDescent="0.3">
      <c r="A394" t="s">
        <v>692</v>
      </c>
      <c r="B394" t="s">
        <v>266</v>
      </c>
      <c r="C394" t="s">
        <v>10</v>
      </c>
      <c r="D394" t="s">
        <v>693</v>
      </c>
      <c r="E394" t="s">
        <v>6120</v>
      </c>
      <c r="H394" t="s">
        <v>7163</v>
      </c>
    </row>
    <row r="395" spans="1:8" outlineLevel="1" x14ac:dyDescent="0.3">
      <c r="A395" t="s">
        <v>694</v>
      </c>
      <c r="B395" t="s">
        <v>266</v>
      </c>
      <c r="C395" t="s">
        <v>8</v>
      </c>
      <c r="D395" t="s">
        <v>3938</v>
      </c>
      <c r="E395" t="s">
        <v>4236</v>
      </c>
      <c r="H395" t="s">
        <v>7037</v>
      </c>
    </row>
    <row r="396" spans="1:8" outlineLevel="1" x14ac:dyDescent="0.3">
      <c r="A396" t="s">
        <v>695</v>
      </c>
      <c r="B396" t="s">
        <v>266</v>
      </c>
      <c r="C396" t="s">
        <v>8</v>
      </c>
      <c r="D396" t="s">
        <v>696</v>
      </c>
      <c r="E396" t="s">
        <v>4237</v>
      </c>
      <c r="H396" t="s">
        <v>7164</v>
      </c>
    </row>
    <row r="397" spans="1:8" outlineLevel="1" x14ac:dyDescent="0.3">
      <c r="A397" t="s">
        <v>697</v>
      </c>
      <c r="B397" t="s">
        <v>266</v>
      </c>
      <c r="C397" t="s">
        <v>8</v>
      </c>
      <c r="D397" t="s">
        <v>3938</v>
      </c>
      <c r="E397" t="s">
        <v>4236</v>
      </c>
      <c r="H397" t="s">
        <v>7037</v>
      </c>
    </row>
    <row r="398" spans="1:8" outlineLevel="1" x14ac:dyDescent="0.3">
      <c r="A398" t="s">
        <v>698</v>
      </c>
      <c r="B398" t="s">
        <v>266</v>
      </c>
      <c r="C398" t="s">
        <v>10</v>
      </c>
      <c r="D398" t="s">
        <v>699</v>
      </c>
      <c r="E398" t="s">
        <v>4238</v>
      </c>
      <c r="H398" t="s">
        <v>7165</v>
      </c>
    </row>
    <row r="399" spans="1:8" outlineLevel="1" x14ac:dyDescent="0.3">
      <c r="A399" t="s">
        <v>700</v>
      </c>
      <c r="B399" t="s">
        <v>266</v>
      </c>
      <c r="C399" t="s">
        <v>10</v>
      </c>
      <c r="D399" t="s">
        <v>701</v>
      </c>
      <c r="E399" t="s">
        <v>4239</v>
      </c>
      <c r="H399" t="s">
        <v>7166</v>
      </c>
    </row>
    <row r="400" spans="1:8" outlineLevel="1" x14ac:dyDescent="0.3">
      <c r="A400" t="s">
        <v>702</v>
      </c>
      <c r="B400" t="s">
        <v>266</v>
      </c>
      <c r="C400" t="s">
        <v>8</v>
      </c>
      <c r="D400" t="s">
        <v>703</v>
      </c>
      <c r="E400" t="s">
        <v>4240</v>
      </c>
    </row>
    <row r="401" spans="1:8" outlineLevel="1" x14ac:dyDescent="0.3">
      <c r="A401" t="s">
        <v>704</v>
      </c>
      <c r="B401" t="s">
        <v>266</v>
      </c>
      <c r="C401" t="s">
        <v>8</v>
      </c>
      <c r="D401" t="s">
        <v>703</v>
      </c>
      <c r="E401" t="s">
        <v>4240</v>
      </c>
    </row>
    <row r="402" spans="1:8" outlineLevel="1" x14ac:dyDescent="0.3">
      <c r="A402" t="s">
        <v>705</v>
      </c>
      <c r="B402" t="s">
        <v>266</v>
      </c>
      <c r="C402" t="s">
        <v>8</v>
      </c>
      <c r="D402" t="s">
        <v>706</v>
      </c>
      <c r="E402" t="s">
        <v>4241</v>
      </c>
    </row>
    <row r="403" spans="1:8" outlineLevel="1" x14ac:dyDescent="0.3">
      <c r="A403" t="s">
        <v>707</v>
      </c>
      <c r="B403" t="s">
        <v>266</v>
      </c>
      <c r="C403" t="s">
        <v>10</v>
      </c>
      <c r="D403" t="s">
        <v>708</v>
      </c>
      <c r="E403" t="s">
        <v>6121</v>
      </c>
      <c r="H403" t="s">
        <v>7167</v>
      </c>
    </row>
    <row r="404" spans="1:8" outlineLevel="1" x14ac:dyDescent="0.3">
      <c r="A404" t="s">
        <v>709</v>
      </c>
      <c r="B404" t="s">
        <v>266</v>
      </c>
      <c r="C404" t="s">
        <v>10</v>
      </c>
      <c r="D404" t="s">
        <v>710</v>
      </c>
      <c r="E404" t="s">
        <v>6122</v>
      </c>
      <c r="H404" t="s">
        <v>7168</v>
      </c>
    </row>
    <row r="405" spans="1:8" outlineLevel="1" x14ac:dyDescent="0.3">
      <c r="A405" t="s">
        <v>711</v>
      </c>
      <c r="B405" t="s">
        <v>266</v>
      </c>
      <c r="C405" t="s">
        <v>10</v>
      </c>
      <c r="D405" t="s">
        <v>712</v>
      </c>
      <c r="E405" t="s">
        <v>6123</v>
      </c>
      <c r="H405" t="s">
        <v>7169</v>
      </c>
    </row>
    <row r="406" spans="1:8" outlineLevel="1" x14ac:dyDescent="0.3">
      <c r="A406" t="s">
        <v>713</v>
      </c>
      <c r="B406" t="s">
        <v>266</v>
      </c>
      <c r="C406" t="s">
        <v>10</v>
      </c>
      <c r="D406" t="s">
        <v>714</v>
      </c>
      <c r="E406" t="s">
        <v>6124</v>
      </c>
      <c r="H406" t="s">
        <v>7170</v>
      </c>
    </row>
    <row r="407" spans="1:8" outlineLevel="1" x14ac:dyDescent="0.3">
      <c r="A407" t="s">
        <v>715</v>
      </c>
      <c r="B407" t="s">
        <v>266</v>
      </c>
      <c r="C407" t="s">
        <v>10</v>
      </c>
      <c r="D407" t="s">
        <v>716</v>
      </c>
      <c r="E407" t="s">
        <v>6125</v>
      </c>
      <c r="H407" t="s">
        <v>7171</v>
      </c>
    </row>
    <row r="408" spans="1:8" outlineLevel="1" x14ac:dyDescent="0.3">
      <c r="A408" t="s">
        <v>717</v>
      </c>
      <c r="B408" t="s">
        <v>266</v>
      </c>
      <c r="C408" t="s">
        <v>10</v>
      </c>
      <c r="D408" t="s">
        <v>718</v>
      </c>
      <c r="E408" t="s">
        <v>6126</v>
      </c>
    </row>
    <row r="409" spans="1:8" outlineLevel="1" x14ac:dyDescent="0.3">
      <c r="A409" t="s">
        <v>719</v>
      </c>
      <c r="B409" t="s">
        <v>266</v>
      </c>
      <c r="C409" t="s">
        <v>10</v>
      </c>
      <c r="D409" t="s">
        <v>720</v>
      </c>
      <c r="E409" t="s">
        <v>4242</v>
      </c>
      <c r="H409" t="s">
        <v>7172</v>
      </c>
    </row>
    <row r="410" spans="1:8" outlineLevel="1" x14ac:dyDescent="0.3">
      <c r="A410" t="s">
        <v>721</v>
      </c>
      <c r="B410" t="s">
        <v>266</v>
      </c>
      <c r="C410" t="s">
        <v>10</v>
      </c>
      <c r="D410" t="s">
        <v>722</v>
      </c>
      <c r="E410" t="s">
        <v>4243</v>
      </c>
      <c r="H410" t="s">
        <v>7173</v>
      </c>
    </row>
    <row r="411" spans="1:8" outlineLevel="1" x14ac:dyDescent="0.3">
      <c r="A411" t="s">
        <v>723</v>
      </c>
      <c r="B411" t="s">
        <v>266</v>
      </c>
      <c r="C411" t="s">
        <v>8</v>
      </c>
      <c r="D411" t="s">
        <v>3938</v>
      </c>
      <c r="E411" t="s">
        <v>4236</v>
      </c>
      <c r="H411" t="s">
        <v>7143</v>
      </c>
    </row>
    <row r="412" spans="1:8" outlineLevel="1" x14ac:dyDescent="0.3">
      <c r="A412" t="s">
        <v>724</v>
      </c>
      <c r="B412" t="s">
        <v>266</v>
      </c>
      <c r="C412" t="s">
        <v>10</v>
      </c>
      <c r="D412" t="s">
        <v>725</v>
      </c>
      <c r="E412" t="s">
        <v>4244</v>
      </c>
      <c r="H412" t="s">
        <v>7174</v>
      </c>
    </row>
    <row r="413" spans="1:8" outlineLevel="1" x14ac:dyDescent="0.3">
      <c r="A413" t="s">
        <v>726</v>
      </c>
      <c r="B413" t="s">
        <v>266</v>
      </c>
      <c r="C413" t="s">
        <v>10</v>
      </c>
      <c r="D413" t="s">
        <v>727</v>
      </c>
      <c r="E413" t="s">
        <v>4245</v>
      </c>
      <c r="H413" t="s">
        <v>7175</v>
      </c>
    </row>
    <row r="414" spans="1:8" outlineLevel="1" x14ac:dyDescent="0.3">
      <c r="A414" t="s">
        <v>728</v>
      </c>
      <c r="B414" t="s">
        <v>266</v>
      </c>
      <c r="C414" t="s">
        <v>8</v>
      </c>
      <c r="D414" t="s">
        <v>729</v>
      </c>
      <c r="E414" t="s">
        <v>4246</v>
      </c>
      <c r="H414" t="s">
        <v>7176</v>
      </c>
    </row>
    <row r="415" spans="1:8" outlineLevel="1" x14ac:dyDescent="0.3">
      <c r="A415" t="s">
        <v>730</v>
      </c>
      <c r="B415" t="s">
        <v>266</v>
      </c>
      <c r="C415" t="s">
        <v>8</v>
      </c>
      <c r="D415" t="s">
        <v>731</v>
      </c>
      <c r="E415" t="s">
        <v>4247</v>
      </c>
      <c r="H415" t="s">
        <v>7177</v>
      </c>
    </row>
    <row r="416" spans="1:8" outlineLevel="1" x14ac:dyDescent="0.3">
      <c r="A416" t="s">
        <v>732</v>
      </c>
      <c r="B416" t="s">
        <v>266</v>
      </c>
      <c r="C416" t="s">
        <v>10</v>
      </c>
      <c r="D416" t="s">
        <v>733</v>
      </c>
      <c r="E416" t="s">
        <v>4248</v>
      </c>
      <c r="H416" t="s">
        <v>7178</v>
      </c>
    </row>
    <row r="417" spans="1:8" outlineLevel="1" x14ac:dyDescent="0.3">
      <c r="A417" t="s">
        <v>734</v>
      </c>
      <c r="B417" t="s">
        <v>266</v>
      </c>
      <c r="C417" t="s">
        <v>10</v>
      </c>
      <c r="D417" t="s">
        <v>733</v>
      </c>
      <c r="E417" t="s">
        <v>4248</v>
      </c>
    </row>
    <row r="418" spans="1:8" outlineLevel="1" x14ac:dyDescent="0.3">
      <c r="A418" t="s">
        <v>735</v>
      </c>
      <c r="B418" t="s">
        <v>266</v>
      </c>
      <c r="C418" t="s">
        <v>8</v>
      </c>
      <c r="D418" t="s">
        <v>736</v>
      </c>
      <c r="E418" t="s">
        <v>4249</v>
      </c>
      <c r="H418" t="s">
        <v>7179</v>
      </c>
    </row>
    <row r="419" spans="1:8" outlineLevel="1" x14ac:dyDescent="0.3">
      <c r="A419" t="s">
        <v>737</v>
      </c>
      <c r="B419" t="s">
        <v>266</v>
      </c>
      <c r="C419" t="s">
        <v>8</v>
      </c>
      <c r="D419" t="s">
        <v>738</v>
      </c>
      <c r="E419" t="s">
        <v>4250</v>
      </c>
      <c r="H419" t="s">
        <v>7180</v>
      </c>
    </row>
    <row r="420" spans="1:8" outlineLevel="1" x14ac:dyDescent="0.3">
      <c r="A420" t="s">
        <v>739</v>
      </c>
      <c r="B420" t="s">
        <v>266</v>
      </c>
      <c r="C420" t="s">
        <v>8</v>
      </c>
      <c r="D420" t="s">
        <v>740</v>
      </c>
      <c r="E420" t="s">
        <v>4251</v>
      </c>
      <c r="H420" t="s">
        <v>7181</v>
      </c>
    </row>
    <row r="421" spans="1:8" outlineLevel="1" x14ac:dyDescent="0.3">
      <c r="A421" t="s">
        <v>741</v>
      </c>
      <c r="B421" t="s">
        <v>266</v>
      </c>
      <c r="C421" t="s">
        <v>10</v>
      </c>
      <c r="D421" t="s">
        <v>742</v>
      </c>
      <c r="E421" t="s">
        <v>4252</v>
      </c>
      <c r="H421" t="s">
        <v>7182</v>
      </c>
    </row>
    <row r="422" spans="1:8" outlineLevel="1" x14ac:dyDescent="0.3">
      <c r="A422" t="s">
        <v>743</v>
      </c>
      <c r="B422" t="s">
        <v>266</v>
      </c>
      <c r="C422" t="s">
        <v>8</v>
      </c>
      <c r="D422" t="s">
        <v>744</v>
      </c>
      <c r="E422" t="s">
        <v>4253</v>
      </c>
      <c r="H422" t="s">
        <v>7183</v>
      </c>
    </row>
    <row r="423" spans="1:8" outlineLevel="1" x14ac:dyDescent="0.3">
      <c r="A423" t="s">
        <v>745</v>
      </c>
      <c r="B423" t="s">
        <v>266</v>
      </c>
      <c r="C423" t="s">
        <v>8</v>
      </c>
      <c r="D423" t="s">
        <v>746</v>
      </c>
      <c r="E423" t="s">
        <v>4254</v>
      </c>
      <c r="H423" t="s">
        <v>7184</v>
      </c>
    </row>
    <row r="424" spans="1:8" outlineLevel="1" x14ac:dyDescent="0.3">
      <c r="A424" t="s">
        <v>747</v>
      </c>
      <c r="B424" t="s">
        <v>266</v>
      </c>
      <c r="C424" t="s">
        <v>8</v>
      </c>
      <c r="D424" t="s">
        <v>746</v>
      </c>
      <c r="E424" t="s">
        <v>4254</v>
      </c>
    </row>
    <row r="425" spans="1:8" outlineLevel="1" x14ac:dyDescent="0.3">
      <c r="A425" t="s">
        <v>748</v>
      </c>
      <c r="B425" t="s">
        <v>266</v>
      </c>
      <c r="C425" t="s">
        <v>8</v>
      </c>
      <c r="D425" t="s">
        <v>3939</v>
      </c>
      <c r="E425" t="s">
        <v>4255</v>
      </c>
      <c r="H425" t="s">
        <v>7185</v>
      </c>
    </row>
    <row r="426" spans="1:8" outlineLevel="1" x14ac:dyDescent="0.3">
      <c r="A426" t="s">
        <v>749</v>
      </c>
      <c r="B426" t="s">
        <v>266</v>
      </c>
      <c r="C426" t="s">
        <v>8</v>
      </c>
      <c r="D426" t="s">
        <v>3939</v>
      </c>
      <c r="E426" t="s">
        <v>4255</v>
      </c>
      <c r="H426" t="s">
        <v>7185</v>
      </c>
    </row>
    <row r="427" spans="1:8" outlineLevel="1" x14ac:dyDescent="0.3">
      <c r="A427" t="s">
        <v>750</v>
      </c>
      <c r="B427" t="s">
        <v>266</v>
      </c>
      <c r="C427" t="s">
        <v>8</v>
      </c>
      <c r="D427" t="s">
        <v>751</v>
      </c>
      <c r="E427" t="s">
        <v>4256</v>
      </c>
      <c r="H427" t="s">
        <v>7186</v>
      </c>
    </row>
    <row r="428" spans="1:8" outlineLevel="1" x14ac:dyDescent="0.3">
      <c r="A428" t="s">
        <v>752</v>
      </c>
      <c r="B428" t="s">
        <v>266</v>
      </c>
      <c r="C428" t="s">
        <v>8</v>
      </c>
      <c r="D428" t="s">
        <v>753</v>
      </c>
      <c r="E428" t="s">
        <v>4257</v>
      </c>
      <c r="H428" t="s">
        <v>7187</v>
      </c>
    </row>
    <row r="429" spans="1:8" outlineLevel="1" x14ac:dyDescent="0.3">
      <c r="A429" t="s">
        <v>754</v>
      </c>
      <c r="B429" t="s">
        <v>266</v>
      </c>
      <c r="C429" t="s">
        <v>10</v>
      </c>
      <c r="D429" t="s">
        <v>755</v>
      </c>
      <c r="E429" t="s">
        <v>4258</v>
      </c>
      <c r="H429" t="s">
        <v>7188</v>
      </c>
    </row>
    <row r="430" spans="1:8" outlineLevel="1" x14ac:dyDescent="0.3">
      <c r="A430" t="s">
        <v>756</v>
      </c>
      <c r="B430" t="s">
        <v>266</v>
      </c>
      <c r="C430" t="s">
        <v>10</v>
      </c>
      <c r="D430" t="s">
        <v>757</v>
      </c>
      <c r="E430" t="s">
        <v>4259</v>
      </c>
      <c r="H430" t="s">
        <v>7189</v>
      </c>
    </row>
    <row r="431" spans="1:8" outlineLevel="1" x14ac:dyDescent="0.3">
      <c r="A431" t="s">
        <v>758</v>
      </c>
      <c r="B431" t="s">
        <v>266</v>
      </c>
      <c r="C431" t="s">
        <v>10</v>
      </c>
      <c r="D431" t="s">
        <v>759</v>
      </c>
      <c r="E431" t="s">
        <v>4260</v>
      </c>
      <c r="H431" t="s">
        <v>7190</v>
      </c>
    </row>
    <row r="432" spans="1:8" outlineLevel="1" x14ac:dyDescent="0.3">
      <c r="A432" t="s">
        <v>760</v>
      </c>
      <c r="B432" t="s">
        <v>266</v>
      </c>
      <c r="C432" t="s">
        <v>10</v>
      </c>
      <c r="D432" t="s">
        <v>761</v>
      </c>
      <c r="E432" t="s">
        <v>4261</v>
      </c>
      <c r="H432" t="s">
        <v>7191</v>
      </c>
    </row>
    <row r="433" spans="1:8" outlineLevel="1" x14ac:dyDescent="0.3">
      <c r="A433" t="s">
        <v>762</v>
      </c>
      <c r="B433" t="s">
        <v>266</v>
      </c>
      <c r="C433" t="s">
        <v>8</v>
      </c>
      <c r="D433" t="s">
        <v>763</v>
      </c>
      <c r="E433" t="s">
        <v>4262</v>
      </c>
      <c r="H433" t="s">
        <v>7192</v>
      </c>
    </row>
    <row r="434" spans="1:8" outlineLevel="1" x14ac:dyDescent="0.3">
      <c r="A434" t="s">
        <v>764</v>
      </c>
      <c r="B434" t="s">
        <v>266</v>
      </c>
      <c r="C434" t="s">
        <v>8</v>
      </c>
      <c r="D434" t="s">
        <v>765</v>
      </c>
      <c r="E434" t="s">
        <v>4263</v>
      </c>
      <c r="H434" t="s">
        <v>7193</v>
      </c>
    </row>
    <row r="435" spans="1:8" outlineLevel="1" x14ac:dyDescent="0.3">
      <c r="A435" t="s">
        <v>766</v>
      </c>
      <c r="B435" t="s">
        <v>266</v>
      </c>
      <c r="C435" t="s">
        <v>8</v>
      </c>
      <c r="D435" t="s">
        <v>767</v>
      </c>
      <c r="E435" t="s">
        <v>6127</v>
      </c>
      <c r="H435" t="s">
        <v>7194</v>
      </c>
    </row>
    <row r="436" spans="1:8" outlineLevel="1" x14ac:dyDescent="0.3">
      <c r="A436" t="s">
        <v>768</v>
      </c>
      <c r="B436" t="s">
        <v>266</v>
      </c>
      <c r="C436" t="s">
        <v>8</v>
      </c>
      <c r="D436" t="s">
        <v>769</v>
      </c>
      <c r="E436" t="s">
        <v>4264</v>
      </c>
      <c r="H436" t="s">
        <v>7195</v>
      </c>
    </row>
    <row r="437" spans="1:8" outlineLevel="1" x14ac:dyDescent="0.3">
      <c r="A437" t="s">
        <v>770</v>
      </c>
      <c r="B437" t="s">
        <v>266</v>
      </c>
      <c r="C437" t="s">
        <v>8</v>
      </c>
      <c r="D437" t="s">
        <v>771</v>
      </c>
      <c r="E437" t="s">
        <v>4265</v>
      </c>
      <c r="H437" t="s">
        <v>7196</v>
      </c>
    </row>
    <row r="438" spans="1:8" outlineLevel="1" x14ac:dyDescent="0.3">
      <c r="A438" t="s">
        <v>772</v>
      </c>
      <c r="B438" t="s">
        <v>266</v>
      </c>
      <c r="C438" t="s">
        <v>8</v>
      </c>
      <c r="D438" t="s">
        <v>773</v>
      </c>
      <c r="E438" t="s">
        <v>4266</v>
      </c>
      <c r="H438" t="s">
        <v>7197</v>
      </c>
    </row>
    <row r="439" spans="1:8" outlineLevel="1" x14ac:dyDescent="0.3">
      <c r="A439" t="s">
        <v>774</v>
      </c>
      <c r="B439" t="s">
        <v>266</v>
      </c>
      <c r="C439" t="s">
        <v>10</v>
      </c>
      <c r="D439" t="s">
        <v>775</v>
      </c>
      <c r="E439" t="s">
        <v>4267</v>
      </c>
      <c r="H439" t="s">
        <v>7198</v>
      </c>
    </row>
    <row r="440" spans="1:8" outlineLevel="1" x14ac:dyDescent="0.3">
      <c r="A440" t="s">
        <v>776</v>
      </c>
      <c r="B440" t="s">
        <v>266</v>
      </c>
      <c r="C440" t="s">
        <v>8</v>
      </c>
      <c r="D440" t="s">
        <v>777</v>
      </c>
      <c r="E440" t="s">
        <v>4268</v>
      </c>
      <c r="H440" t="s">
        <v>7199</v>
      </c>
    </row>
    <row r="441" spans="1:8" outlineLevel="1" x14ac:dyDescent="0.3">
      <c r="A441" t="s">
        <v>778</v>
      </c>
      <c r="B441" t="s">
        <v>266</v>
      </c>
      <c r="C441" t="s">
        <v>10</v>
      </c>
      <c r="D441" t="s">
        <v>779</v>
      </c>
      <c r="E441" t="s">
        <v>4269</v>
      </c>
      <c r="H441" t="s">
        <v>7200</v>
      </c>
    </row>
    <row r="442" spans="1:8" outlineLevel="1" x14ac:dyDescent="0.3">
      <c r="A442" t="s">
        <v>780</v>
      </c>
      <c r="B442" t="s">
        <v>266</v>
      </c>
      <c r="C442" t="s">
        <v>8</v>
      </c>
      <c r="D442" t="s">
        <v>3940</v>
      </c>
      <c r="E442" t="s">
        <v>4270</v>
      </c>
      <c r="H442" t="s">
        <v>7201</v>
      </c>
    </row>
    <row r="443" spans="1:8" outlineLevel="1" x14ac:dyDescent="0.3">
      <c r="A443" t="s">
        <v>782</v>
      </c>
      <c r="B443" t="s">
        <v>266</v>
      </c>
      <c r="C443" t="s">
        <v>8</v>
      </c>
      <c r="D443" t="s">
        <v>783</v>
      </c>
      <c r="E443" t="s">
        <v>4271</v>
      </c>
      <c r="H443" t="s">
        <v>7202</v>
      </c>
    </row>
    <row r="444" spans="1:8" outlineLevel="1" x14ac:dyDescent="0.3">
      <c r="A444" t="s">
        <v>784</v>
      </c>
      <c r="B444" t="s">
        <v>266</v>
      </c>
      <c r="C444" t="s">
        <v>10</v>
      </c>
      <c r="D444" t="s">
        <v>785</v>
      </c>
      <c r="E444" t="s">
        <v>4272</v>
      </c>
      <c r="H444" t="s">
        <v>7203</v>
      </c>
    </row>
    <row r="445" spans="1:8" outlineLevel="1" x14ac:dyDescent="0.3">
      <c r="A445" t="s">
        <v>786</v>
      </c>
      <c r="B445" t="s">
        <v>266</v>
      </c>
      <c r="C445" t="s">
        <v>10</v>
      </c>
      <c r="D445" t="s">
        <v>787</v>
      </c>
      <c r="E445" t="s">
        <v>4273</v>
      </c>
      <c r="H445" t="s">
        <v>7204</v>
      </c>
    </row>
    <row r="446" spans="1:8" outlineLevel="1" x14ac:dyDescent="0.3">
      <c r="A446" t="s">
        <v>788</v>
      </c>
      <c r="B446" t="s">
        <v>266</v>
      </c>
      <c r="C446" t="s">
        <v>10</v>
      </c>
      <c r="D446" t="s">
        <v>789</v>
      </c>
      <c r="E446" t="s">
        <v>4274</v>
      </c>
      <c r="H446" t="s">
        <v>7205</v>
      </c>
    </row>
    <row r="447" spans="1:8" outlineLevel="1" x14ac:dyDescent="0.3">
      <c r="A447" t="s">
        <v>790</v>
      </c>
      <c r="B447" t="s">
        <v>266</v>
      </c>
      <c r="C447" t="s">
        <v>10</v>
      </c>
      <c r="D447" t="s">
        <v>789</v>
      </c>
      <c r="E447" t="s">
        <v>4274</v>
      </c>
    </row>
    <row r="448" spans="1:8" outlineLevel="1" x14ac:dyDescent="0.3">
      <c r="A448" t="s">
        <v>791</v>
      </c>
      <c r="B448" t="s">
        <v>266</v>
      </c>
      <c r="C448" t="s">
        <v>8</v>
      </c>
      <c r="D448" t="s">
        <v>792</v>
      </c>
      <c r="E448" t="s">
        <v>4275</v>
      </c>
    </row>
    <row r="449" spans="1:8" outlineLevel="1" x14ac:dyDescent="0.3">
      <c r="A449" t="s">
        <v>793</v>
      </c>
      <c r="B449" t="s">
        <v>266</v>
      </c>
      <c r="C449" t="s">
        <v>8</v>
      </c>
      <c r="D449" t="s">
        <v>792</v>
      </c>
      <c r="E449" t="s">
        <v>4275</v>
      </c>
    </row>
    <row r="450" spans="1:8" outlineLevel="1" x14ac:dyDescent="0.3">
      <c r="A450" t="s">
        <v>794</v>
      </c>
      <c r="B450" t="s">
        <v>266</v>
      </c>
      <c r="C450" t="s">
        <v>10</v>
      </c>
      <c r="D450" t="s">
        <v>795</v>
      </c>
      <c r="E450" t="s">
        <v>6128</v>
      </c>
    </row>
    <row r="451" spans="1:8" outlineLevel="1" x14ac:dyDescent="0.3">
      <c r="A451" t="s">
        <v>796</v>
      </c>
      <c r="B451" t="s">
        <v>266</v>
      </c>
      <c r="C451" t="s">
        <v>10</v>
      </c>
      <c r="D451" t="s">
        <v>797</v>
      </c>
      <c r="E451" t="s">
        <v>6129</v>
      </c>
    </row>
    <row r="452" spans="1:8" outlineLevel="1" x14ac:dyDescent="0.3">
      <c r="A452" t="s">
        <v>798</v>
      </c>
      <c r="B452" t="s">
        <v>266</v>
      </c>
      <c r="C452" t="s">
        <v>10</v>
      </c>
      <c r="D452" t="s">
        <v>799</v>
      </c>
      <c r="E452" t="s">
        <v>4276</v>
      </c>
    </row>
    <row r="453" spans="1:8" outlineLevel="1" x14ac:dyDescent="0.3">
      <c r="A453" t="s">
        <v>800</v>
      </c>
      <c r="B453" t="s">
        <v>266</v>
      </c>
      <c r="C453" t="s">
        <v>8</v>
      </c>
      <c r="D453" t="s">
        <v>801</v>
      </c>
      <c r="E453" t="s">
        <v>4277</v>
      </c>
      <c r="H453" t="s">
        <v>7206</v>
      </c>
    </row>
    <row r="454" spans="1:8" outlineLevel="1" x14ac:dyDescent="0.3">
      <c r="A454" t="s">
        <v>802</v>
      </c>
      <c r="B454" t="s">
        <v>266</v>
      </c>
      <c r="C454" t="s">
        <v>10</v>
      </c>
      <c r="D454" t="s">
        <v>803</v>
      </c>
      <c r="E454" t="s">
        <v>4278</v>
      </c>
      <c r="H454" t="s">
        <v>7207</v>
      </c>
    </row>
    <row r="455" spans="1:8" outlineLevel="1" x14ac:dyDescent="0.3">
      <c r="A455" t="s">
        <v>804</v>
      </c>
      <c r="B455" t="s">
        <v>266</v>
      </c>
      <c r="C455" t="s">
        <v>10</v>
      </c>
      <c r="D455" t="s">
        <v>805</v>
      </c>
      <c r="E455" t="s">
        <v>4279</v>
      </c>
    </row>
    <row r="456" spans="1:8" outlineLevel="1" x14ac:dyDescent="0.3">
      <c r="A456" t="s">
        <v>806</v>
      </c>
      <c r="B456" t="s">
        <v>266</v>
      </c>
      <c r="C456" t="s">
        <v>10</v>
      </c>
      <c r="D456" t="s">
        <v>807</v>
      </c>
      <c r="E456" t="s">
        <v>4280</v>
      </c>
    </row>
    <row r="457" spans="1:8" outlineLevel="1" x14ac:dyDescent="0.3">
      <c r="A457" t="s">
        <v>808</v>
      </c>
      <c r="B457" t="s">
        <v>266</v>
      </c>
      <c r="C457" t="s">
        <v>10</v>
      </c>
      <c r="D457" t="s">
        <v>809</v>
      </c>
      <c r="E457" t="s">
        <v>4281</v>
      </c>
    </row>
    <row r="458" spans="1:8" outlineLevel="1" x14ac:dyDescent="0.3">
      <c r="A458" t="s">
        <v>810</v>
      </c>
      <c r="B458" t="s">
        <v>266</v>
      </c>
      <c r="C458" t="s">
        <v>10</v>
      </c>
      <c r="D458" t="s">
        <v>811</v>
      </c>
      <c r="E458" t="s">
        <v>4282</v>
      </c>
    </row>
    <row r="459" spans="1:8" outlineLevel="1" x14ac:dyDescent="0.3">
      <c r="A459" t="s">
        <v>812</v>
      </c>
      <c r="B459" t="s">
        <v>266</v>
      </c>
      <c r="C459" t="s">
        <v>10</v>
      </c>
      <c r="D459" t="s">
        <v>813</v>
      </c>
      <c r="E459" t="s">
        <v>4283</v>
      </c>
    </row>
    <row r="460" spans="1:8" outlineLevel="1" x14ac:dyDescent="0.3">
      <c r="A460" t="s">
        <v>814</v>
      </c>
      <c r="B460" t="s">
        <v>266</v>
      </c>
      <c r="C460" t="s">
        <v>10</v>
      </c>
      <c r="D460" t="s">
        <v>815</v>
      </c>
      <c r="E460" t="s">
        <v>4284</v>
      </c>
    </row>
    <row r="461" spans="1:8" outlineLevel="1" x14ac:dyDescent="0.3">
      <c r="A461" t="s">
        <v>816</v>
      </c>
      <c r="B461" t="s">
        <v>266</v>
      </c>
      <c r="C461" t="s">
        <v>10</v>
      </c>
      <c r="D461" t="s">
        <v>815</v>
      </c>
      <c r="E461" t="s">
        <v>4284</v>
      </c>
    </row>
    <row r="462" spans="1:8" outlineLevel="1" x14ac:dyDescent="0.3">
      <c r="A462" t="s">
        <v>817</v>
      </c>
      <c r="B462" t="s">
        <v>266</v>
      </c>
      <c r="C462" t="s">
        <v>10</v>
      </c>
      <c r="D462" t="s">
        <v>818</v>
      </c>
      <c r="E462" t="s">
        <v>4285</v>
      </c>
    </row>
    <row r="463" spans="1:8" outlineLevel="1" x14ac:dyDescent="0.3">
      <c r="A463" t="s">
        <v>819</v>
      </c>
      <c r="B463" t="s">
        <v>266</v>
      </c>
      <c r="C463" t="s">
        <v>10</v>
      </c>
      <c r="D463" t="s">
        <v>820</v>
      </c>
      <c r="E463" t="s">
        <v>4286</v>
      </c>
    </row>
    <row r="464" spans="1:8" outlineLevel="1" x14ac:dyDescent="0.3">
      <c r="A464" t="s">
        <v>821</v>
      </c>
      <c r="B464" t="s">
        <v>266</v>
      </c>
      <c r="C464" t="s">
        <v>8</v>
      </c>
      <c r="D464" t="s">
        <v>3940</v>
      </c>
      <c r="E464" t="s">
        <v>4270</v>
      </c>
      <c r="H464" t="s">
        <v>7143</v>
      </c>
    </row>
    <row r="465" spans="1:8" outlineLevel="1" x14ac:dyDescent="0.3">
      <c r="A465" t="s">
        <v>822</v>
      </c>
      <c r="B465" t="s">
        <v>266</v>
      </c>
      <c r="C465" t="s">
        <v>10</v>
      </c>
      <c r="D465" t="s">
        <v>823</v>
      </c>
      <c r="E465" t="s">
        <v>4287</v>
      </c>
      <c r="H465" t="s">
        <v>7208</v>
      </c>
    </row>
    <row r="466" spans="1:8" outlineLevel="1" x14ac:dyDescent="0.3">
      <c r="A466" t="s">
        <v>824</v>
      </c>
      <c r="B466" t="s">
        <v>266</v>
      </c>
      <c r="C466" t="s">
        <v>10</v>
      </c>
      <c r="D466" t="s">
        <v>825</v>
      </c>
      <c r="E466" t="s">
        <v>4004</v>
      </c>
      <c r="H466" t="s">
        <v>7209</v>
      </c>
    </row>
    <row r="467" spans="1:8" outlineLevel="1" x14ac:dyDescent="0.3">
      <c r="A467" t="s">
        <v>826</v>
      </c>
      <c r="B467" t="s">
        <v>266</v>
      </c>
      <c r="C467" t="s">
        <v>10</v>
      </c>
      <c r="D467" t="s">
        <v>827</v>
      </c>
      <c r="E467" t="s">
        <v>4288</v>
      </c>
      <c r="H467" t="s">
        <v>7210</v>
      </c>
    </row>
    <row r="468" spans="1:8" outlineLevel="1" x14ac:dyDescent="0.3">
      <c r="A468" t="s">
        <v>828</v>
      </c>
      <c r="B468" t="s">
        <v>266</v>
      </c>
      <c r="C468" t="s">
        <v>10</v>
      </c>
      <c r="D468" t="s">
        <v>829</v>
      </c>
      <c r="E468" t="s">
        <v>4289</v>
      </c>
      <c r="H468" t="s">
        <v>7211</v>
      </c>
    </row>
    <row r="469" spans="1:8" outlineLevel="1" x14ac:dyDescent="0.3">
      <c r="A469" t="s">
        <v>830</v>
      </c>
      <c r="B469" t="s">
        <v>266</v>
      </c>
      <c r="C469" t="s">
        <v>10</v>
      </c>
      <c r="D469" t="s">
        <v>829</v>
      </c>
      <c r="E469" t="s">
        <v>4289</v>
      </c>
    </row>
    <row r="470" spans="1:8" outlineLevel="1" x14ac:dyDescent="0.3">
      <c r="A470" t="s">
        <v>831</v>
      </c>
      <c r="B470" t="s">
        <v>266</v>
      </c>
      <c r="C470" t="s">
        <v>10</v>
      </c>
      <c r="D470" t="s">
        <v>832</v>
      </c>
      <c r="E470" t="s">
        <v>4290</v>
      </c>
      <c r="H470" t="s">
        <v>7212</v>
      </c>
    </row>
    <row r="471" spans="1:8" outlineLevel="1" x14ac:dyDescent="0.3">
      <c r="A471" t="s">
        <v>833</v>
      </c>
      <c r="B471" t="s">
        <v>266</v>
      </c>
      <c r="C471" t="s">
        <v>10</v>
      </c>
      <c r="D471" t="s">
        <v>834</v>
      </c>
      <c r="E471" t="s">
        <v>4291</v>
      </c>
      <c r="H471" t="s">
        <v>7213</v>
      </c>
    </row>
    <row r="472" spans="1:8" outlineLevel="1" x14ac:dyDescent="0.3">
      <c r="A472" t="s">
        <v>835</v>
      </c>
      <c r="B472" t="s">
        <v>266</v>
      </c>
      <c r="C472" t="s">
        <v>10</v>
      </c>
      <c r="D472" t="s">
        <v>836</v>
      </c>
      <c r="E472" t="s">
        <v>4292</v>
      </c>
      <c r="H472" t="s">
        <v>7214</v>
      </c>
    </row>
    <row r="473" spans="1:8" outlineLevel="1" x14ac:dyDescent="0.3">
      <c r="A473" t="s">
        <v>837</v>
      </c>
      <c r="B473" t="s">
        <v>266</v>
      </c>
      <c r="C473" t="s">
        <v>10</v>
      </c>
      <c r="D473" t="s">
        <v>838</v>
      </c>
      <c r="E473" t="s">
        <v>4293</v>
      </c>
      <c r="H473" t="s">
        <v>7215</v>
      </c>
    </row>
    <row r="474" spans="1:8" outlineLevel="1" x14ac:dyDescent="0.3">
      <c r="A474" t="s">
        <v>839</v>
      </c>
      <c r="B474" t="s">
        <v>266</v>
      </c>
      <c r="C474" t="s">
        <v>8</v>
      </c>
      <c r="D474" t="s">
        <v>840</v>
      </c>
      <c r="E474" t="s">
        <v>6130</v>
      </c>
    </row>
    <row r="475" spans="1:8" outlineLevel="1" x14ac:dyDescent="0.3">
      <c r="A475" t="s">
        <v>841</v>
      </c>
      <c r="B475" t="s">
        <v>266</v>
      </c>
      <c r="C475" t="s">
        <v>10</v>
      </c>
      <c r="D475" t="s">
        <v>842</v>
      </c>
      <c r="E475" t="s">
        <v>4294</v>
      </c>
      <c r="H475" t="s">
        <v>7216</v>
      </c>
    </row>
    <row r="476" spans="1:8" outlineLevel="1" x14ac:dyDescent="0.3">
      <c r="A476" t="s">
        <v>843</v>
      </c>
      <c r="B476" t="s">
        <v>266</v>
      </c>
      <c r="C476" t="s">
        <v>10</v>
      </c>
      <c r="D476" t="s">
        <v>844</v>
      </c>
      <c r="E476" t="s">
        <v>4295</v>
      </c>
      <c r="H476" t="s">
        <v>7217</v>
      </c>
    </row>
    <row r="477" spans="1:8" outlineLevel="1" x14ac:dyDescent="0.3">
      <c r="A477" t="s">
        <v>845</v>
      </c>
      <c r="B477" t="s">
        <v>266</v>
      </c>
      <c r="C477" t="s">
        <v>8</v>
      </c>
      <c r="D477" t="s">
        <v>846</v>
      </c>
      <c r="E477" t="s">
        <v>4296</v>
      </c>
      <c r="H477" t="s">
        <v>7218</v>
      </c>
    </row>
    <row r="478" spans="1:8" outlineLevel="1" x14ac:dyDescent="0.3">
      <c r="A478" t="s">
        <v>847</v>
      </c>
      <c r="B478" t="s">
        <v>266</v>
      </c>
      <c r="C478" t="s">
        <v>8</v>
      </c>
      <c r="D478" t="s">
        <v>781</v>
      </c>
      <c r="E478" t="s">
        <v>6131</v>
      </c>
      <c r="H478" t="s">
        <v>7185</v>
      </c>
    </row>
    <row r="479" spans="1:8" outlineLevel="1" x14ac:dyDescent="0.3">
      <c r="A479" t="s">
        <v>848</v>
      </c>
      <c r="B479" t="s">
        <v>266</v>
      </c>
      <c r="C479" t="s">
        <v>8</v>
      </c>
      <c r="D479" t="s">
        <v>781</v>
      </c>
      <c r="E479" t="s">
        <v>6131</v>
      </c>
      <c r="H479" t="s">
        <v>7185</v>
      </c>
    </row>
    <row r="480" spans="1:8" outlineLevel="1" x14ac:dyDescent="0.3">
      <c r="A480" t="s">
        <v>849</v>
      </c>
      <c r="B480" t="s">
        <v>266</v>
      </c>
      <c r="C480" t="s">
        <v>8</v>
      </c>
      <c r="D480" t="s">
        <v>781</v>
      </c>
      <c r="E480" t="s">
        <v>6131</v>
      </c>
      <c r="H480" t="s">
        <v>7185</v>
      </c>
    </row>
    <row r="481" spans="1:8" outlineLevel="1" x14ac:dyDescent="0.3">
      <c r="A481" t="s">
        <v>850</v>
      </c>
      <c r="B481" t="s">
        <v>266</v>
      </c>
      <c r="C481" t="s">
        <v>8</v>
      </c>
      <c r="D481" t="s">
        <v>781</v>
      </c>
      <c r="E481" t="s">
        <v>6131</v>
      </c>
      <c r="H481" t="s">
        <v>7037</v>
      </c>
    </row>
    <row r="482" spans="1:8" outlineLevel="1" x14ac:dyDescent="0.3">
      <c r="A482" t="s">
        <v>851</v>
      </c>
      <c r="B482" t="s">
        <v>266</v>
      </c>
      <c r="C482" t="s">
        <v>8</v>
      </c>
      <c r="D482" t="s">
        <v>852</v>
      </c>
      <c r="E482" t="s">
        <v>4297</v>
      </c>
      <c r="H482" t="s">
        <v>7219</v>
      </c>
    </row>
    <row r="483" spans="1:8" outlineLevel="1" x14ac:dyDescent="0.3">
      <c r="A483" t="s">
        <v>853</v>
      </c>
      <c r="B483" t="s">
        <v>266</v>
      </c>
      <c r="C483" t="s">
        <v>10</v>
      </c>
      <c r="D483" t="s">
        <v>854</v>
      </c>
      <c r="E483" t="s">
        <v>4298</v>
      </c>
      <c r="H483" t="s">
        <v>7220</v>
      </c>
    </row>
    <row r="484" spans="1:8" outlineLevel="1" x14ac:dyDescent="0.3">
      <c r="A484" t="s">
        <v>855</v>
      </c>
      <c r="B484" t="s">
        <v>266</v>
      </c>
      <c r="C484" t="s">
        <v>10</v>
      </c>
      <c r="D484" t="s">
        <v>856</v>
      </c>
      <c r="E484" t="s">
        <v>4299</v>
      </c>
      <c r="H484" t="s">
        <v>7221</v>
      </c>
    </row>
    <row r="485" spans="1:8" outlineLevel="1" x14ac:dyDescent="0.3">
      <c r="A485" t="s">
        <v>857</v>
      </c>
      <c r="B485" t="s">
        <v>266</v>
      </c>
      <c r="C485" t="s">
        <v>10</v>
      </c>
      <c r="D485" t="s">
        <v>858</v>
      </c>
      <c r="E485" t="s">
        <v>4300</v>
      </c>
      <c r="H485" t="s">
        <v>7222</v>
      </c>
    </row>
    <row r="486" spans="1:8" outlineLevel="1" x14ac:dyDescent="0.3">
      <c r="A486" t="s">
        <v>859</v>
      </c>
      <c r="B486" t="s">
        <v>266</v>
      </c>
      <c r="C486" t="s">
        <v>10</v>
      </c>
      <c r="D486" t="s">
        <v>860</v>
      </c>
      <c r="E486" t="s">
        <v>4301</v>
      </c>
      <c r="H486" t="s">
        <v>7223</v>
      </c>
    </row>
    <row r="487" spans="1:8" outlineLevel="1" x14ac:dyDescent="0.3">
      <c r="A487" t="s">
        <v>861</v>
      </c>
      <c r="B487" t="s">
        <v>266</v>
      </c>
      <c r="C487" t="s">
        <v>10</v>
      </c>
      <c r="D487" t="s">
        <v>862</v>
      </c>
      <c r="E487" t="s">
        <v>4302</v>
      </c>
      <c r="H487" t="s">
        <v>7224</v>
      </c>
    </row>
    <row r="488" spans="1:8" outlineLevel="1" x14ac:dyDescent="0.3">
      <c r="A488" t="s">
        <v>863</v>
      </c>
      <c r="B488" t="s">
        <v>266</v>
      </c>
      <c r="C488" t="s">
        <v>10</v>
      </c>
      <c r="D488" t="s">
        <v>864</v>
      </c>
      <c r="E488" t="s">
        <v>4303</v>
      </c>
      <c r="H488" t="s">
        <v>7225</v>
      </c>
    </row>
    <row r="489" spans="1:8" outlineLevel="1" x14ac:dyDescent="0.3">
      <c r="A489" t="s">
        <v>865</v>
      </c>
      <c r="B489" t="s">
        <v>266</v>
      </c>
      <c r="C489" t="s">
        <v>10</v>
      </c>
      <c r="D489" t="s">
        <v>866</v>
      </c>
      <c r="E489" t="s">
        <v>4304</v>
      </c>
      <c r="H489" t="s">
        <v>7226</v>
      </c>
    </row>
    <row r="490" spans="1:8" outlineLevel="1" x14ac:dyDescent="0.3">
      <c r="A490" t="s">
        <v>867</v>
      </c>
      <c r="B490" t="s">
        <v>266</v>
      </c>
      <c r="C490" t="s">
        <v>10</v>
      </c>
      <c r="D490" t="s">
        <v>868</v>
      </c>
      <c r="E490" t="s">
        <v>4305</v>
      </c>
      <c r="H490" t="s">
        <v>7227</v>
      </c>
    </row>
    <row r="491" spans="1:8" outlineLevel="1" x14ac:dyDescent="0.3">
      <c r="A491" t="s">
        <v>869</v>
      </c>
      <c r="B491" t="s">
        <v>266</v>
      </c>
      <c r="C491" t="s">
        <v>10</v>
      </c>
      <c r="D491" t="s">
        <v>870</v>
      </c>
      <c r="E491" t="s">
        <v>4306</v>
      </c>
      <c r="H491" t="s">
        <v>7228</v>
      </c>
    </row>
    <row r="492" spans="1:8" outlineLevel="1" x14ac:dyDescent="0.3">
      <c r="A492" t="s">
        <v>871</v>
      </c>
      <c r="B492" t="s">
        <v>266</v>
      </c>
      <c r="C492" t="s">
        <v>10</v>
      </c>
      <c r="D492" t="s">
        <v>872</v>
      </c>
      <c r="E492" t="s">
        <v>4307</v>
      </c>
      <c r="H492" t="s">
        <v>7229</v>
      </c>
    </row>
    <row r="493" spans="1:8" outlineLevel="1" x14ac:dyDescent="0.3">
      <c r="A493" t="s">
        <v>873</v>
      </c>
      <c r="B493" t="s">
        <v>266</v>
      </c>
      <c r="C493" t="s">
        <v>10</v>
      </c>
      <c r="D493" t="s">
        <v>874</v>
      </c>
      <c r="E493" t="s">
        <v>4308</v>
      </c>
      <c r="H493" t="s">
        <v>7230</v>
      </c>
    </row>
    <row r="494" spans="1:8" outlineLevel="1" x14ac:dyDescent="0.3">
      <c r="A494" t="s">
        <v>875</v>
      </c>
      <c r="B494" t="s">
        <v>266</v>
      </c>
      <c r="C494" t="s">
        <v>10</v>
      </c>
      <c r="D494" t="s">
        <v>876</v>
      </c>
      <c r="E494" t="s">
        <v>4309</v>
      </c>
      <c r="H494" t="s">
        <v>7231</v>
      </c>
    </row>
    <row r="495" spans="1:8" outlineLevel="1" x14ac:dyDescent="0.3">
      <c r="A495" t="s">
        <v>877</v>
      </c>
      <c r="B495" t="s">
        <v>266</v>
      </c>
      <c r="C495" t="s">
        <v>10</v>
      </c>
      <c r="D495" t="s">
        <v>878</v>
      </c>
      <c r="E495" t="s">
        <v>4310</v>
      </c>
      <c r="H495" t="s">
        <v>7232</v>
      </c>
    </row>
    <row r="496" spans="1:8" outlineLevel="1" x14ac:dyDescent="0.3">
      <c r="A496" t="s">
        <v>879</v>
      </c>
      <c r="B496" t="s">
        <v>266</v>
      </c>
      <c r="C496" t="s">
        <v>10</v>
      </c>
      <c r="D496" t="s">
        <v>880</v>
      </c>
      <c r="E496" t="s">
        <v>4311</v>
      </c>
      <c r="H496" t="s">
        <v>7233</v>
      </c>
    </row>
    <row r="497" spans="1:8" outlineLevel="1" x14ac:dyDescent="0.3">
      <c r="A497" t="s">
        <v>881</v>
      </c>
      <c r="B497" t="s">
        <v>266</v>
      </c>
      <c r="C497" t="s">
        <v>8</v>
      </c>
      <c r="D497" t="s">
        <v>882</v>
      </c>
      <c r="E497" t="s">
        <v>4312</v>
      </c>
      <c r="H497" t="s">
        <v>7234</v>
      </c>
    </row>
    <row r="498" spans="1:8" outlineLevel="1" x14ac:dyDescent="0.3">
      <c r="A498" t="s">
        <v>883</v>
      </c>
      <c r="B498" t="s">
        <v>266</v>
      </c>
      <c r="C498" t="s">
        <v>10</v>
      </c>
      <c r="D498" t="s">
        <v>884</v>
      </c>
      <c r="E498" t="s">
        <v>4313</v>
      </c>
      <c r="H498" t="s">
        <v>7235</v>
      </c>
    </row>
    <row r="499" spans="1:8" outlineLevel="1" x14ac:dyDescent="0.3">
      <c r="A499" t="s">
        <v>885</v>
      </c>
      <c r="B499" t="s">
        <v>266</v>
      </c>
      <c r="C499" t="s">
        <v>10</v>
      </c>
      <c r="D499" t="s">
        <v>886</v>
      </c>
      <c r="E499" t="s">
        <v>4314</v>
      </c>
      <c r="H499" t="s">
        <v>7236</v>
      </c>
    </row>
    <row r="500" spans="1:8" outlineLevel="1" x14ac:dyDescent="0.3">
      <c r="A500" t="s">
        <v>887</v>
      </c>
      <c r="B500" t="s">
        <v>266</v>
      </c>
      <c r="C500" t="s">
        <v>8</v>
      </c>
      <c r="D500" t="s">
        <v>3941</v>
      </c>
      <c r="E500" t="s">
        <v>4315</v>
      </c>
      <c r="H500" t="s">
        <v>7037</v>
      </c>
    </row>
    <row r="501" spans="1:8" outlineLevel="1" x14ac:dyDescent="0.3">
      <c r="A501" t="s">
        <v>888</v>
      </c>
      <c r="B501" t="s">
        <v>266</v>
      </c>
      <c r="C501" t="s">
        <v>10</v>
      </c>
      <c r="D501" t="s">
        <v>889</v>
      </c>
      <c r="E501" t="s">
        <v>4316</v>
      </c>
      <c r="H501" t="s">
        <v>7237</v>
      </c>
    </row>
    <row r="502" spans="1:8" outlineLevel="1" x14ac:dyDescent="0.3">
      <c r="A502" t="s">
        <v>890</v>
      </c>
      <c r="B502" t="s">
        <v>266</v>
      </c>
      <c r="C502" t="s">
        <v>8</v>
      </c>
      <c r="D502" t="s">
        <v>891</v>
      </c>
      <c r="E502" t="s">
        <v>4317</v>
      </c>
      <c r="H502" t="s">
        <v>7238</v>
      </c>
    </row>
    <row r="503" spans="1:8" outlineLevel="1" x14ac:dyDescent="0.3">
      <c r="A503" t="s">
        <v>892</v>
      </c>
      <c r="B503" t="s">
        <v>266</v>
      </c>
      <c r="C503" t="s">
        <v>8</v>
      </c>
      <c r="D503" t="s">
        <v>3941</v>
      </c>
      <c r="E503" t="s">
        <v>4315</v>
      </c>
      <c r="H503" t="s">
        <v>7037</v>
      </c>
    </row>
    <row r="504" spans="1:8" outlineLevel="1" x14ac:dyDescent="0.3">
      <c r="A504" t="s">
        <v>893</v>
      </c>
      <c r="B504" t="s">
        <v>266</v>
      </c>
      <c r="C504" t="s">
        <v>8</v>
      </c>
      <c r="D504" t="s">
        <v>894</v>
      </c>
      <c r="E504" t="s">
        <v>4318</v>
      </c>
    </row>
    <row r="505" spans="1:8" outlineLevel="1" x14ac:dyDescent="0.3">
      <c r="A505" t="s">
        <v>895</v>
      </c>
      <c r="B505" t="s">
        <v>266</v>
      </c>
      <c r="C505" t="s">
        <v>8</v>
      </c>
      <c r="D505" t="s">
        <v>894</v>
      </c>
      <c r="E505" t="s">
        <v>4318</v>
      </c>
    </row>
    <row r="506" spans="1:8" outlineLevel="1" x14ac:dyDescent="0.3">
      <c r="A506" t="s">
        <v>896</v>
      </c>
      <c r="B506" t="s">
        <v>266</v>
      </c>
      <c r="C506" t="s">
        <v>10</v>
      </c>
      <c r="D506" t="s">
        <v>897</v>
      </c>
      <c r="E506" t="s">
        <v>4319</v>
      </c>
      <c r="H506" t="s">
        <v>7239</v>
      </c>
    </row>
    <row r="507" spans="1:8" outlineLevel="1" x14ac:dyDescent="0.3">
      <c r="A507" t="s">
        <v>898</v>
      </c>
      <c r="B507" t="s">
        <v>266</v>
      </c>
      <c r="C507" t="s">
        <v>10</v>
      </c>
      <c r="D507" t="s">
        <v>899</v>
      </c>
      <c r="E507" t="s">
        <v>4320</v>
      </c>
      <c r="H507" t="s">
        <v>7240</v>
      </c>
    </row>
    <row r="508" spans="1:8" outlineLevel="1" x14ac:dyDescent="0.3">
      <c r="A508" t="s">
        <v>900</v>
      </c>
      <c r="B508" t="s">
        <v>266</v>
      </c>
      <c r="C508" t="s">
        <v>10</v>
      </c>
      <c r="D508" t="s">
        <v>901</v>
      </c>
      <c r="E508" t="s">
        <v>4321</v>
      </c>
      <c r="H508" t="s">
        <v>7241</v>
      </c>
    </row>
    <row r="509" spans="1:8" outlineLevel="1" x14ac:dyDescent="0.3">
      <c r="A509" t="s">
        <v>902</v>
      </c>
      <c r="B509" t="s">
        <v>266</v>
      </c>
      <c r="C509" t="s">
        <v>10</v>
      </c>
      <c r="D509" t="s">
        <v>903</v>
      </c>
      <c r="E509" t="s">
        <v>4322</v>
      </c>
      <c r="H509" t="s">
        <v>7242</v>
      </c>
    </row>
    <row r="510" spans="1:8" outlineLevel="1" x14ac:dyDescent="0.3">
      <c r="A510" t="s">
        <v>904</v>
      </c>
      <c r="B510" t="s">
        <v>266</v>
      </c>
      <c r="C510" t="s">
        <v>10</v>
      </c>
      <c r="D510" t="s">
        <v>905</v>
      </c>
      <c r="E510" t="s">
        <v>4323</v>
      </c>
      <c r="H510" t="s">
        <v>7243</v>
      </c>
    </row>
    <row r="511" spans="1:8" outlineLevel="1" x14ac:dyDescent="0.3">
      <c r="A511" t="s">
        <v>906</v>
      </c>
      <c r="B511" t="s">
        <v>266</v>
      </c>
      <c r="C511" t="s">
        <v>10</v>
      </c>
      <c r="D511" t="s">
        <v>907</v>
      </c>
      <c r="E511" t="s">
        <v>4324</v>
      </c>
      <c r="H511" t="s">
        <v>7244</v>
      </c>
    </row>
    <row r="512" spans="1:8" outlineLevel="1" x14ac:dyDescent="0.3">
      <c r="A512" t="s">
        <v>908</v>
      </c>
      <c r="B512" t="s">
        <v>266</v>
      </c>
      <c r="C512" t="s">
        <v>10</v>
      </c>
      <c r="D512" t="s">
        <v>909</v>
      </c>
      <c r="E512" t="s">
        <v>4325</v>
      </c>
      <c r="H512" t="s">
        <v>7245</v>
      </c>
    </row>
    <row r="513" spans="1:8" outlineLevel="1" x14ac:dyDescent="0.3">
      <c r="A513" t="s">
        <v>910</v>
      </c>
      <c r="B513" t="s">
        <v>266</v>
      </c>
      <c r="C513" t="s">
        <v>10</v>
      </c>
      <c r="D513" t="s">
        <v>911</v>
      </c>
      <c r="E513" t="s">
        <v>4326</v>
      </c>
      <c r="H513" t="s">
        <v>7246</v>
      </c>
    </row>
    <row r="514" spans="1:8" outlineLevel="1" x14ac:dyDescent="0.3">
      <c r="A514" t="s">
        <v>912</v>
      </c>
      <c r="B514" t="s">
        <v>266</v>
      </c>
      <c r="C514" t="s">
        <v>10</v>
      </c>
      <c r="D514" t="s">
        <v>913</v>
      </c>
      <c r="E514" t="s">
        <v>4327</v>
      </c>
      <c r="H514" t="s">
        <v>7247</v>
      </c>
    </row>
    <row r="515" spans="1:8" outlineLevel="1" x14ac:dyDescent="0.3">
      <c r="A515" t="s">
        <v>914</v>
      </c>
      <c r="B515" t="s">
        <v>266</v>
      </c>
      <c r="C515" t="s">
        <v>10</v>
      </c>
      <c r="D515" t="s">
        <v>915</v>
      </c>
      <c r="E515" t="s">
        <v>4328</v>
      </c>
      <c r="H515" t="s">
        <v>7248</v>
      </c>
    </row>
    <row r="516" spans="1:8" outlineLevel="1" x14ac:dyDescent="0.3">
      <c r="A516" t="s">
        <v>916</v>
      </c>
      <c r="B516" t="s">
        <v>266</v>
      </c>
      <c r="C516" t="s">
        <v>10</v>
      </c>
      <c r="D516" t="s">
        <v>917</v>
      </c>
      <c r="E516" t="s">
        <v>4329</v>
      </c>
      <c r="H516" t="s">
        <v>7249</v>
      </c>
    </row>
    <row r="517" spans="1:8" outlineLevel="1" x14ac:dyDescent="0.3">
      <c r="A517" t="s">
        <v>918</v>
      </c>
      <c r="B517" t="s">
        <v>266</v>
      </c>
      <c r="C517" t="s">
        <v>10</v>
      </c>
      <c r="D517" t="s">
        <v>919</v>
      </c>
      <c r="E517" t="s">
        <v>4330</v>
      </c>
      <c r="H517" t="s">
        <v>7250</v>
      </c>
    </row>
    <row r="518" spans="1:8" outlineLevel="1" x14ac:dyDescent="0.3">
      <c r="A518" t="s">
        <v>920</v>
      </c>
      <c r="B518" t="s">
        <v>266</v>
      </c>
      <c r="C518" t="s">
        <v>10</v>
      </c>
      <c r="D518" t="s">
        <v>921</v>
      </c>
      <c r="E518" t="s">
        <v>4331</v>
      </c>
      <c r="H518" t="s">
        <v>7251</v>
      </c>
    </row>
    <row r="519" spans="1:8" outlineLevel="1" x14ac:dyDescent="0.3">
      <c r="A519" t="s">
        <v>922</v>
      </c>
      <c r="B519" t="s">
        <v>266</v>
      </c>
      <c r="C519" t="s">
        <v>10</v>
      </c>
      <c r="D519" t="s">
        <v>923</v>
      </c>
      <c r="E519" t="s">
        <v>4332</v>
      </c>
      <c r="H519" t="s">
        <v>7252</v>
      </c>
    </row>
    <row r="520" spans="1:8" outlineLevel="1" x14ac:dyDescent="0.3">
      <c r="A520" t="s">
        <v>924</v>
      </c>
      <c r="B520" t="s">
        <v>266</v>
      </c>
      <c r="C520" t="s">
        <v>8</v>
      </c>
      <c r="D520" t="s">
        <v>3941</v>
      </c>
      <c r="E520" t="s">
        <v>4315</v>
      </c>
      <c r="H520" t="s">
        <v>7143</v>
      </c>
    </row>
    <row r="521" spans="1:8" outlineLevel="1" x14ac:dyDescent="0.3">
      <c r="A521" t="s">
        <v>925</v>
      </c>
      <c r="B521" t="s">
        <v>266</v>
      </c>
      <c r="C521" t="s">
        <v>8</v>
      </c>
      <c r="D521" t="s">
        <v>926</v>
      </c>
      <c r="E521" t="s">
        <v>4333</v>
      </c>
      <c r="H521" t="s">
        <v>7253</v>
      </c>
    </row>
    <row r="522" spans="1:8" outlineLevel="1" x14ac:dyDescent="0.3">
      <c r="A522" t="s">
        <v>927</v>
      </c>
      <c r="B522" t="s">
        <v>266</v>
      </c>
      <c r="C522" t="s">
        <v>8</v>
      </c>
      <c r="D522" t="s">
        <v>928</v>
      </c>
      <c r="E522" t="s">
        <v>4334</v>
      </c>
      <c r="H522" t="s">
        <v>7254</v>
      </c>
    </row>
    <row r="523" spans="1:8" outlineLevel="1" x14ac:dyDescent="0.3">
      <c r="A523" t="s">
        <v>929</v>
      </c>
      <c r="B523" t="s">
        <v>266</v>
      </c>
      <c r="C523" t="s">
        <v>8</v>
      </c>
      <c r="D523" t="s">
        <v>930</v>
      </c>
      <c r="E523" t="s">
        <v>4335</v>
      </c>
      <c r="H523" t="s">
        <v>7255</v>
      </c>
    </row>
    <row r="524" spans="1:8" outlineLevel="1" x14ac:dyDescent="0.3">
      <c r="A524" t="s">
        <v>931</v>
      </c>
      <c r="B524" t="s">
        <v>266</v>
      </c>
      <c r="C524" t="s">
        <v>8</v>
      </c>
      <c r="D524" t="s">
        <v>932</v>
      </c>
      <c r="E524" t="s">
        <v>4336</v>
      </c>
      <c r="H524" t="s">
        <v>7256</v>
      </c>
    </row>
    <row r="525" spans="1:8" outlineLevel="1" x14ac:dyDescent="0.3">
      <c r="A525" t="s">
        <v>933</v>
      </c>
      <c r="B525" t="s">
        <v>266</v>
      </c>
      <c r="C525" t="s">
        <v>8</v>
      </c>
      <c r="D525" t="s">
        <v>934</v>
      </c>
      <c r="E525" t="s">
        <v>4337</v>
      </c>
    </row>
    <row r="526" spans="1:8" outlineLevel="1" x14ac:dyDescent="0.3">
      <c r="A526" t="s">
        <v>935</v>
      </c>
      <c r="B526" t="s">
        <v>266</v>
      </c>
      <c r="C526" t="s">
        <v>10</v>
      </c>
      <c r="D526" t="s">
        <v>936</v>
      </c>
      <c r="E526" t="s">
        <v>4338</v>
      </c>
      <c r="H526" t="s">
        <v>7257</v>
      </c>
    </row>
    <row r="527" spans="1:8" outlineLevel="1" x14ac:dyDescent="0.3">
      <c r="A527" t="s">
        <v>937</v>
      </c>
      <c r="B527" t="s">
        <v>266</v>
      </c>
      <c r="C527" t="s">
        <v>8</v>
      </c>
      <c r="D527" t="s">
        <v>938</v>
      </c>
      <c r="E527" t="s">
        <v>4339</v>
      </c>
    </row>
    <row r="528" spans="1:8" outlineLevel="1" x14ac:dyDescent="0.3">
      <c r="A528" t="s">
        <v>939</v>
      </c>
      <c r="B528" t="s">
        <v>266</v>
      </c>
      <c r="C528" t="s">
        <v>10</v>
      </c>
      <c r="D528" t="s">
        <v>940</v>
      </c>
      <c r="E528" t="s">
        <v>4340</v>
      </c>
      <c r="H528" t="s">
        <v>7258</v>
      </c>
    </row>
    <row r="529" spans="1:8" outlineLevel="1" x14ac:dyDescent="0.3">
      <c r="A529" t="s">
        <v>941</v>
      </c>
      <c r="B529" t="s">
        <v>266</v>
      </c>
      <c r="C529" t="s">
        <v>10</v>
      </c>
      <c r="D529" t="s">
        <v>942</v>
      </c>
      <c r="E529" t="s">
        <v>4341</v>
      </c>
      <c r="H529" t="s">
        <v>7259</v>
      </c>
    </row>
    <row r="530" spans="1:8" outlineLevel="1" x14ac:dyDescent="0.3">
      <c r="A530" t="s">
        <v>943</v>
      </c>
      <c r="B530" t="s">
        <v>266</v>
      </c>
      <c r="C530" t="s">
        <v>8</v>
      </c>
      <c r="D530" t="s">
        <v>944</v>
      </c>
      <c r="E530" t="s">
        <v>4342</v>
      </c>
      <c r="H530" t="s">
        <v>7260</v>
      </c>
    </row>
    <row r="531" spans="1:8" outlineLevel="1" x14ac:dyDescent="0.3">
      <c r="A531" t="s">
        <v>945</v>
      </c>
      <c r="B531" t="s">
        <v>266</v>
      </c>
      <c r="C531" t="s">
        <v>8</v>
      </c>
      <c r="D531" t="s">
        <v>3942</v>
      </c>
      <c r="E531" t="s">
        <v>4343</v>
      </c>
      <c r="H531" t="s">
        <v>7185</v>
      </c>
    </row>
    <row r="532" spans="1:8" outlineLevel="1" x14ac:dyDescent="0.3">
      <c r="A532" t="s">
        <v>946</v>
      </c>
      <c r="B532" t="s">
        <v>266</v>
      </c>
      <c r="C532" t="s">
        <v>8</v>
      </c>
      <c r="D532" t="s">
        <v>3942</v>
      </c>
      <c r="E532" t="s">
        <v>4343</v>
      </c>
      <c r="H532" t="s">
        <v>7261</v>
      </c>
    </row>
    <row r="533" spans="1:8" outlineLevel="1" x14ac:dyDescent="0.3">
      <c r="A533" t="s">
        <v>947</v>
      </c>
      <c r="B533" t="s">
        <v>266</v>
      </c>
      <c r="C533" t="s">
        <v>10</v>
      </c>
      <c r="D533" t="s">
        <v>948</v>
      </c>
      <c r="E533" t="s">
        <v>4344</v>
      </c>
    </row>
    <row r="534" spans="1:8" outlineLevel="1" x14ac:dyDescent="0.3">
      <c r="A534" t="s">
        <v>949</v>
      </c>
      <c r="B534" t="s">
        <v>266</v>
      </c>
      <c r="C534" t="s">
        <v>10</v>
      </c>
      <c r="D534" t="s">
        <v>950</v>
      </c>
      <c r="E534" t="s">
        <v>4345</v>
      </c>
      <c r="H534" t="s">
        <v>7262</v>
      </c>
    </row>
    <row r="535" spans="1:8" outlineLevel="1" x14ac:dyDescent="0.3">
      <c r="A535" t="s">
        <v>951</v>
      </c>
      <c r="B535" t="s">
        <v>266</v>
      </c>
      <c r="C535" t="s">
        <v>10</v>
      </c>
      <c r="D535" t="s">
        <v>952</v>
      </c>
      <c r="E535" t="s">
        <v>4346</v>
      </c>
      <c r="H535" t="s">
        <v>7263</v>
      </c>
    </row>
    <row r="536" spans="1:8" outlineLevel="1" x14ac:dyDescent="0.3">
      <c r="A536" t="s">
        <v>953</v>
      </c>
      <c r="B536" t="s">
        <v>266</v>
      </c>
      <c r="C536" t="s">
        <v>10</v>
      </c>
      <c r="D536" t="s">
        <v>954</v>
      </c>
      <c r="E536" t="s">
        <v>4347</v>
      </c>
      <c r="H536" t="s">
        <v>7264</v>
      </c>
    </row>
    <row r="537" spans="1:8" outlineLevel="1" x14ac:dyDescent="0.3">
      <c r="A537" t="s">
        <v>955</v>
      </c>
      <c r="B537" t="s">
        <v>266</v>
      </c>
      <c r="C537" t="s">
        <v>10</v>
      </c>
      <c r="D537" t="s">
        <v>956</v>
      </c>
      <c r="E537" t="s">
        <v>4348</v>
      </c>
      <c r="H537" t="s">
        <v>7265</v>
      </c>
    </row>
    <row r="538" spans="1:8" outlineLevel="1" x14ac:dyDescent="0.3">
      <c r="A538" t="s">
        <v>957</v>
      </c>
      <c r="B538" t="s">
        <v>266</v>
      </c>
      <c r="C538" t="s">
        <v>10</v>
      </c>
      <c r="D538" t="s">
        <v>958</v>
      </c>
      <c r="E538" t="s">
        <v>4349</v>
      </c>
      <c r="H538" t="s">
        <v>7266</v>
      </c>
    </row>
    <row r="539" spans="1:8" outlineLevel="1" x14ac:dyDescent="0.3">
      <c r="A539" t="s">
        <v>959</v>
      </c>
      <c r="B539" t="s">
        <v>266</v>
      </c>
      <c r="C539" t="s">
        <v>10</v>
      </c>
      <c r="D539" t="s">
        <v>960</v>
      </c>
      <c r="E539" t="s">
        <v>4350</v>
      </c>
      <c r="H539" t="s">
        <v>7267</v>
      </c>
    </row>
    <row r="540" spans="1:8" outlineLevel="1" x14ac:dyDescent="0.3">
      <c r="A540" t="s">
        <v>961</v>
      </c>
      <c r="B540" t="s">
        <v>266</v>
      </c>
      <c r="C540" t="s">
        <v>10</v>
      </c>
      <c r="D540" t="s">
        <v>962</v>
      </c>
      <c r="E540" t="s">
        <v>4351</v>
      </c>
      <c r="H540" t="s">
        <v>7268</v>
      </c>
    </row>
    <row r="541" spans="1:8" outlineLevel="1" x14ac:dyDescent="0.3">
      <c r="A541" t="s">
        <v>963</v>
      </c>
      <c r="B541" t="s">
        <v>266</v>
      </c>
      <c r="C541" t="s">
        <v>10</v>
      </c>
      <c r="D541" t="s">
        <v>964</v>
      </c>
      <c r="E541" t="s">
        <v>4352</v>
      </c>
      <c r="H541" t="s">
        <v>7269</v>
      </c>
    </row>
    <row r="542" spans="1:8" outlineLevel="1" x14ac:dyDescent="0.3">
      <c r="A542" t="s">
        <v>965</v>
      </c>
      <c r="B542" t="s">
        <v>266</v>
      </c>
      <c r="C542" t="s">
        <v>10</v>
      </c>
      <c r="D542" t="s">
        <v>966</v>
      </c>
      <c r="E542" t="s">
        <v>4353</v>
      </c>
      <c r="H542" t="s">
        <v>7270</v>
      </c>
    </row>
    <row r="543" spans="1:8" outlineLevel="1" x14ac:dyDescent="0.3">
      <c r="A543" t="s">
        <v>967</v>
      </c>
      <c r="B543" t="s">
        <v>266</v>
      </c>
      <c r="C543" t="s">
        <v>10</v>
      </c>
      <c r="D543" t="s">
        <v>968</v>
      </c>
      <c r="E543" t="s">
        <v>4354</v>
      </c>
      <c r="H543" t="s">
        <v>7271</v>
      </c>
    </row>
    <row r="544" spans="1:8" outlineLevel="1" x14ac:dyDescent="0.3">
      <c r="A544" t="s">
        <v>969</v>
      </c>
      <c r="B544" t="s">
        <v>266</v>
      </c>
      <c r="C544" t="s">
        <v>10</v>
      </c>
      <c r="D544" t="s">
        <v>970</v>
      </c>
      <c r="E544" t="s">
        <v>4355</v>
      </c>
      <c r="H544" t="s">
        <v>7272</v>
      </c>
    </row>
    <row r="545" spans="1:8" outlineLevel="1" x14ac:dyDescent="0.3">
      <c r="A545" t="s">
        <v>971</v>
      </c>
      <c r="B545" t="s">
        <v>266</v>
      </c>
      <c r="C545" t="s">
        <v>10</v>
      </c>
      <c r="D545" t="s">
        <v>972</v>
      </c>
      <c r="E545" t="s">
        <v>4356</v>
      </c>
    </row>
    <row r="546" spans="1:8" outlineLevel="1" x14ac:dyDescent="0.3">
      <c r="A546" t="s">
        <v>973</v>
      </c>
      <c r="B546" t="s">
        <v>266</v>
      </c>
      <c r="C546" t="s">
        <v>10</v>
      </c>
      <c r="D546" t="s">
        <v>972</v>
      </c>
      <c r="E546" t="s">
        <v>4356</v>
      </c>
    </row>
    <row r="547" spans="1:8" outlineLevel="1" x14ac:dyDescent="0.3">
      <c r="A547" t="s">
        <v>974</v>
      </c>
      <c r="B547" t="s">
        <v>266</v>
      </c>
      <c r="C547" t="s">
        <v>10</v>
      </c>
      <c r="D547" t="s">
        <v>975</v>
      </c>
      <c r="E547" t="s">
        <v>4357</v>
      </c>
      <c r="H547" t="s">
        <v>7273</v>
      </c>
    </row>
    <row r="548" spans="1:8" outlineLevel="1" x14ac:dyDescent="0.3">
      <c r="A548" t="s">
        <v>976</v>
      </c>
      <c r="B548" t="s">
        <v>266</v>
      </c>
      <c r="C548" t="s">
        <v>10</v>
      </c>
      <c r="D548" t="s">
        <v>977</v>
      </c>
      <c r="E548" t="s">
        <v>4358</v>
      </c>
      <c r="H548" t="s">
        <v>7274</v>
      </c>
    </row>
    <row r="549" spans="1:8" outlineLevel="1" x14ac:dyDescent="0.3">
      <c r="A549" t="s">
        <v>978</v>
      </c>
      <c r="B549" t="s">
        <v>266</v>
      </c>
      <c r="C549" t="s">
        <v>8</v>
      </c>
      <c r="D549" t="s">
        <v>3943</v>
      </c>
      <c r="E549" t="s">
        <v>4359</v>
      </c>
      <c r="H549" t="s">
        <v>7037</v>
      </c>
    </row>
    <row r="550" spans="1:8" outlineLevel="1" x14ac:dyDescent="0.3">
      <c r="A550" t="s">
        <v>979</v>
      </c>
      <c r="B550" t="s">
        <v>266</v>
      </c>
      <c r="C550" t="s">
        <v>8</v>
      </c>
      <c r="D550" t="s">
        <v>3943</v>
      </c>
      <c r="E550" t="s">
        <v>4359</v>
      </c>
      <c r="H550" t="s">
        <v>7275</v>
      </c>
    </row>
    <row r="551" spans="1:8" outlineLevel="1" x14ac:dyDescent="0.3">
      <c r="A551" t="s">
        <v>980</v>
      </c>
      <c r="B551" t="s">
        <v>266</v>
      </c>
      <c r="C551" t="s">
        <v>10</v>
      </c>
      <c r="D551" t="s">
        <v>981</v>
      </c>
      <c r="E551" t="s">
        <v>4360</v>
      </c>
      <c r="H551" t="s">
        <v>7276</v>
      </c>
    </row>
    <row r="552" spans="1:8" outlineLevel="1" x14ac:dyDescent="0.3">
      <c r="A552" t="s">
        <v>982</v>
      </c>
      <c r="B552" t="s">
        <v>266</v>
      </c>
      <c r="C552" t="s">
        <v>10</v>
      </c>
      <c r="D552" t="s">
        <v>981</v>
      </c>
      <c r="E552" t="s">
        <v>4360</v>
      </c>
    </row>
    <row r="553" spans="1:8" outlineLevel="1" x14ac:dyDescent="0.3">
      <c r="A553" t="s">
        <v>983</v>
      </c>
      <c r="B553" t="s">
        <v>266</v>
      </c>
      <c r="C553" t="s">
        <v>8</v>
      </c>
      <c r="D553" t="s">
        <v>984</v>
      </c>
      <c r="E553" t="s">
        <v>4361</v>
      </c>
    </row>
    <row r="554" spans="1:8" outlineLevel="1" x14ac:dyDescent="0.3">
      <c r="A554" t="s">
        <v>985</v>
      </c>
      <c r="B554" t="s">
        <v>266</v>
      </c>
      <c r="C554" t="s">
        <v>10</v>
      </c>
      <c r="D554" t="s">
        <v>986</v>
      </c>
      <c r="E554" t="s">
        <v>4362</v>
      </c>
    </row>
    <row r="555" spans="1:8" outlineLevel="1" x14ac:dyDescent="0.3">
      <c r="A555" t="s">
        <v>987</v>
      </c>
      <c r="B555" t="s">
        <v>266</v>
      </c>
      <c r="C555" t="s">
        <v>10</v>
      </c>
      <c r="D555" t="s">
        <v>988</v>
      </c>
      <c r="E555" t="s">
        <v>4363</v>
      </c>
    </row>
    <row r="556" spans="1:8" outlineLevel="1" x14ac:dyDescent="0.3">
      <c r="A556" t="s">
        <v>989</v>
      </c>
      <c r="B556" t="s">
        <v>266</v>
      </c>
      <c r="C556" t="s">
        <v>10</v>
      </c>
      <c r="D556" t="s">
        <v>990</v>
      </c>
      <c r="E556" t="s">
        <v>4364</v>
      </c>
    </row>
    <row r="557" spans="1:8" outlineLevel="1" x14ac:dyDescent="0.3">
      <c r="A557" t="s">
        <v>991</v>
      </c>
      <c r="B557" t="s">
        <v>266</v>
      </c>
      <c r="C557" t="s">
        <v>10</v>
      </c>
      <c r="D557" t="s">
        <v>992</v>
      </c>
      <c r="E557" t="s">
        <v>4365</v>
      </c>
      <c r="H557" t="s">
        <v>7277</v>
      </c>
    </row>
    <row r="558" spans="1:8" outlineLevel="1" x14ac:dyDescent="0.3">
      <c r="A558" t="s">
        <v>993</v>
      </c>
      <c r="B558" t="s">
        <v>266</v>
      </c>
      <c r="C558" t="s">
        <v>10</v>
      </c>
      <c r="D558" t="s">
        <v>994</v>
      </c>
      <c r="E558" t="s">
        <v>4366</v>
      </c>
      <c r="H558" t="s">
        <v>7278</v>
      </c>
    </row>
    <row r="559" spans="1:8" outlineLevel="1" x14ac:dyDescent="0.3">
      <c r="A559" t="s">
        <v>995</v>
      </c>
      <c r="B559" t="s">
        <v>266</v>
      </c>
      <c r="C559" t="s">
        <v>8</v>
      </c>
      <c r="D559" t="s">
        <v>3943</v>
      </c>
      <c r="E559" t="s">
        <v>4359</v>
      </c>
      <c r="H559" t="s">
        <v>7143</v>
      </c>
    </row>
    <row r="560" spans="1:8" outlineLevel="1" x14ac:dyDescent="0.3">
      <c r="A560" t="s">
        <v>996</v>
      </c>
      <c r="B560" t="s">
        <v>266</v>
      </c>
      <c r="C560" t="s">
        <v>10</v>
      </c>
      <c r="D560" t="s">
        <v>994</v>
      </c>
      <c r="E560" t="s">
        <v>4366</v>
      </c>
    </row>
    <row r="561" spans="1:8" outlineLevel="1" x14ac:dyDescent="0.3">
      <c r="A561" t="s">
        <v>997</v>
      </c>
      <c r="B561" t="s">
        <v>266</v>
      </c>
      <c r="C561" t="s">
        <v>10</v>
      </c>
      <c r="D561" t="s">
        <v>998</v>
      </c>
      <c r="E561" t="s">
        <v>4367</v>
      </c>
      <c r="H561" t="s">
        <v>7279</v>
      </c>
    </row>
    <row r="562" spans="1:8" outlineLevel="1" x14ac:dyDescent="0.3">
      <c r="A562" t="s">
        <v>999</v>
      </c>
      <c r="B562" t="s">
        <v>266</v>
      </c>
      <c r="C562" t="s">
        <v>10</v>
      </c>
      <c r="D562" t="s">
        <v>1000</v>
      </c>
      <c r="E562" t="s">
        <v>4368</v>
      </c>
      <c r="H562" t="s">
        <v>7280</v>
      </c>
    </row>
    <row r="563" spans="1:8" outlineLevel="1" x14ac:dyDescent="0.3">
      <c r="A563" t="s">
        <v>1001</v>
      </c>
      <c r="B563" t="s">
        <v>266</v>
      </c>
      <c r="C563" t="s">
        <v>10</v>
      </c>
      <c r="D563" t="s">
        <v>1002</v>
      </c>
      <c r="E563" t="s">
        <v>4369</v>
      </c>
      <c r="H563" t="s">
        <v>7281</v>
      </c>
    </row>
    <row r="564" spans="1:8" outlineLevel="1" x14ac:dyDescent="0.3">
      <c r="A564" t="s">
        <v>1003</v>
      </c>
      <c r="B564" t="s">
        <v>266</v>
      </c>
      <c r="C564" t="s">
        <v>10</v>
      </c>
      <c r="D564" t="s">
        <v>1004</v>
      </c>
      <c r="E564" t="s">
        <v>4370</v>
      </c>
      <c r="H564" t="s">
        <v>7282</v>
      </c>
    </row>
    <row r="565" spans="1:8" outlineLevel="1" x14ac:dyDescent="0.3">
      <c r="A565" t="s">
        <v>1005</v>
      </c>
      <c r="B565" t="s">
        <v>266</v>
      </c>
      <c r="C565" t="s">
        <v>10</v>
      </c>
      <c r="D565" t="s">
        <v>1006</v>
      </c>
      <c r="E565" t="s">
        <v>4371</v>
      </c>
    </row>
    <row r="566" spans="1:8" outlineLevel="1" x14ac:dyDescent="0.3">
      <c r="A566" t="s">
        <v>1007</v>
      </c>
      <c r="B566" t="s">
        <v>266</v>
      </c>
      <c r="C566" t="s">
        <v>10</v>
      </c>
      <c r="D566" t="s">
        <v>1008</v>
      </c>
      <c r="E566" t="s">
        <v>4372</v>
      </c>
    </row>
    <row r="567" spans="1:8" outlineLevel="1" x14ac:dyDescent="0.3">
      <c r="A567" t="s">
        <v>1009</v>
      </c>
      <c r="B567" t="s">
        <v>266</v>
      </c>
      <c r="C567" t="s">
        <v>10</v>
      </c>
      <c r="D567" t="s">
        <v>1010</v>
      </c>
      <c r="E567" t="s">
        <v>4373</v>
      </c>
    </row>
    <row r="568" spans="1:8" outlineLevel="1" x14ac:dyDescent="0.3">
      <c r="A568" t="s">
        <v>1011</v>
      </c>
      <c r="B568" t="s">
        <v>266</v>
      </c>
      <c r="C568" t="s">
        <v>10</v>
      </c>
      <c r="D568" t="s">
        <v>1012</v>
      </c>
      <c r="E568" t="s">
        <v>4374</v>
      </c>
    </row>
    <row r="569" spans="1:8" outlineLevel="1" x14ac:dyDescent="0.3">
      <c r="A569" t="s">
        <v>1013</v>
      </c>
      <c r="B569" t="s">
        <v>266</v>
      </c>
      <c r="C569" t="s">
        <v>10</v>
      </c>
      <c r="D569" t="s">
        <v>1014</v>
      </c>
      <c r="E569" t="s">
        <v>4375</v>
      </c>
    </row>
    <row r="570" spans="1:8" outlineLevel="1" x14ac:dyDescent="0.3">
      <c r="A570" t="s">
        <v>1015</v>
      </c>
      <c r="B570" t="s">
        <v>266</v>
      </c>
      <c r="C570" t="s">
        <v>10</v>
      </c>
      <c r="D570" t="s">
        <v>1016</v>
      </c>
      <c r="E570" t="s">
        <v>4376</v>
      </c>
    </row>
    <row r="571" spans="1:8" outlineLevel="1" x14ac:dyDescent="0.3">
      <c r="A571" t="s">
        <v>1017</v>
      </c>
      <c r="B571" t="s">
        <v>266</v>
      </c>
      <c r="C571" t="s">
        <v>10</v>
      </c>
      <c r="D571" t="s">
        <v>1018</v>
      </c>
      <c r="E571" t="s">
        <v>4377</v>
      </c>
    </row>
    <row r="572" spans="1:8" outlineLevel="1" x14ac:dyDescent="0.3">
      <c r="A572" t="s">
        <v>1019</v>
      </c>
      <c r="B572" t="s">
        <v>266</v>
      </c>
      <c r="C572" t="s">
        <v>10</v>
      </c>
      <c r="D572" t="s">
        <v>1020</v>
      </c>
      <c r="E572" t="s">
        <v>4378</v>
      </c>
    </row>
    <row r="573" spans="1:8" outlineLevel="1" x14ac:dyDescent="0.3">
      <c r="A573" t="s">
        <v>1021</v>
      </c>
      <c r="B573" t="s">
        <v>266</v>
      </c>
      <c r="C573" t="s">
        <v>10</v>
      </c>
      <c r="D573" t="s">
        <v>1022</v>
      </c>
      <c r="E573" t="s">
        <v>4379</v>
      </c>
    </row>
    <row r="574" spans="1:8" outlineLevel="1" x14ac:dyDescent="0.3">
      <c r="A574" t="s">
        <v>1023</v>
      </c>
      <c r="B574" t="s">
        <v>266</v>
      </c>
      <c r="C574" t="s">
        <v>10</v>
      </c>
      <c r="D574" t="s">
        <v>1024</v>
      </c>
      <c r="E574" t="s">
        <v>4380</v>
      </c>
    </row>
    <row r="575" spans="1:8" outlineLevel="1" x14ac:dyDescent="0.3">
      <c r="A575" t="s">
        <v>1025</v>
      </c>
      <c r="B575" t="s">
        <v>266</v>
      </c>
      <c r="C575" t="s">
        <v>10</v>
      </c>
      <c r="D575" t="s">
        <v>1026</v>
      </c>
      <c r="E575" t="s">
        <v>4381</v>
      </c>
    </row>
    <row r="576" spans="1:8" outlineLevel="1" x14ac:dyDescent="0.3">
      <c r="A576" t="s">
        <v>1027</v>
      </c>
      <c r="B576" t="s">
        <v>266</v>
      </c>
      <c r="C576" t="s">
        <v>8</v>
      </c>
      <c r="D576" t="s">
        <v>1028</v>
      </c>
      <c r="E576" t="s">
        <v>4382</v>
      </c>
      <c r="H576" t="s">
        <v>7283</v>
      </c>
    </row>
    <row r="577" spans="1:8" outlineLevel="1" x14ac:dyDescent="0.3">
      <c r="A577" t="s">
        <v>1029</v>
      </c>
      <c r="B577" t="s">
        <v>266</v>
      </c>
      <c r="C577" t="s">
        <v>8</v>
      </c>
      <c r="D577" t="s">
        <v>1030</v>
      </c>
      <c r="E577" t="s">
        <v>4383</v>
      </c>
      <c r="H577" t="s">
        <v>7284</v>
      </c>
    </row>
    <row r="578" spans="1:8" outlineLevel="1" x14ac:dyDescent="0.3">
      <c r="A578" t="s">
        <v>1031</v>
      </c>
      <c r="B578" t="s">
        <v>266</v>
      </c>
      <c r="C578" t="s">
        <v>8</v>
      </c>
      <c r="D578" t="s">
        <v>1030</v>
      </c>
      <c r="E578" t="s">
        <v>4383</v>
      </c>
      <c r="H578" t="s">
        <v>7284</v>
      </c>
    </row>
    <row r="579" spans="1:8" outlineLevel="1" x14ac:dyDescent="0.3">
      <c r="A579" t="s">
        <v>1032</v>
      </c>
      <c r="B579" t="s">
        <v>266</v>
      </c>
      <c r="C579" t="s">
        <v>8</v>
      </c>
      <c r="D579" t="s">
        <v>1033</v>
      </c>
      <c r="E579" t="s">
        <v>4384</v>
      </c>
      <c r="H579" t="s">
        <v>7285</v>
      </c>
    </row>
    <row r="580" spans="1:8" outlineLevel="1" x14ac:dyDescent="0.3">
      <c r="A580" t="s">
        <v>1034</v>
      </c>
      <c r="B580" t="s">
        <v>266</v>
      </c>
      <c r="C580" t="s">
        <v>8</v>
      </c>
      <c r="D580" t="s">
        <v>1033</v>
      </c>
      <c r="E580" t="s">
        <v>4384</v>
      </c>
      <c r="H580" t="s">
        <v>7286</v>
      </c>
    </row>
    <row r="581" spans="1:8" outlineLevel="1" x14ac:dyDescent="0.3">
      <c r="A581" t="s">
        <v>1035</v>
      </c>
      <c r="B581" t="s">
        <v>266</v>
      </c>
      <c r="C581" t="s">
        <v>10</v>
      </c>
      <c r="D581" t="s">
        <v>1036</v>
      </c>
      <c r="E581" t="s">
        <v>4385</v>
      </c>
      <c r="H581" t="s">
        <v>7287</v>
      </c>
    </row>
    <row r="582" spans="1:8" outlineLevel="1" x14ac:dyDescent="0.3">
      <c r="A582" t="s">
        <v>1037</v>
      </c>
      <c r="B582" t="s">
        <v>266</v>
      </c>
      <c r="C582" t="s">
        <v>8</v>
      </c>
      <c r="D582" t="s">
        <v>1038</v>
      </c>
      <c r="E582" t="s">
        <v>4386</v>
      </c>
      <c r="H582" t="s">
        <v>7185</v>
      </c>
    </row>
    <row r="583" spans="1:8" outlineLevel="1" x14ac:dyDescent="0.3">
      <c r="A583" t="s">
        <v>1039</v>
      </c>
      <c r="B583" t="s">
        <v>266</v>
      </c>
      <c r="C583" t="s">
        <v>10</v>
      </c>
      <c r="D583" t="s">
        <v>1040</v>
      </c>
      <c r="E583" t="s">
        <v>4387</v>
      </c>
      <c r="H583" t="s">
        <v>7288</v>
      </c>
    </row>
    <row r="584" spans="1:8" outlineLevel="1" x14ac:dyDescent="0.3">
      <c r="A584" t="s">
        <v>1041</v>
      </c>
      <c r="B584" t="s">
        <v>266</v>
      </c>
      <c r="C584" t="s">
        <v>10</v>
      </c>
      <c r="D584" t="s">
        <v>1042</v>
      </c>
      <c r="E584" t="s">
        <v>4388</v>
      </c>
      <c r="H584" t="s">
        <v>7289</v>
      </c>
    </row>
    <row r="585" spans="1:8" outlineLevel="1" x14ac:dyDescent="0.3">
      <c r="A585" t="s">
        <v>1043</v>
      </c>
      <c r="B585" t="s">
        <v>266</v>
      </c>
      <c r="C585" t="s">
        <v>8</v>
      </c>
      <c r="D585" t="s">
        <v>1044</v>
      </c>
      <c r="E585" t="s">
        <v>4389</v>
      </c>
      <c r="H585" t="s">
        <v>7290</v>
      </c>
    </row>
    <row r="586" spans="1:8" outlineLevel="1" x14ac:dyDescent="0.3">
      <c r="A586" t="s">
        <v>1045</v>
      </c>
      <c r="B586" t="s">
        <v>266</v>
      </c>
      <c r="C586" t="s">
        <v>8</v>
      </c>
      <c r="D586" t="s">
        <v>1046</v>
      </c>
      <c r="E586" t="s">
        <v>4390</v>
      </c>
      <c r="H586" t="s">
        <v>7291</v>
      </c>
    </row>
    <row r="587" spans="1:8" outlineLevel="1" x14ac:dyDescent="0.3">
      <c r="A587" t="s">
        <v>1047</v>
      </c>
      <c r="B587" t="s">
        <v>266</v>
      </c>
      <c r="C587" t="s">
        <v>10</v>
      </c>
      <c r="D587" t="s">
        <v>1048</v>
      </c>
      <c r="E587" t="s">
        <v>4391</v>
      </c>
      <c r="H587" t="s">
        <v>7292</v>
      </c>
    </row>
    <row r="588" spans="1:8" outlineLevel="1" x14ac:dyDescent="0.3">
      <c r="A588" t="s">
        <v>1049</v>
      </c>
      <c r="B588" t="s">
        <v>266</v>
      </c>
      <c r="C588" t="s">
        <v>10</v>
      </c>
      <c r="D588" t="s">
        <v>1050</v>
      </c>
      <c r="E588" t="s">
        <v>4392</v>
      </c>
      <c r="H588" t="s">
        <v>7293</v>
      </c>
    </row>
    <row r="589" spans="1:8" outlineLevel="1" x14ac:dyDescent="0.3">
      <c r="A589" t="s">
        <v>1051</v>
      </c>
      <c r="B589" t="s">
        <v>266</v>
      </c>
      <c r="C589" t="s">
        <v>10</v>
      </c>
      <c r="D589" t="s">
        <v>1052</v>
      </c>
      <c r="E589" t="s">
        <v>4393</v>
      </c>
      <c r="H589" t="s">
        <v>7294</v>
      </c>
    </row>
    <row r="590" spans="1:8" outlineLevel="1" x14ac:dyDescent="0.3">
      <c r="A590" t="s">
        <v>1053</v>
      </c>
      <c r="B590" t="s">
        <v>266</v>
      </c>
      <c r="C590" t="s">
        <v>10</v>
      </c>
      <c r="D590" t="s">
        <v>1054</v>
      </c>
      <c r="E590" t="s">
        <v>4394</v>
      </c>
      <c r="H590" t="s">
        <v>7295</v>
      </c>
    </row>
    <row r="591" spans="1:8" outlineLevel="1" x14ac:dyDescent="0.3">
      <c r="A591" t="s">
        <v>1055</v>
      </c>
      <c r="B591" t="s">
        <v>266</v>
      </c>
      <c r="C591" t="s">
        <v>10</v>
      </c>
      <c r="D591" t="s">
        <v>1054</v>
      </c>
      <c r="E591" t="s">
        <v>4394</v>
      </c>
    </row>
    <row r="592" spans="1:8" outlineLevel="1" x14ac:dyDescent="0.3">
      <c r="A592" t="s">
        <v>1056</v>
      </c>
      <c r="B592" t="s">
        <v>266</v>
      </c>
      <c r="C592" t="s">
        <v>10</v>
      </c>
      <c r="D592" t="s">
        <v>1054</v>
      </c>
      <c r="E592" t="s">
        <v>4394</v>
      </c>
    </row>
    <row r="593" spans="1:8" outlineLevel="1" x14ac:dyDescent="0.3">
      <c r="A593" t="s">
        <v>1057</v>
      </c>
      <c r="B593" t="s">
        <v>266</v>
      </c>
      <c r="C593" t="s">
        <v>8</v>
      </c>
      <c r="D593" t="s">
        <v>1058</v>
      </c>
      <c r="E593" t="s">
        <v>4395</v>
      </c>
    </row>
    <row r="594" spans="1:8" outlineLevel="1" x14ac:dyDescent="0.3">
      <c r="A594" t="s">
        <v>1059</v>
      </c>
      <c r="B594" t="s">
        <v>266</v>
      </c>
      <c r="C594" t="s">
        <v>8</v>
      </c>
      <c r="D594" t="s">
        <v>1058</v>
      </c>
      <c r="E594" t="s">
        <v>4395</v>
      </c>
    </row>
    <row r="595" spans="1:8" outlineLevel="1" x14ac:dyDescent="0.3">
      <c r="A595" t="s">
        <v>1060</v>
      </c>
      <c r="B595" t="s">
        <v>266</v>
      </c>
      <c r="C595" t="s">
        <v>8</v>
      </c>
      <c r="D595" t="s">
        <v>1058</v>
      </c>
      <c r="E595" t="s">
        <v>4395</v>
      </c>
    </row>
    <row r="596" spans="1:8" outlineLevel="1" x14ac:dyDescent="0.3">
      <c r="A596" t="s">
        <v>1061</v>
      </c>
      <c r="B596" t="s">
        <v>266</v>
      </c>
      <c r="C596" t="s">
        <v>8</v>
      </c>
      <c r="D596" t="s">
        <v>1058</v>
      </c>
      <c r="E596" t="s">
        <v>4395</v>
      </c>
    </row>
    <row r="597" spans="1:8" outlineLevel="1" x14ac:dyDescent="0.3">
      <c r="A597" t="s">
        <v>1062</v>
      </c>
      <c r="B597" t="s">
        <v>266</v>
      </c>
      <c r="C597" t="s">
        <v>8</v>
      </c>
      <c r="D597" t="s">
        <v>1058</v>
      </c>
      <c r="E597" t="s">
        <v>4395</v>
      </c>
    </row>
    <row r="598" spans="1:8" outlineLevel="1" x14ac:dyDescent="0.3">
      <c r="A598" t="s">
        <v>1063</v>
      </c>
      <c r="B598" t="s">
        <v>266</v>
      </c>
      <c r="C598" t="s">
        <v>8</v>
      </c>
      <c r="D598" t="s">
        <v>1064</v>
      </c>
      <c r="E598" t="s">
        <v>4396</v>
      </c>
    </row>
    <row r="599" spans="1:8" outlineLevel="1" x14ac:dyDescent="0.3">
      <c r="A599" t="s">
        <v>1065</v>
      </c>
      <c r="B599" t="s">
        <v>266</v>
      </c>
      <c r="C599" t="s">
        <v>8</v>
      </c>
      <c r="D599" t="s">
        <v>1066</v>
      </c>
      <c r="E599" t="s">
        <v>4397</v>
      </c>
      <c r="H599" t="s">
        <v>7296</v>
      </c>
    </row>
    <row r="600" spans="1:8" outlineLevel="1" x14ac:dyDescent="0.3">
      <c r="A600" t="s">
        <v>1067</v>
      </c>
      <c r="B600" t="s">
        <v>266</v>
      </c>
      <c r="C600" t="s">
        <v>8</v>
      </c>
      <c r="D600" t="s">
        <v>1066</v>
      </c>
      <c r="E600" t="s">
        <v>4397</v>
      </c>
    </row>
    <row r="601" spans="1:8" outlineLevel="1" x14ac:dyDescent="0.3">
      <c r="A601" t="s">
        <v>1068</v>
      </c>
      <c r="B601" t="s">
        <v>266</v>
      </c>
      <c r="C601" t="s">
        <v>8</v>
      </c>
      <c r="D601" t="s">
        <v>1066</v>
      </c>
      <c r="E601" t="s">
        <v>4397</v>
      </c>
    </row>
    <row r="602" spans="1:8" outlineLevel="1" x14ac:dyDescent="0.3">
      <c r="A602" t="s">
        <v>1069</v>
      </c>
      <c r="B602" t="s">
        <v>266</v>
      </c>
      <c r="C602" t="s">
        <v>8</v>
      </c>
      <c r="D602" t="s">
        <v>1066</v>
      </c>
      <c r="E602" t="s">
        <v>4397</v>
      </c>
    </row>
    <row r="603" spans="1:8" outlineLevel="1" x14ac:dyDescent="0.3">
      <c r="A603" t="s">
        <v>1070</v>
      </c>
      <c r="B603" t="s">
        <v>266</v>
      </c>
      <c r="C603" t="s">
        <v>8</v>
      </c>
      <c r="D603" t="s">
        <v>1066</v>
      </c>
      <c r="E603" t="s">
        <v>4397</v>
      </c>
    </row>
    <row r="604" spans="1:8" outlineLevel="1" x14ac:dyDescent="0.3">
      <c r="A604" t="s">
        <v>1071</v>
      </c>
      <c r="B604" t="s">
        <v>266</v>
      </c>
      <c r="C604" t="s">
        <v>10</v>
      </c>
      <c r="D604" t="s">
        <v>1072</v>
      </c>
      <c r="E604" t="s">
        <v>4398</v>
      </c>
      <c r="H604" t="s">
        <v>7297</v>
      </c>
    </row>
    <row r="605" spans="1:8" outlineLevel="1" x14ac:dyDescent="0.3">
      <c r="A605" t="s">
        <v>1073</v>
      </c>
      <c r="B605" t="s">
        <v>266</v>
      </c>
      <c r="C605" t="s">
        <v>10</v>
      </c>
      <c r="D605" t="s">
        <v>1074</v>
      </c>
      <c r="E605" t="s">
        <v>4399</v>
      </c>
      <c r="H605" t="s">
        <v>7298</v>
      </c>
    </row>
    <row r="606" spans="1:8" outlineLevel="1" x14ac:dyDescent="0.3">
      <c r="A606" t="s">
        <v>1075</v>
      </c>
      <c r="B606" t="s">
        <v>266</v>
      </c>
      <c r="C606" t="s">
        <v>10</v>
      </c>
      <c r="D606" t="s">
        <v>1076</v>
      </c>
      <c r="E606" t="s">
        <v>4400</v>
      </c>
      <c r="H606" t="s">
        <v>7299</v>
      </c>
    </row>
    <row r="607" spans="1:8" outlineLevel="1" x14ac:dyDescent="0.3">
      <c r="A607" t="s">
        <v>1077</v>
      </c>
      <c r="B607" t="s">
        <v>266</v>
      </c>
      <c r="C607" t="s">
        <v>10</v>
      </c>
      <c r="D607" t="s">
        <v>1078</v>
      </c>
      <c r="E607" t="s">
        <v>4401</v>
      </c>
      <c r="H607" t="s">
        <v>7300</v>
      </c>
    </row>
    <row r="608" spans="1:8" outlineLevel="1" x14ac:dyDescent="0.3">
      <c r="A608" t="s">
        <v>1079</v>
      </c>
      <c r="B608" t="s">
        <v>266</v>
      </c>
      <c r="C608" t="s">
        <v>10</v>
      </c>
      <c r="D608" t="s">
        <v>1080</v>
      </c>
      <c r="E608" t="s">
        <v>4402</v>
      </c>
      <c r="H608" t="s">
        <v>7301</v>
      </c>
    </row>
    <row r="609" spans="1:8" outlineLevel="1" x14ac:dyDescent="0.3">
      <c r="A609" t="s">
        <v>1081</v>
      </c>
      <c r="B609" t="s">
        <v>266</v>
      </c>
      <c r="C609" t="s">
        <v>10</v>
      </c>
      <c r="D609" t="s">
        <v>1082</v>
      </c>
      <c r="E609" t="s">
        <v>4403</v>
      </c>
      <c r="H609" t="s">
        <v>7302</v>
      </c>
    </row>
    <row r="610" spans="1:8" outlineLevel="1" x14ac:dyDescent="0.3">
      <c r="A610" t="s">
        <v>1083</v>
      </c>
      <c r="B610" t="s">
        <v>266</v>
      </c>
      <c r="C610" t="s">
        <v>10</v>
      </c>
      <c r="D610" t="s">
        <v>1084</v>
      </c>
      <c r="E610" t="s">
        <v>4404</v>
      </c>
      <c r="H610" t="s">
        <v>7303</v>
      </c>
    </row>
    <row r="611" spans="1:8" outlineLevel="1" x14ac:dyDescent="0.3">
      <c r="A611" t="s">
        <v>1085</v>
      </c>
      <c r="B611" t="s">
        <v>266</v>
      </c>
      <c r="C611" t="s">
        <v>10</v>
      </c>
      <c r="D611" t="s">
        <v>1086</v>
      </c>
      <c r="E611" t="s">
        <v>4405</v>
      </c>
      <c r="H611" t="s">
        <v>7304</v>
      </c>
    </row>
    <row r="612" spans="1:8" outlineLevel="1" x14ac:dyDescent="0.3">
      <c r="A612" t="s">
        <v>1087</v>
      </c>
      <c r="B612" t="s">
        <v>266</v>
      </c>
      <c r="C612" t="s">
        <v>10</v>
      </c>
      <c r="D612" t="s">
        <v>1088</v>
      </c>
      <c r="E612" t="s">
        <v>4406</v>
      </c>
      <c r="H612" t="s">
        <v>7305</v>
      </c>
    </row>
    <row r="613" spans="1:8" outlineLevel="1" x14ac:dyDescent="0.3">
      <c r="A613" t="s">
        <v>1089</v>
      </c>
      <c r="B613" t="s">
        <v>266</v>
      </c>
      <c r="C613" t="s">
        <v>10</v>
      </c>
      <c r="D613" t="s">
        <v>1090</v>
      </c>
      <c r="E613" t="s">
        <v>4407</v>
      </c>
      <c r="H613" t="s">
        <v>7306</v>
      </c>
    </row>
    <row r="614" spans="1:8" outlineLevel="1" x14ac:dyDescent="0.3">
      <c r="A614" t="s">
        <v>1091</v>
      </c>
      <c r="B614" t="s">
        <v>266</v>
      </c>
      <c r="C614" t="s">
        <v>8</v>
      </c>
      <c r="D614" t="s">
        <v>1092</v>
      </c>
      <c r="E614" t="s">
        <v>4408</v>
      </c>
      <c r="H614" t="s">
        <v>7307</v>
      </c>
    </row>
    <row r="615" spans="1:8" outlineLevel="1" x14ac:dyDescent="0.3">
      <c r="A615" t="s">
        <v>1093</v>
      </c>
      <c r="B615" t="s">
        <v>266</v>
      </c>
      <c r="C615" t="s">
        <v>10</v>
      </c>
      <c r="D615" t="s">
        <v>1094</v>
      </c>
      <c r="E615" t="s">
        <v>4409</v>
      </c>
      <c r="H615" t="s">
        <v>7308</v>
      </c>
    </row>
    <row r="616" spans="1:8" outlineLevel="1" x14ac:dyDescent="0.3">
      <c r="A616" t="s">
        <v>1095</v>
      </c>
      <c r="B616" t="s">
        <v>266</v>
      </c>
      <c r="C616" t="s">
        <v>10</v>
      </c>
      <c r="D616" t="s">
        <v>1096</v>
      </c>
      <c r="E616" t="s">
        <v>4410</v>
      </c>
      <c r="H616" t="s">
        <v>7309</v>
      </c>
    </row>
    <row r="617" spans="1:8" outlineLevel="1" x14ac:dyDescent="0.3">
      <c r="A617" t="s">
        <v>1097</v>
      </c>
      <c r="B617" t="s">
        <v>266</v>
      </c>
      <c r="C617" t="s">
        <v>10</v>
      </c>
      <c r="D617" t="s">
        <v>1098</v>
      </c>
      <c r="E617" t="s">
        <v>4411</v>
      </c>
      <c r="H617" t="s">
        <v>7310</v>
      </c>
    </row>
    <row r="618" spans="1:8" outlineLevel="1" x14ac:dyDescent="0.3">
      <c r="A618" t="s">
        <v>1099</v>
      </c>
      <c r="B618" t="s">
        <v>266</v>
      </c>
      <c r="C618" t="s">
        <v>10</v>
      </c>
      <c r="D618" t="s">
        <v>1100</v>
      </c>
      <c r="E618" t="s">
        <v>4412</v>
      </c>
      <c r="H618" t="s">
        <v>7311</v>
      </c>
    </row>
    <row r="619" spans="1:8" outlineLevel="1" x14ac:dyDescent="0.3">
      <c r="A619" t="s">
        <v>1101</v>
      </c>
      <c r="B619" t="s">
        <v>266</v>
      </c>
      <c r="C619" t="s">
        <v>10</v>
      </c>
      <c r="D619" t="s">
        <v>1100</v>
      </c>
      <c r="E619" t="s">
        <v>4412</v>
      </c>
    </row>
    <row r="620" spans="1:8" outlineLevel="1" x14ac:dyDescent="0.3">
      <c r="A620" t="s">
        <v>1102</v>
      </c>
      <c r="B620" t="s">
        <v>266</v>
      </c>
      <c r="C620" t="s">
        <v>10</v>
      </c>
      <c r="D620" t="s">
        <v>1103</v>
      </c>
      <c r="E620" t="s">
        <v>4413</v>
      </c>
      <c r="H620" t="s">
        <v>7312</v>
      </c>
    </row>
    <row r="621" spans="1:8" outlineLevel="1" x14ac:dyDescent="0.3">
      <c r="A621" t="s">
        <v>1104</v>
      </c>
      <c r="B621" t="s">
        <v>266</v>
      </c>
      <c r="C621" t="s">
        <v>10</v>
      </c>
      <c r="D621" t="s">
        <v>1105</v>
      </c>
      <c r="E621" t="s">
        <v>4414</v>
      </c>
      <c r="H621" t="s">
        <v>7313</v>
      </c>
    </row>
    <row r="622" spans="1:8" outlineLevel="1" x14ac:dyDescent="0.3">
      <c r="A622" t="s">
        <v>1106</v>
      </c>
      <c r="B622" t="s">
        <v>266</v>
      </c>
      <c r="C622" t="s">
        <v>10</v>
      </c>
      <c r="D622" t="s">
        <v>1107</v>
      </c>
      <c r="E622" t="s">
        <v>4415</v>
      </c>
      <c r="H622" t="s">
        <v>7314</v>
      </c>
    </row>
    <row r="623" spans="1:8" outlineLevel="1" x14ac:dyDescent="0.3">
      <c r="A623" t="s">
        <v>1108</v>
      </c>
      <c r="B623" t="s">
        <v>266</v>
      </c>
      <c r="C623" t="s">
        <v>10</v>
      </c>
      <c r="D623" t="s">
        <v>1109</v>
      </c>
      <c r="E623" t="s">
        <v>4416</v>
      </c>
      <c r="H623" t="s">
        <v>7315</v>
      </c>
    </row>
    <row r="624" spans="1:8" outlineLevel="1" x14ac:dyDescent="0.3">
      <c r="A624" t="s">
        <v>1110</v>
      </c>
      <c r="B624" t="s">
        <v>266</v>
      </c>
      <c r="C624" t="s">
        <v>10</v>
      </c>
      <c r="D624" t="s">
        <v>1111</v>
      </c>
      <c r="E624" t="s">
        <v>4417</v>
      </c>
      <c r="H624" t="s">
        <v>7316</v>
      </c>
    </row>
    <row r="625" spans="1:8" outlineLevel="1" x14ac:dyDescent="0.3">
      <c r="A625" t="s">
        <v>1112</v>
      </c>
      <c r="B625" t="s">
        <v>266</v>
      </c>
      <c r="C625" t="s">
        <v>10</v>
      </c>
      <c r="D625" t="s">
        <v>1113</v>
      </c>
      <c r="E625" t="s">
        <v>4418</v>
      </c>
    </row>
    <row r="626" spans="1:8" outlineLevel="1" x14ac:dyDescent="0.3">
      <c r="A626" t="s">
        <v>1114</v>
      </c>
      <c r="B626" t="s">
        <v>266</v>
      </c>
      <c r="C626" t="s">
        <v>10</v>
      </c>
      <c r="D626" t="s">
        <v>1115</v>
      </c>
      <c r="E626" t="s">
        <v>4419</v>
      </c>
      <c r="H626" t="s">
        <v>7317</v>
      </c>
    </row>
    <row r="627" spans="1:8" outlineLevel="1" x14ac:dyDescent="0.3">
      <c r="A627" t="s">
        <v>1116</v>
      </c>
      <c r="B627" t="s">
        <v>266</v>
      </c>
      <c r="C627" t="s">
        <v>10</v>
      </c>
      <c r="D627" t="s">
        <v>1117</v>
      </c>
      <c r="E627" t="s">
        <v>4420</v>
      </c>
      <c r="H627" t="s">
        <v>7318</v>
      </c>
    </row>
    <row r="628" spans="1:8" outlineLevel="1" x14ac:dyDescent="0.3">
      <c r="A628" t="s">
        <v>1118</v>
      </c>
      <c r="B628" t="s">
        <v>266</v>
      </c>
      <c r="C628" t="s">
        <v>10</v>
      </c>
      <c r="D628" t="s">
        <v>1119</v>
      </c>
      <c r="E628" t="s">
        <v>4421</v>
      </c>
      <c r="H628" t="s">
        <v>7319</v>
      </c>
    </row>
    <row r="629" spans="1:8" outlineLevel="1" x14ac:dyDescent="0.3">
      <c r="A629" t="s">
        <v>1120</v>
      </c>
      <c r="B629" t="s">
        <v>266</v>
      </c>
      <c r="C629" t="s">
        <v>10</v>
      </c>
      <c r="D629" t="s">
        <v>1121</v>
      </c>
      <c r="E629" t="s">
        <v>4422</v>
      </c>
      <c r="H629" t="s">
        <v>7320</v>
      </c>
    </row>
    <row r="630" spans="1:8" outlineLevel="1" x14ac:dyDescent="0.3">
      <c r="A630" t="s">
        <v>1122</v>
      </c>
      <c r="B630" t="s">
        <v>266</v>
      </c>
      <c r="C630" t="s">
        <v>8</v>
      </c>
      <c r="D630" t="s">
        <v>1123</v>
      </c>
      <c r="E630" t="s">
        <v>4423</v>
      </c>
    </row>
    <row r="631" spans="1:8" outlineLevel="1" x14ac:dyDescent="0.3">
      <c r="A631" t="s">
        <v>1124</v>
      </c>
      <c r="B631" t="s">
        <v>266</v>
      </c>
      <c r="C631" t="s">
        <v>10</v>
      </c>
      <c r="D631" t="s">
        <v>1125</v>
      </c>
      <c r="E631" t="s">
        <v>4424</v>
      </c>
      <c r="H631" t="s">
        <v>7321</v>
      </c>
    </row>
    <row r="632" spans="1:8" outlineLevel="1" x14ac:dyDescent="0.3">
      <c r="A632" t="s">
        <v>1126</v>
      </c>
      <c r="B632" t="s">
        <v>266</v>
      </c>
      <c r="C632" t="s">
        <v>8</v>
      </c>
      <c r="D632" t="s">
        <v>1127</v>
      </c>
      <c r="E632" t="s">
        <v>4425</v>
      </c>
      <c r="H632" t="s">
        <v>7322</v>
      </c>
    </row>
    <row r="633" spans="1:8" outlineLevel="1" x14ac:dyDescent="0.3">
      <c r="A633" t="s">
        <v>1128</v>
      </c>
      <c r="B633" t="s">
        <v>266</v>
      </c>
      <c r="C633" t="s">
        <v>8</v>
      </c>
      <c r="D633" t="s">
        <v>3944</v>
      </c>
      <c r="E633" t="s">
        <v>4426</v>
      </c>
      <c r="H633" t="s">
        <v>7185</v>
      </c>
    </row>
    <row r="634" spans="1:8" outlineLevel="1" x14ac:dyDescent="0.3">
      <c r="A634" t="s">
        <v>1129</v>
      </c>
      <c r="B634" t="s">
        <v>266</v>
      </c>
      <c r="C634" t="s">
        <v>8</v>
      </c>
      <c r="D634" t="s">
        <v>3944</v>
      </c>
      <c r="E634" t="s">
        <v>4426</v>
      </c>
      <c r="H634" t="s">
        <v>7323</v>
      </c>
    </row>
    <row r="635" spans="1:8" outlineLevel="1" x14ac:dyDescent="0.3">
      <c r="A635" t="s">
        <v>1130</v>
      </c>
      <c r="B635" t="s">
        <v>266</v>
      </c>
      <c r="C635" t="s">
        <v>10</v>
      </c>
      <c r="D635" t="s">
        <v>1131</v>
      </c>
      <c r="E635" t="s">
        <v>4427</v>
      </c>
    </row>
    <row r="636" spans="1:8" outlineLevel="1" x14ac:dyDescent="0.3">
      <c r="A636" t="s">
        <v>1132</v>
      </c>
      <c r="B636" t="s">
        <v>266</v>
      </c>
      <c r="C636" t="s">
        <v>10</v>
      </c>
      <c r="D636" t="s">
        <v>1133</v>
      </c>
      <c r="E636" t="s">
        <v>4428</v>
      </c>
      <c r="H636" t="s">
        <v>7324</v>
      </c>
    </row>
    <row r="637" spans="1:8" outlineLevel="1" x14ac:dyDescent="0.3">
      <c r="A637" t="s">
        <v>1134</v>
      </c>
      <c r="B637" t="s">
        <v>266</v>
      </c>
      <c r="C637" t="s">
        <v>10</v>
      </c>
      <c r="D637" t="s">
        <v>1135</v>
      </c>
      <c r="E637" t="s">
        <v>4429</v>
      </c>
    </row>
    <row r="638" spans="1:8" outlineLevel="1" x14ac:dyDescent="0.3">
      <c r="A638" t="s">
        <v>1136</v>
      </c>
      <c r="B638" t="s">
        <v>266</v>
      </c>
      <c r="C638" t="s">
        <v>8</v>
      </c>
      <c r="D638" t="s">
        <v>3944</v>
      </c>
      <c r="E638" t="s">
        <v>4426</v>
      </c>
      <c r="H638" t="s">
        <v>7143</v>
      </c>
    </row>
    <row r="639" spans="1:8" outlineLevel="1" x14ac:dyDescent="0.3">
      <c r="A639" t="s">
        <v>1137</v>
      </c>
      <c r="B639" t="s">
        <v>266</v>
      </c>
      <c r="C639" t="s">
        <v>10</v>
      </c>
      <c r="D639" t="s">
        <v>1138</v>
      </c>
      <c r="E639" t="s">
        <v>4430</v>
      </c>
    </row>
    <row r="640" spans="1:8" outlineLevel="1" x14ac:dyDescent="0.3">
      <c r="A640" t="s">
        <v>1139</v>
      </c>
      <c r="B640" t="s">
        <v>266</v>
      </c>
      <c r="C640" t="s">
        <v>10</v>
      </c>
      <c r="D640" t="s">
        <v>1140</v>
      </c>
      <c r="E640" t="s">
        <v>4431</v>
      </c>
    </row>
    <row r="641" spans="1:8" outlineLevel="1" x14ac:dyDescent="0.3">
      <c r="A641" t="s">
        <v>1141</v>
      </c>
      <c r="B641" t="s">
        <v>266</v>
      </c>
      <c r="C641" t="s">
        <v>10</v>
      </c>
      <c r="D641" t="s">
        <v>1142</v>
      </c>
      <c r="E641" t="s">
        <v>4432</v>
      </c>
    </row>
    <row r="642" spans="1:8" outlineLevel="1" x14ac:dyDescent="0.3">
      <c r="A642" t="s">
        <v>1143</v>
      </c>
      <c r="B642" t="s">
        <v>266</v>
      </c>
      <c r="C642" t="s">
        <v>10</v>
      </c>
      <c r="D642" t="s">
        <v>1144</v>
      </c>
      <c r="E642" t="s">
        <v>4433</v>
      </c>
    </row>
    <row r="643" spans="1:8" outlineLevel="1" x14ac:dyDescent="0.3">
      <c r="A643" t="s">
        <v>1145</v>
      </c>
      <c r="B643" t="s">
        <v>266</v>
      </c>
      <c r="C643" t="s">
        <v>10</v>
      </c>
      <c r="D643" t="s">
        <v>1146</v>
      </c>
      <c r="E643" t="s">
        <v>4434</v>
      </c>
    </row>
    <row r="644" spans="1:8" outlineLevel="1" x14ac:dyDescent="0.3">
      <c r="A644" t="s">
        <v>1147</v>
      </c>
      <c r="B644" t="s">
        <v>266</v>
      </c>
      <c r="C644" t="s">
        <v>10</v>
      </c>
      <c r="D644" t="s">
        <v>1148</v>
      </c>
      <c r="E644" t="s">
        <v>4435</v>
      </c>
    </row>
    <row r="645" spans="1:8" outlineLevel="1" x14ac:dyDescent="0.3">
      <c r="A645" t="s">
        <v>1149</v>
      </c>
      <c r="B645" t="s">
        <v>266</v>
      </c>
      <c r="C645" t="s">
        <v>10</v>
      </c>
      <c r="D645" t="s">
        <v>1150</v>
      </c>
      <c r="E645" t="s">
        <v>4436</v>
      </c>
    </row>
    <row r="646" spans="1:8" outlineLevel="1" x14ac:dyDescent="0.3">
      <c r="A646" t="s">
        <v>1151</v>
      </c>
      <c r="B646" t="s">
        <v>266</v>
      </c>
      <c r="C646" t="s">
        <v>10</v>
      </c>
      <c r="D646" t="s">
        <v>1152</v>
      </c>
      <c r="E646" t="s">
        <v>4437</v>
      </c>
    </row>
    <row r="647" spans="1:8" outlineLevel="1" x14ac:dyDescent="0.3">
      <c r="A647" t="s">
        <v>1153</v>
      </c>
      <c r="B647" t="s">
        <v>266</v>
      </c>
      <c r="C647" t="s">
        <v>10</v>
      </c>
      <c r="D647" t="s">
        <v>1154</v>
      </c>
      <c r="E647" t="s">
        <v>4438</v>
      </c>
    </row>
    <row r="648" spans="1:8" outlineLevel="1" x14ac:dyDescent="0.3">
      <c r="A648" t="s">
        <v>1155</v>
      </c>
      <c r="B648" t="s">
        <v>266</v>
      </c>
      <c r="C648" t="s">
        <v>10</v>
      </c>
      <c r="D648" t="s">
        <v>1156</v>
      </c>
      <c r="E648" t="s">
        <v>4439</v>
      </c>
    </row>
    <row r="649" spans="1:8" outlineLevel="1" x14ac:dyDescent="0.3">
      <c r="A649" t="s">
        <v>1157</v>
      </c>
      <c r="B649" t="s">
        <v>266</v>
      </c>
      <c r="C649" t="s">
        <v>8</v>
      </c>
      <c r="D649" t="s">
        <v>1158</v>
      </c>
      <c r="E649" t="s">
        <v>4440</v>
      </c>
      <c r="H649" t="s">
        <v>7325</v>
      </c>
    </row>
    <row r="650" spans="1:8" outlineLevel="1" x14ac:dyDescent="0.3">
      <c r="A650" t="s">
        <v>1159</v>
      </c>
      <c r="B650" t="s">
        <v>266</v>
      </c>
      <c r="C650" t="s">
        <v>8</v>
      </c>
      <c r="D650" t="s">
        <v>1160</v>
      </c>
      <c r="E650" t="s">
        <v>4441</v>
      </c>
    </row>
    <row r="651" spans="1:8" outlineLevel="1" x14ac:dyDescent="0.3">
      <c r="A651" t="s">
        <v>1161</v>
      </c>
      <c r="B651" t="s">
        <v>266</v>
      </c>
      <c r="C651" t="s">
        <v>10</v>
      </c>
      <c r="D651" t="s">
        <v>1162</v>
      </c>
      <c r="E651" t="s">
        <v>4442</v>
      </c>
    </row>
    <row r="652" spans="1:8" outlineLevel="1" x14ac:dyDescent="0.3">
      <c r="A652" t="s">
        <v>1163</v>
      </c>
      <c r="B652" t="s">
        <v>266</v>
      </c>
      <c r="C652" t="s">
        <v>8</v>
      </c>
      <c r="D652" t="s">
        <v>3944</v>
      </c>
      <c r="E652" t="s">
        <v>4426</v>
      </c>
      <c r="H652" t="s">
        <v>7037</v>
      </c>
    </row>
    <row r="653" spans="1:8" outlineLevel="1" x14ac:dyDescent="0.3">
      <c r="A653" t="s">
        <v>1164</v>
      </c>
      <c r="B653" t="s">
        <v>266</v>
      </c>
      <c r="C653" t="s">
        <v>8</v>
      </c>
      <c r="D653" t="s">
        <v>1165</v>
      </c>
      <c r="E653" t="s">
        <v>4443</v>
      </c>
      <c r="H653" t="s">
        <v>7326</v>
      </c>
    </row>
    <row r="654" spans="1:8" outlineLevel="1" x14ac:dyDescent="0.3">
      <c r="A654" t="s">
        <v>1166</v>
      </c>
      <c r="B654" t="s">
        <v>266</v>
      </c>
      <c r="C654" t="s">
        <v>8</v>
      </c>
      <c r="D654" t="s">
        <v>1165</v>
      </c>
      <c r="E654" t="s">
        <v>4443</v>
      </c>
      <c r="H654" t="s">
        <v>7327</v>
      </c>
    </row>
    <row r="655" spans="1:8" outlineLevel="1" x14ac:dyDescent="0.3">
      <c r="A655" t="s">
        <v>1167</v>
      </c>
      <c r="B655" t="s">
        <v>266</v>
      </c>
      <c r="C655" t="s">
        <v>8</v>
      </c>
      <c r="D655" t="s">
        <v>1168</v>
      </c>
      <c r="E655" t="s">
        <v>4443</v>
      </c>
      <c r="H655" t="s">
        <v>7328</v>
      </c>
    </row>
    <row r="656" spans="1:8" outlineLevel="1" x14ac:dyDescent="0.3">
      <c r="A656" t="s">
        <v>1169</v>
      </c>
      <c r="B656" t="s">
        <v>266</v>
      </c>
      <c r="C656" t="s">
        <v>10</v>
      </c>
      <c r="D656" t="s">
        <v>1170</v>
      </c>
      <c r="E656" t="s">
        <v>4444</v>
      </c>
    </row>
    <row r="657" spans="1:8" outlineLevel="1" x14ac:dyDescent="0.3">
      <c r="A657" t="s">
        <v>1171</v>
      </c>
      <c r="B657" t="s">
        <v>266</v>
      </c>
      <c r="C657" t="s">
        <v>8</v>
      </c>
      <c r="D657" t="s">
        <v>1165</v>
      </c>
      <c r="E657" t="s">
        <v>4443</v>
      </c>
    </row>
    <row r="658" spans="1:8" outlineLevel="1" x14ac:dyDescent="0.3">
      <c r="A658" t="s">
        <v>1172</v>
      </c>
      <c r="B658" t="s">
        <v>266</v>
      </c>
      <c r="C658" t="s">
        <v>10</v>
      </c>
      <c r="D658" t="s">
        <v>1173</v>
      </c>
      <c r="E658" t="s">
        <v>4445</v>
      </c>
      <c r="H658" t="s">
        <v>7329</v>
      </c>
    </row>
    <row r="659" spans="1:8" outlineLevel="1" x14ac:dyDescent="0.3">
      <c r="A659" t="s">
        <v>1174</v>
      </c>
      <c r="B659" t="s">
        <v>266</v>
      </c>
      <c r="C659" t="s">
        <v>8</v>
      </c>
      <c r="D659" t="s">
        <v>1175</v>
      </c>
      <c r="E659" t="s">
        <v>4446</v>
      </c>
      <c r="H659" t="s">
        <v>7330</v>
      </c>
    </row>
    <row r="660" spans="1:8" outlineLevel="1" x14ac:dyDescent="0.3">
      <c r="A660" t="s">
        <v>1176</v>
      </c>
      <c r="B660" t="s">
        <v>266</v>
      </c>
      <c r="C660" t="s">
        <v>10</v>
      </c>
      <c r="D660" t="s">
        <v>1177</v>
      </c>
      <c r="E660" t="s">
        <v>4447</v>
      </c>
      <c r="H660" t="s">
        <v>7331</v>
      </c>
    </row>
    <row r="661" spans="1:8" outlineLevel="1" x14ac:dyDescent="0.3">
      <c r="A661" t="s">
        <v>1178</v>
      </c>
      <c r="B661" t="s">
        <v>266</v>
      </c>
      <c r="C661" t="s">
        <v>10</v>
      </c>
      <c r="D661" t="s">
        <v>1179</v>
      </c>
      <c r="E661" t="s">
        <v>4448</v>
      </c>
      <c r="H661" t="s">
        <v>7332</v>
      </c>
    </row>
    <row r="662" spans="1:8" outlineLevel="1" x14ac:dyDescent="0.3">
      <c r="A662" t="s">
        <v>1180</v>
      </c>
      <c r="B662" t="s">
        <v>266</v>
      </c>
      <c r="C662" t="s">
        <v>10</v>
      </c>
      <c r="D662" t="s">
        <v>1181</v>
      </c>
      <c r="E662" t="s">
        <v>4449</v>
      </c>
      <c r="H662" t="s">
        <v>7333</v>
      </c>
    </row>
    <row r="663" spans="1:8" outlineLevel="1" x14ac:dyDescent="0.3">
      <c r="A663" t="s">
        <v>1182</v>
      </c>
      <c r="B663" t="s">
        <v>266</v>
      </c>
      <c r="C663" t="s">
        <v>10</v>
      </c>
      <c r="D663" t="s">
        <v>1183</v>
      </c>
      <c r="E663" t="s">
        <v>4450</v>
      </c>
      <c r="H663" t="s">
        <v>7334</v>
      </c>
    </row>
    <row r="664" spans="1:8" outlineLevel="1" x14ac:dyDescent="0.3">
      <c r="A664" t="s">
        <v>1184</v>
      </c>
      <c r="B664" t="s">
        <v>266</v>
      </c>
      <c r="C664" t="s">
        <v>10</v>
      </c>
      <c r="D664" t="s">
        <v>1185</v>
      </c>
      <c r="E664" t="s">
        <v>4451</v>
      </c>
      <c r="H664" t="s">
        <v>7335</v>
      </c>
    </row>
    <row r="665" spans="1:8" outlineLevel="1" x14ac:dyDescent="0.3">
      <c r="A665" t="s">
        <v>1186</v>
      </c>
      <c r="B665" t="s">
        <v>266</v>
      </c>
      <c r="C665" t="s">
        <v>10</v>
      </c>
      <c r="D665" t="s">
        <v>1187</v>
      </c>
      <c r="E665" t="s">
        <v>4452</v>
      </c>
      <c r="H665" t="s">
        <v>7336</v>
      </c>
    </row>
    <row r="666" spans="1:8" outlineLevel="1" x14ac:dyDescent="0.3">
      <c r="A666" t="s">
        <v>1188</v>
      </c>
      <c r="B666" t="s">
        <v>266</v>
      </c>
      <c r="C666" t="s">
        <v>10</v>
      </c>
      <c r="D666" t="s">
        <v>1189</v>
      </c>
      <c r="E666" t="s">
        <v>4453</v>
      </c>
      <c r="H666" t="s">
        <v>7337</v>
      </c>
    </row>
    <row r="667" spans="1:8" outlineLevel="1" x14ac:dyDescent="0.3">
      <c r="A667" t="s">
        <v>1190</v>
      </c>
      <c r="B667" t="s">
        <v>266</v>
      </c>
      <c r="C667" t="s">
        <v>10</v>
      </c>
      <c r="D667" t="s">
        <v>1191</v>
      </c>
      <c r="E667" t="s">
        <v>4454</v>
      </c>
      <c r="H667" t="s">
        <v>7338</v>
      </c>
    </row>
    <row r="668" spans="1:8" outlineLevel="1" x14ac:dyDescent="0.3">
      <c r="A668" t="s">
        <v>1192</v>
      </c>
      <c r="B668" t="s">
        <v>266</v>
      </c>
      <c r="C668" t="s">
        <v>10</v>
      </c>
      <c r="D668" t="s">
        <v>1193</v>
      </c>
      <c r="E668" t="s">
        <v>4455</v>
      </c>
      <c r="H668" t="s">
        <v>7339</v>
      </c>
    </row>
    <row r="669" spans="1:8" outlineLevel="1" x14ac:dyDescent="0.3">
      <c r="A669" t="s">
        <v>1194</v>
      </c>
      <c r="B669" t="s">
        <v>266</v>
      </c>
      <c r="C669" t="s">
        <v>10</v>
      </c>
      <c r="D669" t="s">
        <v>1195</v>
      </c>
      <c r="E669" t="s">
        <v>4456</v>
      </c>
      <c r="H669" t="s">
        <v>7340</v>
      </c>
    </row>
    <row r="670" spans="1:8" outlineLevel="1" x14ac:dyDescent="0.3">
      <c r="A670" t="s">
        <v>1196</v>
      </c>
      <c r="B670" t="s">
        <v>266</v>
      </c>
      <c r="C670" t="s">
        <v>8</v>
      </c>
      <c r="D670" t="s">
        <v>1197</v>
      </c>
      <c r="E670" t="s">
        <v>4457</v>
      </c>
      <c r="H670" t="s">
        <v>7341</v>
      </c>
    </row>
    <row r="671" spans="1:8" outlineLevel="1" x14ac:dyDescent="0.3">
      <c r="A671" t="s">
        <v>1198</v>
      </c>
      <c r="B671" t="s">
        <v>266</v>
      </c>
      <c r="C671" t="s">
        <v>10</v>
      </c>
      <c r="D671" t="s">
        <v>1199</v>
      </c>
      <c r="E671" t="s">
        <v>4458</v>
      </c>
      <c r="H671" t="s">
        <v>7342</v>
      </c>
    </row>
    <row r="672" spans="1:8" outlineLevel="1" x14ac:dyDescent="0.3">
      <c r="A672" t="s">
        <v>1200</v>
      </c>
      <c r="B672" t="s">
        <v>266</v>
      </c>
      <c r="C672" t="s">
        <v>10</v>
      </c>
      <c r="D672" t="s">
        <v>1201</v>
      </c>
      <c r="E672" t="s">
        <v>4459</v>
      </c>
      <c r="H672" t="s">
        <v>7343</v>
      </c>
    </row>
    <row r="673" spans="1:8" outlineLevel="1" x14ac:dyDescent="0.3">
      <c r="A673" t="s">
        <v>1202</v>
      </c>
      <c r="B673" t="s">
        <v>266</v>
      </c>
      <c r="C673" t="s">
        <v>10</v>
      </c>
      <c r="D673" t="s">
        <v>1203</v>
      </c>
      <c r="E673" t="s">
        <v>4460</v>
      </c>
      <c r="H673" t="s">
        <v>7344</v>
      </c>
    </row>
    <row r="674" spans="1:8" outlineLevel="1" x14ac:dyDescent="0.3">
      <c r="A674" t="s">
        <v>1204</v>
      </c>
      <c r="B674" t="s">
        <v>266</v>
      </c>
      <c r="C674" t="s">
        <v>10</v>
      </c>
      <c r="D674" t="s">
        <v>1205</v>
      </c>
      <c r="E674" t="s">
        <v>4461</v>
      </c>
      <c r="H674" t="s">
        <v>7345</v>
      </c>
    </row>
    <row r="675" spans="1:8" outlineLevel="1" x14ac:dyDescent="0.3">
      <c r="A675" t="s">
        <v>1206</v>
      </c>
      <c r="B675" t="s">
        <v>266</v>
      </c>
      <c r="C675" t="s">
        <v>10</v>
      </c>
      <c r="D675" t="s">
        <v>1207</v>
      </c>
      <c r="E675" t="s">
        <v>4462</v>
      </c>
      <c r="H675" t="s">
        <v>7346</v>
      </c>
    </row>
    <row r="676" spans="1:8" outlineLevel="1" x14ac:dyDescent="0.3">
      <c r="A676" t="s">
        <v>1208</v>
      </c>
      <c r="B676" t="s">
        <v>266</v>
      </c>
      <c r="C676" t="s">
        <v>10</v>
      </c>
      <c r="D676" t="s">
        <v>1209</v>
      </c>
      <c r="E676" t="s">
        <v>4463</v>
      </c>
      <c r="H676" t="s">
        <v>7347</v>
      </c>
    </row>
    <row r="677" spans="1:8" outlineLevel="1" x14ac:dyDescent="0.3">
      <c r="A677" t="s">
        <v>1210</v>
      </c>
      <c r="B677" t="s">
        <v>266</v>
      </c>
      <c r="C677" t="s">
        <v>10</v>
      </c>
      <c r="D677" t="s">
        <v>1211</v>
      </c>
      <c r="E677" t="s">
        <v>4464</v>
      </c>
      <c r="H677" t="s">
        <v>7348</v>
      </c>
    </row>
    <row r="678" spans="1:8" outlineLevel="1" x14ac:dyDescent="0.3">
      <c r="A678" t="s">
        <v>1212</v>
      </c>
      <c r="B678" t="s">
        <v>266</v>
      </c>
      <c r="C678" t="s">
        <v>10</v>
      </c>
      <c r="D678" t="s">
        <v>1213</v>
      </c>
      <c r="E678" t="s">
        <v>4465</v>
      </c>
      <c r="H678" t="s">
        <v>7349</v>
      </c>
    </row>
    <row r="679" spans="1:8" outlineLevel="1" x14ac:dyDescent="0.3">
      <c r="A679" t="s">
        <v>1214</v>
      </c>
      <c r="B679" t="s">
        <v>266</v>
      </c>
      <c r="C679" t="s">
        <v>10</v>
      </c>
      <c r="D679" t="s">
        <v>1215</v>
      </c>
      <c r="E679" t="s">
        <v>4466</v>
      </c>
      <c r="H679" t="s">
        <v>7350</v>
      </c>
    </row>
    <row r="680" spans="1:8" outlineLevel="1" x14ac:dyDescent="0.3">
      <c r="A680" t="s">
        <v>1216</v>
      </c>
      <c r="B680" t="s">
        <v>266</v>
      </c>
      <c r="C680" t="s">
        <v>8</v>
      </c>
      <c r="D680" t="s">
        <v>1217</v>
      </c>
      <c r="E680" t="s">
        <v>4467</v>
      </c>
      <c r="H680" t="s">
        <v>7351</v>
      </c>
    </row>
    <row r="681" spans="1:8" outlineLevel="1" x14ac:dyDescent="0.3">
      <c r="A681" t="s">
        <v>1218</v>
      </c>
      <c r="B681" t="s">
        <v>266</v>
      </c>
      <c r="C681" t="s">
        <v>8</v>
      </c>
      <c r="D681" t="s">
        <v>1219</v>
      </c>
      <c r="E681" t="s">
        <v>4468</v>
      </c>
      <c r="H681" t="s">
        <v>7352</v>
      </c>
    </row>
    <row r="682" spans="1:8" outlineLevel="1" x14ac:dyDescent="0.3">
      <c r="A682" t="s">
        <v>1220</v>
      </c>
      <c r="B682" t="s">
        <v>266</v>
      </c>
      <c r="C682" t="s">
        <v>8</v>
      </c>
      <c r="D682" t="s">
        <v>3945</v>
      </c>
      <c r="E682" t="s">
        <v>4469</v>
      </c>
    </row>
    <row r="683" spans="1:8" outlineLevel="1" x14ac:dyDescent="0.3">
      <c r="A683" t="s">
        <v>1221</v>
      </c>
      <c r="B683" t="s">
        <v>266</v>
      </c>
      <c r="C683" t="s">
        <v>8</v>
      </c>
      <c r="D683" t="s">
        <v>1222</v>
      </c>
      <c r="E683" t="s">
        <v>4470</v>
      </c>
      <c r="H683" t="s">
        <v>7353</v>
      </c>
    </row>
    <row r="684" spans="1:8" outlineLevel="1" x14ac:dyDescent="0.3">
      <c r="A684" t="s">
        <v>1223</v>
      </c>
      <c r="B684" t="s">
        <v>266</v>
      </c>
      <c r="C684" t="s">
        <v>8</v>
      </c>
      <c r="D684" t="s">
        <v>1224</v>
      </c>
      <c r="E684" t="s">
        <v>4471</v>
      </c>
      <c r="H684" t="s">
        <v>7354</v>
      </c>
    </row>
    <row r="685" spans="1:8" outlineLevel="1" x14ac:dyDescent="0.3">
      <c r="A685" t="s">
        <v>1225</v>
      </c>
      <c r="B685" t="s">
        <v>266</v>
      </c>
      <c r="C685" t="s">
        <v>8</v>
      </c>
      <c r="D685" t="s">
        <v>1226</v>
      </c>
      <c r="E685" t="s">
        <v>4472</v>
      </c>
      <c r="H685" t="s">
        <v>7355</v>
      </c>
    </row>
    <row r="686" spans="1:8" outlineLevel="1" x14ac:dyDescent="0.3">
      <c r="A686" t="s">
        <v>1227</v>
      </c>
      <c r="B686" t="s">
        <v>266</v>
      </c>
      <c r="C686" t="s">
        <v>8</v>
      </c>
      <c r="D686" t="s">
        <v>1228</v>
      </c>
      <c r="E686" t="s">
        <v>4473</v>
      </c>
      <c r="H686" t="s">
        <v>7356</v>
      </c>
    </row>
    <row r="687" spans="1:8" outlineLevel="1" x14ac:dyDescent="0.3">
      <c r="A687" t="s">
        <v>1229</v>
      </c>
      <c r="B687" t="s">
        <v>266</v>
      </c>
      <c r="C687" t="s">
        <v>10</v>
      </c>
      <c r="D687" t="s">
        <v>1230</v>
      </c>
      <c r="E687" t="s">
        <v>4474</v>
      </c>
      <c r="H687" t="s">
        <v>7357</v>
      </c>
    </row>
    <row r="688" spans="1:8" outlineLevel="1" x14ac:dyDescent="0.3">
      <c r="A688" t="s">
        <v>1231</v>
      </c>
      <c r="B688" t="s">
        <v>266</v>
      </c>
      <c r="C688" t="s">
        <v>8</v>
      </c>
      <c r="D688" t="s">
        <v>1232</v>
      </c>
      <c r="E688" t="s">
        <v>4475</v>
      </c>
      <c r="H688" t="s">
        <v>7358</v>
      </c>
    </row>
    <row r="689" spans="1:8" outlineLevel="1" x14ac:dyDescent="0.3">
      <c r="A689" t="s">
        <v>1233</v>
      </c>
      <c r="B689" t="s">
        <v>266</v>
      </c>
      <c r="C689" t="s">
        <v>8</v>
      </c>
      <c r="D689" t="s">
        <v>1234</v>
      </c>
      <c r="E689" t="s">
        <v>4476</v>
      </c>
      <c r="H689" t="s">
        <v>7359</v>
      </c>
    </row>
    <row r="690" spans="1:8" outlineLevel="1" x14ac:dyDescent="0.3">
      <c r="A690" t="s">
        <v>1235</v>
      </c>
      <c r="B690" t="s">
        <v>266</v>
      </c>
      <c r="C690" t="s">
        <v>8</v>
      </c>
      <c r="D690" t="s">
        <v>1236</v>
      </c>
      <c r="E690" t="s">
        <v>4477</v>
      </c>
    </row>
    <row r="691" spans="1:8" outlineLevel="1" x14ac:dyDescent="0.3">
      <c r="A691" t="s">
        <v>1237</v>
      </c>
      <c r="B691" t="s">
        <v>266</v>
      </c>
      <c r="C691" t="s">
        <v>8</v>
      </c>
      <c r="D691" t="s">
        <v>1236</v>
      </c>
      <c r="E691" t="s">
        <v>4477</v>
      </c>
    </row>
    <row r="692" spans="1:8" outlineLevel="1" x14ac:dyDescent="0.3">
      <c r="A692" t="s">
        <v>1238</v>
      </c>
      <c r="B692" t="s">
        <v>266</v>
      </c>
      <c r="C692" t="s">
        <v>8</v>
      </c>
      <c r="D692" t="s">
        <v>1236</v>
      </c>
      <c r="E692" t="s">
        <v>4477</v>
      </c>
    </row>
    <row r="693" spans="1:8" outlineLevel="1" x14ac:dyDescent="0.3">
      <c r="A693" t="s">
        <v>1239</v>
      </c>
      <c r="B693" t="s">
        <v>266</v>
      </c>
      <c r="C693" t="s">
        <v>8</v>
      </c>
      <c r="D693" t="s">
        <v>1240</v>
      </c>
      <c r="E693" t="s">
        <v>4478</v>
      </c>
      <c r="H693" t="s">
        <v>7360</v>
      </c>
    </row>
    <row r="694" spans="1:8" outlineLevel="1" x14ac:dyDescent="0.3">
      <c r="A694" t="s">
        <v>1241</v>
      </c>
      <c r="B694" t="s">
        <v>266</v>
      </c>
      <c r="C694" t="s">
        <v>8</v>
      </c>
      <c r="D694" t="s">
        <v>1240</v>
      </c>
      <c r="E694" t="s">
        <v>4478</v>
      </c>
    </row>
    <row r="695" spans="1:8" outlineLevel="1" x14ac:dyDescent="0.3">
      <c r="A695" t="s">
        <v>1242</v>
      </c>
      <c r="B695" t="s">
        <v>266</v>
      </c>
      <c r="C695" t="s">
        <v>10</v>
      </c>
      <c r="D695" t="s">
        <v>1243</v>
      </c>
      <c r="E695" t="s">
        <v>4479</v>
      </c>
      <c r="H695" t="s">
        <v>7361</v>
      </c>
    </row>
    <row r="696" spans="1:8" outlineLevel="1" x14ac:dyDescent="0.3">
      <c r="A696" t="s">
        <v>1244</v>
      </c>
      <c r="B696" t="s">
        <v>266</v>
      </c>
      <c r="C696" t="s">
        <v>8</v>
      </c>
      <c r="D696" t="s">
        <v>1245</v>
      </c>
      <c r="E696" t="s">
        <v>4480</v>
      </c>
    </row>
    <row r="697" spans="1:8" outlineLevel="1" x14ac:dyDescent="0.3">
      <c r="A697" t="s">
        <v>1246</v>
      </c>
      <c r="B697" t="s">
        <v>266</v>
      </c>
      <c r="C697" t="s">
        <v>8</v>
      </c>
      <c r="D697" t="s">
        <v>1247</v>
      </c>
      <c r="E697" t="s">
        <v>4480</v>
      </c>
    </row>
    <row r="698" spans="1:8" outlineLevel="1" x14ac:dyDescent="0.3">
      <c r="A698" t="s">
        <v>1248</v>
      </c>
      <c r="B698" t="s">
        <v>266</v>
      </c>
      <c r="C698" t="s">
        <v>8</v>
      </c>
      <c r="D698" t="s">
        <v>1249</v>
      </c>
      <c r="E698" t="s">
        <v>4481</v>
      </c>
      <c r="H698" t="s">
        <v>7362</v>
      </c>
    </row>
    <row r="699" spans="1:8" outlineLevel="1" x14ac:dyDescent="0.3">
      <c r="A699" t="s">
        <v>1250</v>
      </c>
      <c r="B699" t="s">
        <v>266</v>
      </c>
      <c r="C699" t="s">
        <v>10</v>
      </c>
      <c r="D699" t="s">
        <v>1251</v>
      </c>
      <c r="E699" t="s">
        <v>4482</v>
      </c>
    </row>
    <row r="700" spans="1:8" outlineLevel="1" x14ac:dyDescent="0.3">
      <c r="A700" t="s">
        <v>1252</v>
      </c>
      <c r="B700" t="s">
        <v>266</v>
      </c>
      <c r="C700" t="s">
        <v>10</v>
      </c>
      <c r="D700" t="s">
        <v>1251</v>
      </c>
      <c r="E700" t="s">
        <v>4482</v>
      </c>
    </row>
    <row r="701" spans="1:8" outlineLevel="1" x14ac:dyDescent="0.3">
      <c r="A701" t="s">
        <v>1253</v>
      </c>
      <c r="B701" t="s">
        <v>266</v>
      </c>
      <c r="C701" t="s">
        <v>8</v>
      </c>
      <c r="D701" t="s">
        <v>1254</v>
      </c>
      <c r="E701" t="s">
        <v>4483</v>
      </c>
      <c r="H701" t="s">
        <v>7363</v>
      </c>
    </row>
    <row r="702" spans="1:8" outlineLevel="1" x14ac:dyDescent="0.3">
      <c r="A702" t="s">
        <v>1255</v>
      </c>
      <c r="B702" t="s">
        <v>266</v>
      </c>
      <c r="C702" t="s">
        <v>8</v>
      </c>
      <c r="D702" t="s">
        <v>3945</v>
      </c>
      <c r="E702" t="s">
        <v>4469</v>
      </c>
      <c r="H702" t="s">
        <v>7364</v>
      </c>
    </row>
    <row r="703" spans="1:8" outlineLevel="1" x14ac:dyDescent="0.3">
      <c r="A703" t="s">
        <v>1256</v>
      </c>
      <c r="B703" t="s">
        <v>266</v>
      </c>
      <c r="C703" t="s">
        <v>8</v>
      </c>
      <c r="D703" t="s">
        <v>3945</v>
      </c>
      <c r="E703" t="s">
        <v>4469</v>
      </c>
      <c r="H703" t="s">
        <v>7364</v>
      </c>
    </row>
    <row r="704" spans="1:8" outlineLevel="1" x14ac:dyDescent="0.3">
      <c r="A704" t="s">
        <v>1257</v>
      </c>
      <c r="B704" t="s">
        <v>266</v>
      </c>
      <c r="C704" t="s">
        <v>8</v>
      </c>
      <c r="D704" t="s">
        <v>3945</v>
      </c>
      <c r="E704" t="s">
        <v>4469</v>
      </c>
      <c r="H704" t="s">
        <v>7364</v>
      </c>
    </row>
    <row r="705" spans="1:8" outlineLevel="1" x14ac:dyDescent="0.3">
      <c r="A705" t="s">
        <v>1258</v>
      </c>
      <c r="B705" t="s">
        <v>266</v>
      </c>
      <c r="C705" t="s">
        <v>8</v>
      </c>
      <c r="D705" t="s">
        <v>3945</v>
      </c>
      <c r="E705" t="s">
        <v>4469</v>
      </c>
      <c r="H705" t="s">
        <v>7364</v>
      </c>
    </row>
    <row r="706" spans="1:8" outlineLevel="1" x14ac:dyDescent="0.3">
      <c r="A706" t="s">
        <v>1259</v>
      </c>
      <c r="B706" t="s">
        <v>266</v>
      </c>
      <c r="C706" t="s">
        <v>8</v>
      </c>
      <c r="D706" t="s">
        <v>3945</v>
      </c>
      <c r="E706" t="s">
        <v>4469</v>
      </c>
      <c r="H706" t="s">
        <v>7364</v>
      </c>
    </row>
    <row r="707" spans="1:8" outlineLevel="1" x14ac:dyDescent="0.3">
      <c r="A707" t="s">
        <v>1260</v>
      </c>
      <c r="B707" t="s">
        <v>266</v>
      </c>
      <c r="C707" t="s">
        <v>8</v>
      </c>
      <c r="D707" t="s">
        <v>1261</v>
      </c>
      <c r="E707" t="s">
        <v>4484</v>
      </c>
      <c r="H707" t="s">
        <v>7365</v>
      </c>
    </row>
    <row r="708" spans="1:8" outlineLevel="1" x14ac:dyDescent="0.3">
      <c r="A708" t="s">
        <v>1262</v>
      </c>
      <c r="B708" t="s">
        <v>266</v>
      </c>
      <c r="C708" t="s">
        <v>10</v>
      </c>
      <c r="D708" t="s">
        <v>1263</v>
      </c>
      <c r="E708" t="s">
        <v>4485</v>
      </c>
      <c r="H708" t="s">
        <v>7366</v>
      </c>
    </row>
    <row r="709" spans="1:8" outlineLevel="1" x14ac:dyDescent="0.3">
      <c r="A709" t="s">
        <v>1264</v>
      </c>
      <c r="B709" t="s">
        <v>266</v>
      </c>
      <c r="C709" t="s">
        <v>10</v>
      </c>
      <c r="D709" t="s">
        <v>1265</v>
      </c>
      <c r="E709" t="s">
        <v>4486</v>
      </c>
      <c r="H709" t="s">
        <v>7367</v>
      </c>
    </row>
    <row r="710" spans="1:8" outlineLevel="1" x14ac:dyDescent="0.3">
      <c r="A710" t="s">
        <v>1266</v>
      </c>
      <c r="B710" t="s">
        <v>266</v>
      </c>
      <c r="C710" t="s">
        <v>10</v>
      </c>
      <c r="D710" t="s">
        <v>1267</v>
      </c>
      <c r="E710" t="s">
        <v>4487</v>
      </c>
      <c r="H710" t="s">
        <v>7368</v>
      </c>
    </row>
    <row r="711" spans="1:8" outlineLevel="1" x14ac:dyDescent="0.3">
      <c r="A711" t="s">
        <v>1268</v>
      </c>
      <c r="B711" t="s">
        <v>266</v>
      </c>
      <c r="C711" t="s">
        <v>10</v>
      </c>
      <c r="D711" t="s">
        <v>1269</v>
      </c>
      <c r="E711" t="s">
        <v>4488</v>
      </c>
      <c r="H711" t="s">
        <v>7369</v>
      </c>
    </row>
    <row r="712" spans="1:8" outlineLevel="1" x14ac:dyDescent="0.3">
      <c r="A712" t="s">
        <v>1270</v>
      </c>
      <c r="B712" t="s">
        <v>266</v>
      </c>
      <c r="C712" t="s">
        <v>8</v>
      </c>
      <c r="D712" t="s">
        <v>1271</v>
      </c>
      <c r="E712" t="s">
        <v>4489</v>
      </c>
      <c r="H712" t="s">
        <v>7370</v>
      </c>
    </row>
    <row r="713" spans="1:8" outlineLevel="1" x14ac:dyDescent="0.3">
      <c r="A713" t="s">
        <v>1272</v>
      </c>
      <c r="B713" t="s">
        <v>266</v>
      </c>
      <c r="C713" t="s">
        <v>8</v>
      </c>
      <c r="D713" t="s">
        <v>1273</v>
      </c>
      <c r="E713" t="s">
        <v>4490</v>
      </c>
      <c r="H713" t="s">
        <v>7371</v>
      </c>
    </row>
    <row r="714" spans="1:8" outlineLevel="1" x14ac:dyDescent="0.3">
      <c r="A714" t="s">
        <v>1274</v>
      </c>
      <c r="B714" t="s">
        <v>266</v>
      </c>
      <c r="C714" t="s">
        <v>8</v>
      </c>
      <c r="D714" t="s">
        <v>1275</v>
      </c>
      <c r="E714" t="s">
        <v>4491</v>
      </c>
      <c r="H714" t="s">
        <v>7372</v>
      </c>
    </row>
    <row r="715" spans="1:8" outlineLevel="1" x14ac:dyDescent="0.3">
      <c r="A715" t="s">
        <v>1276</v>
      </c>
      <c r="B715" t="s">
        <v>266</v>
      </c>
      <c r="C715" t="s">
        <v>8</v>
      </c>
      <c r="D715" t="s">
        <v>1277</v>
      </c>
      <c r="E715" t="s">
        <v>4492</v>
      </c>
      <c r="H715" t="s">
        <v>7373</v>
      </c>
    </row>
    <row r="716" spans="1:8" outlineLevel="1" x14ac:dyDescent="0.3">
      <c r="A716" t="s">
        <v>1278</v>
      </c>
      <c r="B716" t="s">
        <v>266</v>
      </c>
      <c r="C716" t="s">
        <v>10</v>
      </c>
      <c r="D716" t="s">
        <v>1279</v>
      </c>
      <c r="E716" t="s">
        <v>4493</v>
      </c>
      <c r="H716" t="s">
        <v>7374</v>
      </c>
    </row>
    <row r="717" spans="1:8" outlineLevel="1" x14ac:dyDescent="0.3">
      <c r="A717" t="s">
        <v>1280</v>
      </c>
      <c r="B717" t="s">
        <v>266</v>
      </c>
      <c r="C717" t="s">
        <v>10</v>
      </c>
      <c r="D717" t="s">
        <v>1281</v>
      </c>
      <c r="E717" t="s">
        <v>4494</v>
      </c>
      <c r="H717" t="s">
        <v>7375</v>
      </c>
    </row>
    <row r="718" spans="1:8" outlineLevel="1" x14ac:dyDescent="0.3">
      <c r="A718" t="s">
        <v>1282</v>
      </c>
      <c r="B718" t="s">
        <v>266</v>
      </c>
      <c r="C718" s="21"/>
      <c r="D718" s="11"/>
    </row>
    <row r="719" spans="1:8" outlineLevel="1" x14ac:dyDescent="0.3">
      <c r="A719" t="s">
        <v>1283</v>
      </c>
      <c r="B719" t="s">
        <v>266</v>
      </c>
      <c r="C719" t="s">
        <v>10</v>
      </c>
      <c r="D719" t="s">
        <v>1284</v>
      </c>
      <c r="E719" t="s">
        <v>4495</v>
      </c>
      <c r="H719" t="s">
        <v>7376</v>
      </c>
    </row>
    <row r="720" spans="1:8" outlineLevel="1" x14ac:dyDescent="0.3">
      <c r="A720" t="s">
        <v>1285</v>
      </c>
      <c r="B720" t="s">
        <v>266</v>
      </c>
      <c r="C720" t="s">
        <v>8</v>
      </c>
      <c r="D720" t="s">
        <v>1286</v>
      </c>
      <c r="E720" t="s">
        <v>4496</v>
      </c>
      <c r="H720" t="s">
        <v>7377</v>
      </c>
    </row>
    <row r="721" spans="1:8" outlineLevel="1" x14ac:dyDescent="0.3">
      <c r="A721" t="s">
        <v>1287</v>
      </c>
      <c r="B721" t="s">
        <v>266</v>
      </c>
      <c r="C721" t="s">
        <v>8</v>
      </c>
      <c r="D721" t="s">
        <v>1288</v>
      </c>
      <c r="E721" t="s">
        <v>4497</v>
      </c>
      <c r="H721" t="s">
        <v>7378</v>
      </c>
    </row>
    <row r="722" spans="1:8" outlineLevel="1" x14ac:dyDescent="0.3">
      <c r="A722" t="s">
        <v>1289</v>
      </c>
      <c r="B722" t="s">
        <v>266</v>
      </c>
      <c r="C722" t="s">
        <v>8</v>
      </c>
      <c r="D722" t="s">
        <v>1290</v>
      </c>
      <c r="E722" t="s">
        <v>4498</v>
      </c>
      <c r="H722" t="s">
        <v>7379</v>
      </c>
    </row>
    <row r="723" spans="1:8" outlineLevel="1" x14ac:dyDescent="0.3">
      <c r="A723" t="s">
        <v>1291</v>
      </c>
      <c r="B723" t="s">
        <v>266</v>
      </c>
      <c r="C723" t="s">
        <v>8</v>
      </c>
      <c r="D723" t="s">
        <v>1292</v>
      </c>
      <c r="E723" t="s">
        <v>4499</v>
      </c>
      <c r="H723" t="s">
        <v>7380</v>
      </c>
    </row>
    <row r="724" spans="1:8" outlineLevel="1" x14ac:dyDescent="0.3">
      <c r="A724" t="s">
        <v>1293</v>
      </c>
      <c r="B724" t="s">
        <v>266</v>
      </c>
      <c r="C724" t="s">
        <v>8</v>
      </c>
      <c r="D724" t="s">
        <v>1292</v>
      </c>
      <c r="E724" t="s">
        <v>4499</v>
      </c>
    </row>
    <row r="725" spans="1:8" outlineLevel="1" x14ac:dyDescent="0.3">
      <c r="A725" t="s">
        <v>1294</v>
      </c>
      <c r="B725" t="s">
        <v>266</v>
      </c>
      <c r="C725" t="s">
        <v>8</v>
      </c>
      <c r="D725" t="s">
        <v>1295</v>
      </c>
      <c r="E725" t="s">
        <v>4500</v>
      </c>
      <c r="H725" t="s">
        <v>7381</v>
      </c>
    </row>
    <row r="726" spans="1:8" outlineLevel="1" x14ac:dyDescent="0.3">
      <c r="A726" t="s">
        <v>1296</v>
      </c>
      <c r="B726" t="s">
        <v>266</v>
      </c>
      <c r="C726" t="s">
        <v>8</v>
      </c>
      <c r="D726" t="s">
        <v>1297</v>
      </c>
      <c r="E726" t="s">
        <v>4501</v>
      </c>
      <c r="H726" t="s">
        <v>7382</v>
      </c>
    </row>
    <row r="727" spans="1:8" outlineLevel="1" x14ac:dyDescent="0.3">
      <c r="A727" t="s">
        <v>1298</v>
      </c>
      <c r="B727" t="s">
        <v>266</v>
      </c>
      <c r="C727" t="s">
        <v>10</v>
      </c>
      <c r="D727" t="s">
        <v>1299</v>
      </c>
      <c r="E727" t="s">
        <v>4502</v>
      </c>
      <c r="H727" t="s">
        <v>7383</v>
      </c>
    </row>
    <row r="728" spans="1:8" outlineLevel="1" x14ac:dyDescent="0.3">
      <c r="A728" t="s">
        <v>1300</v>
      </c>
      <c r="B728" t="s">
        <v>266</v>
      </c>
      <c r="C728" t="s">
        <v>8</v>
      </c>
      <c r="D728" t="s">
        <v>1301</v>
      </c>
      <c r="E728" t="s">
        <v>4503</v>
      </c>
      <c r="H728" t="s">
        <v>7384</v>
      </c>
    </row>
    <row r="729" spans="1:8" outlineLevel="1" x14ac:dyDescent="0.3">
      <c r="A729" t="s">
        <v>1302</v>
      </c>
      <c r="B729" t="s">
        <v>266</v>
      </c>
      <c r="C729" t="s">
        <v>10</v>
      </c>
      <c r="D729" t="s">
        <v>1303</v>
      </c>
      <c r="E729" t="s">
        <v>4504</v>
      </c>
      <c r="H729" t="s">
        <v>7385</v>
      </c>
    </row>
    <row r="730" spans="1:8" outlineLevel="1" x14ac:dyDescent="0.3">
      <c r="A730" t="s">
        <v>1304</v>
      </c>
      <c r="B730" t="s">
        <v>266</v>
      </c>
      <c r="C730" t="s">
        <v>8</v>
      </c>
      <c r="D730" t="s">
        <v>1305</v>
      </c>
      <c r="E730" t="s">
        <v>4505</v>
      </c>
      <c r="H730" t="s">
        <v>7386</v>
      </c>
    </row>
    <row r="731" spans="1:8" outlineLevel="1" x14ac:dyDescent="0.3">
      <c r="A731" t="s">
        <v>1306</v>
      </c>
      <c r="B731" t="s">
        <v>266</v>
      </c>
      <c r="C731" t="s">
        <v>8</v>
      </c>
      <c r="D731" t="s">
        <v>1307</v>
      </c>
      <c r="E731" t="s">
        <v>4506</v>
      </c>
      <c r="H731" t="s">
        <v>7387</v>
      </c>
    </row>
    <row r="732" spans="1:8" outlineLevel="1" x14ac:dyDescent="0.3">
      <c r="A732" t="s">
        <v>1308</v>
      </c>
      <c r="B732" t="s">
        <v>266</v>
      </c>
      <c r="C732" t="s">
        <v>10</v>
      </c>
      <c r="D732" t="s">
        <v>1309</v>
      </c>
      <c r="E732" t="s">
        <v>4507</v>
      </c>
      <c r="H732" t="s">
        <v>7388</v>
      </c>
    </row>
    <row r="733" spans="1:8" outlineLevel="1" x14ac:dyDescent="0.3">
      <c r="A733" t="s">
        <v>1310</v>
      </c>
      <c r="B733" t="s">
        <v>266</v>
      </c>
      <c r="C733" t="s">
        <v>10</v>
      </c>
      <c r="D733" t="s">
        <v>1311</v>
      </c>
      <c r="E733" t="s">
        <v>4508</v>
      </c>
      <c r="H733" t="s">
        <v>7389</v>
      </c>
    </row>
    <row r="734" spans="1:8" outlineLevel="1" x14ac:dyDescent="0.3">
      <c r="A734" t="s">
        <v>1312</v>
      </c>
      <c r="B734" t="s">
        <v>266</v>
      </c>
      <c r="C734" t="s">
        <v>8</v>
      </c>
      <c r="D734" t="s">
        <v>1313</v>
      </c>
      <c r="E734" t="s">
        <v>4509</v>
      </c>
      <c r="H734" t="s">
        <v>7390</v>
      </c>
    </row>
    <row r="735" spans="1:8" outlineLevel="1" x14ac:dyDescent="0.3">
      <c r="A735" t="s">
        <v>1314</v>
      </c>
      <c r="B735" t="s">
        <v>266</v>
      </c>
      <c r="C735" t="s">
        <v>10</v>
      </c>
      <c r="D735" t="s">
        <v>1315</v>
      </c>
      <c r="E735" t="s">
        <v>4510</v>
      </c>
    </row>
    <row r="736" spans="1:8" outlineLevel="1" x14ac:dyDescent="0.3">
      <c r="A736" t="s">
        <v>1316</v>
      </c>
      <c r="B736" t="s">
        <v>266</v>
      </c>
      <c r="C736" t="s">
        <v>8</v>
      </c>
      <c r="D736" t="s">
        <v>1317</v>
      </c>
      <c r="E736" t="s">
        <v>4511</v>
      </c>
      <c r="H736" t="s">
        <v>7391</v>
      </c>
    </row>
    <row r="737" spans="1:10" outlineLevel="1" x14ac:dyDescent="0.3">
      <c r="A737" t="s">
        <v>1318</v>
      </c>
      <c r="B737" t="s">
        <v>266</v>
      </c>
      <c r="C737" t="s">
        <v>8</v>
      </c>
      <c r="D737" t="s">
        <v>1317</v>
      </c>
      <c r="E737" t="s">
        <v>4511</v>
      </c>
      <c r="H737" t="s">
        <v>7392</v>
      </c>
    </row>
    <row r="738" spans="1:10" outlineLevel="1" x14ac:dyDescent="0.3">
      <c r="A738" t="s">
        <v>1319</v>
      </c>
      <c r="B738" t="s">
        <v>266</v>
      </c>
      <c r="C738" t="s">
        <v>8</v>
      </c>
      <c r="D738" t="s">
        <v>1320</v>
      </c>
      <c r="E738" t="s">
        <v>4512</v>
      </c>
      <c r="H738" t="s">
        <v>7393</v>
      </c>
    </row>
    <row r="739" spans="1:10" outlineLevel="1" x14ac:dyDescent="0.3">
      <c r="A739" t="s">
        <v>1321</v>
      </c>
      <c r="B739" t="s">
        <v>266</v>
      </c>
      <c r="C739" t="s">
        <v>8</v>
      </c>
      <c r="D739" t="s">
        <v>1320</v>
      </c>
      <c r="E739" t="s">
        <v>4512</v>
      </c>
    </row>
    <row r="740" spans="1:10" outlineLevel="1" x14ac:dyDescent="0.3">
      <c r="A740" s="24" t="s">
        <v>1322</v>
      </c>
      <c r="B740" s="24" t="s">
        <v>266</v>
      </c>
      <c r="C740" s="24" t="s">
        <v>8</v>
      </c>
      <c r="D740" s="24" t="s">
        <v>1323</v>
      </c>
      <c r="E740" s="24" t="s">
        <v>4513</v>
      </c>
      <c r="F740" s="24"/>
      <c r="G740" s="24"/>
      <c r="H740" s="24" t="s">
        <v>7394</v>
      </c>
    </row>
    <row r="741" spans="1:10" outlineLevel="1" x14ac:dyDescent="0.3">
      <c r="A741" t="s">
        <v>1324</v>
      </c>
      <c r="B741" t="s">
        <v>266</v>
      </c>
      <c r="C741" t="s">
        <v>8</v>
      </c>
      <c r="D741" t="s">
        <v>1323</v>
      </c>
      <c r="E741" t="s">
        <v>4513</v>
      </c>
    </row>
    <row r="742" spans="1:10" outlineLevel="1" x14ac:dyDescent="0.3">
      <c r="A742" t="s">
        <v>1325</v>
      </c>
      <c r="B742" t="s">
        <v>266</v>
      </c>
      <c r="C742" t="s">
        <v>8</v>
      </c>
      <c r="D742" t="s">
        <v>1323</v>
      </c>
      <c r="E742" t="s">
        <v>4513</v>
      </c>
    </row>
    <row r="743" spans="1:10" outlineLevel="1" x14ac:dyDescent="0.3">
      <c r="A743" t="s">
        <v>1326</v>
      </c>
      <c r="B743" t="s">
        <v>266</v>
      </c>
      <c r="C743" t="s">
        <v>8</v>
      </c>
      <c r="D743" t="s">
        <v>1323</v>
      </c>
      <c r="E743" t="s">
        <v>4513</v>
      </c>
    </row>
    <row r="744" spans="1:10" outlineLevel="1" x14ac:dyDescent="0.3">
      <c r="A744" t="s">
        <v>1327</v>
      </c>
      <c r="B744" t="s">
        <v>266</v>
      </c>
      <c r="C744" t="s">
        <v>8</v>
      </c>
      <c r="D744" t="s">
        <v>1328</v>
      </c>
      <c r="E744" t="s">
        <v>4514</v>
      </c>
    </row>
    <row r="745" spans="1:10" outlineLevel="1" x14ac:dyDescent="0.3">
      <c r="A745" t="s">
        <v>1329</v>
      </c>
      <c r="B745" t="s">
        <v>266</v>
      </c>
      <c r="C745" t="s">
        <v>8</v>
      </c>
      <c r="D745" t="s">
        <v>1328</v>
      </c>
      <c r="E745" t="s">
        <v>4514</v>
      </c>
    </row>
    <row r="746" spans="1:10" outlineLevel="1" x14ac:dyDescent="0.3">
      <c r="A746" t="s">
        <v>1330</v>
      </c>
      <c r="B746" t="s">
        <v>266</v>
      </c>
      <c r="C746" t="s">
        <v>8</v>
      </c>
      <c r="D746" t="s">
        <v>1331</v>
      </c>
      <c r="E746" t="s">
        <v>4515</v>
      </c>
    </row>
    <row r="747" spans="1:10" outlineLevel="1" x14ac:dyDescent="0.3">
      <c r="A747" t="s">
        <v>1332</v>
      </c>
      <c r="B747" t="s">
        <v>266</v>
      </c>
      <c r="C747" t="s">
        <v>8</v>
      </c>
      <c r="D747" t="s">
        <v>1331</v>
      </c>
      <c r="E747" t="s">
        <v>4515</v>
      </c>
    </row>
    <row r="748" spans="1:10" outlineLevel="1" x14ac:dyDescent="0.3">
      <c r="A748" t="s">
        <v>1333</v>
      </c>
      <c r="B748" t="s">
        <v>266</v>
      </c>
      <c r="C748" t="s">
        <v>8</v>
      </c>
      <c r="D748" t="s">
        <v>1334</v>
      </c>
      <c r="E748" t="s">
        <v>6132</v>
      </c>
      <c r="H748" t="s">
        <v>7395</v>
      </c>
    </row>
    <row r="749" spans="1:10" outlineLevel="1" x14ac:dyDescent="0.3">
      <c r="A749" t="s">
        <v>1335</v>
      </c>
      <c r="B749" t="s">
        <v>266</v>
      </c>
      <c r="C749" t="s">
        <v>8</v>
      </c>
      <c r="D749" t="s">
        <v>1334</v>
      </c>
      <c r="E749" t="s">
        <v>6132</v>
      </c>
    </row>
    <row r="750" spans="1:10" outlineLevel="1" x14ac:dyDescent="0.3">
      <c r="A750" t="s">
        <v>1336</v>
      </c>
      <c r="B750" t="s">
        <v>266</v>
      </c>
      <c r="C750" t="s">
        <v>8</v>
      </c>
      <c r="D750" t="s">
        <v>1334</v>
      </c>
      <c r="E750" t="s">
        <v>6132</v>
      </c>
    </row>
    <row r="751" spans="1:10" outlineLevel="1" x14ac:dyDescent="0.3">
      <c r="A751" s="24" t="s">
        <v>1337</v>
      </c>
      <c r="B751" s="24" t="s">
        <v>266</v>
      </c>
      <c r="C751" s="24" t="s">
        <v>10</v>
      </c>
      <c r="D751" s="24" t="s">
        <v>1338</v>
      </c>
      <c r="E751" s="24" t="s">
        <v>4516</v>
      </c>
      <c r="F751" s="24"/>
      <c r="G751" s="24"/>
      <c r="H751" s="24" t="s">
        <v>7396</v>
      </c>
      <c r="I751" s="24"/>
      <c r="J751" s="24" t="s">
        <v>7433</v>
      </c>
    </row>
    <row r="752" spans="1:10" outlineLevel="1" x14ac:dyDescent="0.3">
      <c r="A752" t="s">
        <v>1339</v>
      </c>
      <c r="B752" t="s">
        <v>266</v>
      </c>
      <c r="C752" t="s">
        <v>10</v>
      </c>
      <c r="D752" t="s">
        <v>1340</v>
      </c>
      <c r="E752" t="s">
        <v>6133</v>
      </c>
      <c r="H752" t="s">
        <v>7397</v>
      </c>
    </row>
    <row r="753" spans="1:10" outlineLevel="1" x14ac:dyDescent="0.3">
      <c r="A753" t="s">
        <v>1341</v>
      </c>
      <c r="B753" t="s">
        <v>266</v>
      </c>
      <c r="C753" t="s">
        <v>10</v>
      </c>
      <c r="D753" t="s">
        <v>1342</v>
      </c>
      <c r="E753" t="s">
        <v>6134</v>
      </c>
      <c r="H753" t="s">
        <v>7398</v>
      </c>
    </row>
    <row r="754" spans="1:10" outlineLevel="1" x14ac:dyDescent="0.3">
      <c r="A754" t="s">
        <v>1343</v>
      </c>
      <c r="B754" t="s">
        <v>266</v>
      </c>
      <c r="C754" t="s">
        <v>10</v>
      </c>
      <c r="D754" t="s">
        <v>1344</v>
      </c>
      <c r="E754" t="s">
        <v>6135</v>
      </c>
      <c r="H754" t="s">
        <v>7399</v>
      </c>
    </row>
    <row r="755" spans="1:10" outlineLevel="1" x14ac:dyDescent="0.3">
      <c r="A755" t="s">
        <v>1345</v>
      </c>
      <c r="B755" t="s">
        <v>266</v>
      </c>
      <c r="C755" t="s">
        <v>10</v>
      </c>
      <c r="D755" t="s">
        <v>1346</v>
      </c>
      <c r="E755" t="s">
        <v>6136</v>
      </c>
      <c r="H755" t="s">
        <v>7400</v>
      </c>
    </row>
    <row r="756" spans="1:10" outlineLevel="1" x14ac:dyDescent="0.3">
      <c r="A756" t="s">
        <v>1347</v>
      </c>
      <c r="B756" t="s">
        <v>266</v>
      </c>
      <c r="C756" t="s">
        <v>10</v>
      </c>
      <c r="D756" t="s">
        <v>1348</v>
      </c>
      <c r="E756" t="s">
        <v>6137</v>
      </c>
      <c r="H756" t="s">
        <v>7401</v>
      </c>
    </row>
    <row r="757" spans="1:10" outlineLevel="1" x14ac:dyDescent="0.3">
      <c r="A757" t="s">
        <v>1349</v>
      </c>
      <c r="B757" t="s">
        <v>266</v>
      </c>
      <c r="C757" t="s">
        <v>10</v>
      </c>
      <c r="D757" t="s">
        <v>1350</v>
      </c>
      <c r="E757" t="s">
        <v>4517</v>
      </c>
      <c r="H757" t="s">
        <v>7402</v>
      </c>
    </row>
    <row r="758" spans="1:10" outlineLevel="1" x14ac:dyDescent="0.3">
      <c r="A758" t="s">
        <v>1351</v>
      </c>
      <c r="B758" t="s">
        <v>266</v>
      </c>
      <c r="C758" t="s">
        <v>10</v>
      </c>
      <c r="D758" t="s">
        <v>1352</v>
      </c>
      <c r="E758" t="s">
        <v>4518</v>
      </c>
      <c r="H758" t="s">
        <v>7403</v>
      </c>
    </row>
    <row r="759" spans="1:10" outlineLevel="1" x14ac:dyDescent="0.3">
      <c r="A759" t="s">
        <v>1353</v>
      </c>
      <c r="B759" t="s">
        <v>266</v>
      </c>
      <c r="C759" t="s">
        <v>8</v>
      </c>
      <c r="D759" t="s">
        <v>3946</v>
      </c>
      <c r="E759" t="s">
        <v>4519</v>
      </c>
      <c r="H759" t="s">
        <v>7404</v>
      </c>
    </row>
    <row r="760" spans="1:10" outlineLevel="1" x14ac:dyDescent="0.3">
      <c r="A760" t="s">
        <v>1354</v>
      </c>
      <c r="B760" t="s">
        <v>266</v>
      </c>
      <c r="C760" t="s">
        <v>8</v>
      </c>
      <c r="D760" t="s">
        <v>3946</v>
      </c>
      <c r="E760" t="s">
        <v>4519</v>
      </c>
      <c r="H760" t="s">
        <v>7143</v>
      </c>
    </row>
    <row r="761" spans="1:10" outlineLevel="1" x14ac:dyDescent="0.3">
      <c r="A761" t="s">
        <v>1355</v>
      </c>
      <c r="B761" t="s">
        <v>266</v>
      </c>
      <c r="C761" t="s">
        <v>8</v>
      </c>
      <c r="D761" t="s">
        <v>1356</v>
      </c>
      <c r="E761" t="s">
        <v>4520</v>
      </c>
    </row>
    <row r="762" spans="1:10" outlineLevel="1" x14ac:dyDescent="0.3">
      <c r="A762" t="s">
        <v>1357</v>
      </c>
      <c r="B762" t="s">
        <v>266</v>
      </c>
      <c r="C762" t="s">
        <v>8</v>
      </c>
      <c r="D762" t="s">
        <v>1356</v>
      </c>
      <c r="E762" t="s">
        <v>4520</v>
      </c>
    </row>
    <row r="763" spans="1:10" outlineLevel="1" x14ac:dyDescent="0.3">
      <c r="A763" t="s">
        <v>1358</v>
      </c>
      <c r="B763" t="s">
        <v>266</v>
      </c>
      <c r="C763" t="s">
        <v>10</v>
      </c>
      <c r="D763" t="s">
        <v>1359</v>
      </c>
      <c r="E763" t="s">
        <v>4521</v>
      </c>
      <c r="J763" t="s">
        <v>7434</v>
      </c>
    </row>
    <row r="764" spans="1:10" outlineLevel="1" x14ac:dyDescent="0.3">
      <c r="A764" t="s">
        <v>1360</v>
      </c>
      <c r="B764" t="s">
        <v>266</v>
      </c>
      <c r="C764" t="s">
        <v>8</v>
      </c>
      <c r="D764" t="s">
        <v>1361</v>
      </c>
      <c r="E764" t="s">
        <v>4522</v>
      </c>
    </row>
  </sheetData>
  <autoFilter ref="A2:C764" xr:uid="{00000000-0009-0000-0000-000005000000}"/>
  <mergeCells count="2">
    <mergeCell ref="A1:D1"/>
    <mergeCell ref="A3:D3"/>
  </mergeCells>
  <phoneticPr fontId="12" type="noConversion"/>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0"/>
  <sheetViews>
    <sheetView workbookViewId="0">
      <selection activeCell="D2" sqref="D2"/>
    </sheetView>
  </sheetViews>
  <sheetFormatPr defaultRowHeight="14.4" x14ac:dyDescent="0.3"/>
  <cols>
    <col min="1" max="1" width="30.88671875" customWidth="1"/>
    <col min="2" max="2" width="14.5546875" customWidth="1"/>
    <col min="3" max="3" width="49.5546875" bestFit="1" customWidth="1"/>
    <col min="4" max="4" width="22.77734375" customWidth="1"/>
    <col min="5" max="59" width="8.88671875" customWidth="1"/>
  </cols>
  <sheetData>
    <row r="1" spans="1:5" x14ac:dyDescent="0.3">
      <c r="A1" s="14" t="s">
        <v>3697</v>
      </c>
      <c r="B1" s="15" t="s">
        <v>3698</v>
      </c>
      <c r="C1" s="15" t="s">
        <v>3699</v>
      </c>
      <c r="D1" s="18" t="s">
        <v>3700</v>
      </c>
    </row>
    <row r="2" spans="1:5" x14ac:dyDescent="0.3">
      <c r="A2" s="16" t="s">
        <v>3701</v>
      </c>
      <c r="B2" s="17" t="s">
        <v>3702</v>
      </c>
      <c r="C2" s="17" t="s">
        <v>1813</v>
      </c>
      <c r="D2" t="e">
        <f t="array" ref="D2:E2">TRANSPOSE(_xlfn._xlws.FILTER('Controllable Asset Registry'!#REF!,IFERROR('Controllable Asset Registry'!#REF!=C2,FALSE),"No Equipment in entity"))</f>
        <v>#REF!</v>
      </c>
      <c r="E2" t="e">
        <v>#REF!</v>
      </c>
    </row>
    <row r="3" spans="1:5" x14ac:dyDescent="0.3">
      <c r="A3" s="16" t="s">
        <v>3703</v>
      </c>
      <c r="B3" s="17" t="s">
        <v>3704</v>
      </c>
      <c r="C3" s="17" t="s">
        <v>1812</v>
      </c>
      <c r="D3" t="e">
        <f t="array" ref="D3:E3">TRANSPOSE(_xlfn._xlws.FILTER('Controllable Asset Registry'!#REF!,IFERROR('Controllable Asset Registry'!#REF!=C3,FALSE),"No Equipment in entity"))</f>
        <v>#REF!</v>
      </c>
      <c r="E3" t="e">
        <v>#REF!</v>
      </c>
    </row>
    <row r="4" spans="1:5" x14ac:dyDescent="0.3">
      <c r="A4" s="16" t="s">
        <v>3705</v>
      </c>
      <c r="B4" s="17" t="s">
        <v>3706</v>
      </c>
      <c r="C4" s="17" t="s">
        <v>3707</v>
      </c>
      <c r="D4" t="e">
        <f t="array" ref="D4">TRANSPOSE(_xlfn._xlws.FILTER('Controllable Asset Registry'!#REF!,IFERROR('Controllable Asset Registry'!#REF!=C4,FALSE),"No Equipment in entity"))</f>
        <v>#REF!</v>
      </c>
    </row>
    <row r="5" spans="1:5" x14ac:dyDescent="0.3">
      <c r="A5" s="16" t="s">
        <v>3708</v>
      </c>
      <c r="B5" s="17" t="s">
        <v>3709</v>
      </c>
      <c r="C5" s="17" t="s">
        <v>3710</v>
      </c>
      <c r="D5" t="e">
        <f t="array" ref="D5">TRANSPOSE(_xlfn._xlws.FILTER('Controllable Asset Registry'!#REF!,IFERROR('Controllable Asset Registry'!#REF!=C5,FALSE),"No Equipment in entity"))</f>
        <v>#REF!</v>
      </c>
    </row>
    <row r="6" spans="1:5" x14ac:dyDescent="0.3">
      <c r="A6" s="16" t="s">
        <v>3711</v>
      </c>
      <c r="B6" s="17" t="s">
        <v>3712</v>
      </c>
      <c r="C6" s="17" t="s">
        <v>1823</v>
      </c>
      <c r="D6" t="e">
        <f t="array" ref="D6">TRANSPOSE(_xlfn._xlws.FILTER('Controllable Asset Registry'!#REF!,IFERROR('Controllable Asset Registry'!#REF!=C6,FALSE),"No Equipment in entity"))</f>
        <v>#REF!</v>
      </c>
    </row>
    <row r="7" spans="1:5" x14ac:dyDescent="0.3">
      <c r="A7" s="16" t="s">
        <v>3713</v>
      </c>
      <c r="B7" s="17" t="s">
        <v>3714</v>
      </c>
      <c r="C7" s="17" t="s">
        <v>3715</v>
      </c>
      <c r="D7" t="e">
        <f t="array" ref="D7">TRANSPOSE(_xlfn._xlws.FILTER('Controllable Asset Registry'!#REF!,IFERROR('Controllable Asset Registry'!#REF!=C7,FALSE),"No Equipment in entity"))</f>
        <v>#REF!</v>
      </c>
    </row>
    <row r="8" spans="1:5" x14ac:dyDescent="0.3">
      <c r="A8" s="16" t="s">
        <v>3713</v>
      </c>
      <c r="B8" s="17" t="s">
        <v>3716</v>
      </c>
      <c r="C8" s="17" t="s">
        <v>3717</v>
      </c>
      <c r="D8" t="e">
        <f t="array" ref="D8">TRANSPOSE(_xlfn._xlws.FILTER('Controllable Asset Registry'!#REF!,IFERROR('Controllable Asset Registry'!#REF!=C8,FALSE),"No Equipment in entity"))</f>
        <v>#REF!</v>
      </c>
    </row>
    <row r="9" spans="1:5" x14ac:dyDescent="0.3">
      <c r="A9" s="16" t="s">
        <v>3718</v>
      </c>
      <c r="B9" s="17" t="s">
        <v>3719</v>
      </c>
      <c r="C9" s="17" t="s">
        <v>1815</v>
      </c>
      <c r="D9" t="e">
        <f t="array" ref="D9">TRANSPOSE(_xlfn._xlws.FILTER('Controllable Asset Registry'!#REF!,IFERROR('Controllable Asset Registry'!#REF!=C9,FALSE),"No Equipment in entity"))</f>
        <v>#REF!</v>
      </c>
    </row>
    <row r="10" spans="1:5" x14ac:dyDescent="0.3">
      <c r="A10" s="16" t="s">
        <v>3720</v>
      </c>
      <c r="B10" s="17" t="s">
        <v>3721</v>
      </c>
      <c r="C10" s="17" t="s">
        <v>3722</v>
      </c>
      <c r="D10" t="e">
        <f t="array" ref="D10">TRANSPOSE(_xlfn._xlws.FILTER('Controllable Asset Registry'!#REF!,IFERROR('Controllable Asset Registry'!#REF!=C10,FALSE),"No Equipment in entity"))</f>
        <v>#REF!</v>
      </c>
    </row>
    <row r="11" spans="1:5" x14ac:dyDescent="0.3">
      <c r="A11" s="16" t="s">
        <v>3723</v>
      </c>
      <c r="B11" s="17" t="s">
        <v>3724</v>
      </c>
      <c r="C11" s="17" t="s">
        <v>3725</v>
      </c>
      <c r="D11" t="e">
        <f t="array" ref="D11">TRANSPOSE(_xlfn._xlws.FILTER('Controllable Asset Registry'!#REF!,IFERROR('Controllable Asset Registry'!#REF!=C11,FALSE),"No Equipment in entity"))</f>
        <v>#REF!</v>
      </c>
    </row>
    <row r="12" spans="1:5" x14ac:dyDescent="0.3">
      <c r="A12" s="16" t="s">
        <v>3726</v>
      </c>
      <c r="B12" s="17" t="s">
        <v>3727</v>
      </c>
      <c r="C12" s="17" t="s">
        <v>3728</v>
      </c>
      <c r="D12" t="e">
        <f t="array" ref="D12">TRANSPOSE(_xlfn._xlws.FILTER('Controllable Asset Registry'!#REF!,IFERROR('Controllable Asset Registry'!#REF!=C12,FALSE),"No Equipment in entity"))</f>
        <v>#REF!</v>
      </c>
    </row>
    <row r="13" spans="1:5" x14ac:dyDescent="0.3">
      <c r="A13" s="16" t="s">
        <v>3729</v>
      </c>
      <c r="B13" s="17" t="s">
        <v>3730</v>
      </c>
      <c r="C13" s="17" t="s">
        <v>3731</v>
      </c>
      <c r="D13" t="e">
        <f t="array" ref="D13">TRANSPOSE(_xlfn._xlws.FILTER('Controllable Asset Registry'!#REF!,IFERROR('Controllable Asset Registry'!#REF!=C13,FALSE),"No Equipment in entity"))</f>
        <v>#REF!</v>
      </c>
    </row>
    <row r="14" spans="1:5" x14ac:dyDescent="0.3">
      <c r="A14" s="16" t="s">
        <v>3732</v>
      </c>
      <c r="B14" s="17" t="s">
        <v>3733</v>
      </c>
      <c r="C14" s="17" t="s">
        <v>3734</v>
      </c>
      <c r="D14" t="e">
        <f t="array" ref="D14">TRANSPOSE(_xlfn._xlws.FILTER('Controllable Asset Registry'!#REF!,IFERROR('Controllable Asset Registry'!#REF!=C14,FALSE),"No Equipment in entity"))</f>
        <v>#REF!</v>
      </c>
    </row>
    <row r="15" spans="1:5" x14ac:dyDescent="0.3">
      <c r="A15" s="16" t="s">
        <v>3735</v>
      </c>
      <c r="B15" s="17" t="s">
        <v>3736</v>
      </c>
      <c r="C15" s="17" t="s">
        <v>3737</v>
      </c>
      <c r="D15" t="e">
        <f t="array" ref="D15">TRANSPOSE(_xlfn._xlws.FILTER('Controllable Asset Registry'!#REF!,IFERROR('Controllable Asset Registry'!#REF!=C15,FALSE),"No Equipment in entity"))</f>
        <v>#REF!</v>
      </c>
    </row>
    <row r="16" spans="1:5" x14ac:dyDescent="0.3">
      <c r="A16" s="16" t="s">
        <v>3735</v>
      </c>
      <c r="B16" s="17" t="s">
        <v>3738</v>
      </c>
      <c r="C16" s="17" t="s">
        <v>3739</v>
      </c>
      <c r="D16" t="e">
        <f t="array" ref="D16">TRANSPOSE(_xlfn._xlws.FILTER('Controllable Asset Registry'!#REF!,IFERROR('Controllable Asset Registry'!#REF!=C16,FALSE),"No Equipment in entity"))</f>
        <v>#REF!</v>
      </c>
    </row>
    <row r="17" spans="1:4" x14ac:dyDescent="0.3">
      <c r="A17" s="16" t="s">
        <v>3735</v>
      </c>
      <c r="B17" s="17" t="s">
        <v>3740</v>
      </c>
      <c r="C17" s="17" t="s">
        <v>3741</v>
      </c>
      <c r="D17" t="e">
        <f t="array" ref="D17">TRANSPOSE(_xlfn._xlws.FILTER('Controllable Asset Registry'!#REF!,IFERROR('Controllable Asset Registry'!#REF!=C17,FALSE),"No Equipment in entity"))</f>
        <v>#REF!</v>
      </c>
    </row>
    <row r="18" spans="1:4" x14ac:dyDescent="0.3">
      <c r="A18" s="16" t="s">
        <v>3735</v>
      </c>
      <c r="B18" s="17" t="s">
        <v>3742</v>
      </c>
      <c r="C18" s="17" t="s">
        <v>3743</v>
      </c>
      <c r="D18" t="e">
        <f t="array" ref="D18">TRANSPOSE(_xlfn._xlws.FILTER('Controllable Asset Registry'!#REF!,IFERROR('Controllable Asset Registry'!#REF!=C18,FALSE),"No Equipment in entity"))</f>
        <v>#REF!</v>
      </c>
    </row>
    <row r="19" spans="1:4" x14ac:dyDescent="0.3">
      <c r="A19" s="16" t="s">
        <v>3735</v>
      </c>
      <c r="B19" s="17" t="s">
        <v>3744</v>
      </c>
      <c r="C19" s="17" t="s">
        <v>3745</v>
      </c>
      <c r="D19" t="e">
        <f t="array" ref="D19">TRANSPOSE(_xlfn._xlws.FILTER('Controllable Asset Registry'!#REF!,IFERROR('Controllable Asset Registry'!#REF!=C19,FALSE),"No Equipment in entity"))</f>
        <v>#REF!</v>
      </c>
    </row>
    <row r="20" spans="1:4" x14ac:dyDescent="0.3">
      <c r="A20" s="16" t="s">
        <v>3735</v>
      </c>
      <c r="B20" s="17" t="s">
        <v>3746</v>
      </c>
      <c r="C20" s="17" t="s">
        <v>3747</v>
      </c>
      <c r="D20" t="e">
        <f t="array" ref="D20">TRANSPOSE(_xlfn._xlws.FILTER('Controllable Asset Registry'!#REF!,IFERROR('Controllable Asset Registry'!#REF!=C20,FALSE),"No Equipment in entity"))</f>
        <v>#REF!</v>
      </c>
    </row>
    <row r="21" spans="1:4" x14ac:dyDescent="0.3">
      <c r="A21" s="16" t="s">
        <v>3701</v>
      </c>
      <c r="B21" s="17" t="s">
        <v>3748</v>
      </c>
      <c r="C21" s="17" t="s">
        <v>1814</v>
      </c>
      <c r="D21" t="e">
        <f t="array" ref="D21">TRANSPOSE(_xlfn._xlws.FILTER('Controllable Asset Registry'!#REF!,IFERROR('Controllable Asset Registry'!#REF!=C21,FALSE),"No Equipment in entity"))</f>
        <v>#REF!</v>
      </c>
    </row>
    <row r="22" spans="1:4" x14ac:dyDescent="0.3">
      <c r="A22" s="16" t="s">
        <v>3749</v>
      </c>
      <c r="B22" s="17" t="s">
        <v>3750</v>
      </c>
      <c r="C22" s="17" t="s">
        <v>3751</v>
      </c>
      <c r="D22" t="e">
        <f t="array" ref="D22">TRANSPOSE(_xlfn._xlws.FILTER('Controllable Asset Registry'!#REF!,IFERROR('Controllable Asset Registry'!#REF!=C22,FALSE),"No Equipment in entity"))</f>
        <v>#REF!</v>
      </c>
    </row>
    <row r="23" spans="1:4" x14ac:dyDescent="0.3">
      <c r="A23" s="16" t="s">
        <v>3752</v>
      </c>
      <c r="B23" s="17" t="s">
        <v>3753</v>
      </c>
      <c r="C23" s="17" t="s">
        <v>3754</v>
      </c>
      <c r="D23" t="e">
        <f t="array" ref="D23">TRANSPOSE(_xlfn._xlws.FILTER('Controllable Asset Registry'!#REF!,IFERROR('Controllable Asset Registry'!#REF!=C23,FALSE),"No Equipment in entity"))</f>
        <v>#REF!</v>
      </c>
    </row>
    <row r="24" spans="1:4" x14ac:dyDescent="0.3">
      <c r="A24" s="16" t="s">
        <v>3755</v>
      </c>
      <c r="B24" s="17" t="s">
        <v>3756</v>
      </c>
      <c r="C24" s="17" t="s">
        <v>3757</v>
      </c>
      <c r="D24" t="e">
        <f t="array" ref="D24">TRANSPOSE(_xlfn._xlws.FILTER('Controllable Asset Registry'!#REF!,IFERROR('Controllable Asset Registry'!#REF!=C24,FALSE),"No Equipment in entity"))</f>
        <v>#REF!</v>
      </c>
    </row>
    <row r="25" spans="1:4" x14ac:dyDescent="0.3">
      <c r="A25" s="16" t="s">
        <v>3758</v>
      </c>
      <c r="B25" s="17" t="s">
        <v>3759</v>
      </c>
      <c r="C25" s="17" t="s">
        <v>3760</v>
      </c>
      <c r="D25" t="e">
        <f t="array" ref="D25">TRANSPOSE(_xlfn._xlws.FILTER('Controllable Asset Registry'!#REF!,IFERROR('Controllable Asset Registry'!#REF!=C25,FALSE),"No Equipment in entity"))</f>
        <v>#REF!</v>
      </c>
    </row>
    <row r="26" spans="1:4" x14ac:dyDescent="0.3">
      <c r="A26" s="16" t="s">
        <v>3761</v>
      </c>
      <c r="B26" s="17" t="s">
        <v>3762</v>
      </c>
      <c r="C26" s="17" t="s">
        <v>3763</v>
      </c>
      <c r="D26" t="e">
        <f t="array" ref="D26">TRANSPOSE(_xlfn._xlws.FILTER('Controllable Asset Registry'!#REF!,IFERROR('Controllable Asset Registry'!#REF!=C26,FALSE),"No Equipment in entity"))</f>
        <v>#REF!</v>
      </c>
    </row>
    <row r="27" spans="1:4" x14ac:dyDescent="0.3">
      <c r="A27" s="16" t="s">
        <v>3764</v>
      </c>
      <c r="B27" s="17" t="s">
        <v>3765</v>
      </c>
      <c r="C27" s="17" t="s">
        <v>3766</v>
      </c>
      <c r="D27" t="e">
        <f t="array" ref="D27">TRANSPOSE(_xlfn._xlws.FILTER('Controllable Asset Registry'!#REF!,IFERROR('Controllable Asset Registry'!#REF!=C27,FALSE),"No Equipment in entity"))</f>
        <v>#REF!</v>
      </c>
    </row>
    <row r="28" spans="1:4" x14ac:dyDescent="0.3">
      <c r="A28" s="16" t="s">
        <v>3767</v>
      </c>
      <c r="B28" s="17" t="s">
        <v>3768</v>
      </c>
      <c r="C28" s="17" t="s">
        <v>3769</v>
      </c>
      <c r="D28" t="e">
        <f t="array" ref="D28">TRANSPOSE(_xlfn._xlws.FILTER('Controllable Asset Registry'!#REF!,IFERROR('Controllable Asset Registry'!#REF!=C28,FALSE),"No Equipment in entity"))</f>
        <v>#REF!</v>
      </c>
    </row>
    <row r="29" spans="1:4" x14ac:dyDescent="0.3">
      <c r="A29" s="16" t="s">
        <v>3770</v>
      </c>
      <c r="B29" s="17" t="s">
        <v>3771</v>
      </c>
      <c r="C29" s="17" t="s">
        <v>3772</v>
      </c>
      <c r="D29" t="e">
        <f t="array" ref="D29">TRANSPOSE(_xlfn._xlws.FILTER('Controllable Asset Registry'!#REF!,IFERROR('Controllable Asset Registry'!#REF!=C29,FALSE),"No Equipment in entity"))</f>
        <v>#REF!</v>
      </c>
    </row>
    <row r="30" spans="1:4" x14ac:dyDescent="0.3">
      <c r="A30" s="16" t="s">
        <v>3773</v>
      </c>
      <c r="B30" s="17" t="s">
        <v>3774</v>
      </c>
      <c r="C30" s="17" t="s">
        <v>3775</v>
      </c>
      <c r="D30" t="e">
        <f t="array" ref="D30">TRANSPOSE(_xlfn._xlws.FILTER('Controllable Asset Registry'!#REF!,IFERROR('Controllable Asset Registry'!#REF!=C30,FALSE),"No Equipment in entity"))</f>
        <v>#REF!</v>
      </c>
    </row>
    <row r="31" spans="1:4" x14ac:dyDescent="0.3">
      <c r="A31" s="16" t="s">
        <v>3776</v>
      </c>
      <c r="B31" s="17" t="s">
        <v>3777</v>
      </c>
      <c r="C31" s="17" t="s">
        <v>3778</v>
      </c>
      <c r="D31" t="e">
        <f t="array" ref="D31">TRANSPOSE(_xlfn._xlws.FILTER('Controllable Asset Registry'!#REF!,IFERROR('Controllable Asset Registry'!#REF!=C31,FALSE),"No Equipment in entity"))</f>
        <v>#REF!</v>
      </c>
    </row>
    <row r="32" spans="1:4" x14ac:dyDescent="0.3">
      <c r="A32" s="16" t="s">
        <v>3779</v>
      </c>
      <c r="B32" s="17" t="s">
        <v>3780</v>
      </c>
      <c r="C32" s="17" t="s">
        <v>3781</v>
      </c>
      <c r="D32" t="e">
        <f t="array" ref="D32">TRANSPOSE(_xlfn._xlws.FILTER('Controllable Asset Registry'!#REF!,IFERROR('Controllable Asset Registry'!#REF!=C32,FALSE),"No Equipment in entity"))</f>
        <v>#REF!</v>
      </c>
    </row>
    <row r="33" spans="1:6" x14ac:dyDescent="0.3">
      <c r="A33" s="16" t="s">
        <v>3782</v>
      </c>
      <c r="B33" s="17" t="s">
        <v>3783</v>
      </c>
      <c r="C33" s="17" t="s">
        <v>3784</v>
      </c>
      <c r="D33" t="e">
        <f t="array" ref="D33">TRANSPOSE(_xlfn._xlws.FILTER('Controllable Asset Registry'!#REF!,IFERROR('Controllable Asset Registry'!#REF!=C33,FALSE),"No Equipment in entity"))</f>
        <v>#REF!</v>
      </c>
    </row>
    <row r="34" spans="1:6" x14ac:dyDescent="0.3">
      <c r="A34" s="16" t="s">
        <v>3785</v>
      </c>
      <c r="B34" s="17" t="s">
        <v>3786</v>
      </c>
      <c r="C34" s="17" t="s">
        <v>3787</v>
      </c>
      <c r="D34" t="e">
        <f t="array" ref="D34">TRANSPOSE(_xlfn._xlws.FILTER('Controllable Asset Registry'!#REF!,IFERROR('Controllable Asset Registry'!#REF!=C34,FALSE),"No Equipment in entity"))</f>
        <v>#REF!</v>
      </c>
    </row>
    <row r="35" spans="1:6" x14ac:dyDescent="0.3">
      <c r="A35" s="16" t="s">
        <v>3788</v>
      </c>
      <c r="B35" s="17" t="s">
        <v>3789</v>
      </c>
      <c r="C35" s="17" t="s">
        <v>1816</v>
      </c>
      <c r="D35" t="e">
        <f t="array" ref="D35">TRANSPOSE(_xlfn._xlws.FILTER('Controllable Asset Registry'!#REF!,IFERROR('Controllable Asset Registry'!#REF!=C35,FALSE),"No Equipment in entity"))</f>
        <v>#REF!</v>
      </c>
    </row>
    <row r="36" spans="1:6" x14ac:dyDescent="0.3">
      <c r="A36" s="16" t="s">
        <v>3726</v>
      </c>
      <c r="B36" s="17" t="s">
        <v>3790</v>
      </c>
      <c r="C36" s="17" t="s">
        <v>3791</v>
      </c>
      <c r="D36" t="e">
        <f t="array" ref="D36">TRANSPOSE(_xlfn._xlws.FILTER('Controllable Asset Registry'!#REF!,IFERROR('Controllable Asset Registry'!#REF!=C36,FALSE),"No Equipment in entity"))</f>
        <v>#REF!</v>
      </c>
    </row>
    <row r="37" spans="1:6" x14ac:dyDescent="0.3">
      <c r="A37" s="16" t="s">
        <v>3735</v>
      </c>
      <c r="B37" s="17" t="s">
        <v>3792</v>
      </c>
      <c r="C37" s="17" t="s">
        <v>3793</v>
      </c>
      <c r="D37" t="e">
        <f t="array" ref="D37">TRANSPOSE(_xlfn._xlws.FILTER('Controllable Asset Registry'!#REF!,IFERROR('Controllable Asset Registry'!#REF!=C37,FALSE),"No Equipment in entity"))</f>
        <v>#REF!</v>
      </c>
    </row>
    <row r="38" spans="1:6" x14ac:dyDescent="0.3">
      <c r="A38" s="16" t="s">
        <v>3726</v>
      </c>
      <c r="B38" s="17" t="s">
        <v>3794</v>
      </c>
      <c r="C38" s="17" t="s">
        <v>3795</v>
      </c>
      <c r="D38" t="e">
        <f t="array" ref="D38">TRANSPOSE(_xlfn._xlws.FILTER('Controllable Asset Registry'!#REF!,IFERROR('Controllable Asset Registry'!#REF!=C38,FALSE),"No Equipment in entity"))</f>
        <v>#REF!</v>
      </c>
    </row>
    <row r="39" spans="1:6" x14ac:dyDescent="0.3">
      <c r="A39" s="16" t="s">
        <v>3726</v>
      </c>
      <c r="B39" s="17" t="s">
        <v>3796</v>
      </c>
      <c r="C39" s="17" t="s">
        <v>3797</v>
      </c>
      <c r="D39" t="e">
        <f t="array" ref="D39">TRANSPOSE(_xlfn._xlws.FILTER('Controllable Asset Registry'!#REF!,IFERROR('Controllable Asset Registry'!#REF!=C39,FALSE),"No Equipment in entity"))</f>
        <v>#REF!</v>
      </c>
    </row>
    <row r="40" spans="1:6" x14ac:dyDescent="0.3">
      <c r="A40" s="16" t="s">
        <v>3798</v>
      </c>
      <c r="B40" s="17" t="s">
        <v>3799</v>
      </c>
      <c r="C40" s="17" t="s">
        <v>3800</v>
      </c>
      <c r="D40" t="e">
        <f t="array" ref="D40">TRANSPOSE(_xlfn._xlws.FILTER('Controllable Asset Registry'!#REF!,IFERROR('Controllable Asset Registry'!#REF!=C40,FALSE),"No Equipment in entity"))</f>
        <v>#REF!</v>
      </c>
    </row>
    <row r="41" spans="1:6" x14ac:dyDescent="0.3">
      <c r="A41" s="16" t="s">
        <v>3801</v>
      </c>
      <c r="B41" s="17" t="s">
        <v>3802</v>
      </c>
      <c r="C41" s="17" t="s">
        <v>3803</v>
      </c>
      <c r="D41" t="e">
        <f t="array" ref="D41">TRANSPOSE(_xlfn._xlws.FILTER('Controllable Asset Registry'!#REF!,IFERROR('Controllable Asset Registry'!#REF!=C41,FALSE),"No Equipment in entity"))</f>
        <v>#REF!</v>
      </c>
    </row>
    <row r="42" spans="1:6" x14ac:dyDescent="0.3">
      <c r="A42" s="16" t="s">
        <v>3804</v>
      </c>
      <c r="B42" s="17" t="s">
        <v>3805</v>
      </c>
      <c r="C42" s="17" t="s">
        <v>3806</v>
      </c>
      <c r="D42" t="e">
        <f t="array" ref="D42">TRANSPOSE(_xlfn._xlws.FILTER('Controllable Asset Registry'!#REF!,IFERROR('Controllable Asset Registry'!#REF!=C42,FALSE),"No Equipment in entity"))</f>
        <v>#REF!</v>
      </c>
    </row>
    <row r="43" spans="1:6" x14ac:dyDescent="0.3">
      <c r="A43" s="16" t="s">
        <v>3807</v>
      </c>
      <c r="B43" s="17" t="s">
        <v>3808</v>
      </c>
      <c r="C43" s="17" t="s">
        <v>3809</v>
      </c>
      <c r="D43" t="e">
        <f t="array" ref="D43">TRANSPOSE(_xlfn._xlws.FILTER('Controllable Asset Registry'!#REF!,IFERROR('Controllable Asset Registry'!#REF!=C43,FALSE),"No Equipment in entity"))</f>
        <v>#REF!</v>
      </c>
    </row>
    <row r="44" spans="1:6" x14ac:dyDescent="0.3">
      <c r="A44" s="16" t="s">
        <v>3810</v>
      </c>
      <c r="B44" s="17">
        <v>1.0369999999999999</v>
      </c>
      <c r="C44" s="17" t="s">
        <v>3811</v>
      </c>
      <c r="D44" t="e">
        <f t="array" ref="D44">TRANSPOSE(_xlfn._xlws.FILTER('Controllable Asset Registry'!#REF!,IFERROR('Controllable Asset Registry'!#REF!=C44,FALSE),"No Equipment in entity"))</f>
        <v>#REF!</v>
      </c>
    </row>
    <row r="45" spans="1:6" x14ac:dyDescent="0.3">
      <c r="A45" s="16" t="s">
        <v>3812</v>
      </c>
      <c r="B45" s="17">
        <v>1.014</v>
      </c>
      <c r="C45" s="17" t="s">
        <v>1824</v>
      </c>
      <c r="D45" t="e">
        <f t="array" ref="D45:F45">TRANSPOSE(_xlfn._xlws.FILTER('Controllable Asset Registry'!#REF!,IFERROR('Controllable Asset Registry'!#REF!=C45,FALSE),"No Equipment in entity"))</f>
        <v>#REF!</v>
      </c>
      <c r="E45" t="e">
        <v>#REF!</v>
      </c>
      <c r="F45" t="e">
        <v>#REF!</v>
      </c>
    </row>
    <row r="46" spans="1:6" x14ac:dyDescent="0.3">
      <c r="A46" s="16" t="s">
        <v>3813</v>
      </c>
      <c r="B46" s="17" t="s">
        <v>3814</v>
      </c>
      <c r="C46" s="17" t="s">
        <v>3815</v>
      </c>
      <c r="D46" t="e">
        <f t="array" ref="D46">TRANSPOSE(_xlfn._xlws.FILTER('Controllable Asset Registry'!#REF!,IFERROR('Controllable Asset Registry'!#REF!=C46,FALSE),"No Equipment in entity"))</f>
        <v>#REF!</v>
      </c>
    </row>
    <row r="47" spans="1:6" x14ac:dyDescent="0.3">
      <c r="A47" s="16" t="s">
        <v>3812</v>
      </c>
      <c r="B47" s="17">
        <v>1.0149999999999999</v>
      </c>
      <c r="C47" s="17" t="s">
        <v>1825</v>
      </c>
      <c r="D47" t="e">
        <f t="array" ref="D47:F47">TRANSPOSE(_xlfn._xlws.FILTER('Controllable Asset Registry'!#REF!,IFERROR('Controllable Asset Registry'!#REF!=C47,FALSE),"No Equipment in entity"))</f>
        <v>#REF!</v>
      </c>
      <c r="E47" t="e">
        <v>#REF!</v>
      </c>
      <c r="F47" t="e">
        <v>#REF!</v>
      </c>
    </row>
    <row r="48" spans="1:6" x14ac:dyDescent="0.3">
      <c r="A48" s="16" t="s">
        <v>3816</v>
      </c>
      <c r="B48" s="17" t="s">
        <v>3817</v>
      </c>
      <c r="C48" s="17" t="s">
        <v>3818</v>
      </c>
      <c r="D48" t="e">
        <f t="array" ref="D48">TRANSPOSE(_xlfn._xlws.FILTER('Controllable Asset Registry'!#REF!,IFERROR('Controllable Asset Registry'!#REF!=C48,FALSE),"No Equipment in entity"))</f>
        <v>#REF!</v>
      </c>
    </row>
    <row r="49" spans="1:9" x14ac:dyDescent="0.3">
      <c r="A49" s="16" t="s">
        <v>3812</v>
      </c>
      <c r="B49" s="17">
        <v>1.016</v>
      </c>
      <c r="C49" s="17" t="s">
        <v>1834</v>
      </c>
      <c r="D49" t="e">
        <f t="array" ref="D49">TRANSPOSE(_xlfn._xlws.FILTER('Controllable Asset Registry'!#REF!,IFERROR('Controllable Asset Registry'!#REF!=C49,FALSE),"No Equipment in entity"))</f>
        <v>#REF!</v>
      </c>
    </row>
    <row r="50" spans="1:9" x14ac:dyDescent="0.3">
      <c r="A50" s="16" t="s">
        <v>3752</v>
      </c>
      <c r="B50" s="17">
        <v>1.0409999999999999</v>
      </c>
      <c r="C50" s="17" t="s">
        <v>3819</v>
      </c>
      <c r="D50" t="e">
        <f t="array" ref="D50">TRANSPOSE(_xlfn._xlws.FILTER('Controllable Asset Registry'!#REF!,IFERROR('Controllable Asset Registry'!#REF!=C50,FALSE),"No Equipment in entity"))</f>
        <v>#REF!</v>
      </c>
    </row>
    <row r="51" spans="1:9" x14ac:dyDescent="0.3">
      <c r="A51" s="16" t="s">
        <v>3820</v>
      </c>
      <c r="B51" s="17">
        <v>1.0169999999999999</v>
      </c>
      <c r="C51" s="17" t="s">
        <v>3821</v>
      </c>
      <c r="D51" t="e">
        <f t="array" ref="D51">TRANSPOSE(_xlfn._xlws.FILTER('Controllable Asset Registry'!#REF!,IFERROR('Controllable Asset Registry'!#REF!=C51,FALSE),"No Equipment in entity"))</f>
        <v>#REF!</v>
      </c>
    </row>
    <row r="52" spans="1:9" x14ac:dyDescent="0.3">
      <c r="A52" s="16" t="s">
        <v>3735</v>
      </c>
      <c r="B52" s="17">
        <v>1.018</v>
      </c>
      <c r="C52" s="17" t="s">
        <v>1835</v>
      </c>
      <c r="D52" t="e">
        <f t="array" ref="D52">TRANSPOSE(_xlfn._xlws.FILTER('Controllable Asset Registry'!#REF!,IFERROR('Controllable Asset Registry'!#REF!=C52,FALSE),"No Equipment in entity"))</f>
        <v>#REF!</v>
      </c>
    </row>
    <row r="53" spans="1:9" x14ac:dyDescent="0.3">
      <c r="A53" s="16" t="s">
        <v>3812</v>
      </c>
      <c r="B53" s="17">
        <v>1.002</v>
      </c>
      <c r="C53" s="17" t="s">
        <v>1833</v>
      </c>
      <c r="D53" t="e">
        <f t="array" ref="D53:G53">TRANSPOSE(_xlfn._xlws.FILTER('Controllable Asset Registry'!#REF!,IFERROR('Controllable Asset Registry'!#REF!=C53,FALSE),"No Equipment in entity"))</f>
        <v>#REF!</v>
      </c>
      <c r="E53" t="e">
        <v>#REF!</v>
      </c>
      <c r="F53" t="e">
        <v>#REF!</v>
      </c>
      <c r="G53" t="e">
        <v>#REF!</v>
      </c>
    </row>
    <row r="54" spans="1:9" x14ac:dyDescent="0.3">
      <c r="A54" s="16" t="s">
        <v>3822</v>
      </c>
      <c r="B54" s="17">
        <v>1.022</v>
      </c>
      <c r="C54" s="17" t="s">
        <v>1836</v>
      </c>
      <c r="D54" t="e">
        <f t="array" ref="D54">TRANSPOSE(_xlfn._xlws.FILTER('Controllable Asset Registry'!#REF!,IFERROR('Controllable Asset Registry'!#REF!=C54,FALSE),"No Equipment in entity"))</f>
        <v>#REF!</v>
      </c>
    </row>
    <row r="55" spans="1:9" x14ac:dyDescent="0.3">
      <c r="A55" s="16" t="s">
        <v>3822</v>
      </c>
      <c r="B55" s="17">
        <v>1.0209999999999999</v>
      </c>
      <c r="C55" s="17" t="s">
        <v>3823</v>
      </c>
      <c r="D55" t="e">
        <f t="array" ref="D55">TRANSPOSE(_xlfn._xlws.FILTER('Controllable Asset Registry'!#REF!,IFERROR('Controllable Asset Registry'!#REF!=C55,FALSE),"No Equipment in entity"))</f>
        <v>#REF!</v>
      </c>
    </row>
    <row r="56" spans="1:9" x14ac:dyDescent="0.3">
      <c r="A56" s="16" t="s">
        <v>3735</v>
      </c>
      <c r="B56" s="17">
        <v>1.0229999999999999</v>
      </c>
      <c r="C56" s="17" t="s">
        <v>3824</v>
      </c>
      <c r="D56" t="e">
        <f t="array" ref="D56">TRANSPOSE(_xlfn._xlws.FILTER('Controllable Asset Registry'!#REF!,IFERROR('Controllable Asset Registry'!#REF!=C56,FALSE),"No Equipment in entity"))</f>
        <v>#REF!</v>
      </c>
    </row>
    <row r="57" spans="1:9" x14ac:dyDescent="0.3">
      <c r="A57" s="16" t="s">
        <v>3735</v>
      </c>
      <c r="B57" s="17">
        <v>1.02</v>
      </c>
      <c r="C57" s="17" t="s">
        <v>3825</v>
      </c>
      <c r="D57" t="e">
        <f t="array" ref="D57">TRANSPOSE(_xlfn._xlws.FILTER('Controllable Asset Registry'!#REF!,IFERROR('Controllable Asset Registry'!#REF!=C57,FALSE),"No Equipment in entity"))</f>
        <v>#REF!</v>
      </c>
    </row>
    <row r="58" spans="1:9" x14ac:dyDescent="0.3">
      <c r="A58" s="16" t="s">
        <v>3735</v>
      </c>
      <c r="B58" s="17">
        <v>1.024</v>
      </c>
      <c r="C58" s="17" t="s">
        <v>1826</v>
      </c>
      <c r="D58" t="e">
        <f t="array" ref="D58">TRANSPOSE(_xlfn._xlws.FILTER('Controllable Asset Registry'!#REF!,IFERROR('Controllable Asset Registry'!#REF!=C58,FALSE),"No Equipment in entity"))</f>
        <v>#REF!</v>
      </c>
    </row>
    <row r="59" spans="1:9" x14ac:dyDescent="0.3">
      <c r="A59" s="16" t="s">
        <v>3826</v>
      </c>
      <c r="B59" s="17">
        <v>1.0389999999999999</v>
      </c>
      <c r="C59" s="17" t="s">
        <v>1819</v>
      </c>
      <c r="D59" t="e">
        <f t="array" ref="D59:E59">TRANSPOSE(_xlfn._xlws.FILTER('Controllable Asset Registry'!#REF!,IFERROR('Controllable Asset Registry'!#REF!=C59,FALSE),"No Equipment in entity"))</f>
        <v>#REF!</v>
      </c>
      <c r="E59" t="e">
        <v>#REF!</v>
      </c>
    </row>
    <row r="60" spans="1:9" x14ac:dyDescent="0.3">
      <c r="A60" s="16" t="s">
        <v>3827</v>
      </c>
      <c r="B60" s="17">
        <v>1.0269999999999999</v>
      </c>
      <c r="C60" s="17" t="s">
        <v>1818</v>
      </c>
      <c r="D60" t="e">
        <f t="array" ref="D60:E60">TRANSPOSE(_xlfn._xlws.FILTER('Controllable Asset Registry'!#REF!,IFERROR('Controllable Asset Registry'!#REF!=C60,FALSE),"No Equipment in entity"))</f>
        <v>#REF!</v>
      </c>
      <c r="E60" t="e">
        <v>#REF!</v>
      </c>
    </row>
    <row r="61" spans="1:9" x14ac:dyDescent="0.3">
      <c r="A61" s="16" t="s">
        <v>3828</v>
      </c>
      <c r="B61" s="17">
        <v>1.026</v>
      </c>
      <c r="C61" s="17" t="s">
        <v>3829</v>
      </c>
      <c r="D61" t="e">
        <f t="array" ref="D61">TRANSPOSE(_xlfn._xlws.FILTER('Controllable Asset Registry'!#REF!,IFERROR('Controllable Asset Registry'!#REF!=C61,FALSE),"No Equipment in entity"))</f>
        <v>#REF!</v>
      </c>
    </row>
    <row r="62" spans="1:9" x14ac:dyDescent="0.3">
      <c r="A62" s="16" t="s">
        <v>3830</v>
      </c>
      <c r="B62" s="17">
        <v>1.0249999999999999</v>
      </c>
      <c r="C62" s="17" t="s">
        <v>3831</v>
      </c>
      <c r="D62" t="e">
        <f t="array" ref="D62">TRANSPOSE(_xlfn._xlws.FILTER('Controllable Asset Registry'!#REF!,IFERROR('Controllable Asset Registry'!#REF!=C62,FALSE),"No Equipment in entity"))</f>
        <v>#REF!</v>
      </c>
    </row>
    <row r="63" spans="1:9" x14ac:dyDescent="0.3">
      <c r="A63" s="16" t="s">
        <v>3832</v>
      </c>
      <c r="B63" s="17">
        <v>1.0189999999999999</v>
      </c>
      <c r="C63" s="17" t="s">
        <v>1827</v>
      </c>
      <c r="D63" t="e">
        <f t="array" ref="D63:I63">TRANSPOSE(_xlfn._xlws.FILTER('Controllable Asset Registry'!#REF!,IFERROR('Controllable Asset Registry'!#REF!=C63,FALSE),"No Equipment in entity"))</f>
        <v>#REF!</v>
      </c>
      <c r="E63" t="e">
        <v>#REF!</v>
      </c>
      <c r="F63" t="e">
        <v>#REF!</v>
      </c>
      <c r="G63" t="e">
        <v>#REF!</v>
      </c>
      <c r="H63" t="e">
        <v>#REF!</v>
      </c>
      <c r="I63" t="e">
        <v>#REF!</v>
      </c>
    </row>
    <row r="64" spans="1:9" x14ac:dyDescent="0.3">
      <c r="A64" s="16" t="s">
        <v>3735</v>
      </c>
      <c r="B64" s="17">
        <v>1.0009999999999999</v>
      </c>
      <c r="C64" s="17" t="s">
        <v>1832</v>
      </c>
      <c r="D64" t="e">
        <f t="array" ref="D64:F64">TRANSPOSE(_xlfn._xlws.FILTER('Controllable Asset Registry'!#REF!,IFERROR('Controllable Asset Registry'!#REF!=C64,FALSE),"No Equipment in entity"))</f>
        <v>#REF!</v>
      </c>
      <c r="E64" t="e">
        <v>#REF!</v>
      </c>
      <c r="F64" t="e">
        <v>#REF!</v>
      </c>
    </row>
    <row r="65" spans="1:7" x14ac:dyDescent="0.3">
      <c r="A65" s="16" t="s">
        <v>3833</v>
      </c>
      <c r="B65" s="17">
        <v>1.0029999999999999</v>
      </c>
      <c r="C65" s="17" t="s">
        <v>1831</v>
      </c>
      <c r="D65" t="e">
        <f t="array" ref="D65:G65">TRANSPOSE(_xlfn._xlws.FILTER('Controllable Asset Registry'!#REF!,IFERROR('Controllable Asset Registry'!#REF!=C65,FALSE),"No Equipment in entity"))</f>
        <v>#REF!</v>
      </c>
      <c r="E65" t="e">
        <v>#REF!</v>
      </c>
      <c r="F65" t="e">
        <v>#REF!</v>
      </c>
      <c r="G65" t="e">
        <v>#REF!</v>
      </c>
    </row>
    <row r="66" spans="1:7" x14ac:dyDescent="0.3">
      <c r="A66" s="16" t="s">
        <v>3812</v>
      </c>
      <c r="B66" s="17">
        <v>1.0289999999999999</v>
      </c>
      <c r="C66" s="17" t="s">
        <v>1829</v>
      </c>
      <c r="D66" t="e">
        <f t="array" ref="D66:F66">TRANSPOSE(_xlfn._xlws.FILTER('Controllable Asset Registry'!#REF!,IFERROR('Controllable Asset Registry'!#REF!=C66,FALSE),"No Equipment in entity"))</f>
        <v>#REF!</v>
      </c>
      <c r="E66" t="e">
        <v>#REF!</v>
      </c>
      <c r="F66" t="e">
        <v>#REF!</v>
      </c>
    </row>
    <row r="67" spans="1:7" x14ac:dyDescent="0.3">
      <c r="A67" s="16" t="s">
        <v>3752</v>
      </c>
      <c r="B67" s="17">
        <v>1.012</v>
      </c>
      <c r="C67" s="17" t="s">
        <v>3834</v>
      </c>
      <c r="D67" t="e">
        <f t="array" ref="D67">TRANSPOSE(_xlfn._xlws.FILTER('Controllable Asset Registry'!#REF!,IFERROR('Controllable Asset Registry'!#REF!=C67,FALSE),"No Equipment in entity"))</f>
        <v>#REF!</v>
      </c>
    </row>
    <row r="68" spans="1:7" x14ac:dyDescent="0.3">
      <c r="A68" s="16" t="s">
        <v>3713</v>
      </c>
      <c r="B68" s="17" t="s">
        <v>3835</v>
      </c>
      <c r="C68" s="17" t="s">
        <v>3836</v>
      </c>
      <c r="D68" t="e">
        <f t="array" ref="D68">TRANSPOSE(_xlfn._xlws.FILTER('Controllable Asset Registry'!#REF!,IFERROR('Controllable Asset Registry'!#REF!=C68,FALSE),"No Equipment in entity"))</f>
        <v>#REF!</v>
      </c>
    </row>
    <row r="69" spans="1:7" x14ac:dyDescent="0.3">
      <c r="A69" s="16" t="s">
        <v>3713</v>
      </c>
      <c r="B69" s="17" t="s">
        <v>3837</v>
      </c>
      <c r="C69" s="17" t="s">
        <v>3838</v>
      </c>
      <c r="D69" t="e">
        <f t="array" ref="D69">TRANSPOSE(_xlfn._xlws.FILTER('Controllable Asset Registry'!#REF!,IFERROR('Controllable Asset Registry'!#REF!=C69,FALSE),"No Equipment in entity"))</f>
        <v>#REF!</v>
      </c>
    </row>
    <row r="70" spans="1:7" x14ac:dyDescent="0.3">
      <c r="A70" s="16" t="s">
        <v>3735</v>
      </c>
      <c r="B70" s="17">
        <v>1.0129999999999999</v>
      </c>
      <c r="C70" s="17" t="s">
        <v>1830</v>
      </c>
      <c r="D70" t="e">
        <f t="array" ref="D70">TRANSPOSE(_xlfn._xlws.FILTER('Controllable Asset Registry'!#REF!,IFERROR('Controllable Asset Registry'!#REF!=C70,FALSE),"No Equipment in entity"))</f>
        <v>#REF!</v>
      </c>
    </row>
    <row r="71" spans="1:7" x14ac:dyDescent="0.3">
      <c r="A71" s="16" t="s">
        <v>3708</v>
      </c>
      <c r="B71" s="17" t="s">
        <v>3839</v>
      </c>
      <c r="C71" s="17" t="s">
        <v>3840</v>
      </c>
      <c r="D71" t="e">
        <f t="array" ref="D71">TRANSPOSE(_xlfn._xlws.FILTER('Controllable Asset Registry'!#REF!,IFERROR('Controllable Asset Registry'!#REF!=C71,FALSE),"No Equipment in entity"))</f>
        <v>#REF!</v>
      </c>
    </row>
    <row r="72" spans="1:7" x14ac:dyDescent="0.3">
      <c r="A72" s="16" t="s">
        <v>3841</v>
      </c>
      <c r="B72" s="17">
        <v>1.0089999999999999</v>
      </c>
      <c r="C72" s="17" t="s">
        <v>3842</v>
      </c>
      <c r="D72" t="e">
        <f t="array" ref="D72">TRANSPOSE(_xlfn._xlws.FILTER('Controllable Asset Registry'!#REF!,IFERROR('Controllable Asset Registry'!#REF!=C72,FALSE),"No Equipment in entity"))</f>
        <v>#REF!</v>
      </c>
    </row>
    <row r="73" spans="1:7" x14ac:dyDescent="0.3">
      <c r="A73" s="16" t="s">
        <v>3843</v>
      </c>
      <c r="B73" s="17">
        <v>1.038</v>
      </c>
      <c r="C73" s="17" t="s">
        <v>3844</v>
      </c>
      <c r="D73" t="e">
        <f t="array" ref="D73">TRANSPOSE(_xlfn._xlws.FILTER('Controllable Asset Registry'!#REF!,IFERROR('Controllable Asset Registry'!#REF!=C73,FALSE),"No Equipment in entity"))</f>
        <v>#REF!</v>
      </c>
    </row>
    <row r="74" spans="1:7" x14ac:dyDescent="0.3">
      <c r="A74" s="16" t="s">
        <v>3845</v>
      </c>
      <c r="B74" s="17">
        <v>1.008</v>
      </c>
      <c r="C74" s="17" t="s">
        <v>1817</v>
      </c>
      <c r="D74" t="e">
        <f t="array" ref="D74:E74">TRANSPOSE(_xlfn._xlws.FILTER('Controllable Asset Registry'!#REF!,IFERROR('Controllable Asset Registry'!#REF!=C74,FALSE),"No Equipment in entity"))</f>
        <v>#REF!</v>
      </c>
      <c r="E74" t="e">
        <v>#REF!</v>
      </c>
    </row>
    <row r="75" spans="1:7" x14ac:dyDescent="0.3">
      <c r="A75" s="16" t="s">
        <v>3820</v>
      </c>
      <c r="B75" s="17">
        <v>1.0069999999999999</v>
      </c>
      <c r="C75" s="17" t="s">
        <v>3846</v>
      </c>
      <c r="D75" t="e">
        <f t="array" ref="D75">TRANSPOSE(_xlfn._xlws.FILTER('Controllable Asset Registry'!#REF!,IFERROR('Controllable Asset Registry'!#REF!=C75,FALSE),"No Equipment in entity"))</f>
        <v>#REF!</v>
      </c>
    </row>
    <row r="76" spans="1:7" x14ac:dyDescent="0.3">
      <c r="A76" s="16" t="s">
        <v>3830</v>
      </c>
      <c r="B76" s="17">
        <v>1.006</v>
      </c>
      <c r="C76" s="17" t="s">
        <v>3847</v>
      </c>
      <c r="D76" t="e">
        <f t="array" ref="D76">TRANSPOSE(_xlfn._xlws.FILTER('Controllable Asset Registry'!#REF!,IFERROR('Controllable Asset Registry'!#REF!=C76,FALSE),"No Equipment in entity"))</f>
        <v>#REF!</v>
      </c>
    </row>
    <row r="77" spans="1:7" x14ac:dyDescent="0.3">
      <c r="A77" s="16" t="s">
        <v>3848</v>
      </c>
      <c r="B77" s="17">
        <v>1.0049999999999999</v>
      </c>
      <c r="C77" s="17" t="s">
        <v>3849</v>
      </c>
      <c r="D77" t="e">
        <f t="array" ref="D77">TRANSPOSE(_xlfn._xlws.FILTER('Controllable Asset Registry'!#REF!,IFERROR('Controllable Asset Registry'!#REF!=C77,FALSE),"No Equipment in entity"))</f>
        <v>#REF!</v>
      </c>
    </row>
    <row r="78" spans="1:7" x14ac:dyDescent="0.3">
      <c r="A78" s="16" t="s">
        <v>3735</v>
      </c>
      <c r="B78" s="17">
        <v>1.004</v>
      </c>
      <c r="C78" s="17" t="s">
        <v>3850</v>
      </c>
      <c r="D78" t="e">
        <f t="array" ref="D78">TRANSPOSE(_xlfn._xlws.FILTER('Controllable Asset Registry'!#REF!,IFERROR('Controllable Asset Registry'!#REF!=C78,FALSE),"No Equipment in entity"))</f>
        <v>#REF!</v>
      </c>
    </row>
    <row r="79" spans="1:7" x14ac:dyDescent="0.3">
      <c r="A79" s="16" t="s">
        <v>3851</v>
      </c>
      <c r="B79" s="17" t="s">
        <v>3852</v>
      </c>
      <c r="C79" s="17" t="s">
        <v>1837</v>
      </c>
      <c r="D79" t="e">
        <f t="array" ref="D79">TRANSPOSE(_xlfn._xlws.FILTER('Controllable Asset Registry'!#REF!,IFERROR('Controllable Asset Registry'!#REF!=C79,FALSE),"No Equipment in entity"))</f>
        <v>#REF!</v>
      </c>
    </row>
    <row r="80" spans="1:7" x14ac:dyDescent="0.3">
      <c r="A80" s="16" t="s">
        <v>3853</v>
      </c>
      <c r="B80" s="17">
        <v>1.0109999999999999</v>
      </c>
      <c r="C80" s="17" t="s">
        <v>3854</v>
      </c>
      <c r="D80" t="e">
        <f t="array" ref="D80">TRANSPOSE(_xlfn._xlws.FILTER('Controllable Asset Registry'!#REF!,IFERROR('Controllable Asset Registry'!#REF!=C80,FALSE),"No Equipment in entity"))</f>
        <v>#REF!</v>
      </c>
    </row>
    <row r="81" spans="1:5" x14ac:dyDescent="0.3">
      <c r="A81" s="16" t="s">
        <v>3735</v>
      </c>
      <c r="B81" s="17">
        <v>1.01</v>
      </c>
      <c r="C81" s="17" t="s">
        <v>1821</v>
      </c>
      <c r="D81" t="e">
        <f t="array" ref="D81:E81">TRANSPOSE(_xlfn._xlws.FILTER('Controllable Asset Registry'!#REF!,IFERROR('Controllable Asset Registry'!#REF!=C81,FALSE),"No Equipment in entity"))</f>
        <v>#REF!</v>
      </c>
      <c r="E81" t="e">
        <v>#REF!</v>
      </c>
    </row>
    <row r="82" spans="1:5" x14ac:dyDescent="0.3">
      <c r="A82" s="16" t="s">
        <v>3855</v>
      </c>
      <c r="B82" s="17" t="s">
        <v>3856</v>
      </c>
      <c r="C82" s="17" t="s">
        <v>3857</v>
      </c>
      <c r="D82" t="e">
        <f t="array" ref="D82">TRANSPOSE(_xlfn._xlws.FILTER('Controllable Asset Registry'!#REF!,IFERROR('Controllable Asset Registry'!#REF!=C82,FALSE),"No Equipment in entity"))</f>
        <v>#REF!</v>
      </c>
    </row>
    <row r="83" spans="1:5" x14ac:dyDescent="0.3">
      <c r="A83" s="16" t="s">
        <v>3752</v>
      </c>
      <c r="B83" s="17">
        <v>1.03</v>
      </c>
      <c r="C83" s="17" t="s">
        <v>3858</v>
      </c>
      <c r="D83" t="e">
        <f t="array" ref="D83">TRANSPOSE(_xlfn._xlws.FILTER('Controllable Asset Registry'!#REF!,IFERROR('Controllable Asset Registry'!#REF!=C83,FALSE),"No Equipment in entity"))</f>
        <v>#REF!</v>
      </c>
    </row>
    <row r="84" spans="1:5" x14ac:dyDescent="0.3">
      <c r="A84" s="16" t="s">
        <v>3761</v>
      </c>
      <c r="B84" s="17">
        <v>1.0309999999999999</v>
      </c>
      <c r="C84" s="17" t="s">
        <v>3859</v>
      </c>
      <c r="D84" t="e">
        <f t="array" ref="D84">TRANSPOSE(_xlfn._xlws.FILTER('Controllable Asset Registry'!#REF!,IFERROR('Controllable Asset Registry'!#REF!=C84,FALSE),"No Equipment in entity"))</f>
        <v>#REF!</v>
      </c>
    </row>
    <row r="85" spans="1:5" x14ac:dyDescent="0.3">
      <c r="A85" s="16" t="s">
        <v>3758</v>
      </c>
      <c r="B85" s="17">
        <v>1.032</v>
      </c>
      <c r="C85" s="17" t="s">
        <v>3860</v>
      </c>
      <c r="D85" t="e">
        <f t="array" ref="D85">TRANSPOSE(_xlfn._xlws.FILTER('Controllable Asset Registry'!#REF!,IFERROR('Controllable Asset Registry'!#REF!=C85,FALSE),"No Equipment in entity"))</f>
        <v>#REF!</v>
      </c>
    </row>
    <row r="86" spans="1:5" x14ac:dyDescent="0.3">
      <c r="A86" s="16" t="s">
        <v>3755</v>
      </c>
      <c r="B86" s="17">
        <v>1.0329999999999999</v>
      </c>
      <c r="C86" s="17" t="s">
        <v>3861</v>
      </c>
      <c r="D86" t="e">
        <f t="array" ref="D86">TRANSPOSE(_xlfn._xlws.FILTER('Controllable Asset Registry'!#REF!,IFERROR('Controllable Asset Registry'!#REF!=C86,FALSE),"No Equipment in entity"))</f>
        <v>#REF!</v>
      </c>
    </row>
    <row r="87" spans="1:5" x14ac:dyDescent="0.3">
      <c r="A87" s="16" t="s">
        <v>3735</v>
      </c>
      <c r="B87" s="17">
        <v>1.0349999999999999</v>
      </c>
      <c r="C87" s="17" t="s">
        <v>3862</v>
      </c>
      <c r="D87" t="e">
        <f t="array" ref="D87">TRANSPOSE(_xlfn._xlws.FILTER('Controllable Asset Registry'!#REF!,IFERROR('Controllable Asset Registry'!#REF!=C87,FALSE),"No Equipment in entity"))</f>
        <v>#REF!</v>
      </c>
    </row>
    <row r="88" spans="1:5" x14ac:dyDescent="0.3">
      <c r="A88" s="16" t="s">
        <v>3853</v>
      </c>
      <c r="B88" s="17">
        <v>1.034</v>
      </c>
      <c r="C88" s="17" t="s">
        <v>3863</v>
      </c>
      <c r="D88" t="e">
        <f t="array" ref="D88">TRANSPOSE(_xlfn._xlws.FILTER('Controllable Asset Registry'!#REF!,IFERROR('Controllable Asset Registry'!#REF!=C88,FALSE),"No Equipment in entity"))</f>
        <v>#REF!</v>
      </c>
    </row>
    <row r="89" spans="1:5" x14ac:dyDescent="0.3">
      <c r="A89" s="16" t="s">
        <v>3864</v>
      </c>
      <c r="B89" s="17" t="s">
        <v>3865</v>
      </c>
      <c r="C89" s="17" t="s">
        <v>3866</v>
      </c>
      <c r="D89" t="e">
        <f t="array" ref="D89">TRANSPOSE(_xlfn._xlws.FILTER('Controllable Asset Registry'!#REF!,IFERROR('Controllable Asset Registry'!#REF!=C89,FALSE),"No Equipment in entity"))</f>
        <v>#REF!</v>
      </c>
    </row>
    <row r="90" spans="1:5" x14ac:dyDescent="0.3">
      <c r="A90" s="16" t="s">
        <v>3810</v>
      </c>
      <c r="B90" s="17">
        <v>1.036</v>
      </c>
      <c r="C90" s="17" t="s">
        <v>3867</v>
      </c>
      <c r="D90" t="e">
        <f t="array" ref="D90">TRANSPOSE(_xlfn._xlws.FILTER('Controllable Asset Registry'!#REF!,IFERROR('Controllable Asset Registry'!#REF!=C90,FALSE),"No Equipment in entity"))</f>
        <v>#REF!</v>
      </c>
    </row>
    <row r="91" spans="1:5" x14ac:dyDescent="0.3">
      <c r="A91" s="16" t="s">
        <v>3749</v>
      </c>
      <c r="B91" s="17" t="s">
        <v>3868</v>
      </c>
      <c r="C91" s="17" t="s">
        <v>3869</v>
      </c>
      <c r="D91" t="e">
        <f t="array" ref="D91">TRANSPOSE(_xlfn._xlws.FILTER('Controllable Asset Registry'!#REF!,IFERROR('Controllable Asset Registry'!#REF!=C91,FALSE),"No Equipment in entity"))</f>
        <v>#REF!</v>
      </c>
    </row>
    <row r="92" spans="1:5" x14ac:dyDescent="0.3">
      <c r="A92" s="16" t="s">
        <v>3735</v>
      </c>
      <c r="B92" s="17">
        <v>1.028</v>
      </c>
      <c r="C92" s="17" t="s">
        <v>1820</v>
      </c>
      <c r="D92" t="e">
        <f t="array" ref="D92:E92">TRANSPOSE(_xlfn._xlws.FILTER('Controllable Asset Registry'!#REF!,IFERROR('Controllable Asset Registry'!#REF!=C92,FALSE),"No Equipment in entity"))</f>
        <v>#REF!</v>
      </c>
      <c r="E92" t="e">
        <v>#REF!</v>
      </c>
    </row>
    <row r="93" spans="1:5" x14ac:dyDescent="0.3">
      <c r="A93" s="16" t="s">
        <v>3870</v>
      </c>
      <c r="B93" s="17">
        <v>3.0150000000000001</v>
      </c>
      <c r="C93" s="17" t="s">
        <v>1844</v>
      </c>
      <c r="D93" t="e">
        <f t="array" ref="D93">TRANSPOSE(_xlfn._xlws.FILTER('Controllable Asset Registry'!#REF!,IFERROR('Controllable Asset Registry'!#REF!=C93,FALSE),"No Equipment in entity"))</f>
        <v>#REF!</v>
      </c>
    </row>
    <row r="94" spans="1:5" x14ac:dyDescent="0.3">
      <c r="A94" s="16" t="s">
        <v>3871</v>
      </c>
      <c r="B94" s="17">
        <v>3.0139999999999998</v>
      </c>
      <c r="C94" s="17" t="s">
        <v>1845</v>
      </c>
      <c r="D94" t="e">
        <f t="array" ref="D94">TRANSPOSE(_xlfn._xlws.FILTER('Controllable Asset Registry'!#REF!,IFERROR('Controllable Asset Registry'!#REF!=C94,FALSE),"No Equipment in entity"))</f>
        <v>#REF!</v>
      </c>
    </row>
    <row r="95" spans="1:5" x14ac:dyDescent="0.3">
      <c r="A95" s="16" t="s">
        <v>3870</v>
      </c>
      <c r="B95" s="17">
        <v>3.0129999999999999</v>
      </c>
      <c r="C95" s="17" t="s">
        <v>1846</v>
      </c>
      <c r="D95" t="e">
        <f t="array" ref="D95">TRANSPOSE(_xlfn._xlws.FILTER('Controllable Asset Registry'!#REF!,IFERROR('Controllable Asset Registry'!#REF!=C95,FALSE),"No Equipment in entity"))</f>
        <v>#REF!</v>
      </c>
    </row>
    <row r="96" spans="1:5" x14ac:dyDescent="0.3">
      <c r="A96" s="16" t="s">
        <v>3870</v>
      </c>
      <c r="B96" s="17">
        <v>3.012</v>
      </c>
      <c r="C96" s="17" t="s">
        <v>1847</v>
      </c>
      <c r="D96" t="e">
        <f t="array" ref="D96">TRANSPOSE(_xlfn._xlws.FILTER('Controllable Asset Registry'!#REF!,IFERROR('Controllable Asset Registry'!#REF!=C96,FALSE),"No Equipment in entity"))</f>
        <v>#REF!</v>
      </c>
    </row>
    <row r="97" spans="1:14" x14ac:dyDescent="0.3">
      <c r="A97" s="16" t="s">
        <v>3871</v>
      </c>
      <c r="B97" s="17">
        <v>3.0110000000000001</v>
      </c>
      <c r="C97" s="17" t="s">
        <v>1848</v>
      </c>
      <c r="D97" t="e">
        <f t="array" ref="D97">TRANSPOSE(_xlfn._xlws.FILTER('Controllable Asset Registry'!#REF!,IFERROR('Controllable Asset Registry'!#REF!=C97,FALSE),"No Equipment in entity"))</f>
        <v>#REF!</v>
      </c>
    </row>
    <row r="98" spans="1:14" x14ac:dyDescent="0.3">
      <c r="A98" s="16" t="s">
        <v>3870</v>
      </c>
      <c r="B98" s="17">
        <v>3.01</v>
      </c>
      <c r="C98" s="17" t="s">
        <v>1849</v>
      </c>
      <c r="D98" t="e">
        <f t="array" ref="D98">TRANSPOSE(_xlfn._xlws.FILTER('Controllable Asset Registry'!#REF!,IFERROR('Controllable Asset Registry'!#REF!=C98,FALSE),"No Equipment in entity"))</f>
        <v>#REF!</v>
      </c>
    </row>
    <row r="99" spans="1:14" x14ac:dyDescent="0.3">
      <c r="A99" s="16" t="s">
        <v>3870</v>
      </c>
      <c r="B99" s="17">
        <v>3.0089999999999999</v>
      </c>
      <c r="C99" s="17" t="s">
        <v>1850</v>
      </c>
      <c r="D99" t="e">
        <f t="array" ref="D99">TRANSPOSE(_xlfn._xlws.FILTER('Controllable Asset Registry'!#REF!,IFERROR('Controllable Asset Registry'!#REF!=C99,FALSE),"No Equipment in entity"))</f>
        <v>#REF!</v>
      </c>
    </row>
    <row r="100" spans="1:14" x14ac:dyDescent="0.3">
      <c r="A100" s="16" t="s">
        <v>3871</v>
      </c>
      <c r="B100" s="17">
        <v>3.008</v>
      </c>
      <c r="C100" s="17" t="s">
        <v>1851</v>
      </c>
      <c r="D100" t="e">
        <f t="array" ref="D100">TRANSPOSE(_xlfn._xlws.FILTER('Controllable Asset Registry'!#REF!,IFERROR('Controllable Asset Registry'!#REF!=C100,FALSE),"No Equipment in entity"))</f>
        <v>#REF!</v>
      </c>
    </row>
    <row r="101" spans="1:14" x14ac:dyDescent="0.3">
      <c r="A101" s="16" t="s">
        <v>3872</v>
      </c>
      <c r="B101" s="17">
        <v>3.0070000000000001</v>
      </c>
      <c r="C101" s="17" t="s">
        <v>1852</v>
      </c>
      <c r="D101" t="e">
        <f t="array" ref="D101">TRANSPOSE(_xlfn._xlws.FILTER('Controllable Asset Registry'!#REF!,IFERROR('Controllable Asset Registry'!#REF!=C101,FALSE),"No Equipment in entity"))</f>
        <v>#REF!</v>
      </c>
    </row>
    <row r="102" spans="1:14" x14ac:dyDescent="0.3">
      <c r="A102" s="16" t="s">
        <v>3873</v>
      </c>
      <c r="B102" s="17">
        <v>3.0059999999999998</v>
      </c>
      <c r="C102" s="17" t="s">
        <v>1853</v>
      </c>
      <c r="D102" t="e">
        <f t="array" ref="D102:E102">TRANSPOSE(_xlfn._xlws.FILTER('Controllable Asset Registry'!#REF!,IFERROR('Controllable Asset Registry'!#REF!=C102,FALSE),"No Equipment in entity"))</f>
        <v>#REF!</v>
      </c>
      <c r="E102" t="e">
        <v>#REF!</v>
      </c>
    </row>
    <row r="103" spans="1:14" x14ac:dyDescent="0.3">
      <c r="A103" s="16" t="s">
        <v>3870</v>
      </c>
      <c r="B103" s="17">
        <v>3.0049999999999999</v>
      </c>
      <c r="C103" s="17" t="s">
        <v>1854</v>
      </c>
      <c r="D103" t="e">
        <f t="array" ref="D103">TRANSPOSE(_xlfn._xlws.FILTER('Controllable Asset Registry'!#REF!,IFERROR('Controllable Asset Registry'!#REF!=C103,FALSE),"No Equipment in entity"))</f>
        <v>#REF!</v>
      </c>
    </row>
    <row r="104" spans="1:14" x14ac:dyDescent="0.3">
      <c r="A104" s="16" t="s">
        <v>3871</v>
      </c>
      <c r="B104" s="17">
        <v>3.004</v>
      </c>
      <c r="C104" s="17" t="s">
        <v>1855</v>
      </c>
      <c r="D104" t="e">
        <f t="array" ref="D104">TRANSPOSE(_xlfn._xlws.FILTER('Controllable Asset Registry'!#REF!,IFERROR('Controllable Asset Registry'!#REF!=C104,FALSE),"No Equipment in entity"))</f>
        <v>#REF!</v>
      </c>
    </row>
    <row r="105" spans="1:14" x14ac:dyDescent="0.3">
      <c r="A105" s="16" t="s">
        <v>3870</v>
      </c>
      <c r="B105" s="17">
        <v>3.0030000000000001</v>
      </c>
      <c r="C105" s="17" t="s">
        <v>1856</v>
      </c>
      <c r="D105" t="e">
        <f t="array" ref="D105">TRANSPOSE(_xlfn._xlws.FILTER('Controllable Asset Registry'!#REF!,IFERROR('Controllable Asset Registry'!#REF!=C105,FALSE),"No Equipment in entity"))</f>
        <v>#REF!</v>
      </c>
    </row>
    <row r="106" spans="1:14" x14ac:dyDescent="0.3">
      <c r="A106" s="16" t="s">
        <v>3874</v>
      </c>
      <c r="B106" s="17">
        <v>3.0019999999999998</v>
      </c>
      <c r="C106" s="17" t="s">
        <v>1857</v>
      </c>
      <c r="D106" t="e">
        <f t="array" ref="D106:N106">TRANSPOSE(_xlfn._xlws.FILTER('Controllable Asset Registry'!#REF!,IFERROR('Controllable Asset Registry'!#REF!=C106,FALSE),"No Equipment in entity"))</f>
        <v>#REF!</v>
      </c>
      <c r="E106" t="e">
        <v>#REF!</v>
      </c>
      <c r="F106" t="e">
        <v>#REF!</v>
      </c>
      <c r="G106" t="e">
        <v>#REF!</v>
      </c>
      <c r="H106" t="e">
        <v>#REF!</v>
      </c>
      <c r="I106" t="e">
        <v>#REF!</v>
      </c>
      <c r="J106" t="e">
        <v>#REF!</v>
      </c>
      <c r="K106" t="e">
        <v>#REF!</v>
      </c>
      <c r="L106" t="e">
        <v>#REF!</v>
      </c>
      <c r="M106" t="e">
        <v>#REF!</v>
      </c>
      <c r="N106" t="e">
        <v>#REF!</v>
      </c>
    </row>
    <row r="107" spans="1:14" x14ac:dyDescent="0.3">
      <c r="A107" s="16" t="s">
        <v>3875</v>
      </c>
      <c r="B107" s="17">
        <v>3.0009999999999999</v>
      </c>
      <c r="C107" s="17" t="s">
        <v>1858</v>
      </c>
      <c r="D107" t="e">
        <f t="array" ref="D107">TRANSPOSE(_xlfn._xlws.FILTER('Controllable Asset Registry'!#REF!,IFERROR('Controllable Asset Registry'!#REF!=C107,FALSE),"No Equipment in entity"))</f>
        <v>#REF!</v>
      </c>
    </row>
    <row r="108" spans="1:14" x14ac:dyDescent="0.3">
      <c r="A108" s="16" t="s">
        <v>3870</v>
      </c>
      <c r="B108" s="17">
        <v>3.0169999999999999</v>
      </c>
      <c r="C108" s="17" t="s">
        <v>1871</v>
      </c>
      <c r="D108" t="e">
        <f t="array" ref="D108">TRANSPOSE(_xlfn._xlws.FILTER('Controllable Asset Registry'!#REF!,IFERROR('Controllable Asset Registry'!#REF!=C108,FALSE),"No Equipment in entity"))</f>
        <v>#REF!</v>
      </c>
    </row>
    <row r="109" spans="1:14" x14ac:dyDescent="0.3">
      <c r="A109" s="16" t="s">
        <v>3871</v>
      </c>
      <c r="B109" s="17">
        <v>3.0179999999999998</v>
      </c>
      <c r="C109" s="17" t="s">
        <v>1870</v>
      </c>
      <c r="D109" t="e">
        <f t="array" ref="D109">TRANSPOSE(_xlfn._xlws.FILTER('Controllable Asset Registry'!#REF!,IFERROR('Controllable Asset Registry'!#REF!=C109,FALSE),"No Equipment in entity"))</f>
        <v>#REF!</v>
      </c>
    </row>
    <row r="110" spans="1:14" x14ac:dyDescent="0.3">
      <c r="A110" s="16" t="s">
        <v>3876</v>
      </c>
      <c r="B110" s="17">
        <v>3.0190000000000001</v>
      </c>
      <c r="C110" s="17" t="s">
        <v>1869</v>
      </c>
      <c r="D110" t="e">
        <f t="array" ref="D110">TRANSPOSE(_xlfn._xlws.FILTER('Controllable Asset Registry'!#REF!,IFERROR('Controllable Asset Registry'!#REF!=C110,FALSE),"No Equipment in entity"))</f>
        <v>#REF!</v>
      </c>
    </row>
    <row r="111" spans="1:14" x14ac:dyDescent="0.3">
      <c r="A111" s="16" t="s">
        <v>3870</v>
      </c>
      <c r="B111" s="17">
        <v>3.02</v>
      </c>
      <c r="C111" s="17" t="s">
        <v>1868</v>
      </c>
      <c r="D111" t="e">
        <f t="array" ref="D111">TRANSPOSE(_xlfn._xlws.FILTER('Controllable Asset Registry'!#REF!,IFERROR('Controllable Asset Registry'!#REF!=C111,FALSE),"No Equipment in entity"))</f>
        <v>#REF!</v>
      </c>
    </row>
    <row r="112" spans="1:14" x14ac:dyDescent="0.3">
      <c r="A112" s="16" t="s">
        <v>3871</v>
      </c>
      <c r="B112" s="17">
        <v>3.0209999999999999</v>
      </c>
      <c r="C112" s="17" t="s">
        <v>1867</v>
      </c>
      <c r="D112" t="e">
        <f t="array" ref="D112">TRANSPOSE(_xlfn._xlws.FILTER('Controllable Asset Registry'!#REF!,IFERROR('Controllable Asset Registry'!#REF!=C112,FALSE),"No Equipment in entity"))</f>
        <v>#REF!</v>
      </c>
    </row>
    <row r="113" spans="1:6" x14ac:dyDescent="0.3">
      <c r="A113" s="16" t="s">
        <v>3870</v>
      </c>
      <c r="B113" s="17">
        <v>3.0219999999999998</v>
      </c>
      <c r="C113" s="17" t="s">
        <v>1866</v>
      </c>
      <c r="D113" t="e">
        <f t="array" ref="D113">TRANSPOSE(_xlfn._xlws.FILTER('Controllable Asset Registry'!#REF!,IFERROR('Controllable Asset Registry'!#REF!=C113,FALSE),"No Equipment in entity"))</f>
        <v>#REF!</v>
      </c>
    </row>
    <row r="114" spans="1:6" x14ac:dyDescent="0.3">
      <c r="A114" s="16" t="s">
        <v>3870</v>
      </c>
      <c r="B114" s="17">
        <v>3.0230000000000001</v>
      </c>
      <c r="C114" s="17" t="s">
        <v>1865</v>
      </c>
      <c r="D114" t="e">
        <f t="array" ref="D114">TRANSPOSE(_xlfn._xlws.FILTER('Controllable Asset Registry'!#REF!,IFERROR('Controllable Asset Registry'!#REF!=C114,FALSE),"No Equipment in entity"))</f>
        <v>#REF!</v>
      </c>
    </row>
    <row r="115" spans="1:6" x14ac:dyDescent="0.3">
      <c r="A115" s="16" t="s">
        <v>3871</v>
      </c>
      <c r="B115" s="17">
        <v>3.024</v>
      </c>
      <c r="C115" s="17" t="s">
        <v>1864</v>
      </c>
      <c r="D115" t="e">
        <f t="array" ref="D115">TRANSPOSE(_xlfn._xlws.FILTER('Controllable Asset Registry'!#REF!,IFERROR('Controllable Asset Registry'!#REF!=C115,FALSE),"No Equipment in entity"))</f>
        <v>#REF!</v>
      </c>
    </row>
    <row r="116" spans="1:6" x14ac:dyDescent="0.3">
      <c r="A116" s="16" t="s">
        <v>3877</v>
      </c>
      <c r="B116" s="17">
        <v>3.0249999999999999</v>
      </c>
      <c r="C116" s="17" t="s">
        <v>1863</v>
      </c>
      <c r="D116" t="e">
        <f t="array" ref="D116">TRANSPOSE(_xlfn._xlws.FILTER('Controllable Asset Registry'!#REF!,IFERROR('Controllable Asset Registry'!#REF!=C116,FALSE),"No Equipment in entity"))</f>
        <v>#REF!</v>
      </c>
    </row>
    <row r="117" spans="1:6" x14ac:dyDescent="0.3">
      <c r="A117" s="16" t="s">
        <v>3873</v>
      </c>
      <c r="B117" s="17">
        <v>3.0259999999999998</v>
      </c>
      <c r="C117" s="17" t="s">
        <v>1862</v>
      </c>
      <c r="D117" t="e">
        <f t="array" ref="D117:F117">TRANSPOSE(_xlfn._xlws.FILTER('Controllable Asset Registry'!#REF!,IFERROR('Controllable Asset Registry'!#REF!=C117,FALSE),"No Equipment in entity"))</f>
        <v>#REF!</v>
      </c>
      <c r="E117" t="e">
        <v>#REF!</v>
      </c>
      <c r="F117" t="e">
        <v>#REF!</v>
      </c>
    </row>
    <row r="118" spans="1:6" x14ac:dyDescent="0.3">
      <c r="A118" s="16" t="s">
        <v>3870</v>
      </c>
      <c r="B118" s="17">
        <v>3.0270000000000001</v>
      </c>
      <c r="C118" s="17" t="s">
        <v>1861</v>
      </c>
      <c r="D118" t="e">
        <f t="array" ref="D118">TRANSPOSE(_xlfn._xlws.FILTER('Controllable Asset Registry'!#REF!,IFERROR('Controllable Asset Registry'!#REF!=C118,FALSE),"No Equipment in entity"))</f>
        <v>#REF!</v>
      </c>
    </row>
    <row r="119" spans="1:6" x14ac:dyDescent="0.3">
      <c r="A119" s="16" t="s">
        <v>3871</v>
      </c>
      <c r="B119" s="17">
        <v>3.028</v>
      </c>
      <c r="C119" s="17" t="s">
        <v>1860</v>
      </c>
      <c r="D119" t="e">
        <f t="array" ref="D119">TRANSPOSE(_xlfn._xlws.FILTER('Controllable Asset Registry'!#REF!,IFERROR('Controllable Asset Registry'!#REF!=C119,FALSE),"No Equipment in entity"))</f>
        <v>#REF!</v>
      </c>
    </row>
    <row r="120" spans="1:6" x14ac:dyDescent="0.3">
      <c r="A120" s="16" t="s">
        <v>3870</v>
      </c>
      <c r="B120" s="17">
        <v>3.0289999999999999</v>
      </c>
      <c r="C120" s="17" t="s">
        <v>1859</v>
      </c>
      <c r="D120" t="e">
        <f t="array" ref="D120">TRANSPOSE(_xlfn._xlws.FILTER('Controllable Asset Registry'!#REF!,IFERROR('Controllable Asset Registry'!#REF!=C120,FALSE),"No Equipment in entity"))</f>
        <v>#REF!</v>
      </c>
    </row>
    <row r="121" spans="1:6" x14ac:dyDescent="0.3">
      <c r="A121" s="16" t="s">
        <v>3878</v>
      </c>
      <c r="B121" s="17">
        <v>3.03</v>
      </c>
      <c r="C121" s="17" t="s">
        <v>3879</v>
      </c>
      <c r="D121" t="e">
        <f t="array" ref="D121">TRANSPOSE(_xlfn._xlws.FILTER('Controllable Asset Registry'!#REF!,IFERROR('Controllable Asset Registry'!#REF!=C121,FALSE),"No Equipment in entity"))</f>
        <v>#REF!</v>
      </c>
    </row>
    <row r="122" spans="1:6" x14ac:dyDescent="0.3">
      <c r="A122" s="16" t="s">
        <v>3880</v>
      </c>
      <c r="B122" s="17">
        <v>3.0310000000000001</v>
      </c>
      <c r="C122" s="17" t="s">
        <v>3881</v>
      </c>
      <c r="D122" t="e">
        <f t="array" ref="D122">TRANSPOSE(_xlfn._xlws.FILTER('Controllable Asset Registry'!#REF!,IFERROR('Controllable Asset Registry'!#REF!=C122,FALSE),"No Equipment in entity"))</f>
        <v>#REF!</v>
      </c>
    </row>
    <row r="123" spans="1:6" x14ac:dyDescent="0.3">
      <c r="A123" s="16" t="s">
        <v>3882</v>
      </c>
      <c r="B123" s="17">
        <v>3.032</v>
      </c>
      <c r="C123" s="17" t="s">
        <v>3883</v>
      </c>
      <c r="D123" t="e">
        <f t="array" ref="D123">TRANSPOSE(_xlfn._xlws.FILTER('Controllable Asset Registry'!#REF!,IFERROR('Controllable Asset Registry'!#REF!=C123,FALSE),"No Equipment in entity"))</f>
        <v>#REF!</v>
      </c>
    </row>
    <row r="124" spans="1:6" x14ac:dyDescent="0.3">
      <c r="A124" s="16" t="s">
        <v>3884</v>
      </c>
      <c r="B124" s="17">
        <v>3.0329999999999999</v>
      </c>
      <c r="C124" s="17" t="s">
        <v>1822</v>
      </c>
      <c r="D124" t="e">
        <f t="array" ref="D124">TRANSPOSE(_xlfn._xlws.FILTER('Controllable Asset Registry'!#REF!,IFERROR('Controllable Asset Registry'!#REF!=C124,FALSE),"No Equipment in entity"))</f>
        <v>#REF!</v>
      </c>
    </row>
    <row r="125" spans="1:6" x14ac:dyDescent="0.3">
      <c r="A125" s="16" t="s">
        <v>3749</v>
      </c>
      <c r="B125" s="17" t="s">
        <v>3885</v>
      </c>
      <c r="C125" s="17" t="s">
        <v>3886</v>
      </c>
      <c r="D125" t="e">
        <f t="array" ref="D125">TRANSPOSE(_xlfn._xlws.FILTER('Controllable Asset Registry'!#REF!,IFERROR('Controllable Asset Registry'!#REF!=C125,FALSE),"No Equipment in entity"))</f>
        <v>#REF!</v>
      </c>
    </row>
    <row r="126" spans="1:6" x14ac:dyDescent="0.3">
      <c r="A126" s="16" t="s">
        <v>3752</v>
      </c>
      <c r="B126" s="17">
        <v>3.0459999999999998</v>
      </c>
      <c r="C126" s="17" t="s">
        <v>3887</v>
      </c>
      <c r="D126" t="e">
        <f t="array" ref="D126">TRANSPOSE(_xlfn._xlws.FILTER('Controllable Asset Registry'!#REF!,IFERROR('Controllable Asset Registry'!#REF!=C126,FALSE),"No Equipment in entity"))</f>
        <v>#REF!</v>
      </c>
    </row>
    <row r="127" spans="1:6" x14ac:dyDescent="0.3">
      <c r="A127" s="16" t="s">
        <v>3888</v>
      </c>
      <c r="B127" s="17">
        <v>3.0449999999999999</v>
      </c>
      <c r="C127" s="17" t="s">
        <v>3889</v>
      </c>
      <c r="D127" t="e">
        <f t="array" ref="D127">TRANSPOSE(_xlfn._xlws.FILTER('Controllable Asset Registry'!#REF!,IFERROR('Controllable Asset Registry'!#REF!=C127,FALSE),"No Equipment in entity"))</f>
        <v>#REF!</v>
      </c>
    </row>
    <row r="128" spans="1:6" x14ac:dyDescent="0.3">
      <c r="A128" s="16" t="s">
        <v>3890</v>
      </c>
      <c r="B128" s="17">
        <v>3.0470000000000002</v>
      </c>
      <c r="C128" s="17" t="s">
        <v>3891</v>
      </c>
      <c r="D128" t="e">
        <f t="array" ref="D128">TRANSPOSE(_xlfn._xlws.FILTER('Controllable Asset Registry'!#REF!,IFERROR('Controllable Asset Registry'!#REF!=C128,FALSE),"No Equipment in entity"))</f>
        <v>#REF!</v>
      </c>
    </row>
    <row r="129" spans="1:7" x14ac:dyDescent="0.3">
      <c r="A129" s="16" t="s">
        <v>3892</v>
      </c>
      <c r="B129" s="17">
        <v>3.016</v>
      </c>
      <c r="C129" s="17" t="s">
        <v>1872</v>
      </c>
      <c r="D129" t="e">
        <f t="array" ref="D129:E129">TRANSPOSE(_xlfn._xlws.FILTER('Controllable Asset Registry'!#REF!,IFERROR('Controllable Asset Registry'!#REF!=C129,FALSE),"No Equipment in entity"))</f>
        <v>#REF!</v>
      </c>
      <c r="E129" t="e">
        <v>#REF!</v>
      </c>
    </row>
    <row r="130" spans="1:7" x14ac:dyDescent="0.3">
      <c r="A130" s="16" t="s">
        <v>3893</v>
      </c>
      <c r="B130" s="17">
        <v>3.0379999999999998</v>
      </c>
      <c r="C130" s="17" t="s">
        <v>3894</v>
      </c>
      <c r="D130" t="e">
        <f t="array" ref="D130">TRANSPOSE(_xlfn._xlws.FILTER('Controllable Asset Registry'!#REF!,IFERROR('Controllable Asset Registry'!#REF!=C130,FALSE),"No Equipment in entity"))</f>
        <v>#REF!</v>
      </c>
    </row>
    <row r="131" spans="1:7" x14ac:dyDescent="0.3">
      <c r="A131" s="16" t="s">
        <v>3895</v>
      </c>
      <c r="B131" s="17">
        <v>3.0489999999999999</v>
      </c>
      <c r="C131" s="17" t="s">
        <v>1873</v>
      </c>
      <c r="D131" t="e">
        <f t="array" ref="D131">TRANSPOSE(_xlfn._xlws.FILTER('Controllable Asset Registry'!#REF!,IFERROR('Controllable Asset Registry'!#REF!=C131,FALSE),"No Equipment in entity"))</f>
        <v>#REF!</v>
      </c>
    </row>
    <row r="132" spans="1:7" x14ac:dyDescent="0.3">
      <c r="A132" s="16" t="s">
        <v>3820</v>
      </c>
      <c r="B132" s="17">
        <v>3.0390000000000001</v>
      </c>
      <c r="C132" s="17" t="s">
        <v>3896</v>
      </c>
      <c r="D132" t="e">
        <f t="array" ref="D132">TRANSPOSE(_xlfn._xlws.FILTER('Controllable Asset Registry'!#REF!,IFERROR('Controllable Asset Registry'!#REF!=C132,FALSE),"No Equipment in entity"))</f>
        <v>#REF!</v>
      </c>
    </row>
    <row r="133" spans="1:7" x14ac:dyDescent="0.3">
      <c r="A133" s="16" t="s">
        <v>3830</v>
      </c>
      <c r="B133" s="17">
        <v>3.0369999999999999</v>
      </c>
      <c r="C133" s="17" t="s">
        <v>3897</v>
      </c>
      <c r="D133" t="e">
        <f t="array" ref="D133">TRANSPOSE(_xlfn._xlws.FILTER('Controllable Asset Registry'!#REF!,IFERROR('Controllable Asset Registry'!#REF!=C133,FALSE),"No Equipment in entity"))</f>
        <v>#REF!</v>
      </c>
    </row>
    <row r="134" spans="1:7" x14ac:dyDescent="0.3">
      <c r="A134" s="16" t="s">
        <v>3848</v>
      </c>
      <c r="B134" s="17">
        <v>3.036</v>
      </c>
      <c r="C134" s="17" t="s">
        <v>3898</v>
      </c>
      <c r="D134" t="e">
        <f t="array" ref="D134">TRANSPOSE(_xlfn._xlws.FILTER('Controllable Asset Registry'!#REF!,IFERROR('Controllable Asset Registry'!#REF!=C134,FALSE),"No Equipment in entity"))</f>
        <v>#REF!</v>
      </c>
    </row>
    <row r="135" spans="1:7" x14ac:dyDescent="0.3">
      <c r="A135" s="16" t="s">
        <v>3708</v>
      </c>
      <c r="B135" s="17" t="s">
        <v>3899</v>
      </c>
      <c r="C135" s="17" t="s">
        <v>3900</v>
      </c>
      <c r="D135" t="e">
        <f t="array" ref="D135">TRANSPOSE(_xlfn._xlws.FILTER('Controllable Asset Registry'!#REF!,IFERROR('Controllable Asset Registry'!#REF!=C135,FALSE),"No Equipment in entity"))</f>
        <v>#REF!</v>
      </c>
    </row>
    <row r="136" spans="1:7" x14ac:dyDescent="0.3">
      <c r="A136" s="16" t="s">
        <v>3713</v>
      </c>
      <c r="B136" s="17" t="s">
        <v>3901</v>
      </c>
      <c r="C136" s="17" t="s">
        <v>3902</v>
      </c>
      <c r="D136" t="e">
        <f t="array" ref="D136">TRANSPOSE(_xlfn._xlws.FILTER('Controllable Asset Registry'!#REF!,IFERROR('Controllable Asset Registry'!#REF!=C136,FALSE),"No Equipment in entity"))</f>
        <v>#REF!</v>
      </c>
    </row>
    <row r="137" spans="1:7" x14ac:dyDescent="0.3">
      <c r="A137" s="16" t="s">
        <v>3713</v>
      </c>
      <c r="B137" s="17" t="s">
        <v>3903</v>
      </c>
      <c r="C137" s="17" t="s">
        <v>3904</v>
      </c>
      <c r="D137" t="e">
        <f t="array" ref="D137">TRANSPOSE(_xlfn._xlws.FILTER('Controllable Asset Registry'!#REF!,IFERROR('Controllable Asset Registry'!#REF!=C137,FALSE),"No Equipment in entity"))</f>
        <v>#REF!</v>
      </c>
    </row>
    <row r="138" spans="1:7" x14ac:dyDescent="0.3">
      <c r="A138" s="16" t="s">
        <v>3735</v>
      </c>
      <c r="B138" s="17">
        <v>3.04</v>
      </c>
      <c r="C138" s="17" t="s">
        <v>3905</v>
      </c>
      <c r="D138" t="e">
        <f t="array" ref="D138">TRANSPOSE(_xlfn._xlws.FILTER('Controllable Asset Registry'!#REF!,IFERROR('Controllable Asset Registry'!#REF!=C138,FALSE),"No Equipment in entity"))</f>
        <v>#REF!</v>
      </c>
    </row>
    <row r="139" spans="1:7" x14ac:dyDescent="0.3">
      <c r="A139" s="16" t="s">
        <v>3735</v>
      </c>
      <c r="B139" s="17">
        <v>3.0409999999999999</v>
      </c>
      <c r="C139" s="17" t="s">
        <v>1875</v>
      </c>
      <c r="D139" t="e">
        <f t="array" ref="D139">TRANSPOSE(_xlfn._xlws.FILTER('Controllable Asset Registry'!#REF!,IFERROR('Controllable Asset Registry'!#REF!=C139,FALSE),"No Equipment in entity"))</f>
        <v>#REF!</v>
      </c>
    </row>
    <row r="140" spans="1:7" x14ac:dyDescent="0.3">
      <c r="A140" s="16" t="s">
        <v>3735</v>
      </c>
      <c r="B140" s="17">
        <v>3.0339999999999998</v>
      </c>
      <c r="C140" s="17" t="s">
        <v>1877</v>
      </c>
      <c r="D140" t="e">
        <f t="array" ref="D140:G140">TRANSPOSE(_xlfn._xlws.FILTER('Controllable Asset Registry'!#REF!,IFERROR('Controllable Asset Registry'!#REF!=C140,FALSE),"No Equipment in entity"))</f>
        <v>#REF!</v>
      </c>
      <c r="E140" t="e">
        <v>#REF!</v>
      </c>
      <c r="F140" t="e">
        <v>#REF!</v>
      </c>
      <c r="G140" t="e">
        <v>#REF!</v>
      </c>
    </row>
    <row r="141" spans="1:7" x14ac:dyDescent="0.3">
      <c r="A141" s="16" t="s">
        <v>3735</v>
      </c>
      <c r="B141" s="17">
        <v>3.0419999999999998</v>
      </c>
      <c r="C141" s="17" t="s">
        <v>1874</v>
      </c>
      <c r="D141" t="e">
        <f t="array" ref="D141:E141">TRANSPOSE(_xlfn._xlws.FILTER('Controllable Asset Registry'!#REF!,IFERROR('Controllable Asset Registry'!#REF!=C141,FALSE),"No Equipment in entity"))</f>
        <v>#REF!</v>
      </c>
      <c r="E141" t="e">
        <v>#REF!</v>
      </c>
    </row>
    <row r="142" spans="1:7" x14ac:dyDescent="0.3">
      <c r="A142" s="16" t="s">
        <v>3906</v>
      </c>
      <c r="B142" s="17">
        <v>3.0350000000000001</v>
      </c>
      <c r="C142" s="17" t="s">
        <v>3907</v>
      </c>
      <c r="D142" t="e">
        <f t="array" ref="D142">TRANSPOSE(_xlfn._xlws.FILTER('Controllable Asset Registry'!#REF!,IFERROR('Controllable Asset Registry'!#REF!=C142,FALSE),"No Equipment in entity"))</f>
        <v>#REF!</v>
      </c>
    </row>
    <row r="143" spans="1:7" x14ac:dyDescent="0.3">
      <c r="A143" s="16" t="s">
        <v>3735</v>
      </c>
      <c r="B143" s="17">
        <v>3.044</v>
      </c>
      <c r="C143" s="17" t="s">
        <v>1876</v>
      </c>
      <c r="D143" t="e">
        <f t="array" ref="D143">TRANSPOSE(_xlfn._xlws.FILTER('Controllable Asset Registry'!#REF!,IFERROR('Controllable Asset Registry'!#REF!=C143,FALSE),"No Equipment in entity"))</f>
        <v>#REF!</v>
      </c>
    </row>
    <row r="144" spans="1:7" x14ac:dyDescent="0.3">
      <c r="A144" s="16" t="s">
        <v>3908</v>
      </c>
      <c r="B144" s="17">
        <v>3.0430000000000001</v>
      </c>
      <c r="C144" s="17" t="s">
        <v>3909</v>
      </c>
      <c r="D144" t="e">
        <f t="array" ref="D144">TRANSPOSE(_xlfn._xlws.FILTER('Controllable Asset Registry'!#REF!,IFERROR('Controllable Asset Registry'!#REF!=C144,FALSE),"No Equipment in entity"))</f>
        <v>#REF!</v>
      </c>
    </row>
    <row r="145" spans="1:7" x14ac:dyDescent="0.3">
      <c r="A145" s="16" t="s">
        <v>3890</v>
      </c>
      <c r="B145" s="17">
        <v>3.048</v>
      </c>
      <c r="C145" s="17" t="s">
        <v>3910</v>
      </c>
      <c r="D145" t="e">
        <f t="array" ref="D145">TRANSPOSE(_xlfn._xlws.FILTER('Controllable Asset Registry'!#REF!,IFERROR('Controllable Asset Registry'!#REF!=C145,FALSE),"No Equipment in entity"))</f>
        <v>#REF!</v>
      </c>
    </row>
    <row r="146" spans="1:7" x14ac:dyDescent="0.3">
      <c r="A146" s="16" t="s">
        <v>3911</v>
      </c>
      <c r="B146" s="17" t="s">
        <v>3912</v>
      </c>
      <c r="C146" s="17" t="s">
        <v>3913</v>
      </c>
      <c r="D146" t="e">
        <f t="array" ref="D146">TRANSPOSE(_xlfn._xlws.FILTER('Controllable Asset Registry'!#REF!,IFERROR('Controllable Asset Registry'!#REF!=C146,FALSE),"No Equipment in entity"))</f>
        <v>#REF!</v>
      </c>
    </row>
    <row r="147" spans="1:7" x14ac:dyDescent="0.3">
      <c r="A147" s="16" t="s">
        <v>3914</v>
      </c>
      <c r="B147" s="17">
        <v>2.0049999999999999</v>
      </c>
      <c r="C147" s="17" t="s">
        <v>1839</v>
      </c>
      <c r="D147" t="e">
        <f t="array" ref="D147:F147">TRANSPOSE(_xlfn._xlws.FILTER('Controllable Asset Registry'!#REF!,IFERROR('Controllable Asset Registry'!#REF!=C147,FALSE),"No Equipment in entity"))</f>
        <v>#REF!</v>
      </c>
      <c r="E147" t="e">
        <v>#REF!</v>
      </c>
      <c r="F147" t="e">
        <v>#REF!</v>
      </c>
    </row>
    <row r="148" spans="1:7" x14ac:dyDescent="0.3">
      <c r="A148" s="16" t="s">
        <v>3915</v>
      </c>
      <c r="B148" s="17">
        <v>2.0059999999999998</v>
      </c>
      <c r="C148" s="17" t="s">
        <v>1838</v>
      </c>
      <c r="D148" t="e">
        <f t="array" ref="D148:E148">TRANSPOSE(_xlfn._xlws.FILTER('Controllable Asset Registry'!#REF!,IFERROR('Controllable Asset Registry'!#REF!=C148,FALSE),"No Equipment in entity"))</f>
        <v>#REF!</v>
      </c>
      <c r="E148" t="e">
        <v>#REF!</v>
      </c>
    </row>
    <row r="149" spans="1:7" x14ac:dyDescent="0.3">
      <c r="A149" s="16" t="s">
        <v>3713</v>
      </c>
      <c r="B149" s="17" t="s">
        <v>3916</v>
      </c>
      <c r="C149" s="17" t="s">
        <v>3917</v>
      </c>
      <c r="D149" t="e">
        <f t="array" ref="D149">TRANSPOSE(_xlfn._xlws.FILTER('Controllable Asset Registry'!#REF!,IFERROR('Controllable Asset Registry'!#REF!=C149,FALSE),"No Equipment in entity"))</f>
        <v>#REF!</v>
      </c>
    </row>
    <row r="150" spans="1:7" x14ac:dyDescent="0.3">
      <c r="A150" s="16" t="s">
        <v>3713</v>
      </c>
      <c r="B150" s="17" t="s">
        <v>3918</v>
      </c>
      <c r="C150" s="17" t="s">
        <v>3919</v>
      </c>
      <c r="D150" t="e">
        <f t="array" ref="D150">TRANSPOSE(_xlfn._xlws.FILTER('Controllable Asset Registry'!#REF!,IFERROR('Controllable Asset Registry'!#REF!=C150,FALSE),"No Equipment in entity"))</f>
        <v>#REF!</v>
      </c>
    </row>
    <row r="151" spans="1:7" x14ac:dyDescent="0.3">
      <c r="A151" s="16" t="s">
        <v>3920</v>
      </c>
      <c r="B151" s="17">
        <v>2.0070000000000001</v>
      </c>
      <c r="C151" s="17" t="s">
        <v>3921</v>
      </c>
      <c r="D151" t="e">
        <f t="array" ref="D151">TRANSPOSE(_xlfn._xlws.FILTER('Controllable Asset Registry'!#REF!,IFERROR('Controllable Asset Registry'!#REF!=C151,FALSE),"No Equipment in entity"))</f>
        <v>#REF!</v>
      </c>
    </row>
    <row r="152" spans="1:7" x14ac:dyDescent="0.3">
      <c r="A152" s="16" t="s">
        <v>3761</v>
      </c>
      <c r="B152" s="17">
        <v>2.008</v>
      </c>
      <c r="C152" s="17" t="s">
        <v>3922</v>
      </c>
      <c r="D152" t="e">
        <f t="array" ref="D152">TRANSPOSE(_xlfn._xlws.FILTER('Controllable Asset Registry'!#REF!,IFERROR('Controllable Asset Registry'!#REF!=C152,FALSE),"No Equipment in entity"))</f>
        <v>#REF!</v>
      </c>
    </row>
    <row r="153" spans="1:7" x14ac:dyDescent="0.3">
      <c r="A153" s="16" t="s">
        <v>3758</v>
      </c>
      <c r="B153" s="17">
        <v>2.0099999999999998</v>
      </c>
      <c r="C153" s="17" t="s">
        <v>3923</v>
      </c>
      <c r="D153" t="e">
        <f t="array" ref="D153">TRANSPOSE(_xlfn._xlws.FILTER('Controllable Asset Registry'!#REF!,IFERROR('Controllable Asset Registry'!#REF!=C153,FALSE),"No Equipment in entity"))</f>
        <v>#REF!</v>
      </c>
    </row>
    <row r="154" spans="1:7" x14ac:dyDescent="0.3">
      <c r="A154" s="16" t="s">
        <v>3749</v>
      </c>
      <c r="B154" s="17" t="s">
        <v>3924</v>
      </c>
      <c r="C154" s="17" t="s">
        <v>3925</v>
      </c>
      <c r="D154" t="e">
        <f t="array" ref="D154">TRANSPOSE(_xlfn._xlws.FILTER('Controllable Asset Registry'!#REF!,IFERROR('Controllable Asset Registry'!#REF!=C154,FALSE),"No Equipment in entity"))</f>
        <v>#REF!</v>
      </c>
    </row>
    <row r="155" spans="1:7" x14ac:dyDescent="0.3">
      <c r="A155" s="16" t="s">
        <v>3926</v>
      </c>
      <c r="B155" s="17">
        <v>2.0019999999999998</v>
      </c>
      <c r="C155" s="17" t="s">
        <v>1842</v>
      </c>
      <c r="D155" t="e">
        <f t="array" ref="D155:G155">TRANSPOSE(_xlfn._xlws.FILTER('Controllable Asset Registry'!#REF!,IFERROR('Controllable Asset Registry'!#REF!=C155,FALSE),"No Equipment in entity"))</f>
        <v>#REF!</v>
      </c>
      <c r="E155" t="e">
        <v>#REF!</v>
      </c>
      <c r="F155" t="e">
        <v>#REF!</v>
      </c>
      <c r="G155" t="e">
        <v>#REF!</v>
      </c>
    </row>
    <row r="156" spans="1:7" x14ac:dyDescent="0.3">
      <c r="A156" s="16" t="s">
        <v>3927</v>
      </c>
      <c r="B156" s="17">
        <v>2.0009999999999999</v>
      </c>
      <c r="C156" s="17" t="s">
        <v>1841</v>
      </c>
      <c r="D156" t="e">
        <f t="array" ref="D156:E156">TRANSPOSE(_xlfn._xlws.FILTER('Controllable Asset Registry'!#REF!,IFERROR('Controllable Asset Registry'!#REF!=C156,FALSE),"No Equipment in entity"))</f>
        <v>#REF!</v>
      </c>
      <c r="E156" t="e">
        <v>#REF!</v>
      </c>
    </row>
    <row r="157" spans="1:7" x14ac:dyDescent="0.3">
      <c r="A157" s="16" t="s">
        <v>3735</v>
      </c>
      <c r="B157" s="17">
        <v>2.004</v>
      </c>
      <c r="C157" s="17" t="s">
        <v>1840</v>
      </c>
      <c r="D157" t="e">
        <f t="array" ref="D157">TRANSPOSE(_xlfn._xlws.FILTER('Controllable Asset Registry'!#REF!,IFERROR('Controllable Asset Registry'!#REF!=C157,FALSE),"No Equipment in entity"))</f>
        <v>#REF!</v>
      </c>
    </row>
    <row r="158" spans="1:7" x14ac:dyDescent="0.3">
      <c r="A158" s="16" t="s">
        <v>3735</v>
      </c>
      <c r="B158" s="17">
        <v>2.0030000000000001</v>
      </c>
      <c r="C158" s="17" t="s">
        <v>1843</v>
      </c>
      <c r="D158" t="e">
        <f t="array" ref="D158">TRANSPOSE(_xlfn._xlws.FILTER('Controllable Asset Registry'!#REF!,IFERROR('Controllable Asset Registry'!#REF!=C158,FALSE),"No Equipment in entity"))</f>
        <v>#REF!</v>
      </c>
    </row>
    <row r="159" spans="1:7" x14ac:dyDescent="0.3">
      <c r="A159" s="16" t="s">
        <v>3708</v>
      </c>
      <c r="B159" s="17" t="s">
        <v>3928</v>
      </c>
      <c r="C159" s="17" t="s">
        <v>3929</v>
      </c>
      <c r="D159" t="e">
        <f t="array" ref="D159">TRANSPOSE(_xlfn._xlws.FILTER('Controllable Asset Registry'!#REF!,IFERROR('Controllable Asset Registry'!#REF!=C159,FALSE),"No Equipment in entity"))</f>
        <v>#REF!</v>
      </c>
    </row>
    <row r="160" spans="1:7" x14ac:dyDescent="0.3">
      <c r="A160" s="16" t="s">
        <v>3816</v>
      </c>
      <c r="B160" s="17" t="s">
        <v>3930</v>
      </c>
      <c r="C160" s="17" t="s">
        <v>3931</v>
      </c>
      <c r="D160" t="e">
        <f t="array" ref="D160">TRANSPOSE(_xlfn._xlws.FILTER('Controllable Asset Registry'!#REF!,IFERROR('Controllable Asset Registry'!#REF!=C160,FALSE),"No Equipment in entity"))</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A863-148F-4FA2-B036-F07D9D75B34C}">
  <dimension ref="A1:O1041"/>
  <sheetViews>
    <sheetView topLeftCell="A18" zoomScale="70" zoomScaleNormal="70" workbookViewId="0">
      <selection activeCell="A61" sqref="A61"/>
    </sheetView>
  </sheetViews>
  <sheetFormatPr defaultRowHeight="14.4" x14ac:dyDescent="0.3"/>
  <cols>
    <col min="1" max="1" width="57.44140625" bestFit="1" customWidth="1"/>
    <col min="3" max="3" width="41.6640625" bestFit="1" customWidth="1"/>
    <col min="4" max="4" width="19.77734375" bestFit="1" customWidth="1"/>
    <col min="5" max="6" width="11.6640625" bestFit="1" customWidth="1"/>
    <col min="14" max="14" width="26.88671875" bestFit="1" customWidth="1"/>
    <col min="15" max="15" width="21.109375" bestFit="1" customWidth="1"/>
    <col min="16" max="23" width="12.33203125" bestFit="1" customWidth="1"/>
    <col min="24" max="24" width="2.21875" bestFit="1" customWidth="1"/>
    <col min="25" max="25" width="26.88671875" bestFit="1" customWidth="1"/>
  </cols>
  <sheetData>
    <row r="1" spans="1:15" ht="15.6" x14ac:dyDescent="0.3">
      <c r="A1" t="s">
        <v>4529</v>
      </c>
      <c r="B1" t="s">
        <v>4530</v>
      </c>
      <c r="C1" t="s">
        <v>4531</v>
      </c>
      <c r="N1" s="22" t="s">
        <v>5376</v>
      </c>
    </row>
    <row r="2" spans="1:15" x14ac:dyDescent="0.3">
      <c r="A2" t="s">
        <v>4532</v>
      </c>
      <c r="B2" t="s">
        <v>4533</v>
      </c>
      <c r="C2" t="s">
        <v>4534</v>
      </c>
      <c r="D2" t="str" cm="1">
        <f t="array" ref="D2">TRANSPOSE(_xlfn._xlws.FILTER('Controllable Asset Registry'!$A$4:$A$764,IFERROR('Controllable Asset Registry'!$E$4:$E$764=A2,FALSE),"No Equipment in entity"))</f>
        <v>No Equipment in entity</v>
      </c>
      <c r="N2" t="s">
        <v>5377</v>
      </c>
      <c r="O2">
        <f>COUNTA(A2:A1042)</f>
        <v>1040</v>
      </c>
    </row>
    <row r="3" spans="1:15" x14ac:dyDescent="0.3">
      <c r="A3" t="s">
        <v>3951</v>
      </c>
      <c r="B3" t="s">
        <v>3796</v>
      </c>
      <c r="C3" t="s">
        <v>4535</v>
      </c>
      <c r="D3" t="str" cm="1">
        <f t="array" ref="D3:F3">TRANSPOSE(_xlfn._xlws.FILTER('Controllable Asset Registry'!$A$4:$A$764,IFERROR('Controllable Asset Registry'!$E$4:$E$764=A3,FALSE),"No Equipment in entity"))</f>
        <v>AHUB_0001</v>
      </c>
      <c r="E3" t="str">
        <v>AHUB_0002</v>
      </c>
      <c r="F3" t="str">
        <v>AHUB_0008</v>
      </c>
      <c r="N3" t="s">
        <v>5378</v>
      </c>
      <c r="O3">
        <f>COUNTA(D2:L1042)-COUNTIF(D2:L1042,"No Equipment in entity")</f>
        <v>755</v>
      </c>
    </row>
    <row r="4" spans="1:15" x14ac:dyDescent="0.3">
      <c r="A4" t="s">
        <v>4536</v>
      </c>
      <c r="B4" t="s">
        <v>3799</v>
      </c>
      <c r="C4" t="s">
        <v>4537</v>
      </c>
      <c r="D4" t="str" cm="1">
        <f t="array" ref="D4">TRANSPOSE(_xlfn._xlws.FILTER('Controllable Asset Registry'!$A$4:$A$764,IFERROR('Controllable Asset Registry'!$E$4:$E$764=A4,FALSE),"No Equipment in entity"))</f>
        <v>No Equipment in entity</v>
      </c>
      <c r="N4" t="s">
        <v>5379</v>
      </c>
      <c r="O4">
        <f>COUNTIF(D2:L1042,"No Equipment in entity")</f>
        <v>443</v>
      </c>
    </row>
    <row r="5" spans="1:15" x14ac:dyDescent="0.3">
      <c r="A5" t="s">
        <v>3957</v>
      </c>
      <c r="B5" t="s">
        <v>3802</v>
      </c>
      <c r="C5" t="s">
        <v>4538</v>
      </c>
      <c r="D5" t="str" cm="1">
        <f t="array" ref="D5">TRANSPOSE(_xlfn._xlws.FILTER('Controllable Asset Registry'!$A$4:$A$764,IFERROR('Controllable Asset Registry'!$E$4:$E$764=A5,FALSE),"No Equipment in entity"))</f>
        <v>FCU0002</v>
      </c>
      <c r="N5" t="s">
        <v>5380</v>
      </c>
      <c r="O5">
        <f>COUNTA('Controllable Asset Registry'!A4:A764)</f>
        <v>761</v>
      </c>
    </row>
    <row r="6" spans="1:15" x14ac:dyDescent="0.3">
      <c r="A6" t="s">
        <v>4539</v>
      </c>
      <c r="B6" t="s">
        <v>3768</v>
      </c>
      <c r="C6" t="s">
        <v>4540</v>
      </c>
      <c r="D6" t="str" cm="1">
        <f t="array" ref="D6">TRANSPOSE(_xlfn._xlws.FILTER('Controllable Asset Registry'!$A$4:$A$764,IFERROR('Controllable Asset Registry'!$E$4:$E$764=A6,FALSE),"No Equipment in entity"))</f>
        <v>No Equipment in entity</v>
      </c>
      <c r="N6" t="s">
        <v>6365</v>
      </c>
      <c r="O6" cm="1">
        <f t="array" ref="O6">SUM(--(_xlfn.UNIQUE(_xlfn.TOCOL(D2:L1042,3))&lt;&gt;"No Equipment in entity"))</f>
        <v>755</v>
      </c>
    </row>
    <row r="7" spans="1:15" x14ac:dyDescent="0.3">
      <c r="A7" t="s">
        <v>3952</v>
      </c>
      <c r="B7" t="s">
        <v>3771</v>
      </c>
      <c r="C7" t="s">
        <v>4541</v>
      </c>
      <c r="D7" t="str" cm="1">
        <f t="array" ref="D7:E7">TRANSPOSE(_xlfn._xlws.FILTER('Controllable Asset Registry'!$A$4:$A$764,IFERROR('Controllable Asset Registry'!$E$4:$E$764=A7,FALSE),"No Equipment in entity"))</f>
        <v>AHUB_0003</v>
      </c>
      <c r="E7" t="str">
        <v>AHUB_0004</v>
      </c>
      <c r="N7" t="s">
        <v>6363</v>
      </c>
      <c r="O7" cm="1">
        <f t="array" ref="O7">SUMPRODUCT((A2:A1042&lt;&gt;"")*(COUNTIF(A2:A1042,A2:A1042)&gt;1))</f>
        <v>0</v>
      </c>
    </row>
    <row r="8" spans="1:15" x14ac:dyDescent="0.3">
      <c r="A8" t="s">
        <v>4542</v>
      </c>
      <c r="B8" t="s">
        <v>3765</v>
      </c>
      <c r="C8" t="s">
        <v>4543</v>
      </c>
      <c r="D8" t="str" cm="1">
        <f t="array" ref="D8">TRANSPOSE(_xlfn._xlws.FILTER('Controllable Asset Registry'!$A$4:$A$764,IFERROR('Controllable Asset Registry'!$E$4:$E$764=A8,FALSE),"No Equipment in entity"))</f>
        <v>No Equipment in entity</v>
      </c>
      <c r="N8" t="s">
        <v>6364</v>
      </c>
      <c r="O8" cm="1">
        <f t="array" ref="O8">SUMPRODUCT((D2:L1042&lt;&gt;"")*(D2:L1042&lt;&gt;"No Equipment in entity")*(COUNTIF(D2:L1042,D2:L1042)&gt;1))</f>
        <v>0</v>
      </c>
    </row>
    <row r="9" spans="1:15" x14ac:dyDescent="0.3">
      <c r="A9" t="s">
        <v>4544</v>
      </c>
      <c r="B9" t="s">
        <v>3748</v>
      </c>
      <c r="C9" t="s">
        <v>4545</v>
      </c>
      <c r="D9" t="str" cm="1">
        <f t="array" ref="D9">TRANSPOSE(_xlfn._xlws.FILTER('Controllable Asset Registry'!$A$4:$A$764,IFERROR('Controllable Asset Registry'!$E$4:$E$764=A9,FALSE),"No Equipment in entity"))</f>
        <v>No Equipment in entity</v>
      </c>
      <c r="N9" t="s">
        <v>6366</v>
      </c>
      <c r="O9">
        <f>O5-O6</f>
        <v>6</v>
      </c>
    </row>
    <row r="10" spans="1:15" x14ac:dyDescent="0.3">
      <c r="A10" t="s">
        <v>4546</v>
      </c>
      <c r="B10" t="s">
        <v>3762</v>
      </c>
      <c r="C10" t="s">
        <v>4547</v>
      </c>
      <c r="D10" t="str" cm="1">
        <f t="array" ref="D10">TRANSPOSE(_xlfn._xlws.FILTER('Controllable Asset Registry'!$A$4:$A$764,IFERROR('Controllable Asset Registry'!$E$4:$E$764=A10,FALSE),"No Equipment in entity"))</f>
        <v>No Equipment in entity</v>
      </c>
    </row>
    <row r="11" spans="1:15" x14ac:dyDescent="0.3">
      <c r="A11" t="s">
        <v>4548</v>
      </c>
      <c r="B11" t="s">
        <v>3759</v>
      </c>
      <c r="C11" t="s">
        <v>4549</v>
      </c>
      <c r="D11" t="str" cm="1">
        <f t="array" ref="D11">TRANSPOSE(_xlfn._xlws.FILTER('Controllable Asset Registry'!$A$4:$A$764,IFERROR('Controllable Asset Registry'!$E$4:$E$764=A11,FALSE),"No Equipment in entity"))</f>
        <v>No Equipment in entity</v>
      </c>
    </row>
    <row r="12" spans="1:15" x14ac:dyDescent="0.3">
      <c r="A12" t="s">
        <v>4550</v>
      </c>
      <c r="B12" t="s">
        <v>3756</v>
      </c>
      <c r="C12" t="s">
        <v>4551</v>
      </c>
      <c r="D12" t="str" cm="1">
        <f t="array" ref="D12">TRANSPOSE(_xlfn._xlws.FILTER('Controllable Asset Registry'!$A$4:$A$764,IFERROR('Controllable Asset Registry'!$E$4:$E$764=A12,FALSE),"No Equipment in entity"))</f>
        <v>No Equipment in entity</v>
      </c>
    </row>
    <row r="13" spans="1:15" x14ac:dyDescent="0.3">
      <c r="A13" t="s">
        <v>4552</v>
      </c>
      <c r="B13" t="s">
        <v>3706</v>
      </c>
      <c r="C13" t="s">
        <v>3705</v>
      </c>
      <c r="D13" t="str" cm="1">
        <f t="array" ref="D13">TRANSPOSE(_xlfn._xlws.FILTER('Controllable Asset Registry'!$A$4:$A$764,IFERROR('Controllable Asset Registry'!$E$4:$E$764=A13,FALSE),"No Equipment in entity"))</f>
        <v>No Equipment in entity</v>
      </c>
    </row>
    <row r="14" spans="1:15" x14ac:dyDescent="0.3">
      <c r="A14" t="s">
        <v>4553</v>
      </c>
      <c r="B14" t="s">
        <v>3704</v>
      </c>
      <c r="C14" t="s">
        <v>4554</v>
      </c>
      <c r="D14" t="str" cm="1">
        <f t="array" ref="D14">TRANSPOSE(_xlfn._xlws.FILTER('Controllable Asset Registry'!$A$4:$A$764,IFERROR('Controllable Asset Registry'!$E$4:$E$764=A14,FALSE),"No Equipment in entity"))</f>
        <v>No Equipment in entity</v>
      </c>
    </row>
    <row r="15" spans="1:15" x14ac:dyDescent="0.3">
      <c r="A15" t="s">
        <v>3963</v>
      </c>
      <c r="B15" t="s">
        <v>3702</v>
      </c>
      <c r="C15" t="s">
        <v>4555</v>
      </c>
      <c r="D15" t="str" cm="1">
        <f t="array" ref="D15:E15">TRANSPOSE(_xlfn._xlws.FILTER('Controllable Asset Registry'!$A$4:$A$764,IFERROR('Controllable Asset Registry'!$E$4:$E$764=A15,FALSE),"No Equipment in entity"))</f>
        <v>FCU0008</v>
      </c>
      <c r="E15" t="str">
        <v>FCU0009</v>
      </c>
    </row>
    <row r="16" spans="1:15" x14ac:dyDescent="0.3">
      <c r="A16" t="s">
        <v>3964</v>
      </c>
      <c r="B16" t="s">
        <v>3712</v>
      </c>
      <c r="C16" t="s">
        <v>4556</v>
      </c>
      <c r="D16" t="str" cm="1">
        <f t="array" ref="D16">TRANSPOSE(_xlfn._xlws.FILTER('Controllable Asset Registry'!$A$4:$A$764,IFERROR('Controllable Asset Registry'!$E$4:$E$764=A16,FALSE),"No Equipment in entity"))</f>
        <v>FCU0010</v>
      </c>
    </row>
    <row r="17" spans="1:6" x14ac:dyDescent="0.3">
      <c r="A17" t="s">
        <v>3953</v>
      </c>
      <c r="B17" t="s">
        <v>3719</v>
      </c>
      <c r="C17" t="s">
        <v>4557</v>
      </c>
      <c r="D17" t="str" cm="1">
        <f t="array" ref="D17:E17">TRANSPOSE(_xlfn._xlws.FILTER('Controllable Asset Registry'!$A$4:$A$764,IFERROR('Controllable Asset Registry'!$E$4:$E$764=A17,FALSE),"No Equipment in entity"))</f>
        <v>AHUB_0005</v>
      </c>
      <c r="E17" t="str">
        <v>AHUB_0006</v>
      </c>
    </row>
    <row r="18" spans="1:6" x14ac:dyDescent="0.3">
      <c r="A18" t="s">
        <v>4558</v>
      </c>
      <c r="B18" t="s">
        <v>3724</v>
      </c>
      <c r="C18" t="s">
        <v>4559</v>
      </c>
      <c r="D18" t="str" cm="1">
        <f t="array" ref="D18">TRANSPOSE(_xlfn._xlws.FILTER('Controllable Asset Registry'!$A$4:$A$764,IFERROR('Controllable Asset Registry'!$E$4:$E$764=A18,FALSE),"No Equipment in entity"))</f>
        <v>No Equipment in entity</v>
      </c>
    </row>
    <row r="19" spans="1:6" x14ac:dyDescent="0.3">
      <c r="A19" t="s">
        <v>4560</v>
      </c>
      <c r="B19" t="s">
        <v>3730</v>
      </c>
      <c r="C19" t="s">
        <v>4561</v>
      </c>
      <c r="D19" t="str" cm="1">
        <f t="array" ref="D19">TRANSPOSE(_xlfn._xlws.FILTER('Controllable Asset Registry'!$A$4:$A$764,IFERROR('Controllable Asset Registry'!$E$4:$E$764=A19,FALSE),"No Equipment in entity"))</f>
        <v>No Equipment in entity</v>
      </c>
    </row>
    <row r="20" spans="1:6" x14ac:dyDescent="0.3">
      <c r="A20" t="s">
        <v>3955</v>
      </c>
      <c r="B20" t="s">
        <v>3727</v>
      </c>
      <c r="C20" t="s">
        <v>7</v>
      </c>
      <c r="D20" t="str" cm="1">
        <f t="array" ref="D20:F20">TRANSPOSE(_xlfn._xlws.FILTER('Controllable Asset Registry'!$A$4:$A$764,IFERROR('Controllable Asset Registry'!$E$4:$E$764=A20,FALSE),"No Equipment in entity"))</f>
        <v>AHUB_0009</v>
      </c>
      <c r="E20" t="str">
        <v>AHUB_0010</v>
      </c>
      <c r="F20" t="str">
        <v>AHUB_0011</v>
      </c>
    </row>
    <row r="21" spans="1:6" x14ac:dyDescent="0.3">
      <c r="A21" t="s">
        <v>4562</v>
      </c>
      <c r="B21" t="s">
        <v>3794</v>
      </c>
      <c r="C21" t="s">
        <v>4563</v>
      </c>
      <c r="D21" t="str" cm="1">
        <f t="array" ref="D21">TRANSPOSE(_xlfn._xlws.FILTER('Controllable Asset Registry'!$A$4:$A$764,IFERROR('Controllable Asset Registry'!$E$4:$E$764=A21,FALSE),"No Equipment in entity"))</f>
        <v>No Equipment in entity</v>
      </c>
    </row>
    <row r="22" spans="1:6" x14ac:dyDescent="0.3">
      <c r="A22" t="s">
        <v>4564</v>
      </c>
      <c r="B22" t="s">
        <v>3790</v>
      </c>
      <c r="C22" t="s">
        <v>4565</v>
      </c>
      <c r="D22" t="str" cm="1">
        <f t="array" ref="D22">TRANSPOSE(_xlfn._xlws.FILTER('Controllable Asset Registry'!$A$4:$A$764,IFERROR('Controllable Asset Registry'!$E$4:$E$764=A22,FALSE),"No Equipment in entity"))</f>
        <v>No Equipment in entity</v>
      </c>
    </row>
    <row r="23" spans="1:6" x14ac:dyDescent="0.3">
      <c r="A23" t="s">
        <v>3954</v>
      </c>
      <c r="B23" t="s">
        <v>3777</v>
      </c>
      <c r="C23" t="s">
        <v>4566</v>
      </c>
      <c r="D23" t="str" cm="1">
        <f t="array" ref="D23">TRANSPOSE(_xlfn._xlws.FILTER('Controllable Asset Registry'!$A$4:$A$764,IFERROR('Controllable Asset Registry'!$E$4:$E$764=A23,FALSE),"No Equipment in entity"))</f>
        <v>AHUB_0007</v>
      </c>
    </row>
    <row r="24" spans="1:6" x14ac:dyDescent="0.3">
      <c r="A24" t="s">
        <v>4567</v>
      </c>
      <c r="B24" t="s">
        <v>3780</v>
      </c>
      <c r="C24" t="s">
        <v>4568</v>
      </c>
      <c r="D24" t="str" cm="1">
        <f t="array" ref="D24">TRANSPOSE(_xlfn._xlws.FILTER('Controllable Asset Registry'!$A$4:$A$764,IFERROR('Controllable Asset Registry'!$E$4:$E$764=A24,FALSE),"No Equipment in entity"))</f>
        <v>No Equipment in entity</v>
      </c>
    </row>
    <row r="25" spans="1:6" x14ac:dyDescent="0.3">
      <c r="A25" t="s">
        <v>4569</v>
      </c>
      <c r="B25" t="s">
        <v>3786</v>
      </c>
      <c r="C25" t="s">
        <v>4570</v>
      </c>
      <c r="D25" t="str" cm="1">
        <f t="array" ref="D25">TRANSPOSE(_xlfn._xlws.FILTER('Controllable Asset Registry'!$A$4:$A$764,IFERROR('Controllable Asset Registry'!$E$4:$E$764=A25,FALSE),"No Equipment in entity"))</f>
        <v>No Equipment in entity</v>
      </c>
    </row>
    <row r="26" spans="1:6" x14ac:dyDescent="0.3">
      <c r="A26" t="s">
        <v>4571</v>
      </c>
      <c r="B26" t="s">
        <v>3774</v>
      </c>
      <c r="C26" t="s">
        <v>4572</v>
      </c>
      <c r="D26" t="str" cm="1">
        <f t="array" ref="D26">TRANSPOSE(_xlfn._xlws.FILTER('Controllable Asset Registry'!$A$4:$A$764,IFERROR('Controllable Asset Registry'!$E$4:$E$764=A26,FALSE),"No Equipment in entity"))</f>
        <v>No Equipment in entity</v>
      </c>
    </row>
    <row r="27" spans="1:6" x14ac:dyDescent="0.3">
      <c r="A27" t="s">
        <v>4573</v>
      </c>
      <c r="B27" t="s">
        <v>3783</v>
      </c>
      <c r="C27" t="s">
        <v>4574</v>
      </c>
      <c r="D27" t="str" cm="1">
        <f t="array" ref="D27">TRANSPOSE(_xlfn._xlws.FILTER('Controllable Asset Registry'!$A$4:$A$764,IFERROR('Controllable Asset Registry'!$E$4:$E$764=A27,FALSE),"No Equipment in entity"))</f>
        <v>No Equipment in entity</v>
      </c>
    </row>
    <row r="28" spans="1:6" x14ac:dyDescent="0.3">
      <c r="A28" t="s">
        <v>4575</v>
      </c>
      <c r="B28" t="s">
        <v>4576</v>
      </c>
      <c r="C28" t="s">
        <v>4577</v>
      </c>
      <c r="D28" t="str" cm="1">
        <f t="array" ref="D28">TRANSPOSE(_xlfn._xlws.FILTER('Controllable Asset Registry'!$A$4:$A$764,IFERROR('Controllable Asset Registry'!$E$4:$E$764=A28,FALSE),"No Equipment in entity"))</f>
        <v>No Equipment in entity</v>
      </c>
    </row>
    <row r="29" spans="1:6" x14ac:dyDescent="0.3">
      <c r="A29" t="s">
        <v>4578</v>
      </c>
      <c r="B29" t="s">
        <v>4579</v>
      </c>
      <c r="C29" t="s">
        <v>4580</v>
      </c>
      <c r="D29" t="str" cm="1">
        <f t="array" ref="D29">TRANSPOSE(_xlfn._xlws.FILTER('Controllable Asset Registry'!$A$4:$A$764,IFERROR('Controllable Asset Registry'!$E$4:$E$764=A29,FALSE),"No Equipment in entity"))</f>
        <v>No Equipment in entity</v>
      </c>
    </row>
    <row r="30" spans="1:6" x14ac:dyDescent="0.3">
      <c r="A30" t="s">
        <v>4041</v>
      </c>
      <c r="B30" t="s">
        <v>4581</v>
      </c>
      <c r="C30" t="s">
        <v>4582</v>
      </c>
      <c r="D30" t="str" cm="1">
        <f t="array" ref="D30:E30">TRANSPOSE(_xlfn._xlws.FILTER('Controllable Asset Registry'!$A$4:$A$764,IFERROR('Controllable Asset Registry'!$E$4:$E$764=A30,FALSE),"No Equipment in entity"))</f>
        <v>VAV0002</v>
      </c>
      <c r="E30" t="str">
        <v>VAV0003</v>
      </c>
    </row>
    <row r="31" spans="1:6" x14ac:dyDescent="0.3">
      <c r="A31" t="s">
        <v>4583</v>
      </c>
      <c r="B31" t="s">
        <v>4584</v>
      </c>
      <c r="C31" t="s">
        <v>4585</v>
      </c>
      <c r="D31" t="str" cm="1">
        <f t="array" ref="D31">TRANSPOSE(_xlfn._xlws.FILTER('Controllable Asset Registry'!$A$4:$A$764,IFERROR('Controllable Asset Registry'!$E$4:$E$764=A31,FALSE),"No Equipment in entity"))</f>
        <v>No Equipment in entity</v>
      </c>
    </row>
    <row r="32" spans="1:6" x14ac:dyDescent="0.3">
      <c r="A32" t="s">
        <v>3958</v>
      </c>
      <c r="B32" t="s">
        <v>4586</v>
      </c>
      <c r="C32" t="s">
        <v>4587</v>
      </c>
      <c r="D32" t="str" cm="1">
        <f t="array" ref="D32">TRANSPOSE(_xlfn._xlws.FILTER('Controllable Asset Registry'!$A$4:$A$764,IFERROR('Controllable Asset Registry'!$E$4:$E$764=A32,FALSE),"No Equipment in entity"))</f>
        <v>FCU0003</v>
      </c>
    </row>
    <row r="33" spans="1:5" x14ac:dyDescent="0.3">
      <c r="A33" t="s">
        <v>4588</v>
      </c>
      <c r="B33" t="s">
        <v>4589</v>
      </c>
      <c r="C33" t="s">
        <v>4590</v>
      </c>
      <c r="D33" t="str" cm="1">
        <f t="array" ref="D33">TRANSPOSE(_xlfn._xlws.FILTER('Controllable Asset Registry'!$A$4:$A$764,IFERROR('Controllable Asset Registry'!$E$4:$E$764=A33,FALSE),"No Equipment in entity"))</f>
        <v>No Equipment in entity</v>
      </c>
    </row>
    <row r="34" spans="1:5" x14ac:dyDescent="0.3">
      <c r="A34" t="s">
        <v>4042</v>
      </c>
      <c r="B34" t="s">
        <v>4591</v>
      </c>
      <c r="C34" t="s">
        <v>4592</v>
      </c>
      <c r="D34" t="str" cm="1">
        <f t="array" ref="D34">TRANSPOSE(_xlfn._xlws.FILTER('Controllable Asset Registry'!$A$4:$A$764,IFERROR('Controllable Asset Registry'!$E$4:$E$764=A34,FALSE),"No Equipment in entity"))</f>
        <v>VAV0004</v>
      </c>
    </row>
    <row r="35" spans="1:5" x14ac:dyDescent="0.3">
      <c r="A35" t="s">
        <v>4593</v>
      </c>
      <c r="B35" t="s">
        <v>4594</v>
      </c>
      <c r="C35" t="s">
        <v>4595</v>
      </c>
      <c r="D35" t="str" cm="1">
        <f t="array" ref="D35">TRANSPOSE(_xlfn._xlws.FILTER('Controllable Asset Registry'!$A$4:$A$764,IFERROR('Controllable Asset Registry'!$E$4:$E$764=A35,FALSE),"No Equipment in entity"))</f>
        <v>No Equipment in entity</v>
      </c>
    </row>
    <row r="36" spans="1:5" x14ac:dyDescent="0.3">
      <c r="A36" t="s">
        <v>4596</v>
      </c>
      <c r="B36" t="s">
        <v>4597</v>
      </c>
      <c r="C36" t="s">
        <v>4595</v>
      </c>
      <c r="D36" t="str" cm="1">
        <f t="array" ref="D36">TRANSPOSE(_xlfn._xlws.FILTER('Controllable Asset Registry'!$A$4:$A$764,IFERROR('Controllable Asset Registry'!$E$4:$E$764=A36,FALSE),"No Equipment in entity"))</f>
        <v>No Equipment in entity</v>
      </c>
    </row>
    <row r="37" spans="1:5" x14ac:dyDescent="0.3">
      <c r="A37" t="s">
        <v>3959</v>
      </c>
      <c r="B37" t="s">
        <v>4598</v>
      </c>
      <c r="C37" t="s">
        <v>4599</v>
      </c>
      <c r="D37" t="str" cm="1">
        <f t="array" ref="D37">TRANSPOSE(_xlfn._xlws.FILTER('Controllable Asset Registry'!$A$4:$A$764,IFERROR('Controllable Asset Registry'!$E$4:$E$764=A37,FALSE),"No Equipment in entity"))</f>
        <v>FCU0004</v>
      </c>
    </row>
    <row r="38" spans="1:5" x14ac:dyDescent="0.3">
      <c r="A38" t="s">
        <v>4600</v>
      </c>
      <c r="B38" t="s">
        <v>4601</v>
      </c>
      <c r="C38" t="s">
        <v>4565</v>
      </c>
      <c r="D38" t="str" cm="1">
        <f t="array" ref="D38">TRANSPOSE(_xlfn._xlws.FILTER('Controllable Asset Registry'!$A$4:$A$764,IFERROR('Controllable Asset Registry'!$E$4:$E$764=A38,FALSE),"No Equipment in entity"))</f>
        <v>No Equipment in entity</v>
      </c>
    </row>
    <row r="39" spans="1:5" x14ac:dyDescent="0.3">
      <c r="A39" t="s">
        <v>4602</v>
      </c>
      <c r="B39" t="s">
        <v>4603</v>
      </c>
      <c r="C39" t="s">
        <v>4604</v>
      </c>
      <c r="D39" t="str" cm="1">
        <f t="array" ref="D39">TRANSPOSE(_xlfn._xlws.FILTER('Controllable Asset Registry'!$A$4:$A$764,IFERROR('Controllable Asset Registry'!$E$4:$E$764=A39,FALSE),"No Equipment in entity"))</f>
        <v>No Equipment in entity</v>
      </c>
    </row>
    <row r="40" spans="1:5" x14ac:dyDescent="0.3">
      <c r="A40" t="s">
        <v>4043</v>
      </c>
      <c r="B40" t="s">
        <v>4605</v>
      </c>
      <c r="C40" t="s">
        <v>4606</v>
      </c>
      <c r="D40" t="str" cm="1">
        <f t="array" ref="D40:E40">TRANSPOSE(_xlfn._xlws.FILTER('Controllable Asset Registry'!$A$4:$A$764,IFERROR('Controllable Asset Registry'!$E$4:$E$764=A40,FALSE),"No Equipment in entity"))</f>
        <v>VAV0005</v>
      </c>
      <c r="E40" t="str">
        <v>VAV0006</v>
      </c>
    </row>
    <row r="41" spans="1:5" x14ac:dyDescent="0.3">
      <c r="A41" t="s">
        <v>3965</v>
      </c>
      <c r="B41" t="s">
        <v>4607</v>
      </c>
      <c r="C41" t="s">
        <v>4608</v>
      </c>
      <c r="D41" t="str" cm="1">
        <f t="array" ref="D41">TRANSPOSE(_xlfn._xlws.FILTER('Controllable Asset Registry'!$A$4:$A$764,IFERROR('Controllable Asset Registry'!$E$4:$E$764=A41,FALSE),"No Equipment in entity"))</f>
        <v>FCU0011</v>
      </c>
    </row>
    <row r="42" spans="1:5" x14ac:dyDescent="0.3">
      <c r="A42" t="s">
        <v>4609</v>
      </c>
      <c r="B42" t="s">
        <v>4610</v>
      </c>
      <c r="C42" t="s">
        <v>4611</v>
      </c>
      <c r="D42" t="str" cm="1">
        <f t="array" ref="D42">TRANSPOSE(_xlfn._xlws.FILTER('Controllable Asset Registry'!$A$4:$A$764,IFERROR('Controllable Asset Registry'!$E$4:$E$764=A42,FALSE),"No Equipment in entity"))</f>
        <v>No Equipment in entity</v>
      </c>
    </row>
    <row r="43" spans="1:5" x14ac:dyDescent="0.3">
      <c r="A43" t="s">
        <v>4612</v>
      </c>
      <c r="B43" t="s">
        <v>4613</v>
      </c>
      <c r="C43" t="s">
        <v>4614</v>
      </c>
      <c r="D43" t="str" cm="1">
        <f t="array" ref="D43">TRANSPOSE(_xlfn._xlws.FILTER('Controllable Asset Registry'!$A$4:$A$764,IFERROR('Controllable Asset Registry'!$E$4:$E$764=A43,FALSE),"No Equipment in entity"))</f>
        <v>No Equipment in entity</v>
      </c>
    </row>
    <row r="44" spans="1:5" x14ac:dyDescent="0.3">
      <c r="A44" t="s">
        <v>4615</v>
      </c>
      <c r="B44" t="s">
        <v>4616</v>
      </c>
      <c r="C44" t="s">
        <v>4617</v>
      </c>
      <c r="D44" t="str" cm="1">
        <f t="array" ref="D44">TRANSPOSE(_xlfn._xlws.FILTER('Controllable Asset Registry'!$A$4:$A$764,IFERROR('Controllable Asset Registry'!$E$4:$E$764=A44,FALSE),"No Equipment in entity"))</f>
        <v>No Equipment in entity</v>
      </c>
    </row>
    <row r="45" spans="1:5" x14ac:dyDescent="0.3">
      <c r="A45" t="s">
        <v>4618</v>
      </c>
      <c r="B45" t="s">
        <v>4619</v>
      </c>
      <c r="C45" t="s">
        <v>4620</v>
      </c>
      <c r="D45" t="str" cm="1">
        <f t="array" ref="D45">TRANSPOSE(_xlfn._xlws.FILTER('Controllable Asset Registry'!$A$4:$A$764,IFERROR('Controllable Asset Registry'!$E$4:$E$764=A45,FALSE),"No Equipment in entity"))</f>
        <v>No Equipment in entity</v>
      </c>
    </row>
    <row r="46" spans="1:5" x14ac:dyDescent="0.3">
      <c r="A46" t="s">
        <v>3961</v>
      </c>
      <c r="B46" t="s">
        <v>4621</v>
      </c>
      <c r="C46" t="s">
        <v>4622</v>
      </c>
      <c r="D46" t="str" cm="1">
        <f t="array" ref="D46">TRANSPOSE(_xlfn._xlws.FILTER('Controllable Asset Registry'!$A$4:$A$764,IFERROR('Controllable Asset Registry'!$E$4:$E$764=A46,FALSE),"No Equipment in entity"))</f>
        <v>FCU0006</v>
      </c>
    </row>
    <row r="47" spans="1:5" x14ac:dyDescent="0.3">
      <c r="A47" t="s">
        <v>3962</v>
      </c>
      <c r="B47" t="s">
        <v>4623</v>
      </c>
      <c r="C47" t="s">
        <v>4622</v>
      </c>
      <c r="D47" t="str" cm="1">
        <f t="array" ref="D47">TRANSPOSE(_xlfn._xlws.FILTER('Controllable Asset Registry'!$A$4:$A$764,IFERROR('Controllable Asset Registry'!$E$4:$E$764=A47,FALSE),"No Equipment in entity"))</f>
        <v>FCU0007</v>
      </c>
    </row>
    <row r="48" spans="1:5" x14ac:dyDescent="0.3">
      <c r="A48" t="s">
        <v>3960</v>
      </c>
      <c r="B48" t="s">
        <v>4624</v>
      </c>
      <c r="C48" t="s">
        <v>4625</v>
      </c>
      <c r="D48" t="str" cm="1">
        <f t="array" ref="D48">TRANSPOSE(_xlfn._xlws.FILTER('Controllable Asset Registry'!$A$4:$A$764,IFERROR('Controllable Asset Registry'!$E$4:$E$764=A48,FALSE),"No Equipment in entity"))</f>
        <v>FCU0005</v>
      </c>
    </row>
    <row r="49" spans="1:4" x14ac:dyDescent="0.3">
      <c r="A49" t="s">
        <v>4626</v>
      </c>
      <c r="B49" t="s">
        <v>4627</v>
      </c>
      <c r="C49" t="s">
        <v>4628</v>
      </c>
      <c r="D49" t="str" cm="1">
        <f t="array" ref="D49">TRANSPOSE(_xlfn._xlws.FILTER('Controllable Asset Registry'!$A$4:$A$764,IFERROR('Controllable Asset Registry'!$E$4:$E$764=A49,FALSE),"No Equipment in entity"))</f>
        <v>No Equipment in entity</v>
      </c>
    </row>
    <row r="50" spans="1:4" x14ac:dyDescent="0.3">
      <c r="A50" t="s">
        <v>4629</v>
      </c>
      <c r="B50" t="s">
        <v>4630</v>
      </c>
      <c r="C50" t="s">
        <v>3761</v>
      </c>
      <c r="D50" t="str" cm="1">
        <f t="array" ref="D50">TRANSPOSE(_xlfn._xlws.FILTER('Controllable Asset Registry'!$A$4:$A$764,IFERROR('Controllable Asset Registry'!$E$4:$E$764=A50,FALSE),"No Equipment in entity"))</f>
        <v>No Equipment in entity</v>
      </c>
    </row>
    <row r="51" spans="1:4" x14ac:dyDescent="0.3">
      <c r="A51" t="s">
        <v>4631</v>
      </c>
      <c r="B51" t="s">
        <v>4632</v>
      </c>
      <c r="C51" t="s">
        <v>3758</v>
      </c>
      <c r="D51" t="str" cm="1">
        <f t="array" ref="D51">TRANSPOSE(_xlfn._xlws.FILTER('Controllable Asset Registry'!$A$4:$A$764,IFERROR('Controllable Asset Registry'!$E$4:$E$764=A51,FALSE),"No Equipment in entity"))</f>
        <v>No Equipment in entity</v>
      </c>
    </row>
    <row r="52" spans="1:4" x14ac:dyDescent="0.3">
      <c r="A52" t="s">
        <v>3956</v>
      </c>
      <c r="B52" t="s">
        <v>4633</v>
      </c>
      <c r="C52" t="s">
        <v>4634</v>
      </c>
      <c r="D52" t="str" cm="1">
        <f t="array" ref="D52">TRANSPOSE(_xlfn._xlws.FILTER('Controllable Asset Registry'!$A$4:$A$764,IFERROR('Controllable Asset Registry'!$E$4:$E$764=A52,FALSE),"No Equipment in entity"))</f>
        <v>FCU0001</v>
      </c>
    </row>
    <row r="53" spans="1:4" x14ac:dyDescent="0.3">
      <c r="A53" t="s">
        <v>4635</v>
      </c>
      <c r="B53" t="s">
        <v>4636</v>
      </c>
      <c r="C53" t="s">
        <v>3758</v>
      </c>
      <c r="D53" t="str" cm="1">
        <f t="array" ref="D53">TRANSPOSE(_xlfn._xlws.FILTER('Controllable Asset Registry'!$A$4:$A$764,IFERROR('Controllable Asset Registry'!$E$4:$E$764=A53,FALSE),"No Equipment in entity"))</f>
        <v>No Equipment in entity</v>
      </c>
    </row>
    <row r="54" spans="1:4" x14ac:dyDescent="0.3">
      <c r="A54" t="s">
        <v>4637</v>
      </c>
      <c r="B54" t="s">
        <v>4638</v>
      </c>
      <c r="C54" t="s">
        <v>3758</v>
      </c>
      <c r="D54" t="str" cm="1">
        <f t="array" ref="D54">TRANSPOSE(_xlfn._xlws.FILTER('Controllable Asset Registry'!$A$4:$A$764,IFERROR('Controllable Asset Registry'!$E$4:$E$764=A54,FALSE),"No Equipment in entity"))</f>
        <v>No Equipment in entity</v>
      </c>
    </row>
    <row r="55" spans="1:4" x14ac:dyDescent="0.3">
      <c r="A55" t="s">
        <v>4639</v>
      </c>
      <c r="B55" t="s">
        <v>4640</v>
      </c>
      <c r="C55" t="s">
        <v>3758</v>
      </c>
      <c r="D55" t="str" cm="1">
        <f t="array" ref="D55">TRANSPOSE(_xlfn._xlws.FILTER('Controllable Asset Registry'!$A$4:$A$764,IFERROR('Controllable Asset Registry'!$E$4:$E$764=A55,FALSE),"No Equipment in entity"))</f>
        <v>No Equipment in entity</v>
      </c>
    </row>
    <row r="56" spans="1:4" x14ac:dyDescent="0.3">
      <c r="A56" t="s">
        <v>4641</v>
      </c>
      <c r="B56" t="s">
        <v>4642</v>
      </c>
      <c r="C56" t="s">
        <v>4643</v>
      </c>
      <c r="D56" t="str" cm="1">
        <f t="array" ref="D56">TRANSPOSE(_xlfn._xlws.FILTER('Controllable Asset Registry'!$A$4:$A$764,IFERROR('Controllable Asset Registry'!$E$4:$E$764=A56,FALSE),"No Equipment in entity"))</f>
        <v>No Equipment in entity</v>
      </c>
    </row>
    <row r="57" spans="1:4" x14ac:dyDescent="0.3">
      <c r="A57" t="s">
        <v>4644</v>
      </c>
      <c r="B57" t="s">
        <v>4645</v>
      </c>
      <c r="C57" t="s">
        <v>3735</v>
      </c>
      <c r="D57" t="str" cm="1">
        <f t="array" ref="D57">TRANSPOSE(_xlfn._xlws.FILTER('Controllable Asset Registry'!$A$4:$A$764,IFERROR('Controllable Asset Registry'!$E$4:$E$764=A57,FALSE),"No Equipment in entity"))</f>
        <v>No Equipment in entity</v>
      </c>
    </row>
    <row r="58" spans="1:4" x14ac:dyDescent="0.3">
      <c r="A58" t="s">
        <v>4646</v>
      </c>
      <c r="B58" t="s">
        <v>4647</v>
      </c>
      <c r="C58" t="s">
        <v>3735</v>
      </c>
      <c r="D58" t="str" cm="1">
        <f t="array" ref="D58">TRANSPOSE(_xlfn._xlws.FILTER('Controllable Asset Registry'!$A$4:$A$764,IFERROR('Controllable Asset Registry'!$E$4:$E$764=A58,FALSE),"No Equipment in entity"))</f>
        <v>No Equipment in entity</v>
      </c>
    </row>
    <row r="59" spans="1:4" x14ac:dyDescent="0.3">
      <c r="A59" t="s">
        <v>4648</v>
      </c>
      <c r="B59" t="s">
        <v>4649</v>
      </c>
      <c r="C59" t="s">
        <v>3735</v>
      </c>
      <c r="D59" t="str" cm="1">
        <f t="array" ref="D59">TRANSPOSE(_xlfn._xlws.FILTER('Controllable Asset Registry'!$A$4:$A$764,IFERROR('Controllable Asset Registry'!$E$4:$E$764=A59,FALSE),"No Equipment in entity"))</f>
        <v>No Equipment in entity</v>
      </c>
    </row>
    <row r="60" spans="1:4" x14ac:dyDescent="0.3">
      <c r="A60" t="s">
        <v>4650</v>
      </c>
      <c r="B60" t="s">
        <v>4651</v>
      </c>
      <c r="C60" t="s">
        <v>3735</v>
      </c>
      <c r="D60" t="str" cm="1">
        <f t="array" ref="D60">TRANSPOSE(_xlfn._xlws.FILTER('Controllable Asset Registry'!$A$4:$A$764,IFERROR('Controllable Asset Registry'!$E$4:$E$764=A60,FALSE),"No Equipment in entity"))</f>
        <v>No Equipment in entity</v>
      </c>
    </row>
    <row r="61" spans="1:4" x14ac:dyDescent="0.3">
      <c r="A61" t="s">
        <v>4652</v>
      </c>
      <c r="B61" t="s">
        <v>4653</v>
      </c>
      <c r="C61" t="s">
        <v>4654</v>
      </c>
      <c r="D61" t="str" cm="1">
        <f t="array" ref="D61">TRANSPOSE(_xlfn._xlws.FILTER('Controllable Asset Registry'!$A$4:$A$764,IFERROR('Controllable Asset Registry'!$E$4:$E$764=A61,FALSE),"No Equipment in entity"))</f>
        <v>No Equipment in entity</v>
      </c>
    </row>
    <row r="62" spans="1:4" x14ac:dyDescent="0.3">
      <c r="A62" t="s">
        <v>4655</v>
      </c>
      <c r="B62" t="s">
        <v>4656</v>
      </c>
      <c r="C62" t="s">
        <v>4657</v>
      </c>
      <c r="D62" t="str" cm="1">
        <f t="array" ref="D62">TRANSPOSE(_xlfn._xlws.FILTER('Controllable Asset Registry'!$A$4:$A$764,IFERROR('Controllable Asset Registry'!$E$4:$E$764=A62,FALSE),"No Equipment in entity"))</f>
        <v>No Equipment in entity</v>
      </c>
    </row>
    <row r="63" spans="1:4" x14ac:dyDescent="0.3">
      <c r="A63" t="s">
        <v>4658</v>
      </c>
      <c r="B63" t="s">
        <v>4659</v>
      </c>
      <c r="C63" t="s">
        <v>4660</v>
      </c>
      <c r="D63" t="str" cm="1">
        <f t="array" ref="D63">TRANSPOSE(_xlfn._xlws.FILTER('Controllable Asset Registry'!$A$4:$A$764,IFERROR('Controllable Asset Registry'!$E$4:$E$764=A63,FALSE),"No Equipment in entity"))</f>
        <v>No Equipment in entity</v>
      </c>
    </row>
    <row r="64" spans="1:4" x14ac:dyDescent="0.3">
      <c r="A64" t="s">
        <v>4661</v>
      </c>
      <c r="B64" t="s">
        <v>4662</v>
      </c>
      <c r="C64" t="s">
        <v>4663</v>
      </c>
      <c r="D64" t="str" cm="1">
        <f t="array" ref="D64">TRANSPOSE(_xlfn._xlws.FILTER('Controllable Asset Registry'!$A$4:$A$764,IFERROR('Controllable Asset Registry'!$E$4:$E$764=A64,FALSE),"No Equipment in entity"))</f>
        <v>No Equipment in entity</v>
      </c>
    </row>
    <row r="65" spans="1:4" x14ac:dyDescent="0.3">
      <c r="A65" t="s">
        <v>4664</v>
      </c>
      <c r="B65" t="s">
        <v>4665</v>
      </c>
      <c r="C65" t="s">
        <v>4666</v>
      </c>
      <c r="D65" t="str" cm="1">
        <f t="array" ref="D65">TRANSPOSE(_xlfn._xlws.FILTER('Controllable Asset Registry'!$A$4:$A$764,IFERROR('Controllable Asset Registry'!$E$4:$E$764=A65,FALSE),"No Equipment in entity"))</f>
        <v>No Equipment in entity</v>
      </c>
    </row>
    <row r="66" spans="1:4" x14ac:dyDescent="0.3">
      <c r="A66" t="s">
        <v>4667</v>
      </c>
      <c r="B66" t="s">
        <v>4668</v>
      </c>
      <c r="C66" t="s">
        <v>4669</v>
      </c>
      <c r="D66" t="str" cm="1">
        <f t="array" ref="D66">TRANSPOSE(_xlfn._xlws.FILTER('Controllable Asset Registry'!$A$4:$A$764,IFERROR('Controllable Asset Registry'!$E$4:$E$764=A66,FALSE),"No Equipment in entity"))</f>
        <v>No Equipment in entity</v>
      </c>
    </row>
    <row r="67" spans="1:4" x14ac:dyDescent="0.3">
      <c r="A67" t="s">
        <v>4670</v>
      </c>
      <c r="B67" t="s">
        <v>4671</v>
      </c>
      <c r="C67" t="s">
        <v>4672</v>
      </c>
      <c r="D67" t="str" cm="1">
        <f t="array" ref="D67">TRANSPOSE(_xlfn._xlws.FILTER('Controllable Asset Registry'!$A$4:$A$764,IFERROR('Controllable Asset Registry'!$E$4:$E$764=A67,FALSE),"No Equipment in entity"))</f>
        <v>No Equipment in entity</v>
      </c>
    </row>
    <row r="68" spans="1:4" x14ac:dyDescent="0.3">
      <c r="A68" t="s">
        <v>4673</v>
      </c>
      <c r="B68" t="s">
        <v>3709</v>
      </c>
      <c r="C68" t="s">
        <v>4674</v>
      </c>
      <c r="D68" t="str" cm="1">
        <f t="array" ref="D68">TRANSPOSE(_xlfn._xlws.FILTER('Controllable Asset Registry'!$A$4:$A$764,IFERROR('Controllable Asset Registry'!$E$4:$E$764=A68,FALSE),"No Equipment in entity"))</f>
        <v>No Equipment in entity</v>
      </c>
    </row>
    <row r="69" spans="1:4" x14ac:dyDescent="0.3">
      <c r="A69" t="s">
        <v>4675</v>
      </c>
      <c r="B69" t="s">
        <v>3750</v>
      </c>
      <c r="C69" t="s">
        <v>4676</v>
      </c>
      <c r="D69" t="str" cm="1">
        <f t="array" ref="D69">TRANSPOSE(_xlfn._xlws.FILTER('Controllable Asset Registry'!$A$4:$A$764,IFERROR('Controllable Asset Registry'!$E$4:$E$764=A69,FALSE),"No Equipment in entity"))</f>
        <v>No Equipment in entity</v>
      </c>
    </row>
    <row r="70" spans="1:4" x14ac:dyDescent="0.3">
      <c r="A70" t="s">
        <v>4677</v>
      </c>
      <c r="B70" t="s">
        <v>4678</v>
      </c>
      <c r="C70" t="s">
        <v>4679</v>
      </c>
      <c r="D70" t="str" cm="1">
        <f t="array" ref="D70">TRANSPOSE(_xlfn._xlws.FILTER('Controllable Asset Registry'!$A$4:$A$764,IFERROR('Controllable Asset Registry'!$E$4:$E$764=A70,FALSE),"No Equipment in entity"))</f>
        <v>No Equipment in entity</v>
      </c>
    </row>
    <row r="71" spans="1:4" x14ac:dyDescent="0.3">
      <c r="A71" t="s">
        <v>4680</v>
      </c>
      <c r="B71" t="s">
        <v>4681</v>
      </c>
      <c r="C71" t="s">
        <v>4682</v>
      </c>
      <c r="D71" t="str" cm="1">
        <f t="array" ref="D71">TRANSPOSE(_xlfn._xlws.FILTER('Controllable Asset Registry'!$A$4:$A$764,IFERROR('Controllable Asset Registry'!$E$4:$E$764=A71,FALSE),"No Equipment in entity"))</f>
        <v>No Equipment in entity</v>
      </c>
    </row>
    <row r="72" spans="1:4" x14ac:dyDescent="0.3">
      <c r="A72" t="s">
        <v>4063</v>
      </c>
      <c r="B72" t="s">
        <v>4683</v>
      </c>
      <c r="C72" t="s">
        <v>4684</v>
      </c>
      <c r="D72" t="str" cm="1">
        <f t="array" ref="D72">TRANSPOSE(_xlfn._xlws.FILTER('Controllable Asset Registry'!$A$4:$A$764,IFERROR('Controllable Asset Registry'!$E$4:$E$764=A72,FALSE),"No Equipment in entity"))</f>
        <v>VAV0029</v>
      </c>
    </row>
    <row r="73" spans="1:4" x14ac:dyDescent="0.3">
      <c r="A73" t="s">
        <v>4062</v>
      </c>
      <c r="B73" t="s">
        <v>4685</v>
      </c>
      <c r="C73" t="s">
        <v>4684</v>
      </c>
      <c r="D73" t="str" cm="1">
        <f t="array" ref="D73">TRANSPOSE(_xlfn._xlws.FILTER('Controllable Asset Registry'!$A$4:$A$764,IFERROR('Controllable Asset Registry'!$E$4:$E$764=A73,FALSE),"No Equipment in entity"))</f>
        <v>VAV0028</v>
      </c>
    </row>
    <row r="74" spans="1:4" x14ac:dyDescent="0.3">
      <c r="A74" t="s">
        <v>4061</v>
      </c>
      <c r="B74" t="s">
        <v>4686</v>
      </c>
      <c r="C74" t="s">
        <v>4684</v>
      </c>
      <c r="D74" t="str" cm="1">
        <f t="array" ref="D74">TRANSPOSE(_xlfn._xlws.FILTER('Controllable Asset Registry'!$A$4:$A$764,IFERROR('Controllable Asset Registry'!$E$4:$E$764=A74,FALSE),"No Equipment in entity"))</f>
        <v>VAV0027</v>
      </c>
    </row>
    <row r="75" spans="1:4" x14ac:dyDescent="0.3">
      <c r="A75" t="s">
        <v>3970</v>
      </c>
      <c r="B75" t="s">
        <v>4687</v>
      </c>
      <c r="C75" t="s">
        <v>4688</v>
      </c>
      <c r="D75" t="str" cm="1">
        <f t="array" ref="D75">TRANSPOSE(_xlfn._xlws.FILTER('Controllable Asset Registry'!$A$4:$A$764,IFERROR('Controllable Asset Registry'!$E$4:$E$764=A75,FALSE),"No Equipment in entity"))</f>
        <v>FCU0017</v>
      </c>
    </row>
    <row r="76" spans="1:4" x14ac:dyDescent="0.3">
      <c r="A76" t="s">
        <v>4689</v>
      </c>
      <c r="B76" t="s">
        <v>4690</v>
      </c>
      <c r="C76" t="s">
        <v>4691</v>
      </c>
      <c r="D76" t="str" cm="1">
        <f t="array" ref="D76">TRANSPOSE(_xlfn._xlws.FILTER('Controllable Asset Registry'!$A$4:$A$764,IFERROR('Controllable Asset Registry'!$E$4:$E$764=A76,FALSE),"No Equipment in entity"))</f>
        <v>No Equipment in entity</v>
      </c>
    </row>
    <row r="77" spans="1:4" x14ac:dyDescent="0.3">
      <c r="A77" t="s">
        <v>4692</v>
      </c>
      <c r="B77" t="s">
        <v>4693</v>
      </c>
      <c r="C77" t="s">
        <v>4694</v>
      </c>
      <c r="D77" t="str" cm="1">
        <f t="array" ref="D77">TRANSPOSE(_xlfn._xlws.FILTER('Controllable Asset Registry'!$A$4:$A$764,IFERROR('Controllable Asset Registry'!$E$4:$E$764=A77,FALSE),"No Equipment in entity"))</f>
        <v>No Equipment in entity</v>
      </c>
    </row>
    <row r="78" spans="1:4" x14ac:dyDescent="0.3">
      <c r="A78" t="s">
        <v>4044</v>
      </c>
      <c r="B78" t="s">
        <v>4695</v>
      </c>
      <c r="C78" t="s">
        <v>4538</v>
      </c>
      <c r="D78" t="str" cm="1">
        <f t="array" ref="D78">TRANSPOSE(_xlfn._xlws.FILTER('Controllable Asset Registry'!$A$4:$A$764,IFERROR('Controllable Asset Registry'!$E$4:$E$764=A78,FALSE),"No Equipment in entity"))</f>
        <v>VAV0007</v>
      </c>
    </row>
    <row r="79" spans="1:4" x14ac:dyDescent="0.3">
      <c r="A79" t="s">
        <v>4045</v>
      </c>
      <c r="B79" t="s">
        <v>4696</v>
      </c>
      <c r="C79" t="s">
        <v>4684</v>
      </c>
      <c r="D79" t="str" cm="1">
        <f t="array" ref="D79">TRANSPOSE(_xlfn._xlws.FILTER('Controllable Asset Registry'!$A$4:$A$764,IFERROR('Controllable Asset Registry'!$E$4:$E$764=A79,FALSE),"No Equipment in entity"))</f>
        <v>VAV0008</v>
      </c>
    </row>
    <row r="80" spans="1:4" x14ac:dyDescent="0.3">
      <c r="A80" t="s">
        <v>4046</v>
      </c>
      <c r="B80" t="s">
        <v>4697</v>
      </c>
      <c r="C80" t="s">
        <v>4698</v>
      </c>
      <c r="D80" t="str" cm="1">
        <f t="array" ref="D80">TRANSPOSE(_xlfn._xlws.FILTER('Controllable Asset Registry'!$A$4:$A$764,IFERROR('Controllable Asset Registry'!$E$4:$E$764=A80,FALSE),"No Equipment in entity"))</f>
        <v>VAV0009</v>
      </c>
    </row>
    <row r="81" spans="1:4" x14ac:dyDescent="0.3">
      <c r="A81" t="s">
        <v>4047</v>
      </c>
      <c r="B81" t="s">
        <v>4699</v>
      </c>
      <c r="C81" t="s">
        <v>4684</v>
      </c>
      <c r="D81" t="str" cm="1">
        <f t="array" ref="D81">TRANSPOSE(_xlfn._xlws.FILTER('Controllable Asset Registry'!$A$4:$A$764,IFERROR('Controllable Asset Registry'!$E$4:$E$764=A81,FALSE),"No Equipment in entity"))</f>
        <v>VAV0011</v>
      </c>
    </row>
    <row r="82" spans="1:4" x14ac:dyDescent="0.3">
      <c r="A82" t="s">
        <v>4048</v>
      </c>
      <c r="B82" t="s">
        <v>4700</v>
      </c>
      <c r="C82" t="s">
        <v>4698</v>
      </c>
      <c r="D82" t="str" cm="1">
        <f t="array" ref="D82">TRANSPOSE(_xlfn._xlws.FILTER('Controllable Asset Registry'!$A$4:$A$764,IFERROR('Controllable Asset Registry'!$E$4:$E$764=A82,FALSE),"No Equipment in entity"))</f>
        <v>VAV0012</v>
      </c>
    </row>
    <row r="83" spans="1:4" x14ac:dyDescent="0.3">
      <c r="A83" t="s">
        <v>4521</v>
      </c>
      <c r="B83" t="s">
        <v>4701</v>
      </c>
      <c r="C83" t="s">
        <v>4698</v>
      </c>
      <c r="D83" t="str" cm="1">
        <f t="array" ref="D83">TRANSPOSE(_xlfn._xlws.FILTER('Controllable Asset Registry'!$A$4:$A$764,IFERROR('Controllable Asset Registry'!$E$4:$E$764=A83,FALSE),"No Equipment in entity"))</f>
        <v>VAV0607</v>
      </c>
    </row>
    <row r="84" spans="1:4" x14ac:dyDescent="0.3">
      <c r="A84" t="s">
        <v>4049</v>
      </c>
      <c r="B84" t="s">
        <v>4702</v>
      </c>
      <c r="C84" t="s">
        <v>4703</v>
      </c>
      <c r="D84" t="str" cm="1">
        <f t="array" ref="D84">TRANSPOSE(_xlfn._xlws.FILTER('Controllable Asset Registry'!$A$4:$A$764,IFERROR('Controllable Asset Registry'!$E$4:$E$764=A84,FALSE),"No Equipment in entity"))</f>
        <v>VAV0013</v>
      </c>
    </row>
    <row r="85" spans="1:4" x14ac:dyDescent="0.3">
      <c r="A85" t="s">
        <v>4050</v>
      </c>
      <c r="B85" t="s">
        <v>4704</v>
      </c>
      <c r="C85" t="s">
        <v>4698</v>
      </c>
      <c r="D85" t="str" cm="1">
        <f t="array" ref="D85">TRANSPOSE(_xlfn._xlws.FILTER('Controllable Asset Registry'!$A$4:$A$764,IFERROR('Controllable Asset Registry'!$E$4:$E$764=A85,FALSE),"No Equipment in entity"))</f>
        <v>VAV0014</v>
      </c>
    </row>
    <row r="86" spans="1:4" x14ac:dyDescent="0.3">
      <c r="A86" t="s">
        <v>4705</v>
      </c>
      <c r="B86" t="s">
        <v>4706</v>
      </c>
      <c r="C86" t="s">
        <v>4707</v>
      </c>
      <c r="D86" t="str" cm="1">
        <f t="array" ref="D86">TRANSPOSE(_xlfn._xlws.FILTER('Controllable Asset Registry'!$A$4:$A$764,IFERROR('Controllable Asset Registry'!$E$4:$E$764=A86,FALSE),"No Equipment in entity"))</f>
        <v>No Equipment in entity</v>
      </c>
    </row>
    <row r="87" spans="1:4" x14ac:dyDescent="0.3">
      <c r="A87" t="s">
        <v>3969</v>
      </c>
      <c r="B87" t="s">
        <v>4708</v>
      </c>
      <c r="C87" t="s">
        <v>4709</v>
      </c>
      <c r="D87" t="str" cm="1">
        <f t="array" ref="D87">TRANSPOSE(_xlfn._xlws.FILTER('Controllable Asset Registry'!$A$4:$A$764,IFERROR('Controllable Asset Registry'!$E$4:$E$764=A87,FALSE),"No Equipment in entity"))</f>
        <v>FCU0016</v>
      </c>
    </row>
    <row r="88" spans="1:4" x14ac:dyDescent="0.3">
      <c r="A88" t="s">
        <v>4051</v>
      </c>
      <c r="B88" t="s">
        <v>4710</v>
      </c>
      <c r="C88" t="s">
        <v>4698</v>
      </c>
      <c r="D88" t="str" cm="1">
        <f t="array" ref="D88">TRANSPOSE(_xlfn._xlws.FILTER('Controllable Asset Registry'!$A$4:$A$764,IFERROR('Controllable Asset Registry'!$E$4:$E$764=A88,FALSE),"No Equipment in entity"))</f>
        <v>VAV0015</v>
      </c>
    </row>
    <row r="89" spans="1:4" x14ac:dyDescent="0.3">
      <c r="A89" t="s">
        <v>4052</v>
      </c>
      <c r="B89" t="s">
        <v>4711</v>
      </c>
      <c r="C89" t="s">
        <v>4698</v>
      </c>
      <c r="D89" t="str" cm="1">
        <f t="array" ref="D89">TRANSPOSE(_xlfn._xlws.FILTER('Controllable Asset Registry'!$A$4:$A$764,IFERROR('Controllable Asset Registry'!$E$4:$E$764=A89,FALSE),"No Equipment in entity"))</f>
        <v>VAV0016</v>
      </c>
    </row>
    <row r="90" spans="1:4" x14ac:dyDescent="0.3">
      <c r="A90" t="s">
        <v>4053</v>
      </c>
      <c r="B90" t="s">
        <v>4712</v>
      </c>
      <c r="C90" t="s">
        <v>4698</v>
      </c>
      <c r="D90" t="str" cm="1">
        <f t="array" ref="D90">TRANSPOSE(_xlfn._xlws.FILTER('Controllable Asset Registry'!$A$4:$A$764,IFERROR('Controllable Asset Registry'!$E$4:$E$764=A90,FALSE),"No Equipment in entity"))</f>
        <v>VAV0017</v>
      </c>
    </row>
    <row r="91" spans="1:4" x14ac:dyDescent="0.3">
      <c r="A91" t="s">
        <v>4054</v>
      </c>
      <c r="B91" t="s">
        <v>4713</v>
      </c>
      <c r="C91" t="s">
        <v>4698</v>
      </c>
      <c r="D91" t="str" cm="1">
        <f t="array" ref="D91">TRANSPOSE(_xlfn._xlws.FILTER('Controllable Asset Registry'!$A$4:$A$764,IFERROR('Controllable Asset Registry'!$E$4:$E$764=A91,FALSE),"No Equipment in entity"))</f>
        <v>VAV0018</v>
      </c>
    </row>
    <row r="92" spans="1:4" x14ac:dyDescent="0.3">
      <c r="A92" t="s">
        <v>4055</v>
      </c>
      <c r="B92" t="s">
        <v>4714</v>
      </c>
      <c r="C92" t="s">
        <v>4715</v>
      </c>
      <c r="D92" t="str" cm="1">
        <f t="array" ref="D92">TRANSPOSE(_xlfn._xlws.FILTER('Controllable Asset Registry'!$A$4:$A$764,IFERROR('Controllable Asset Registry'!$E$4:$E$764=A92,FALSE),"No Equipment in entity"))</f>
        <v>VAV0019</v>
      </c>
    </row>
    <row r="93" spans="1:4" x14ac:dyDescent="0.3">
      <c r="A93" t="s">
        <v>4056</v>
      </c>
      <c r="B93" t="s">
        <v>4716</v>
      </c>
      <c r="C93" t="s">
        <v>4698</v>
      </c>
      <c r="D93" t="str" cm="1">
        <f t="array" ref="D93">TRANSPOSE(_xlfn._xlws.FILTER('Controllable Asset Registry'!$A$4:$A$764,IFERROR('Controllable Asset Registry'!$E$4:$E$764=A93,FALSE),"No Equipment in entity"))</f>
        <v>VAV0020</v>
      </c>
    </row>
    <row r="94" spans="1:4" x14ac:dyDescent="0.3">
      <c r="A94" t="s">
        <v>4717</v>
      </c>
      <c r="B94" t="s">
        <v>4718</v>
      </c>
      <c r="C94" t="s">
        <v>4719</v>
      </c>
      <c r="D94" t="str" cm="1">
        <f t="array" ref="D94">TRANSPOSE(_xlfn._xlws.FILTER('Controllable Asset Registry'!$A$4:$A$764,IFERROR('Controllable Asset Registry'!$E$4:$E$764=A94,FALSE),"No Equipment in entity"))</f>
        <v>No Equipment in entity</v>
      </c>
    </row>
    <row r="95" spans="1:4" x14ac:dyDescent="0.3">
      <c r="A95" t="s">
        <v>4076</v>
      </c>
      <c r="B95" t="s">
        <v>4720</v>
      </c>
      <c r="C95" t="s">
        <v>4721</v>
      </c>
      <c r="D95" t="str" cm="1">
        <f t="array" ref="D95">TRANSPOSE(_xlfn._xlws.FILTER('Controllable Asset Registry'!$A$4:$A$764,IFERROR('Controllable Asset Registry'!$E$4:$E$764=A95,FALSE),"No Equipment in entity"))</f>
        <v>VAV0044</v>
      </c>
    </row>
    <row r="96" spans="1:4" x14ac:dyDescent="0.3">
      <c r="A96" t="s">
        <v>4075</v>
      </c>
      <c r="B96" t="s">
        <v>4722</v>
      </c>
      <c r="C96" t="s">
        <v>4723</v>
      </c>
      <c r="D96" t="str" cm="1">
        <f t="array" ref="D96">TRANSPOSE(_xlfn._xlws.FILTER('Controllable Asset Registry'!$A$4:$A$764,IFERROR('Controllable Asset Registry'!$E$4:$E$764=A96,FALSE),"No Equipment in entity"))</f>
        <v>VAV0043</v>
      </c>
    </row>
    <row r="97" spans="1:7" x14ac:dyDescent="0.3">
      <c r="A97" t="s">
        <v>4724</v>
      </c>
      <c r="B97" t="s">
        <v>4725</v>
      </c>
      <c r="C97" t="s">
        <v>4707</v>
      </c>
      <c r="D97" t="str" cm="1">
        <f t="array" ref="D97">TRANSPOSE(_xlfn._xlws.FILTER('Controllable Asset Registry'!$A$4:$A$764,IFERROR('Controllable Asset Registry'!$E$4:$E$764=A97,FALSE),"No Equipment in entity"))</f>
        <v>No Equipment in entity</v>
      </c>
    </row>
    <row r="98" spans="1:7" x14ac:dyDescent="0.3">
      <c r="A98" t="s">
        <v>4074</v>
      </c>
      <c r="B98" t="s">
        <v>4726</v>
      </c>
      <c r="C98" t="s">
        <v>4727</v>
      </c>
      <c r="D98" t="str" cm="1">
        <f t="array" ref="D98">TRANSPOSE(_xlfn._xlws.FILTER('Controllable Asset Registry'!$A$4:$A$764,IFERROR('Controllable Asset Registry'!$E$4:$E$764=A98,FALSE),"No Equipment in entity"))</f>
        <v>VAV0042</v>
      </c>
    </row>
    <row r="99" spans="1:7" x14ac:dyDescent="0.3">
      <c r="A99" t="s">
        <v>4073</v>
      </c>
      <c r="B99" t="s">
        <v>4728</v>
      </c>
      <c r="C99" t="s">
        <v>4698</v>
      </c>
      <c r="D99" t="str" cm="1">
        <f t="array" ref="D99:E99">TRANSPOSE(_xlfn._xlws.FILTER('Controllable Asset Registry'!$A$4:$A$764,IFERROR('Controllable Asset Registry'!$E$4:$E$764=A99,FALSE),"No Equipment in entity"))</f>
        <v>VAV0040</v>
      </c>
      <c r="E99" t="str">
        <v>VAV0041</v>
      </c>
    </row>
    <row r="100" spans="1:7" x14ac:dyDescent="0.3">
      <c r="A100" t="s">
        <v>4729</v>
      </c>
      <c r="B100" t="s">
        <v>4730</v>
      </c>
      <c r="C100" t="s">
        <v>4698</v>
      </c>
      <c r="D100" t="str" cm="1">
        <f t="array" ref="D100">TRANSPOSE(_xlfn._xlws.FILTER('Controllable Asset Registry'!$A$4:$A$764,IFERROR('Controllable Asset Registry'!$E$4:$E$764=A100,FALSE),"No Equipment in entity"))</f>
        <v>No Equipment in entity</v>
      </c>
    </row>
    <row r="101" spans="1:7" x14ac:dyDescent="0.3">
      <c r="A101" t="s">
        <v>3968</v>
      </c>
      <c r="B101" t="s">
        <v>4731</v>
      </c>
      <c r="C101" t="s">
        <v>4698</v>
      </c>
      <c r="D101" t="str" cm="1">
        <f t="array" ref="D101">TRANSPOSE(_xlfn._xlws.FILTER('Controllable Asset Registry'!$A$4:$A$764,IFERROR('Controllable Asset Registry'!$E$4:$E$764=A101,FALSE),"No Equipment in entity"))</f>
        <v>FCU0015</v>
      </c>
    </row>
    <row r="102" spans="1:7" x14ac:dyDescent="0.3">
      <c r="A102" t="s">
        <v>4071</v>
      </c>
      <c r="B102" t="s">
        <v>4732</v>
      </c>
      <c r="C102" t="s">
        <v>4698</v>
      </c>
      <c r="D102" t="str" cm="1">
        <f t="array" ref="D102">TRANSPOSE(_xlfn._xlws.FILTER('Controllable Asset Registry'!$A$4:$A$764,IFERROR('Controllable Asset Registry'!$E$4:$E$764=A102,FALSE),"No Equipment in entity"))</f>
        <v>VAV0038</v>
      </c>
    </row>
    <row r="103" spans="1:7" x14ac:dyDescent="0.3">
      <c r="A103" t="s">
        <v>4070</v>
      </c>
      <c r="B103" t="s">
        <v>4733</v>
      </c>
      <c r="C103" t="s">
        <v>4698</v>
      </c>
      <c r="D103" t="str" cm="1">
        <f t="array" ref="D103">TRANSPOSE(_xlfn._xlws.FILTER('Controllable Asset Registry'!$A$4:$A$764,IFERROR('Controllable Asset Registry'!$E$4:$E$764=A103,FALSE),"No Equipment in entity"))</f>
        <v>VAV0037</v>
      </c>
    </row>
    <row r="104" spans="1:7" x14ac:dyDescent="0.3">
      <c r="A104" t="s">
        <v>4069</v>
      </c>
      <c r="B104" t="s">
        <v>4734</v>
      </c>
      <c r="C104" t="s">
        <v>4698</v>
      </c>
      <c r="D104" t="str" cm="1">
        <f t="array" ref="D104">TRANSPOSE(_xlfn._xlws.FILTER('Controllable Asset Registry'!$A$4:$A$764,IFERROR('Controllable Asset Registry'!$E$4:$E$764=A104,FALSE),"No Equipment in entity"))</f>
        <v>VAV0036</v>
      </c>
    </row>
    <row r="105" spans="1:7" x14ac:dyDescent="0.3">
      <c r="A105" t="s">
        <v>4068</v>
      </c>
      <c r="B105" t="s">
        <v>4735</v>
      </c>
      <c r="C105" t="s">
        <v>4698</v>
      </c>
      <c r="D105" t="str" cm="1">
        <f t="array" ref="D105">TRANSPOSE(_xlfn._xlws.FILTER('Controllable Asset Registry'!$A$4:$A$764,IFERROR('Controllable Asset Registry'!$E$4:$E$764=A105,FALSE),"No Equipment in entity"))</f>
        <v>VAV0035</v>
      </c>
    </row>
    <row r="106" spans="1:7" x14ac:dyDescent="0.3">
      <c r="A106" t="s">
        <v>4067</v>
      </c>
      <c r="B106" t="s">
        <v>4736</v>
      </c>
      <c r="C106" t="s">
        <v>4698</v>
      </c>
      <c r="D106" t="str" cm="1">
        <f t="array" ref="D106">TRANSPOSE(_xlfn._xlws.FILTER('Controllable Asset Registry'!$A$4:$A$764,IFERROR('Controllable Asset Registry'!$E$4:$E$764=A106,FALSE),"No Equipment in entity"))</f>
        <v>VAV0034</v>
      </c>
    </row>
    <row r="107" spans="1:7" x14ac:dyDescent="0.3">
      <c r="A107" t="s">
        <v>4066</v>
      </c>
      <c r="B107" t="s">
        <v>4737</v>
      </c>
      <c r="C107" t="s">
        <v>4698</v>
      </c>
      <c r="D107" t="str" cm="1">
        <f t="array" ref="D107">TRANSPOSE(_xlfn._xlws.FILTER('Controllable Asset Registry'!$A$4:$A$764,IFERROR('Controllable Asset Registry'!$E$4:$E$764=A107,FALSE),"No Equipment in entity"))</f>
        <v>VAV0033</v>
      </c>
    </row>
    <row r="108" spans="1:7" x14ac:dyDescent="0.3">
      <c r="A108" t="s">
        <v>4065</v>
      </c>
      <c r="B108" t="s">
        <v>4738</v>
      </c>
      <c r="C108" t="s">
        <v>4698</v>
      </c>
      <c r="D108" t="str" cm="1">
        <f t="array" ref="D108">TRANSPOSE(_xlfn._xlws.FILTER('Controllable Asset Registry'!$A$4:$A$764,IFERROR('Controllable Asset Registry'!$E$4:$E$764=A108,FALSE),"No Equipment in entity"))</f>
        <v>VAV0032</v>
      </c>
    </row>
    <row r="109" spans="1:7" x14ac:dyDescent="0.3">
      <c r="A109" t="s">
        <v>4739</v>
      </c>
      <c r="B109" t="s">
        <v>4740</v>
      </c>
      <c r="C109" t="s">
        <v>4698</v>
      </c>
      <c r="D109" t="str" cm="1">
        <f t="array" ref="D109">TRANSPOSE(_xlfn._xlws.FILTER('Controllable Asset Registry'!$A$4:$A$764,IFERROR('Controllable Asset Registry'!$E$4:$E$764=A109,FALSE),"No Equipment in entity"))</f>
        <v>No Equipment in entity</v>
      </c>
    </row>
    <row r="110" spans="1:7" x14ac:dyDescent="0.3">
      <c r="A110" t="s">
        <v>4080</v>
      </c>
      <c r="B110" t="s">
        <v>4741</v>
      </c>
      <c r="C110" t="s">
        <v>4742</v>
      </c>
      <c r="D110" t="str" cm="1">
        <f t="array" ref="D110:G110">TRANSPOSE(_xlfn._xlws.FILTER('Controllable Asset Registry'!$A$4:$A$764,IFERROR('Controllable Asset Registry'!$E$4:$E$764=A110,FALSE),"No Equipment in entity"))</f>
        <v>VAV0048</v>
      </c>
      <c r="E110" t="str">
        <v>VAV0049</v>
      </c>
      <c r="F110" t="str">
        <v>VAV0050</v>
      </c>
      <c r="G110" t="str">
        <v>VAV0051</v>
      </c>
    </row>
    <row r="111" spans="1:7" x14ac:dyDescent="0.3">
      <c r="A111" t="s">
        <v>4743</v>
      </c>
      <c r="B111" t="s">
        <v>4744</v>
      </c>
      <c r="C111" t="s">
        <v>4745</v>
      </c>
      <c r="D111" t="str" cm="1">
        <f t="array" ref="D111">TRANSPOSE(_xlfn._xlws.FILTER('Controllable Asset Registry'!$A$4:$A$764,IFERROR('Controllable Asset Registry'!$E$4:$E$764=A111,FALSE),"No Equipment in entity"))</f>
        <v>No Equipment in entity</v>
      </c>
    </row>
    <row r="112" spans="1:7" x14ac:dyDescent="0.3">
      <c r="A112" t="s">
        <v>4060</v>
      </c>
      <c r="B112" t="s">
        <v>4746</v>
      </c>
      <c r="C112" t="s">
        <v>3788</v>
      </c>
      <c r="D112" t="str" cm="1">
        <f t="array" ref="D112">TRANSPOSE(_xlfn._xlws.FILTER('Controllable Asset Registry'!$A$4:$A$764,IFERROR('Controllable Asset Registry'!$E$4:$E$764=A112,FALSE),"No Equipment in entity"))</f>
        <v>VAV0026</v>
      </c>
    </row>
    <row r="113" spans="1:10" x14ac:dyDescent="0.3">
      <c r="A113" t="s">
        <v>4059</v>
      </c>
      <c r="B113" t="s">
        <v>4747</v>
      </c>
      <c r="C113" t="s">
        <v>3926</v>
      </c>
      <c r="D113" t="str" cm="1">
        <f t="array" ref="D113:J113">TRANSPOSE(_xlfn._xlws.FILTER('Controllable Asset Registry'!$A$4:$A$764,IFERROR('Controllable Asset Registry'!$E$4:$E$764=A113,FALSE),"No Equipment in entity"))</f>
        <v>VAV0024</v>
      </c>
      <c r="E113" t="str">
        <v>VAV0025</v>
      </c>
      <c r="F113" t="str">
        <v>VAV0090</v>
      </c>
      <c r="G113" t="str">
        <v>VAV0103</v>
      </c>
      <c r="H113" t="str">
        <v>VAV0104</v>
      </c>
      <c r="I113" t="str">
        <v>VAV0105</v>
      </c>
      <c r="J113" t="str">
        <v>VAV0106</v>
      </c>
    </row>
    <row r="114" spans="1:10" x14ac:dyDescent="0.3">
      <c r="A114" t="s">
        <v>4058</v>
      </c>
      <c r="B114" t="s">
        <v>4748</v>
      </c>
      <c r="C114" t="s">
        <v>4749</v>
      </c>
      <c r="D114" t="str" cm="1">
        <f t="array" ref="D114">TRANSPOSE(_xlfn._xlws.FILTER('Controllable Asset Registry'!$A$4:$A$764,IFERROR('Controllable Asset Registry'!$E$4:$E$764=A114,FALSE),"No Equipment in entity"))</f>
        <v>VAV0023</v>
      </c>
    </row>
    <row r="115" spans="1:10" x14ac:dyDescent="0.3">
      <c r="A115" t="s">
        <v>4750</v>
      </c>
      <c r="B115" t="s">
        <v>4751</v>
      </c>
      <c r="C115" t="s">
        <v>4752</v>
      </c>
      <c r="D115" t="str" cm="1">
        <f t="array" ref="D115">TRANSPOSE(_xlfn._xlws.FILTER('Controllable Asset Registry'!$A$4:$A$764,IFERROR('Controllable Asset Registry'!$E$4:$E$764=A115,FALSE),"No Equipment in entity"))</f>
        <v>No Equipment in entity</v>
      </c>
    </row>
    <row r="116" spans="1:10" x14ac:dyDescent="0.3">
      <c r="A116" t="s">
        <v>4077</v>
      </c>
      <c r="B116" t="s">
        <v>4753</v>
      </c>
      <c r="C116" t="s">
        <v>4754</v>
      </c>
      <c r="D116" t="str" cm="1">
        <f t="array" ref="D116">TRANSPOSE(_xlfn._xlws.FILTER('Controllable Asset Registry'!$A$4:$A$764,IFERROR('Controllable Asset Registry'!$E$4:$E$764=A116,FALSE),"No Equipment in entity"))</f>
        <v>VAV0045</v>
      </c>
    </row>
    <row r="117" spans="1:10" x14ac:dyDescent="0.3">
      <c r="A117" t="s">
        <v>4081</v>
      </c>
      <c r="B117" t="s">
        <v>4755</v>
      </c>
      <c r="C117" t="s">
        <v>4756</v>
      </c>
      <c r="D117" t="str" cm="1">
        <f t="array" ref="D117:E117">TRANSPOSE(_xlfn._xlws.FILTER('Controllable Asset Registry'!$A$4:$A$764,IFERROR('Controllable Asset Registry'!$E$4:$E$764=A117,FALSE),"No Equipment in entity"))</f>
        <v>VAV0052</v>
      </c>
      <c r="E117" t="str">
        <v>VAV0053</v>
      </c>
    </row>
    <row r="118" spans="1:10" x14ac:dyDescent="0.3">
      <c r="A118" t="s">
        <v>4757</v>
      </c>
      <c r="B118" t="s">
        <v>4758</v>
      </c>
      <c r="C118" t="s">
        <v>4752</v>
      </c>
      <c r="D118" t="str" cm="1">
        <f t="array" ref="D118">TRANSPOSE(_xlfn._xlws.FILTER('Controllable Asset Registry'!$A$4:$A$764,IFERROR('Controllable Asset Registry'!$E$4:$E$764=A118,FALSE),"No Equipment in entity"))</f>
        <v>No Equipment in entity</v>
      </c>
    </row>
    <row r="119" spans="1:10" x14ac:dyDescent="0.3">
      <c r="A119" t="s">
        <v>4759</v>
      </c>
      <c r="B119" t="s">
        <v>4760</v>
      </c>
      <c r="C119" t="s">
        <v>4628</v>
      </c>
      <c r="D119" t="str" cm="1">
        <f t="array" ref="D119">TRANSPOSE(_xlfn._xlws.FILTER('Controllable Asset Registry'!$A$4:$A$764,IFERROR('Controllable Asset Registry'!$E$4:$E$764=A119,FALSE),"No Equipment in entity"))</f>
        <v>No Equipment in entity</v>
      </c>
    </row>
    <row r="120" spans="1:10" x14ac:dyDescent="0.3">
      <c r="A120" t="s">
        <v>4761</v>
      </c>
      <c r="B120" t="s">
        <v>4762</v>
      </c>
      <c r="C120" t="s">
        <v>4625</v>
      </c>
      <c r="D120" t="str" cm="1">
        <f t="array" ref="D120">TRANSPOSE(_xlfn._xlws.FILTER('Controllable Asset Registry'!$A$4:$A$764,IFERROR('Controllable Asset Registry'!$E$4:$E$764=A120,FALSE),"No Equipment in entity"))</f>
        <v>No Equipment in entity</v>
      </c>
    </row>
    <row r="121" spans="1:10" x14ac:dyDescent="0.3">
      <c r="A121" t="s">
        <v>4763</v>
      </c>
      <c r="B121" t="s">
        <v>4764</v>
      </c>
      <c r="C121" t="s">
        <v>4628</v>
      </c>
      <c r="D121" t="str" cm="1">
        <f t="array" ref="D121">TRANSPOSE(_xlfn._xlws.FILTER('Controllable Asset Registry'!$A$4:$A$764,IFERROR('Controllable Asset Registry'!$E$4:$E$764=A121,FALSE),"No Equipment in entity"))</f>
        <v>No Equipment in entity</v>
      </c>
    </row>
    <row r="122" spans="1:10" x14ac:dyDescent="0.3">
      <c r="A122" t="s">
        <v>4765</v>
      </c>
      <c r="B122" t="s">
        <v>4766</v>
      </c>
      <c r="C122" t="s">
        <v>4625</v>
      </c>
      <c r="D122" t="str" cm="1">
        <f t="array" ref="D122">TRANSPOSE(_xlfn._xlws.FILTER('Controllable Asset Registry'!$A$4:$A$764,IFERROR('Controllable Asset Registry'!$E$4:$E$764=A122,FALSE),"No Equipment in entity"))</f>
        <v>No Equipment in entity</v>
      </c>
    </row>
    <row r="123" spans="1:10" x14ac:dyDescent="0.3">
      <c r="A123" t="s">
        <v>4522</v>
      </c>
      <c r="B123" t="s">
        <v>4767</v>
      </c>
      <c r="C123" t="s">
        <v>3761</v>
      </c>
      <c r="D123" t="str" cm="1">
        <f t="array" ref="D123">TRANSPOSE(_xlfn._xlws.FILTER('Controllable Asset Registry'!$A$4:$A$764,IFERROR('Controllable Asset Registry'!$E$4:$E$764=A123,FALSE),"No Equipment in entity"))</f>
        <v>VAV0608</v>
      </c>
    </row>
    <row r="124" spans="1:10" x14ac:dyDescent="0.3">
      <c r="A124" t="s">
        <v>3971</v>
      </c>
      <c r="B124" t="s">
        <v>4768</v>
      </c>
      <c r="C124" t="s">
        <v>3758</v>
      </c>
      <c r="D124" t="str" cm="1">
        <f t="array" ref="D124">TRANSPOSE(_xlfn._xlws.FILTER('Controllable Asset Registry'!$A$4:$A$764,IFERROR('Controllable Asset Registry'!$E$4:$E$764=A124,FALSE),"No Equipment in entity"))</f>
        <v>FCU0018</v>
      </c>
    </row>
    <row r="125" spans="1:10" x14ac:dyDescent="0.3">
      <c r="A125" t="s">
        <v>3967</v>
      </c>
      <c r="B125" t="s">
        <v>4769</v>
      </c>
      <c r="C125" t="s">
        <v>4634</v>
      </c>
      <c r="D125" t="str" cm="1">
        <f t="array" ref="D125:E125">TRANSPOSE(_xlfn._xlws.FILTER('Controllable Asset Registry'!$A$4:$A$764,IFERROR('Controllable Asset Registry'!$E$4:$E$764=A125,FALSE),"No Equipment in entity"))</f>
        <v>FCU0014</v>
      </c>
      <c r="E125" t="str">
        <v>FCU0111</v>
      </c>
    </row>
    <row r="126" spans="1:10" x14ac:dyDescent="0.3">
      <c r="A126" t="s">
        <v>4770</v>
      </c>
      <c r="B126" t="s">
        <v>4771</v>
      </c>
      <c r="C126" t="s">
        <v>4772</v>
      </c>
      <c r="D126" t="str" cm="1">
        <f t="array" ref="D126">TRANSPOSE(_xlfn._xlws.FILTER('Controllable Asset Registry'!$A$4:$A$764,IFERROR('Controllable Asset Registry'!$E$4:$E$764=A126,FALSE),"No Equipment in entity"))</f>
        <v>No Equipment in entity</v>
      </c>
    </row>
    <row r="127" spans="1:10" x14ac:dyDescent="0.3">
      <c r="A127" t="s">
        <v>3966</v>
      </c>
      <c r="B127" t="s">
        <v>4773</v>
      </c>
      <c r="C127" t="s">
        <v>4634</v>
      </c>
      <c r="D127" t="str" cm="1">
        <f t="array" ref="D127:E127">TRANSPOSE(_xlfn._xlws.FILTER('Controllable Asset Registry'!$A$4:$A$764,IFERROR('Controllable Asset Registry'!$E$4:$E$764=A127,FALSE),"No Equipment in entity"))</f>
        <v>FCU0012</v>
      </c>
      <c r="E127" t="str">
        <v>FCU0013</v>
      </c>
    </row>
    <row r="128" spans="1:10" x14ac:dyDescent="0.3">
      <c r="A128" t="s">
        <v>4774</v>
      </c>
      <c r="B128" t="s">
        <v>4775</v>
      </c>
      <c r="C128" t="s">
        <v>4776</v>
      </c>
      <c r="D128" t="str" cm="1">
        <f t="array" ref="D128">TRANSPOSE(_xlfn._xlws.FILTER('Controllable Asset Registry'!$A$4:$A$764,IFERROR('Controllable Asset Registry'!$E$4:$E$764=A128,FALSE),"No Equipment in entity"))</f>
        <v>No Equipment in entity</v>
      </c>
    </row>
    <row r="129" spans="1:5" x14ac:dyDescent="0.3">
      <c r="A129" t="s">
        <v>4777</v>
      </c>
      <c r="B129" t="s">
        <v>4778</v>
      </c>
      <c r="C129" t="s">
        <v>4779</v>
      </c>
      <c r="D129" t="str" cm="1">
        <f t="array" ref="D129">TRANSPOSE(_xlfn._xlws.FILTER('Controllable Asset Registry'!$A$4:$A$764,IFERROR('Controllable Asset Registry'!$E$4:$E$764=A129,FALSE),"No Equipment in entity"))</f>
        <v>No Equipment in entity</v>
      </c>
    </row>
    <row r="130" spans="1:5" x14ac:dyDescent="0.3">
      <c r="A130" t="s">
        <v>4780</v>
      </c>
      <c r="B130" t="s">
        <v>4781</v>
      </c>
      <c r="C130" t="s">
        <v>4782</v>
      </c>
      <c r="D130" t="str" cm="1">
        <f t="array" ref="D130">TRANSPOSE(_xlfn._xlws.FILTER('Controllable Asset Registry'!$A$4:$A$764,IFERROR('Controllable Asset Registry'!$E$4:$E$764=A130,FALSE),"No Equipment in entity"))</f>
        <v>No Equipment in entity</v>
      </c>
    </row>
    <row r="131" spans="1:5" x14ac:dyDescent="0.3">
      <c r="A131" t="s">
        <v>4783</v>
      </c>
      <c r="B131" t="s">
        <v>4784</v>
      </c>
      <c r="C131" t="s">
        <v>4772</v>
      </c>
      <c r="D131" t="str" cm="1">
        <f t="array" ref="D131">TRANSPOSE(_xlfn._xlws.FILTER('Controllable Asset Registry'!$A$4:$A$764,IFERROR('Controllable Asset Registry'!$E$4:$E$764=A131,FALSE),"No Equipment in entity"))</f>
        <v>No Equipment in entity</v>
      </c>
    </row>
    <row r="132" spans="1:5" x14ac:dyDescent="0.3">
      <c r="A132" t="s">
        <v>4785</v>
      </c>
      <c r="B132" t="s">
        <v>4786</v>
      </c>
      <c r="C132" t="s">
        <v>3758</v>
      </c>
      <c r="D132" t="str" cm="1">
        <f t="array" ref="D132">TRANSPOSE(_xlfn._xlws.FILTER('Controllable Asset Registry'!$A$4:$A$764,IFERROR('Controllable Asset Registry'!$E$4:$E$764=A132,FALSE),"No Equipment in entity"))</f>
        <v>No Equipment in entity</v>
      </c>
    </row>
    <row r="133" spans="1:5" x14ac:dyDescent="0.3">
      <c r="A133" t="s">
        <v>4057</v>
      </c>
      <c r="B133" t="s">
        <v>4787</v>
      </c>
      <c r="C133" t="s">
        <v>3735</v>
      </c>
      <c r="D133" t="str" cm="1">
        <f t="array" ref="D133:E133">TRANSPOSE(_xlfn._xlws.FILTER('Controllable Asset Registry'!$A$4:$A$764,IFERROR('Controllable Asset Registry'!$E$4:$E$764=A133,FALSE),"No Equipment in entity"))</f>
        <v>VAV0021</v>
      </c>
      <c r="E133" t="str">
        <v>VAV0022</v>
      </c>
    </row>
    <row r="134" spans="1:5" x14ac:dyDescent="0.3">
      <c r="A134" t="s">
        <v>4788</v>
      </c>
      <c r="B134" t="s">
        <v>4789</v>
      </c>
      <c r="C134" t="s">
        <v>4790</v>
      </c>
      <c r="D134" t="str" cm="1">
        <f t="array" ref="D134">TRANSPOSE(_xlfn._xlws.FILTER('Controllable Asset Registry'!$A$4:$A$764,IFERROR('Controllable Asset Registry'!$E$4:$E$764=A134,FALSE),"No Equipment in entity"))</f>
        <v>No Equipment in entity</v>
      </c>
    </row>
    <row r="135" spans="1:5" x14ac:dyDescent="0.3">
      <c r="A135" t="s">
        <v>4791</v>
      </c>
      <c r="B135" t="s">
        <v>4792</v>
      </c>
      <c r="C135" t="s">
        <v>4793</v>
      </c>
      <c r="D135" t="str" cm="1">
        <f t="array" ref="D135">TRANSPOSE(_xlfn._xlws.FILTER('Controllable Asset Registry'!$A$4:$A$764,IFERROR('Controllable Asset Registry'!$E$4:$E$764=A135,FALSE),"No Equipment in entity"))</f>
        <v>No Equipment in entity</v>
      </c>
    </row>
    <row r="136" spans="1:5" x14ac:dyDescent="0.3">
      <c r="A136" t="s">
        <v>4794</v>
      </c>
      <c r="B136" t="s">
        <v>4795</v>
      </c>
      <c r="C136" t="s">
        <v>4796</v>
      </c>
      <c r="D136" t="str" cm="1">
        <f t="array" ref="D136">TRANSPOSE(_xlfn._xlws.FILTER('Controllable Asset Registry'!$A$4:$A$764,IFERROR('Controllable Asset Registry'!$E$4:$E$764=A136,FALSE),"No Equipment in entity"))</f>
        <v>No Equipment in entity</v>
      </c>
    </row>
    <row r="137" spans="1:5" x14ac:dyDescent="0.3">
      <c r="A137" t="s">
        <v>4797</v>
      </c>
      <c r="B137" t="s">
        <v>4798</v>
      </c>
      <c r="C137" t="s">
        <v>4799</v>
      </c>
      <c r="D137" t="str" cm="1">
        <f t="array" ref="D137">TRANSPOSE(_xlfn._xlws.FILTER('Controllable Asset Registry'!$A$4:$A$764,IFERROR('Controllable Asset Registry'!$E$4:$E$764=A137,FALSE),"No Equipment in entity"))</f>
        <v>No Equipment in entity</v>
      </c>
    </row>
    <row r="138" spans="1:5" x14ac:dyDescent="0.3">
      <c r="A138" t="s">
        <v>4800</v>
      </c>
      <c r="B138" t="s">
        <v>4801</v>
      </c>
      <c r="C138" t="s">
        <v>4663</v>
      </c>
      <c r="D138" t="str" cm="1">
        <f t="array" ref="D138">TRANSPOSE(_xlfn._xlws.FILTER('Controllable Asset Registry'!$A$4:$A$764,IFERROR('Controllable Asset Registry'!$E$4:$E$764=A138,FALSE),"No Equipment in entity"))</f>
        <v>No Equipment in entity</v>
      </c>
    </row>
    <row r="139" spans="1:5" x14ac:dyDescent="0.3">
      <c r="A139" t="s">
        <v>4802</v>
      </c>
      <c r="B139" t="s">
        <v>4803</v>
      </c>
      <c r="C139" t="s">
        <v>4666</v>
      </c>
      <c r="D139" t="str" cm="1">
        <f t="array" ref="D139">TRANSPOSE(_xlfn._xlws.FILTER('Controllable Asset Registry'!$A$4:$A$764,IFERROR('Controllable Asset Registry'!$E$4:$E$764=A139,FALSE),"No Equipment in entity"))</f>
        <v>No Equipment in entity</v>
      </c>
    </row>
    <row r="140" spans="1:5" x14ac:dyDescent="0.3">
      <c r="A140" t="s">
        <v>4804</v>
      </c>
      <c r="B140" t="s">
        <v>4805</v>
      </c>
      <c r="C140" t="s">
        <v>4669</v>
      </c>
      <c r="D140" t="str" cm="1">
        <f t="array" ref="D140">TRANSPOSE(_xlfn._xlws.FILTER('Controllable Asset Registry'!$A$4:$A$764,IFERROR('Controllable Asset Registry'!$E$4:$E$764=A140,FALSE),"No Equipment in entity"))</f>
        <v>No Equipment in entity</v>
      </c>
    </row>
    <row r="141" spans="1:5" x14ac:dyDescent="0.3">
      <c r="A141" t="s">
        <v>4806</v>
      </c>
      <c r="B141" t="s">
        <v>4807</v>
      </c>
      <c r="C141" t="s">
        <v>4808</v>
      </c>
      <c r="D141" t="str" cm="1">
        <f t="array" ref="D141">TRANSPOSE(_xlfn._xlws.FILTER('Controllable Asset Registry'!$A$4:$A$764,IFERROR('Controllable Asset Registry'!$E$4:$E$764=A141,FALSE),"No Equipment in entity"))</f>
        <v>No Equipment in entity</v>
      </c>
    </row>
    <row r="142" spans="1:5" x14ac:dyDescent="0.3">
      <c r="A142" t="s">
        <v>4809</v>
      </c>
      <c r="B142" t="s">
        <v>4810</v>
      </c>
      <c r="C142" t="s">
        <v>4674</v>
      </c>
      <c r="D142" t="str" cm="1">
        <f t="array" ref="D142">TRANSPOSE(_xlfn._xlws.FILTER('Controllable Asset Registry'!$A$4:$A$764,IFERROR('Controllable Asset Registry'!$E$4:$E$764=A142,FALSE),"No Equipment in entity"))</f>
        <v>No Equipment in entity</v>
      </c>
    </row>
    <row r="143" spans="1:5" x14ac:dyDescent="0.3">
      <c r="A143" t="s">
        <v>4811</v>
      </c>
      <c r="B143" t="s">
        <v>4812</v>
      </c>
      <c r="C143" t="s">
        <v>4676</v>
      </c>
      <c r="D143" t="str" cm="1">
        <f t="array" ref="D143">TRANSPOSE(_xlfn._xlws.FILTER('Controllable Asset Registry'!$A$4:$A$764,IFERROR('Controllable Asset Registry'!$E$4:$E$764=A143,FALSE),"No Equipment in entity"))</f>
        <v>No Equipment in entity</v>
      </c>
    </row>
    <row r="144" spans="1:5" x14ac:dyDescent="0.3">
      <c r="A144" t="s">
        <v>4813</v>
      </c>
      <c r="B144" t="s">
        <v>4814</v>
      </c>
      <c r="C144" t="s">
        <v>4815</v>
      </c>
      <c r="D144" t="str" cm="1">
        <f t="array" ref="D144">TRANSPOSE(_xlfn._xlws.FILTER('Controllable Asset Registry'!$A$4:$A$764,IFERROR('Controllable Asset Registry'!$E$4:$E$764=A144,FALSE),"No Equipment in entity"))</f>
        <v>No Equipment in entity</v>
      </c>
    </row>
    <row r="145" spans="1:4" x14ac:dyDescent="0.3">
      <c r="A145" t="s">
        <v>4816</v>
      </c>
      <c r="B145" t="s">
        <v>4817</v>
      </c>
      <c r="C145" t="s">
        <v>4679</v>
      </c>
      <c r="D145" t="str" cm="1">
        <f t="array" ref="D145">TRANSPOSE(_xlfn._xlws.FILTER('Controllable Asset Registry'!$A$4:$A$764,IFERROR('Controllable Asset Registry'!$E$4:$E$764=A145,FALSE),"No Equipment in entity"))</f>
        <v>No Equipment in entity</v>
      </c>
    </row>
    <row r="146" spans="1:4" x14ac:dyDescent="0.3">
      <c r="A146" t="s">
        <v>4101</v>
      </c>
      <c r="B146" t="s">
        <v>5389</v>
      </c>
      <c r="C146" t="s">
        <v>4818</v>
      </c>
      <c r="D146" t="str" cm="1">
        <f t="array" ref="D146">TRANSPOSE(_xlfn._xlws.FILTER('Controllable Asset Registry'!$A$4:$A$764,IFERROR('Controllable Asset Registry'!$E$4:$E$764=A146,FALSE),"No Equipment in entity"))</f>
        <v>VAV0073</v>
      </c>
    </row>
    <row r="147" spans="1:4" x14ac:dyDescent="0.3">
      <c r="A147" t="s">
        <v>4102</v>
      </c>
      <c r="B147" t="s">
        <v>5390</v>
      </c>
      <c r="C147" t="s">
        <v>4819</v>
      </c>
      <c r="D147" t="str" cm="1">
        <f t="array" ref="D147">TRANSPOSE(_xlfn._xlws.FILTER('Controllable Asset Registry'!$A$4:$A$764,IFERROR('Controllable Asset Registry'!$E$4:$E$764=A147,FALSE),"No Equipment in entity"))</f>
        <v>VAV0074</v>
      </c>
    </row>
    <row r="148" spans="1:4" x14ac:dyDescent="0.3">
      <c r="A148" t="s">
        <v>4103</v>
      </c>
      <c r="B148" t="s">
        <v>5391</v>
      </c>
      <c r="C148" t="s">
        <v>4820</v>
      </c>
      <c r="D148" t="str" cm="1">
        <f t="array" ref="D148">TRANSPOSE(_xlfn._xlws.FILTER('Controllable Asset Registry'!$A$4:$A$764,IFERROR('Controllable Asset Registry'!$E$4:$E$764=A148,FALSE),"No Equipment in entity"))</f>
        <v>VAV0075</v>
      </c>
    </row>
    <row r="149" spans="1:4" x14ac:dyDescent="0.3">
      <c r="A149" t="s">
        <v>4104</v>
      </c>
      <c r="B149" t="s">
        <v>5392</v>
      </c>
      <c r="C149" t="s">
        <v>4820</v>
      </c>
      <c r="D149" t="str" cm="1">
        <f t="array" ref="D149">TRANSPOSE(_xlfn._xlws.FILTER('Controllable Asset Registry'!$A$4:$A$764,IFERROR('Controllable Asset Registry'!$E$4:$E$764=A149,FALSE),"No Equipment in entity"))</f>
        <v>VAV0076</v>
      </c>
    </row>
    <row r="150" spans="1:4" x14ac:dyDescent="0.3">
      <c r="A150" t="s">
        <v>4105</v>
      </c>
      <c r="B150" t="s">
        <v>5393</v>
      </c>
      <c r="C150" t="s">
        <v>4821</v>
      </c>
      <c r="D150" t="str" cm="1">
        <f t="array" ref="D150">TRANSPOSE(_xlfn._xlws.FILTER('Controllable Asset Registry'!$A$4:$A$764,IFERROR('Controllable Asset Registry'!$E$4:$E$764=A150,FALSE),"No Equipment in entity"))</f>
        <v>VAV0077</v>
      </c>
    </row>
    <row r="151" spans="1:4" x14ac:dyDescent="0.3">
      <c r="A151" t="s">
        <v>4106</v>
      </c>
      <c r="B151" t="s">
        <v>5394</v>
      </c>
      <c r="C151" t="s">
        <v>4822</v>
      </c>
      <c r="D151" t="str" cm="1">
        <f t="array" ref="D151">TRANSPOSE(_xlfn._xlws.FILTER('Controllable Asset Registry'!$A$4:$A$764,IFERROR('Controllable Asset Registry'!$E$4:$E$764=A151,FALSE),"No Equipment in entity"))</f>
        <v>VAV0078</v>
      </c>
    </row>
    <row r="152" spans="1:4" x14ac:dyDescent="0.3">
      <c r="A152" t="s">
        <v>4107</v>
      </c>
      <c r="B152" t="s">
        <v>5395</v>
      </c>
      <c r="C152" t="s">
        <v>4823</v>
      </c>
      <c r="D152" t="str" cm="1">
        <f t="array" ref="D152">TRANSPOSE(_xlfn._xlws.FILTER('Controllable Asset Registry'!$A$4:$A$764,IFERROR('Controllable Asset Registry'!$E$4:$E$764=A152,FALSE),"No Equipment in entity"))</f>
        <v>VAV0079</v>
      </c>
    </row>
    <row r="153" spans="1:4" x14ac:dyDescent="0.3">
      <c r="A153" t="s">
        <v>4824</v>
      </c>
      <c r="B153" t="s">
        <v>5396</v>
      </c>
      <c r="C153" t="s">
        <v>4820</v>
      </c>
      <c r="D153" t="str" cm="1">
        <f t="array" ref="D153">TRANSPOSE(_xlfn._xlws.FILTER('Controllable Asset Registry'!$A$4:$A$764,IFERROR('Controllable Asset Registry'!$E$4:$E$764=A153,FALSE),"No Equipment in entity"))</f>
        <v>No Equipment in entity</v>
      </c>
    </row>
    <row r="154" spans="1:4" x14ac:dyDescent="0.3">
      <c r="A154" t="s">
        <v>4082</v>
      </c>
      <c r="B154" t="s">
        <v>5397</v>
      </c>
      <c r="C154" t="s">
        <v>4820</v>
      </c>
      <c r="D154" t="str" cm="1">
        <f t="array" ref="D154">TRANSPOSE(_xlfn._xlws.FILTER('Controllable Asset Registry'!$A$4:$A$764,IFERROR('Controllable Asset Registry'!$E$4:$E$764=A154,FALSE),"No Equipment in entity"))</f>
        <v>VAV0054</v>
      </c>
    </row>
    <row r="155" spans="1:4" x14ac:dyDescent="0.3">
      <c r="A155" t="s">
        <v>4083</v>
      </c>
      <c r="B155" t="s">
        <v>5398</v>
      </c>
      <c r="C155" t="s">
        <v>4820</v>
      </c>
      <c r="D155" t="str" cm="1">
        <f t="array" ref="D155">TRANSPOSE(_xlfn._xlws.FILTER('Controllable Asset Registry'!$A$4:$A$764,IFERROR('Controllable Asset Registry'!$E$4:$E$764=A155,FALSE),"No Equipment in entity"))</f>
        <v>VAV0055</v>
      </c>
    </row>
    <row r="156" spans="1:4" x14ac:dyDescent="0.3">
      <c r="A156" t="s">
        <v>4084</v>
      </c>
      <c r="B156" t="s">
        <v>5399</v>
      </c>
      <c r="C156" t="s">
        <v>4820</v>
      </c>
      <c r="D156" t="str" cm="1">
        <f t="array" ref="D156">TRANSPOSE(_xlfn._xlws.FILTER('Controllable Asset Registry'!$A$4:$A$764,IFERROR('Controllable Asset Registry'!$E$4:$E$764=A156,FALSE),"No Equipment in entity"))</f>
        <v>VAV0056</v>
      </c>
    </row>
    <row r="157" spans="1:4" x14ac:dyDescent="0.3">
      <c r="A157" t="s">
        <v>4085</v>
      </c>
      <c r="B157" t="s">
        <v>5400</v>
      </c>
      <c r="C157" t="s">
        <v>4822</v>
      </c>
      <c r="D157" t="str" cm="1">
        <f t="array" ref="D157">TRANSPOSE(_xlfn._xlws.FILTER('Controllable Asset Registry'!$A$4:$A$764,IFERROR('Controllable Asset Registry'!$E$4:$E$764=A157,FALSE),"No Equipment in entity"))</f>
        <v>VAV0057</v>
      </c>
    </row>
    <row r="158" spans="1:4" x14ac:dyDescent="0.3">
      <c r="A158" t="s">
        <v>4086</v>
      </c>
      <c r="B158" t="s">
        <v>5401</v>
      </c>
      <c r="C158" t="s">
        <v>4822</v>
      </c>
      <c r="D158" t="str" cm="1">
        <f t="array" ref="D158">TRANSPOSE(_xlfn._xlws.FILTER('Controllable Asset Registry'!$A$4:$A$764,IFERROR('Controllable Asset Registry'!$E$4:$E$764=A158,FALSE),"No Equipment in entity"))</f>
        <v>VAV0058</v>
      </c>
    </row>
    <row r="159" spans="1:4" x14ac:dyDescent="0.3">
      <c r="A159" t="s">
        <v>4087</v>
      </c>
      <c r="B159" t="s">
        <v>5402</v>
      </c>
      <c r="C159" t="s">
        <v>4821</v>
      </c>
      <c r="D159" t="str" cm="1">
        <f t="array" ref="D159">TRANSPOSE(_xlfn._xlws.FILTER('Controllable Asset Registry'!$A$4:$A$764,IFERROR('Controllable Asset Registry'!$E$4:$E$764=A159,FALSE),"No Equipment in entity"))</f>
        <v>VAV0059</v>
      </c>
    </row>
    <row r="160" spans="1:4" x14ac:dyDescent="0.3">
      <c r="A160" t="s">
        <v>4088</v>
      </c>
      <c r="B160" t="s">
        <v>5403</v>
      </c>
      <c r="C160" t="s">
        <v>4825</v>
      </c>
      <c r="D160" t="str" cm="1">
        <f t="array" ref="D160">TRANSPOSE(_xlfn._xlws.FILTER('Controllable Asset Registry'!$A$4:$A$764,IFERROR('Controllable Asset Registry'!$E$4:$E$764=A160,FALSE),"No Equipment in entity"))</f>
        <v>VAV0060</v>
      </c>
    </row>
    <row r="161" spans="1:8" x14ac:dyDescent="0.3">
      <c r="A161" t="s">
        <v>4089</v>
      </c>
      <c r="B161" t="s">
        <v>5404</v>
      </c>
      <c r="C161" t="s">
        <v>4820</v>
      </c>
      <c r="D161" t="str" cm="1">
        <f t="array" ref="D161">TRANSPOSE(_xlfn._xlws.FILTER('Controllable Asset Registry'!$A$4:$A$764,IFERROR('Controllable Asset Registry'!$E$4:$E$764=A161,FALSE),"No Equipment in entity"))</f>
        <v>VAV0061</v>
      </c>
    </row>
    <row r="162" spans="1:8" x14ac:dyDescent="0.3">
      <c r="A162" t="s">
        <v>4090</v>
      </c>
      <c r="B162" t="s">
        <v>5405</v>
      </c>
      <c r="C162" t="s">
        <v>4820</v>
      </c>
      <c r="D162" t="str" cm="1">
        <f t="array" ref="D162">TRANSPOSE(_xlfn._xlws.FILTER('Controllable Asset Registry'!$A$4:$A$764,IFERROR('Controllable Asset Registry'!$E$4:$E$764=A162,FALSE),"No Equipment in entity"))</f>
        <v>VAV0062</v>
      </c>
    </row>
    <row r="163" spans="1:8" x14ac:dyDescent="0.3">
      <c r="A163" t="s">
        <v>4091</v>
      </c>
      <c r="B163" t="s">
        <v>5406</v>
      </c>
      <c r="C163" t="s">
        <v>4820</v>
      </c>
      <c r="D163" t="str" cm="1">
        <f t="array" ref="D163">TRANSPOSE(_xlfn._xlws.FILTER('Controllable Asset Registry'!$A$4:$A$764,IFERROR('Controllable Asset Registry'!$E$4:$E$764=A163,FALSE),"No Equipment in entity"))</f>
        <v>VAV0063</v>
      </c>
    </row>
    <row r="164" spans="1:8" x14ac:dyDescent="0.3">
      <c r="A164" t="s">
        <v>4092</v>
      </c>
      <c r="B164" t="s">
        <v>5407</v>
      </c>
      <c r="C164" t="s">
        <v>4821</v>
      </c>
      <c r="D164" t="str" cm="1">
        <f t="array" ref="D164">TRANSPOSE(_xlfn._xlws.FILTER('Controllable Asset Registry'!$A$4:$A$764,IFERROR('Controllable Asset Registry'!$E$4:$E$764=A164,FALSE),"No Equipment in entity"))</f>
        <v>VAV0064</v>
      </c>
    </row>
    <row r="165" spans="1:8" x14ac:dyDescent="0.3">
      <c r="A165" t="s">
        <v>4093</v>
      </c>
      <c r="B165" t="s">
        <v>5408</v>
      </c>
      <c r="C165" t="s">
        <v>4821</v>
      </c>
      <c r="D165" t="str" cm="1">
        <f t="array" ref="D165">TRANSPOSE(_xlfn._xlws.FILTER('Controllable Asset Registry'!$A$4:$A$764,IFERROR('Controllable Asset Registry'!$E$4:$E$764=A165,FALSE),"No Equipment in entity"))</f>
        <v>VAV0065</v>
      </c>
    </row>
    <row r="166" spans="1:8" x14ac:dyDescent="0.3">
      <c r="A166" t="s">
        <v>4094</v>
      </c>
      <c r="B166" t="s">
        <v>5409</v>
      </c>
      <c r="C166" t="s">
        <v>4826</v>
      </c>
      <c r="D166" t="str" cm="1">
        <f t="array" ref="D166">TRANSPOSE(_xlfn._xlws.FILTER('Controllable Asset Registry'!$A$4:$A$764,IFERROR('Controllable Asset Registry'!$E$4:$E$764=A166,FALSE),"No Equipment in entity"))</f>
        <v>VAV0066</v>
      </c>
    </row>
    <row r="167" spans="1:8" x14ac:dyDescent="0.3">
      <c r="A167" t="s">
        <v>4095</v>
      </c>
      <c r="B167" t="s">
        <v>5410</v>
      </c>
      <c r="C167" t="s">
        <v>4826</v>
      </c>
      <c r="D167" t="str" cm="1">
        <f t="array" ref="D167">TRANSPOSE(_xlfn._xlws.FILTER('Controllable Asset Registry'!$A$4:$A$764,IFERROR('Controllable Asset Registry'!$E$4:$E$764=A167,FALSE),"No Equipment in entity"))</f>
        <v>VAV0067</v>
      </c>
    </row>
    <row r="168" spans="1:8" x14ac:dyDescent="0.3">
      <c r="A168" t="s">
        <v>4096</v>
      </c>
      <c r="B168" t="s">
        <v>5411</v>
      </c>
      <c r="C168" t="s">
        <v>4822</v>
      </c>
      <c r="D168" t="str" cm="1">
        <f t="array" ref="D168">TRANSPOSE(_xlfn._xlws.FILTER('Controllable Asset Registry'!$A$4:$A$764,IFERROR('Controllable Asset Registry'!$E$4:$E$764=A168,FALSE),"No Equipment in entity"))</f>
        <v>VAV0068</v>
      </c>
    </row>
    <row r="169" spans="1:8" x14ac:dyDescent="0.3">
      <c r="A169" t="s">
        <v>4097</v>
      </c>
      <c r="B169" t="s">
        <v>5412</v>
      </c>
      <c r="C169" t="s">
        <v>4822</v>
      </c>
      <c r="D169" t="str" cm="1">
        <f t="array" ref="D169">TRANSPOSE(_xlfn._xlws.FILTER('Controllable Asset Registry'!$A$4:$A$764,IFERROR('Controllable Asset Registry'!$E$4:$E$764=A169,FALSE),"No Equipment in entity"))</f>
        <v>VAV0069</v>
      </c>
    </row>
    <row r="170" spans="1:8" x14ac:dyDescent="0.3">
      <c r="A170" t="s">
        <v>4098</v>
      </c>
      <c r="B170" t="s">
        <v>5413</v>
      </c>
      <c r="C170" t="s">
        <v>4826</v>
      </c>
      <c r="D170" t="str" cm="1">
        <f t="array" ref="D170">TRANSPOSE(_xlfn._xlws.FILTER('Controllable Asset Registry'!$A$4:$A$764,IFERROR('Controllable Asset Registry'!$E$4:$E$764=A170,FALSE),"No Equipment in entity"))</f>
        <v>VAV0070</v>
      </c>
    </row>
    <row r="171" spans="1:8" x14ac:dyDescent="0.3">
      <c r="A171" t="s">
        <v>4099</v>
      </c>
      <c r="B171" t="s">
        <v>5414</v>
      </c>
      <c r="C171" t="s">
        <v>4820</v>
      </c>
      <c r="D171" t="str" cm="1">
        <f t="array" ref="D171">TRANSPOSE(_xlfn._xlws.FILTER('Controllable Asset Registry'!$A$4:$A$764,IFERROR('Controllable Asset Registry'!$E$4:$E$764=A171,FALSE),"No Equipment in entity"))</f>
        <v>VAV0071</v>
      </c>
    </row>
    <row r="172" spans="1:8" x14ac:dyDescent="0.3">
      <c r="A172" t="s">
        <v>4109</v>
      </c>
      <c r="B172" t="s">
        <v>5415</v>
      </c>
      <c r="C172" t="s">
        <v>4827</v>
      </c>
      <c r="D172" t="str" cm="1">
        <f t="array" ref="D172:H172">TRANSPOSE(_xlfn._xlws.FILTER('Controllable Asset Registry'!$A$4:$A$764,IFERROR('Controllable Asset Registry'!$E$4:$E$764=A172,FALSE),"No Equipment in entity"))</f>
        <v>VAV0083</v>
      </c>
      <c r="E172" t="str">
        <v>VAV0084</v>
      </c>
      <c r="F172" t="str">
        <v>VAV0085</v>
      </c>
      <c r="G172" t="str">
        <v>VAV0086</v>
      </c>
      <c r="H172" t="str">
        <v>VAV0096</v>
      </c>
    </row>
    <row r="173" spans="1:8" x14ac:dyDescent="0.3">
      <c r="A173" t="s">
        <v>4828</v>
      </c>
      <c r="B173" t="s">
        <v>5416</v>
      </c>
      <c r="C173" t="s">
        <v>4829</v>
      </c>
      <c r="D173" t="str" cm="1">
        <f t="array" ref="D173">TRANSPOSE(_xlfn._xlws.FILTER('Controllable Asset Registry'!$A$4:$A$764,IFERROR('Controllable Asset Registry'!$E$4:$E$764=A173,FALSE),"No Equipment in entity"))</f>
        <v>No Equipment in entity</v>
      </c>
    </row>
    <row r="174" spans="1:8" x14ac:dyDescent="0.3">
      <c r="A174" t="s">
        <v>4830</v>
      </c>
      <c r="B174" t="s">
        <v>5417</v>
      </c>
      <c r="C174" t="s">
        <v>4831</v>
      </c>
      <c r="D174" t="str" cm="1">
        <f t="array" ref="D174">TRANSPOSE(_xlfn._xlws.FILTER('Controllable Asset Registry'!$A$4:$A$764,IFERROR('Controllable Asset Registry'!$E$4:$E$764=A174,FALSE),"No Equipment in entity"))</f>
        <v>No Equipment in entity</v>
      </c>
    </row>
    <row r="175" spans="1:8" x14ac:dyDescent="0.3">
      <c r="A175" t="s">
        <v>4832</v>
      </c>
      <c r="B175" t="s">
        <v>5418</v>
      </c>
      <c r="C175" t="s">
        <v>4831</v>
      </c>
      <c r="D175" t="str" cm="1">
        <f t="array" ref="D175">TRANSPOSE(_xlfn._xlws.FILTER('Controllable Asset Registry'!$A$4:$A$764,IFERROR('Controllable Asset Registry'!$E$4:$E$764=A175,FALSE),"No Equipment in entity"))</f>
        <v>No Equipment in entity</v>
      </c>
    </row>
    <row r="176" spans="1:8" x14ac:dyDescent="0.3">
      <c r="A176" t="s">
        <v>4113</v>
      </c>
      <c r="B176" t="s">
        <v>5419</v>
      </c>
      <c r="C176" t="s">
        <v>4833</v>
      </c>
      <c r="D176" t="str" cm="1">
        <f t="array" ref="D176">TRANSPOSE(_xlfn._xlws.FILTER('Controllable Asset Registry'!$A$4:$A$764,IFERROR('Controllable Asset Registry'!$E$4:$E$764=A176,FALSE),"No Equipment in entity"))</f>
        <v>VAV0091</v>
      </c>
    </row>
    <row r="177" spans="1:5" x14ac:dyDescent="0.3">
      <c r="A177" t="s">
        <v>4114</v>
      </c>
      <c r="B177" t="s">
        <v>5420</v>
      </c>
      <c r="C177" t="s">
        <v>4723</v>
      </c>
      <c r="D177" t="str" cm="1">
        <f t="array" ref="D177">TRANSPOSE(_xlfn._xlws.FILTER('Controllable Asset Registry'!$A$4:$A$764,IFERROR('Controllable Asset Registry'!$E$4:$E$764=A177,FALSE),"No Equipment in entity"))</f>
        <v>No Equipment in entity</v>
      </c>
    </row>
    <row r="178" spans="1:5" x14ac:dyDescent="0.3">
      <c r="A178" t="s">
        <v>4110</v>
      </c>
      <c r="B178" t="s">
        <v>5421</v>
      </c>
      <c r="C178" t="s">
        <v>4834</v>
      </c>
      <c r="D178" t="str" cm="1">
        <f t="array" ref="D178">TRANSPOSE(_xlfn._xlws.FILTER('Controllable Asset Registry'!$A$4:$A$764,IFERROR('Controllable Asset Registry'!$E$4:$E$764=A178,FALSE),"No Equipment in entity"))</f>
        <v>VAV0087</v>
      </c>
    </row>
    <row r="179" spans="1:5" x14ac:dyDescent="0.3">
      <c r="A179" t="s">
        <v>4111</v>
      </c>
      <c r="B179" t="s">
        <v>5422</v>
      </c>
      <c r="C179" t="s">
        <v>4756</v>
      </c>
      <c r="D179" t="str" cm="1">
        <f t="array" ref="D179:E179">TRANSPOSE(_xlfn._xlws.FILTER('Controllable Asset Registry'!$A$4:$A$764,IFERROR('Controllable Asset Registry'!$E$4:$E$764=A179,FALSE),"No Equipment in entity"))</f>
        <v>VAV0088</v>
      </c>
      <c r="E179" t="str">
        <v>VAV0089</v>
      </c>
    </row>
    <row r="180" spans="1:5" x14ac:dyDescent="0.3">
      <c r="A180" t="s">
        <v>4112</v>
      </c>
      <c r="B180" t="s">
        <v>5423</v>
      </c>
      <c r="C180" t="s">
        <v>4742</v>
      </c>
      <c r="D180" t="str" cm="1">
        <f t="array" ref="D180">TRANSPOSE(_xlfn._xlws.FILTER('Controllable Asset Registry'!$A$4:$A$764,IFERROR('Controllable Asset Registry'!$E$4:$E$764=A180,FALSE),"No Equipment in entity"))</f>
        <v>No Equipment in entity</v>
      </c>
    </row>
    <row r="181" spans="1:5" x14ac:dyDescent="0.3">
      <c r="A181" t="s">
        <v>4120</v>
      </c>
      <c r="B181" t="s">
        <v>5424</v>
      </c>
      <c r="C181" t="s">
        <v>4835</v>
      </c>
      <c r="D181" t="str" cm="1">
        <f t="array" ref="D181">TRANSPOSE(_xlfn._xlws.FILTER('Controllable Asset Registry'!$A$4:$A$764,IFERROR('Controllable Asset Registry'!$E$4:$E$764=A181,FALSE),"No Equipment in entity"))</f>
        <v>VAV0100</v>
      </c>
    </row>
    <row r="182" spans="1:5" x14ac:dyDescent="0.3">
      <c r="A182" t="s">
        <v>3974</v>
      </c>
      <c r="B182" t="s">
        <v>5425</v>
      </c>
      <c r="C182" t="s">
        <v>4836</v>
      </c>
      <c r="D182" t="str" cm="1">
        <f t="array" ref="D182">TRANSPOSE(_xlfn._xlws.FILTER('Controllable Asset Registry'!$A$4:$A$764,IFERROR('Controllable Asset Registry'!$E$4:$E$764=A182,FALSE),"No Equipment in entity"))</f>
        <v>FCU0022</v>
      </c>
    </row>
    <row r="183" spans="1:5" x14ac:dyDescent="0.3">
      <c r="A183" t="s">
        <v>4837</v>
      </c>
      <c r="B183" t="s">
        <v>5426</v>
      </c>
      <c r="C183" t="s">
        <v>4707</v>
      </c>
      <c r="D183" t="str" cm="1">
        <f t="array" ref="D183">TRANSPOSE(_xlfn._xlws.FILTER('Controllable Asset Registry'!$A$4:$A$764,IFERROR('Controllable Asset Registry'!$E$4:$E$764=A183,FALSE),"No Equipment in entity"))</f>
        <v>No Equipment in entity</v>
      </c>
    </row>
    <row r="184" spans="1:5" x14ac:dyDescent="0.3">
      <c r="A184" t="s">
        <v>4025</v>
      </c>
      <c r="B184" t="s">
        <v>5427</v>
      </c>
      <c r="C184" t="s">
        <v>4838</v>
      </c>
      <c r="D184" t="str" cm="1">
        <f t="array" ref="D184">TRANSPOSE(_xlfn._xlws.FILTER('Controllable Asset Registry'!$A$4:$A$764,IFERROR('Controllable Asset Registry'!$E$4:$E$764=A184,FALSE),"No Equipment in entity"))</f>
        <v>FCU0114</v>
      </c>
    </row>
    <row r="185" spans="1:5" x14ac:dyDescent="0.3">
      <c r="A185" t="s">
        <v>4117</v>
      </c>
      <c r="B185" t="s">
        <v>5428</v>
      </c>
      <c r="C185" t="s">
        <v>4826</v>
      </c>
      <c r="D185" t="str" cm="1">
        <f t="array" ref="D185">TRANSPOSE(_xlfn._xlws.FILTER('Controllable Asset Registry'!$A$4:$A$764,IFERROR('Controllable Asset Registry'!$E$4:$E$764=A185,FALSE),"No Equipment in entity"))</f>
        <v>VAV0095</v>
      </c>
    </row>
    <row r="186" spans="1:5" x14ac:dyDescent="0.3">
      <c r="A186" t="s">
        <v>4115</v>
      </c>
      <c r="B186" t="s">
        <v>5429</v>
      </c>
      <c r="C186" t="s">
        <v>4839</v>
      </c>
      <c r="D186" t="str" cm="1">
        <f t="array" ref="D186">TRANSPOSE(_xlfn._xlws.FILTER('Controllable Asset Registry'!$A$4:$A$764,IFERROR('Controllable Asset Registry'!$E$4:$E$764=A186,FALSE),"No Equipment in entity"))</f>
        <v>No Equipment in entity</v>
      </c>
    </row>
    <row r="187" spans="1:5" x14ac:dyDescent="0.3">
      <c r="A187" t="s">
        <v>4116</v>
      </c>
      <c r="B187" t="s">
        <v>5430</v>
      </c>
      <c r="C187" t="s">
        <v>4826</v>
      </c>
      <c r="D187" t="str" cm="1">
        <f t="array" ref="D187">TRANSPOSE(_xlfn._xlws.FILTER('Controllable Asset Registry'!$A$4:$A$764,IFERROR('Controllable Asset Registry'!$E$4:$E$764=A187,FALSE),"No Equipment in entity"))</f>
        <v>VAV0094</v>
      </c>
    </row>
    <row r="188" spans="1:5" x14ac:dyDescent="0.3">
      <c r="A188" t="s">
        <v>4840</v>
      </c>
      <c r="B188" t="s">
        <v>5431</v>
      </c>
      <c r="C188" t="s">
        <v>4625</v>
      </c>
      <c r="D188" t="str" cm="1">
        <f t="array" ref="D188">TRANSPOSE(_xlfn._xlws.FILTER('Controllable Asset Registry'!$A$4:$A$764,IFERROR('Controllable Asset Registry'!$E$4:$E$764=A188,FALSE),"No Equipment in entity"))</f>
        <v>No Equipment in entity</v>
      </c>
    </row>
    <row r="189" spans="1:5" x14ac:dyDescent="0.3">
      <c r="A189" t="s">
        <v>4841</v>
      </c>
      <c r="B189" t="s">
        <v>5432</v>
      </c>
      <c r="C189" t="s">
        <v>4628</v>
      </c>
      <c r="D189" t="str" cm="1">
        <f t="array" ref="D189">TRANSPOSE(_xlfn._xlws.FILTER('Controllable Asset Registry'!$A$4:$A$764,IFERROR('Controllable Asset Registry'!$E$4:$E$764=A189,FALSE),"No Equipment in entity"))</f>
        <v>No Equipment in entity</v>
      </c>
    </row>
    <row r="190" spans="1:5" x14ac:dyDescent="0.3">
      <c r="A190" t="s">
        <v>4842</v>
      </c>
      <c r="B190" t="s">
        <v>5433</v>
      </c>
      <c r="C190" t="s">
        <v>3761</v>
      </c>
      <c r="D190" t="str" cm="1">
        <f t="array" ref="D190">TRANSPOSE(_xlfn._xlws.FILTER('Controllable Asset Registry'!$A$4:$A$764,IFERROR('Controllable Asset Registry'!$E$4:$E$764=A190,FALSE),"No Equipment in entity"))</f>
        <v>No Equipment in entity</v>
      </c>
    </row>
    <row r="191" spans="1:5" x14ac:dyDescent="0.3">
      <c r="A191" t="s">
        <v>3973</v>
      </c>
      <c r="B191" t="s">
        <v>5434</v>
      </c>
      <c r="C191" t="s">
        <v>4634</v>
      </c>
      <c r="D191" t="str" cm="1">
        <f t="array" ref="D191">TRANSPOSE(_xlfn._xlws.FILTER('Controllable Asset Registry'!$A$4:$A$764,IFERROR('Controllable Asset Registry'!$E$4:$E$764=A191,FALSE),"No Equipment in entity"))</f>
        <v>FCU0021</v>
      </c>
    </row>
    <row r="192" spans="1:5" x14ac:dyDescent="0.3">
      <c r="A192" t="s">
        <v>4843</v>
      </c>
      <c r="B192" t="s">
        <v>5435</v>
      </c>
      <c r="C192" t="s">
        <v>3758</v>
      </c>
      <c r="D192" t="str" cm="1">
        <f t="array" ref="D192">TRANSPOSE(_xlfn._xlws.FILTER('Controllable Asset Registry'!$A$4:$A$764,IFERROR('Controllable Asset Registry'!$E$4:$E$764=A192,FALSE),"No Equipment in entity"))</f>
        <v>No Equipment in entity</v>
      </c>
    </row>
    <row r="193" spans="1:5" x14ac:dyDescent="0.3">
      <c r="A193" t="s">
        <v>3972</v>
      </c>
      <c r="B193" t="s">
        <v>5436</v>
      </c>
      <c r="C193" t="s">
        <v>4634</v>
      </c>
      <c r="D193" t="str" cm="1">
        <f t="array" ref="D193:E193">TRANSPOSE(_xlfn._xlws.FILTER('Controllable Asset Registry'!$A$4:$A$764,IFERROR('Controllable Asset Registry'!$E$4:$E$764=A193,FALSE),"No Equipment in entity"))</f>
        <v>FCU0019</v>
      </c>
      <c r="E193" t="str">
        <v>FCU0020</v>
      </c>
    </row>
    <row r="194" spans="1:5" x14ac:dyDescent="0.3">
      <c r="A194" t="s">
        <v>4844</v>
      </c>
      <c r="B194" t="s">
        <v>5437</v>
      </c>
      <c r="C194" t="s">
        <v>4776</v>
      </c>
      <c r="D194" t="str" cm="1">
        <f t="array" ref="D194">TRANSPOSE(_xlfn._xlws.FILTER('Controllable Asset Registry'!$A$4:$A$764,IFERROR('Controllable Asset Registry'!$E$4:$E$764=A194,FALSE),"No Equipment in entity"))</f>
        <v>No Equipment in entity</v>
      </c>
    </row>
    <row r="195" spans="1:5" x14ac:dyDescent="0.3">
      <c r="A195" t="s">
        <v>4845</v>
      </c>
      <c r="B195" t="s">
        <v>5438</v>
      </c>
      <c r="C195" t="s">
        <v>4779</v>
      </c>
      <c r="D195" t="str" cm="1">
        <f t="array" ref="D195">TRANSPOSE(_xlfn._xlws.FILTER('Controllable Asset Registry'!$A$4:$A$764,IFERROR('Controllable Asset Registry'!$E$4:$E$764=A195,FALSE),"No Equipment in entity"))</f>
        <v>No Equipment in entity</v>
      </c>
    </row>
    <row r="196" spans="1:5" x14ac:dyDescent="0.3">
      <c r="A196" t="s">
        <v>4846</v>
      </c>
      <c r="B196" t="s">
        <v>5439</v>
      </c>
      <c r="C196" t="s">
        <v>3758</v>
      </c>
      <c r="D196" t="str" cm="1">
        <f t="array" ref="D196">TRANSPOSE(_xlfn._xlws.FILTER('Controllable Asset Registry'!$A$4:$A$764,IFERROR('Controllable Asset Registry'!$E$4:$E$764=A196,FALSE),"No Equipment in entity"))</f>
        <v>No Equipment in entity</v>
      </c>
    </row>
    <row r="197" spans="1:5" x14ac:dyDescent="0.3">
      <c r="A197" t="s">
        <v>4119</v>
      </c>
      <c r="B197" t="s">
        <v>5440</v>
      </c>
      <c r="C197" t="s">
        <v>3735</v>
      </c>
      <c r="D197" t="str" cm="1">
        <f t="array" ref="D197">TRANSPOSE(_xlfn._xlws.FILTER('Controllable Asset Registry'!$A$4:$A$764,IFERROR('Controllable Asset Registry'!$E$4:$E$764=A197,FALSE),"No Equipment in entity"))</f>
        <v>VAV0099</v>
      </c>
    </row>
    <row r="198" spans="1:5" x14ac:dyDescent="0.3">
      <c r="A198" t="s">
        <v>4118</v>
      </c>
      <c r="B198" t="s">
        <v>5441</v>
      </c>
      <c r="C198" t="s">
        <v>3735</v>
      </c>
      <c r="D198" t="str" cm="1">
        <f t="array" ref="D198:E198">TRANSPOSE(_xlfn._xlws.FILTER('Controllable Asset Registry'!$A$4:$A$764,IFERROR('Controllable Asset Registry'!$E$4:$E$764=A198,FALSE),"No Equipment in entity"))</f>
        <v>VAV0097</v>
      </c>
      <c r="E198" t="str">
        <v>VAV0098</v>
      </c>
    </row>
    <row r="199" spans="1:5" x14ac:dyDescent="0.3">
      <c r="A199" t="s">
        <v>4847</v>
      </c>
      <c r="B199" t="s">
        <v>5442</v>
      </c>
      <c r="C199" t="s">
        <v>3735</v>
      </c>
      <c r="D199" t="str" cm="1">
        <f t="array" ref="D199">TRANSPOSE(_xlfn._xlws.FILTER('Controllable Asset Registry'!$A$4:$A$764,IFERROR('Controllable Asset Registry'!$E$4:$E$764=A199,FALSE),"No Equipment in entity"))</f>
        <v>No Equipment in entity</v>
      </c>
    </row>
    <row r="200" spans="1:5" x14ac:dyDescent="0.3">
      <c r="A200" t="s">
        <v>4123</v>
      </c>
      <c r="B200" t="s">
        <v>5443</v>
      </c>
      <c r="C200" t="s">
        <v>4848</v>
      </c>
      <c r="D200" t="str" cm="1">
        <f t="array" ref="D200:E200">TRANSPOSE(_xlfn._xlws.FILTER('Controllable Asset Registry'!$A$4:$A$764,IFERROR('Controllable Asset Registry'!$E$4:$E$764=A200,FALSE),"No Equipment in entity"))</f>
        <v>VAV0107</v>
      </c>
      <c r="E200" t="str">
        <v>VAV0108</v>
      </c>
    </row>
    <row r="201" spans="1:5" x14ac:dyDescent="0.3">
      <c r="A201" t="s">
        <v>4121</v>
      </c>
      <c r="B201" t="s">
        <v>5444</v>
      </c>
      <c r="C201" t="s">
        <v>4849</v>
      </c>
      <c r="D201" t="str" cm="1">
        <f t="array" ref="D201">TRANSPOSE(_xlfn._xlws.FILTER('Controllable Asset Registry'!$A$4:$A$764,IFERROR('Controllable Asset Registry'!$E$4:$E$764=A201,FALSE),"No Equipment in entity"))</f>
        <v>VAV0101</v>
      </c>
    </row>
    <row r="202" spans="1:5" x14ac:dyDescent="0.3">
      <c r="A202" t="s">
        <v>4850</v>
      </c>
      <c r="B202" t="s">
        <v>5445</v>
      </c>
      <c r="C202" t="s">
        <v>4851</v>
      </c>
      <c r="D202" t="str" cm="1">
        <f t="array" ref="D202">TRANSPOSE(_xlfn._xlws.FILTER('Controllable Asset Registry'!$A$4:$A$764,IFERROR('Controllable Asset Registry'!$E$4:$E$764=A202,FALSE),"No Equipment in entity"))</f>
        <v>No Equipment in entity</v>
      </c>
    </row>
    <row r="203" spans="1:5" x14ac:dyDescent="0.3">
      <c r="A203" t="s">
        <v>4852</v>
      </c>
      <c r="B203" t="s">
        <v>5446</v>
      </c>
      <c r="C203" t="s">
        <v>4853</v>
      </c>
      <c r="D203" t="str" cm="1">
        <f t="array" ref="D203">TRANSPOSE(_xlfn._xlws.FILTER('Controllable Asset Registry'!$A$4:$A$764,IFERROR('Controllable Asset Registry'!$E$4:$E$764=A203,FALSE),"No Equipment in entity"))</f>
        <v>No Equipment in entity</v>
      </c>
    </row>
    <row r="204" spans="1:5" x14ac:dyDescent="0.3">
      <c r="A204" t="s">
        <v>4854</v>
      </c>
      <c r="B204" t="s">
        <v>5447</v>
      </c>
      <c r="C204" t="s">
        <v>4855</v>
      </c>
      <c r="D204" t="str" cm="1">
        <f t="array" ref="D204">TRANSPOSE(_xlfn._xlws.FILTER('Controllable Asset Registry'!$A$4:$A$764,IFERROR('Controllable Asset Registry'!$E$4:$E$764=A204,FALSE),"No Equipment in entity"))</f>
        <v>No Equipment in entity</v>
      </c>
    </row>
    <row r="205" spans="1:5" x14ac:dyDescent="0.3">
      <c r="A205" t="s">
        <v>4122</v>
      </c>
      <c r="B205" t="s">
        <v>5448</v>
      </c>
      <c r="C205" t="s">
        <v>4856</v>
      </c>
      <c r="D205" t="str" cm="1">
        <f t="array" ref="D205">TRANSPOSE(_xlfn._xlws.FILTER('Controllable Asset Registry'!$A$4:$A$764,IFERROR('Controllable Asset Registry'!$E$4:$E$764=A205,FALSE),"No Equipment in entity"))</f>
        <v>VAV0102</v>
      </c>
    </row>
    <row r="206" spans="1:5" x14ac:dyDescent="0.3">
      <c r="A206" t="s">
        <v>6138</v>
      </c>
      <c r="B206" t="s">
        <v>6139</v>
      </c>
      <c r="C206" t="s">
        <v>4790</v>
      </c>
      <c r="D206" t="str" cm="1">
        <f t="array" ref="D206">TRANSPOSE(_xlfn._xlws.FILTER('Controllable Asset Registry'!$A$4:$A$764,IFERROR('Controllable Asset Registry'!$E$4:$E$764=A206,FALSE),"No Equipment in entity"))</f>
        <v>No Equipment in entity</v>
      </c>
    </row>
    <row r="207" spans="1:5" x14ac:dyDescent="0.3">
      <c r="A207" t="s">
        <v>6140</v>
      </c>
      <c r="B207" t="s">
        <v>6141</v>
      </c>
      <c r="C207" t="s">
        <v>4793</v>
      </c>
      <c r="D207" t="str" cm="1">
        <f t="array" ref="D207">TRANSPOSE(_xlfn._xlws.FILTER('Controllable Asset Registry'!$A$4:$A$764,IFERROR('Controllable Asset Registry'!$E$4:$E$764=A207,FALSE),"No Equipment in entity"))</f>
        <v>No Equipment in entity</v>
      </c>
    </row>
    <row r="208" spans="1:5" x14ac:dyDescent="0.3">
      <c r="A208" t="s">
        <v>6142</v>
      </c>
      <c r="B208" t="s">
        <v>6143</v>
      </c>
      <c r="C208" t="s">
        <v>4796</v>
      </c>
      <c r="D208" t="str" cm="1">
        <f t="array" ref="D208">TRANSPOSE(_xlfn._xlws.FILTER('Controllable Asset Registry'!$A$4:$A$764,IFERROR('Controllable Asset Registry'!$E$4:$E$764=A208,FALSE),"No Equipment in entity"))</f>
        <v>No Equipment in entity</v>
      </c>
    </row>
    <row r="209" spans="1:4" x14ac:dyDescent="0.3">
      <c r="A209" t="s">
        <v>6144</v>
      </c>
      <c r="B209" t="s">
        <v>6145</v>
      </c>
      <c r="C209" t="s">
        <v>4799</v>
      </c>
      <c r="D209" t="str" cm="1">
        <f t="array" ref="D209">TRANSPOSE(_xlfn._xlws.FILTER('Controllable Asset Registry'!$A$4:$A$764,IFERROR('Controllable Asset Registry'!$E$4:$E$764=A209,FALSE),"No Equipment in entity"))</f>
        <v>No Equipment in entity</v>
      </c>
    </row>
    <row r="210" spans="1:4" x14ac:dyDescent="0.3">
      <c r="A210" t="s">
        <v>6146</v>
      </c>
      <c r="B210" t="s">
        <v>6147</v>
      </c>
      <c r="C210" t="s">
        <v>4663</v>
      </c>
      <c r="D210" t="str" cm="1">
        <f t="array" ref="D210">TRANSPOSE(_xlfn._xlws.FILTER('Controllable Asset Registry'!$A$4:$A$764,IFERROR('Controllable Asset Registry'!$E$4:$E$764=A210,FALSE),"No Equipment in entity"))</f>
        <v>No Equipment in entity</v>
      </c>
    </row>
    <row r="211" spans="1:4" x14ac:dyDescent="0.3">
      <c r="A211" t="s">
        <v>6148</v>
      </c>
      <c r="B211" t="s">
        <v>6149</v>
      </c>
      <c r="C211" t="s">
        <v>4666</v>
      </c>
      <c r="D211" t="str" cm="1">
        <f t="array" ref="D211">TRANSPOSE(_xlfn._xlws.FILTER('Controllable Asset Registry'!$A$4:$A$764,IFERROR('Controllable Asset Registry'!$E$4:$E$764=A211,FALSE),"No Equipment in entity"))</f>
        <v>No Equipment in entity</v>
      </c>
    </row>
    <row r="212" spans="1:4" x14ac:dyDescent="0.3">
      <c r="A212" t="s">
        <v>6150</v>
      </c>
      <c r="B212" t="s">
        <v>6151</v>
      </c>
      <c r="C212" t="s">
        <v>4669</v>
      </c>
      <c r="D212" t="str" cm="1">
        <f t="array" ref="D212">TRANSPOSE(_xlfn._xlws.FILTER('Controllable Asset Registry'!$A$4:$A$764,IFERROR('Controllable Asset Registry'!$E$4:$E$764=A212,FALSE),"No Equipment in entity"))</f>
        <v>No Equipment in entity</v>
      </c>
    </row>
    <row r="213" spans="1:4" x14ac:dyDescent="0.3">
      <c r="A213" t="s">
        <v>6152</v>
      </c>
      <c r="B213" t="s">
        <v>6153</v>
      </c>
      <c r="C213" t="s">
        <v>4808</v>
      </c>
      <c r="D213" t="str" cm="1">
        <f t="array" ref="D213">TRANSPOSE(_xlfn._xlws.FILTER('Controllable Asset Registry'!$A$4:$A$764,IFERROR('Controllable Asset Registry'!$E$4:$E$764=A213,FALSE),"No Equipment in entity"))</f>
        <v>No Equipment in entity</v>
      </c>
    </row>
    <row r="214" spans="1:4" x14ac:dyDescent="0.3">
      <c r="A214" t="s">
        <v>6154</v>
      </c>
      <c r="B214" t="s">
        <v>6155</v>
      </c>
      <c r="C214" t="s">
        <v>4674</v>
      </c>
      <c r="D214" t="str" cm="1">
        <f t="array" ref="D214">TRANSPOSE(_xlfn._xlws.FILTER('Controllable Asset Registry'!$A$4:$A$764,IFERROR('Controllable Asset Registry'!$E$4:$E$764=A214,FALSE),"No Equipment in entity"))</f>
        <v>No Equipment in entity</v>
      </c>
    </row>
    <row r="215" spans="1:4" x14ac:dyDescent="0.3">
      <c r="A215" t="s">
        <v>6156</v>
      </c>
      <c r="B215" t="s">
        <v>6157</v>
      </c>
      <c r="C215" t="s">
        <v>4676</v>
      </c>
      <c r="D215" t="str" cm="1">
        <f t="array" ref="D215">TRANSPOSE(_xlfn._xlws.FILTER('Controllable Asset Registry'!$A$4:$A$764,IFERROR('Controllable Asset Registry'!$E$4:$E$764=A215,FALSE),"No Equipment in entity"))</f>
        <v>No Equipment in entity</v>
      </c>
    </row>
    <row r="216" spans="1:4" x14ac:dyDescent="0.3">
      <c r="A216" t="s">
        <v>6158</v>
      </c>
      <c r="B216" t="s">
        <v>6159</v>
      </c>
      <c r="C216" t="s">
        <v>4815</v>
      </c>
      <c r="D216" t="str" cm="1">
        <f t="array" ref="D216">TRANSPOSE(_xlfn._xlws.FILTER('Controllable Asset Registry'!$A$4:$A$764,IFERROR('Controllable Asset Registry'!$E$4:$E$764=A216,FALSE),"No Equipment in entity"))</f>
        <v>No Equipment in entity</v>
      </c>
    </row>
    <row r="217" spans="1:4" x14ac:dyDescent="0.3">
      <c r="A217" t="s">
        <v>6160</v>
      </c>
      <c r="B217" t="s">
        <v>6161</v>
      </c>
      <c r="C217" t="s">
        <v>4679</v>
      </c>
      <c r="D217" t="str" cm="1">
        <f t="array" ref="D217">TRANSPOSE(_xlfn._xlws.FILTER('Controllable Asset Registry'!$A$4:$A$764,IFERROR('Controllable Asset Registry'!$E$4:$E$764=A217,FALSE),"No Equipment in entity"))</f>
        <v>No Equipment in entity</v>
      </c>
    </row>
    <row r="218" spans="1:4" x14ac:dyDescent="0.3">
      <c r="A218" t="s">
        <v>4166</v>
      </c>
      <c r="B218" t="s">
        <v>5449</v>
      </c>
      <c r="C218" t="s">
        <v>4752</v>
      </c>
      <c r="D218" t="str" cm="1">
        <f t="array" ref="D218">TRANSPOSE(_xlfn._xlws.FILTER('Controllable Asset Registry'!$A$4:$A$764,IFERROR('Controllable Asset Registry'!$E$4:$E$764=A218,FALSE),"No Equipment in entity"))</f>
        <v>VAV0154</v>
      </c>
    </row>
    <row r="219" spans="1:4" x14ac:dyDescent="0.3">
      <c r="A219" t="s">
        <v>4165</v>
      </c>
      <c r="B219" t="s">
        <v>5450</v>
      </c>
      <c r="C219" t="s">
        <v>4857</v>
      </c>
      <c r="D219" t="str" cm="1">
        <f t="array" ref="D219">TRANSPOSE(_xlfn._xlws.FILTER('Controllable Asset Registry'!$A$4:$A$764,IFERROR('Controllable Asset Registry'!$E$4:$E$764=A219,FALSE),"No Equipment in entity"))</f>
        <v>VAV0153</v>
      </c>
    </row>
    <row r="220" spans="1:4" x14ac:dyDescent="0.3">
      <c r="A220" t="s">
        <v>4164</v>
      </c>
      <c r="B220" t="s">
        <v>5451</v>
      </c>
      <c r="C220" t="s">
        <v>4857</v>
      </c>
      <c r="D220" t="str" cm="1">
        <f t="array" ref="D220">TRANSPOSE(_xlfn._xlws.FILTER('Controllable Asset Registry'!$A$4:$A$764,IFERROR('Controllable Asset Registry'!$E$4:$E$764=A220,FALSE),"No Equipment in entity"))</f>
        <v>VAV0152</v>
      </c>
    </row>
    <row r="221" spans="1:4" x14ac:dyDescent="0.3">
      <c r="A221" t="s">
        <v>4163</v>
      </c>
      <c r="B221" t="s">
        <v>5452</v>
      </c>
      <c r="C221" t="s">
        <v>4858</v>
      </c>
      <c r="D221" t="str" cm="1">
        <f t="array" ref="D221">TRANSPOSE(_xlfn._xlws.FILTER('Controllable Asset Registry'!$A$4:$A$764,IFERROR('Controllable Asset Registry'!$E$4:$E$764=A221,FALSE),"No Equipment in entity"))</f>
        <v>VAV0151</v>
      </c>
    </row>
    <row r="222" spans="1:4" x14ac:dyDescent="0.3">
      <c r="A222" t="s">
        <v>4162</v>
      </c>
      <c r="B222" t="s">
        <v>5453</v>
      </c>
      <c r="C222" t="s">
        <v>4857</v>
      </c>
      <c r="D222" t="str" cm="1">
        <f t="array" ref="D222">TRANSPOSE(_xlfn._xlws.FILTER('Controllable Asset Registry'!$A$4:$A$764,IFERROR('Controllable Asset Registry'!$E$4:$E$764=A222,FALSE),"No Equipment in entity"))</f>
        <v>VAV0150</v>
      </c>
    </row>
    <row r="223" spans="1:4" x14ac:dyDescent="0.3">
      <c r="A223" t="s">
        <v>4161</v>
      </c>
      <c r="B223" t="s">
        <v>5454</v>
      </c>
      <c r="C223" t="s">
        <v>4857</v>
      </c>
      <c r="D223" t="str" cm="1">
        <f t="array" ref="D223">TRANSPOSE(_xlfn._xlws.FILTER('Controllable Asset Registry'!$A$4:$A$764,IFERROR('Controllable Asset Registry'!$E$4:$E$764=A223,FALSE),"No Equipment in entity"))</f>
        <v>VAV0149</v>
      </c>
    </row>
    <row r="224" spans="1:4" x14ac:dyDescent="0.3">
      <c r="A224" t="s">
        <v>4160</v>
      </c>
      <c r="B224" t="s">
        <v>5455</v>
      </c>
      <c r="C224" t="s">
        <v>4857</v>
      </c>
      <c r="D224" t="str" cm="1">
        <f t="array" ref="D224">TRANSPOSE(_xlfn._xlws.FILTER('Controllable Asset Registry'!$A$4:$A$764,IFERROR('Controllable Asset Registry'!$E$4:$E$764=A224,FALSE),"No Equipment in entity"))</f>
        <v>VAV0148</v>
      </c>
    </row>
    <row r="225" spans="1:4" x14ac:dyDescent="0.3">
      <c r="A225" t="s">
        <v>4159</v>
      </c>
      <c r="B225" t="s">
        <v>5456</v>
      </c>
      <c r="C225" t="s">
        <v>4857</v>
      </c>
      <c r="D225" t="str" cm="1">
        <f t="array" ref="D225">TRANSPOSE(_xlfn._xlws.FILTER('Controllable Asset Registry'!$A$4:$A$764,IFERROR('Controllable Asset Registry'!$E$4:$E$764=A225,FALSE),"No Equipment in entity"))</f>
        <v>VAV0147</v>
      </c>
    </row>
    <row r="226" spans="1:4" x14ac:dyDescent="0.3">
      <c r="A226" t="s">
        <v>4158</v>
      </c>
      <c r="B226" t="s">
        <v>5457</v>
      </c>
      <c r="C226" t="s">
        <v>4859</v>
      </c>
      <c r="D226" t="str" cm="1">
        <f t="array" ref="D226">TRANSPOSE(_xlfn._xlws.FILTER('Controllable Asset Registry'!$A$4:$A$764,IFERROR('Controllable Asset Registry'!$E$4:$E$764=A226,FALSE),"No Equipment in entity"))</f>
        <v>VAV0146</v>
      </c>
    </row>
    <row r="227" spans="1:4" x14ac:dyDescent="0.3">
      <c r="A227" t="s">
        <v>4157</v>
      </c>
      <c r="B227" t="s">
        <v>5458</v>
      </c>
      <c r="C227" t="s">
        <v>4860</v>
      </c>
      <c r="D227" t="str" cm="1">
        <f t="array" ref="D227">TRANSPOSE(_xlfn._xlws.FILTER('Controllable Asset Registry'!$A$4:$A$764,IFERROR('Controllable Asset Registry'!$E$4:$E$764=A227,FALSE),"No Equipment in entity"))</f>
        <v>VAV0145</v>
      </c>
    </row>
    <row r="228" spans="1:4" x14ac:dyDescent="0.3">
      <c r="A228" t="s">
        <v>4156</v>
      </c>
      <c r="B228" t="s">
        <v>5459</v>
      </c>
      <c r="C228" t="s">
        <v>4860</v>
      </c>
      <c r="D228" t="str" cm="1">
        <f t="array" ref="D228">TRANSPOSE(_xlfn._xlws.FILTER('Controllable Asset Registry'!$A$4:$A$764,IFERROR('Controllable Asset Registry'!$E$4:$E$764=A228,FALSE),"No Equipment in entity"))</f>
        <v>VAV0144</v>
      </c>
    </row>
    <row r="229" spans="1:4" x14ac:dyDescent="0.3">
      <c r="A229" t="s">
        <v>4155</v>
      </c>
      <c r="B229" t="s">
        <v>5460</v>
      </c>
      <c r="C229" t="s">
        <v>4860</v>
      </c>
      <c r="D229" t="str" cm="1">
        <f t="array" ref="D229">TRANSPOSE(_xlfn._xlws.FILTER('Controllable Asset Registry'!$A$4:$A$764,IFERROR('Controllable Asset Registry'!$E$4:$E$764=A229,FALSE),"No Equipment in entity"))</f>
        <v>VAV0143</v>
      </c>
    </row>
    <row r="230" spans="1:4" x14ac:dyDescent="0.3">
      <c r="A230" t="s">
        <v>4154</v>
      </c>
      <c r="B230" t="s">
        <v>5461</v>
      </c>
      <c r="C230" t="s">
        <v>4859</v>
      </c>
      <c r="D230" t="str" cm="1">
        <f t="array" ref="D230">TRANSPOSE(_xlfn._xlws.FILTER('Controllable Asset Registry'!$A$4:$A$764,IFERROR('Controllable Asset Registry'!$E$4:$E$764=A230,FALSE),"No Equipment in entity"))</f>
        <v>VAV0142</v>
      </c>
    </row>
    <row r="231" spans="1:4" x14ac:dyDescent="0.3">
      <c r="A231" t="s">
        <v>4153</v>
      </c>
      <c r="B231" t="s">
        <v>5462</v>
      </c>
      <c r="C231" t="s">
        <v>4860</v>
      </c>
      <c r="D231" t="str" cm="1">
        <f t="array" ref="D231">TRANSPOSE(_xlfn._xlws.FILTER('Controllable Asset Registry'!$A$4:$A$764,IFERROR('Controllable Asset Registry'!$E$4:$E$764=A231,FALSE),"No Equipment in entity"))</f>
        <v>VAV0141</v>
      </c>
    </row>
    <row r="232" spans="1:4" x14ac:dyDescent="0.3">
      <c r="A232" t="s">
        <v>4152</v>
      </c>
      <c r="B232" t="s">
        <v>5463</v>
      </c>
      <c r="C232" t="s">
        <v>4860</v>
      </c>
      <c r="D232" t="str" cm="1">
        <f t="array" ref="D232">TRANSPOSE(_xlfn._xlws.FILTER('Controllable Asset Registry'!$A$4:$A$764,IFERROR('Controllable Asset Registry'!$E$4:$E$764=A232,FALSE),"No Equipment in entity"))</f>
        <v>VAV0140</v>
      </c>
    </row>
    <row r="233" spans="1:4" x14ac:dyDescent="0.3">
      <c r="A233" t="s">
        <v>4151</v>
      </c>
      <c r="B233" t="s">
        <v>5464</v>
      </c>
      <c r="C233" t="s">
        <v>4860</v>
      </c>
      <c r="D233" t="str" cm="1">
        <f t="array" ref="D233">TRANSPOSE(_xlfn._xlws.FILTER('Controllable Asset Registry'!$A$4:$A$764,IFERROR('Controllable Asset Registry'!$E$4:$E$764=A233,FALSE),"No Equipment in entity"))</f>
        <v>VAV0139</v>
      </c>
    </row>
    <row r="234" spans="1:4" x14ac:dyDescent="0.3">
      <c r="A234" t="s">
        <v>4150</v>
      </c>
      <c r="B234" t="s">
        <v>5465</v>
      </c>
      <c r="C234" t="s">
        <v>4859</v>
      </c>
      <c r="D234" t="str" cm="1">
        <f t="array" ref="D234">TRANSPOSE(_xlfn._xlws.FILTER('Controllable Asset Registry'!$A$4:$A$764,IFERROR('Controllable Asset Registry'!$E$4:$E$764=A234,FALSE),"No Equipment in entity"))</f>
        <v>VAV0138</v>
      </c>
    </row>
    <row r="235" spans="1:4" x14ac:dyDescent="0.3">
      <c r="A235" t="s">
        <v>4124</v>
      </c>
      <c r="B235" t="s">
        <v>5466</v>
      </c>
      <c r="C235" t="s">
        <v>4861</v>
      </c>
      <c r="D235" t="str" cm="1">
        <f t="array" ref="D235">TRANSPOSE(_xlfn._xlws.FILTER('Controllable Asset Registry'!$A$4:$A$764,IFERROR('Controllable Asset Registry'!$E$4:$E$764=A235,FALSE),"No Equipment in entity"))</f>
        <v>VAV0109</v>
      </c>
    </row>
    <row r="236" spans="1:4" x14ac:dyDescent="0.3">
      <c r="A236" t="s">
        <v>4125</v>
      </c>
      <c r="B236" t="s">
        <v>5467</v>
      </c>
      <c r="C236" t="s">
        <v>4860</v>
      </c>
      <c r="D236" t="str" cm="1">
        <f t="array" ref="D236">TRANSPOSE(_xlfn._xlws.FILTER('Controllable Asset Registry'!$A$4:$A$764,IFERROR('Controllable Asset Registry'!$E$4:$E$764=A236,FALSE),"No Equipment in entity"))</f>
        <v>VAV0110</v>
      </c>
    </row>
    <row r="237" spans="1:4" x14ac:dyDescent="0.3">
      <c r="A237" t="s">
        <v>4126</v>
      </c>
      <c r="B237" t="s">
        <v>5468</v>
      </c>
      <c r="C237" t="s">
        <v>4860</v>
      </c>
      <c r="D237" t="str" cm="1">
        <f t="array" ref="D237">TRANSPOSE(_xlfn._xlws.FILTER('Controllable Asset Registry'!$A$4:$A$764,IFERROR('Controllable Asset Registry'!$E$4:$E$764=A237,FALSE),"No Equipment in entity"))</f>
        <v>VAV0111</v>
      </c>
    </row>
    <row r="238" spans="1:4" x14ac:dyDescent="0.3">
      <c r="A238" t="s">
        <v>4127</v>
      </c>
      <c r="B238" t="s">
        <v>5469</v>
      </c>
      <c r="C238" t="s">
        <v>4860</v>
      </c>
      <c r="D238" t="str" cm="1">
        <f t="array" ref="D238">TRANSPOSE(_xlfn._xlws.FILTER('Controllable Asset Registry'!$A$4:$A$764,IFERROR('Controllable Asset Registry'!$E$4:$E$764=A238,FALSE),"No Equipment in entity"))</f>
        <v>VAV0112</v>
      </c>
    </row>
    <row r="239" spans="1:4" x14ac:dyDescent="0.3">
      <c r="A239" t="s">
        <v>4128</v>
      </c>
      <c r="B239" t="s">
        <v>5470</v>
      </c>
      <c r="C239" t="s">
        <v>4859</v>
      </c>
      <c r="D239" t="str" cm="1">
        <f t="array" ref="D239">TRANSPOSE(_xlfn._xlws.FILTER('Controllable Asset Registry'!$A$4:$A$764,IFERROR('Controllable Asset Registry'!$E$4:$E$764=A239,FALSE),"No Equipment in entity"))</f>
        <v>VAV0113</v>
      </c>
    </row>
    <row r="240" spans="1:4" x14ac:dyDescent="0.3">
      <c r="A240" t="s">
        <v>4129</v>
      </c>
      <c r="B240" t="s">
        <v>5471</v>
      </c>
      <c r="C240" t="s">
        <v>4860</v>
      </c>
      <c r="D240" t="str" cm="1">
        <f t="array" ref="D240">TRANSPOSE(_xlfn._xlws.FILTER('Controllable Asset Registry'!$A$4:$A$764,IFERROR('Controllable Asset Registry'!$E$4:$E$764=A240,FALSE),"No Equipment in entity"))</f>
        <v>VAV0114</v>
      </c>
    </row>
    <row r="241" spans="1:5" x14ac:dyDescent="0.3">
      <c r="A241" t="s">
        <v>4130</v>
      </c>
      <c r="B241" t="s">
        <v>5472</v>
      </c>
      <c r="C241" t="s">
        <v>4860</v>
      </c>
      <c r="D241" t="str" cm="1">
        <f t="array" ref="D241">TRANSPOSE(_xlfn._xlws.FILTER('Controllable Asset Registry'!$A$4:$A$764,IFERROR('Controllable Asset Registry'!$E$4:$E$764=A241,FALSE),"No Equipment in entity"))</f>
        <v>VAV0115</v>
      </c>
    </row>
    <row r="242" spans="1:5" x14ac:dyDescent="0.3">
      <c r="A242" t="s">
        <v>4131</v>
      </c>
      <c r="B242" t="s">
        <v>5473</v>
      </c>
      <c r="C242" t="s">
        <v>4860</v>
      </c>
      <c r="D242" t="str" cm="1">
        <f t="array" ref="D242">TRANSPOSE(_xlfn._xlws.FILTER('Controllable Asset Registry'!$A$4:$A$764,IFERROR('Controllable Asset Registry'!$E$4:$E$764=A242,FALSE),"No Equipment in entity"))</f>
        <v>VAV0116</v>
      </c>
    </row>
    <row r="243" spans="1:5" x14ac:dyDescent="0.3">
      <c r="A243" t="s">
        <v>4132</v>
      </c>
      <c r="B243" t="s">
        <v>5474</v>
      </c>
      <c r="C243" t="s">
        <v>4859</v>
      </c>
      <c r="D243" t="str" cm="1">
        <f t="array" ref="D243">TRANSPOSE(_xlfn._xlws.FILTER('Controllable Asset Registry'!$A$4:$A$764,IFERROR('Controllable Asset Registry'!$E$4:$E$764=A243,FALSE),"No Equipment in entity"))</f>
        <v>VAV0117</v>
      </c>
    </row>
    <row r="244" spans="1:5" x14ac:dyDescent="0.3">
      <c r="A244" t="s">
        <v>4133</v>
      </c>
      <c r="B244" t="s">
        <v>5475</v>
      </c>
      <c r="C244" t="s">
        <v>4860</v>
      </c>
      <c r="D244" t="str" cm="1">
        <f t="array" ref="D244">TRANSPOSE(_xlfn._xlws.FILTER('Controllable Asset Registry'!$A$4:$A$764,IFERROR('Controllable Asset Registry'!$E$4:$E$764=A244,FALSE),"No Equipment in entity"))</f>
        <v>VAV0118</v>
      </c>
    </row>
    <row r="245" spans="1:5" x14ac:dyDescent="0.3">
      <c r="A245" t="s">
        <v>4134</v>
      </c>
      <c r="B245" t="s">
        <v>5476</v>
      </c>
      <c r="C245" t="s">
        <v>4860</v>
      </c>
      <c r="D245" t="str" cm="1">
        <f t="array" ref="D245">TRANSPOSE(_xlfn._xlws.FILTER('Controllable Asset Registry'!$A$4:$A$764,IFERROR('Controllable Asset Registry'!$E$4:$E$764=A245,FALSE),"No Equipment in entity"))</f>
        <v>VAV0119</v>
      </c>
    </row>
    <row r="246" spans="1:5" x14ac:dyDescent="0.3">
      <c r="A246" t="s">
        <v>4135</v>
      </c>
      <c r="B246" t="s">
        <v>5477</v>
      </c>
      <c r="C246" t="s">
        <v>4860</v>
      </c>
      <c r="D246" t="str" cm="1">
        <f t="array" ref="D246">TRANSPOSE(_xlfn._xlws.FILTER('Controllable Asset Registry'!$A$4:$A$764,IFERROR('Controllable Asset Registry'!$E$4:$E$764=A246,FALSE),"No Equipment in entity"))</f>
        <v>VAV0120</v>
      </c>
    </row>
    <row r="247" spans="1:5" x14ac:dyDescent="0.3">
      <c r="A247" t="s">
        <v>4136</v>
      </c>
      <c r="B247" t="s">
        <v>5478</v>
      </c>
      <c r="C247" t="s">
        <v>4859</v>
      </c>
      <c r="D247" t="str" cm="1">
        <f t="array" ref="D247">TRANSPOSE(_xlfn._xlws.FILTER('Controllable Asset Registry'!$A$4:$A$764,IFERROR('Controllable Asset Registry'!$E$4:$E$764=A247,FALSE),"No Equipment in entity"))</f>
        <v>VAV0121</v>
      </c>
    </row>
    <row r="248" spans="1:5" x14ac:dyDescent="0.3">
      <c r="A248" t="s">
        <v>4137</v>
      </c>
      <c r="B248" t="s">
        <v>5479</v>
      </c>
      <c r="C248" t="s">
        <v>4860</v>
      </c>
      <c r="D248" t="str" cm="1">
        <f t="array" ref="D248">TRANSPOSE(_xlfn._xlws.FILTER('Controllable Asset Registry'!$A$4:$A$764,IFERROR('Controllable Asset Registry'!$E$4:$E$764=A248,FALSE),"No Equipment in entity"))</f>
        <v>VAV0122</v>
      </c>
    </row>
    <row r="249" spans="1:5" x14ac:dyDescent="0.3">
      <c r="A249" t="s">
        <v>4138</v>
      </c>
      <c r="B249" t="s">
        <v>5480</v>
      </c>
      <c r="C249" t="s">
        <v>4860</v>
      </c>
      <c r="D249" t="str" cm="1">
        <f t="array" ref="D249">TRANSPOSE(_xlfn._xlws.FILTER('Controllable Asset Registry'!$A$4:$A$764,IFERROR('Controllable Asset Registry'!$E$4:$E$764=A249,FALSE),"No Equipment in entity"))</f>
        <v>VAV0123</v>
      </c>
    </row>
    <row r="250" spans="1:5" x14ac:dyDescent="0.3">
      <c r="A250" t="s">
        <v>4139</v>
      </c>
      <c r="B250" t="s">
        <v>5481</v>
      </c>
      <c r="C250" t="s">
        <v>4860</v>
      </c>
      <c r="D250" t="str" cm="1">
        <f t="array" ref="D250">TRANSPOSE(_xlfn._xlws.FILTER('Controllable Asset Registry'!$A$4:$A$764,IFERROR('Controllable Asset Registry'!$E$4:$E$764=A250,FALSE),"No Equipment in entity"))</f>
        <v>VAV0124</v>
      </c>
    </row>
    <row r="251" spans="1:5" x14ac:dyDescent="0.3">
      <c r="A251" t="s">
        <v>4140</v>
      </c>
      <c r="B251" t="s">
        <v>5482</v>
      </c>
      <c r="C251" t="s">
        <v>4859</v>
      </c>
      <c r="D251" t="str" cm="1">
        <f t="array" ref="D251">TRANSPOSE(_xlfn._xlws.FILTER('Controllable Asset Registry'!$A$4:$A$764,IFERROR('Controllable Asset Registry'!$E$4:$E$764=A251,FALSE),"No Equipment in entity"))</f>
        <v>VAV0125</v>
      </c>
    </row>
    <row r="252" spans="1:5" x14ac:dyDescent="0.3">
      <c r="A252" t="s">
        <v>4141</v>
      </c>
      <c r="B252" t="s">
        <v>5483</v>
      </c>
      <c r="C252" t="s">
        <v>4860</v>
      </c>
      <c r="D252" t="str" cm="1">
        <f t="array" ref="D252">TRANSPOSE(_xlfn._xlws.FILTER('Controllable Asset Registry'!$A$4:$A$764,IFERROR('Controllable Asset Registry'!$E$4:$E$764=A252,FALSE),"No Equipment in entity"))</f>
        <v>VAV0126</v>
      </c>
    </row>
    <row r="253" spans="1:5" x14ac:dyDescent="0.3">
      <c r="A253" t="s">
        <v>4142</v>
      </c>
      <c r="B253" t="s">
        <v>5484</v>
      </c>
      <c r="C253" t="s">
        <v>4860</v>
      </c>
      <c r="D253" t="str" cm="1">
        <f t="array" ref="D253">TRANSPOSE(_xlfn._xlws.FILTER('Controllable Asset Registry'!$A$4:$A$764,IFERROR('Controllable Asset Registry'!$E$4:$E$764=A253,FALSE),"No Equipment in entity"))</f>
        <v>VAV0127</v>
      </c>
    </row>
    <row r="254" spans="1:5" x14ac:dyDescent="0.3">
      <c r="A254" t="s">
        <v>4149</v>
      </c>
      <c r="B254" t="s">
        <v>5485</v>
      </c>
      <c r="C254" t="s">
        <v>4862</v>
      </c>
      <c r="D254" t="str" cm="1">
        <f t="array" ref="D254">TRANSPOSE(_xlfn._xlws.FILTER('Controllable Asset Registry'!$A$4:$A$764,IFERROR('Controllable Asset Registry'!$E$4:$E$764=A254,FALSE),"No Equipment in entity"))</f>
        <v>VAV0137</v>
      </c>
    </row>
    <row r="255" spans="1:5" x14ac:dyDescent="0.3">
      <c r="A255" t="s">
        <v>3977</v>
      </c>
      <c r="B255" t="s">
        <v>5486</v>
      </c>
      <c r="C255" t="s">
        <v>4836</v>
      </c>
      <c r="D255" t="str" cm="1">
        <f t="array" ref="D255">TRANSPOSE(_xlfn._xlws.FILTER('Controllable Asset Registry'!$A$4:$A$764,IFERROR('Controllable Asset Registry'!$E$4:$E$764=A255,FALSE),"No Equipment in entity"))</f>
        <v>FCU0028</v>
      </c>
    </row>
    <row r="256" spans="1:5" x14ac:dyDescent="0.3">
      <c r="A256" t="s">
        <v>4148</v>
      </c>
      <c r="B256" t="s">
        <v>5487</v>
      </c>
      <c r="C256" t="s">
        <v>4862</v>
      </c>
      <c r="D256" t="str" cm="1">
        <f t="array" ref="D256:E256">TRANSPOSE(_xlfn._xlws.FILTER('Controllable Asset Registry'!$A$4:$A$764,IFERROR('Controllable Asset Registry'!$E$4:$E$764=A256,FALSE),"No Equipment in entity"))</f>
        <v>VAV0135</v>
      </c>
      <c r="E256" t="str">
        <v>VAV0136</v>
      </c>
    </row>
    <row r="257" spans="1:6" x14ac:dyDescent="0.3">
      <c r="A257" t="s">
        <v>4147</v>
      </c>
      <c r="B257" t="s">
        <v>5488</v>
      </c>
      <c r="C257" t="s">
        <v>3892</v>
      </c>
      <c r="D257" t="str" cm="1">
        <f t="array" ref="D257">TRANSPOSE(_xlfn._xlws.FILTER('Controllable Asset Registry'!$A$4:$A$764,IFERROR('Controllable Asset Registry'!$E$4:$E$764=A257,FALSE),"No Equipment in entity"))</f>
        <v>VAV0134</v>
      </c>
    </row>
    <row r="258" spans="1:6" x14ac:dyDescent="0.3">
      <c r="A258" t="s">
        <v>4863</v>
      </c>
      <c r="B258" t="s">
        <v>5489</v>
      </c>
      <c r="C258" t="s">
        <v>4707</v>
      </c>
      <c r="D258" t="str" cm="1">
        <f t="array" ref="D258">TRANSPOSE(_xlfn._xlws.FILTER('Controllable Asset Registry'!$A$4:$A$764,IFERROR('Controllable Asset Registry'!$E$4:$E$764=A258,FALSE),"No Equipment in entity"))</f>
        <v>No Equipment in entity</v>
      </c>
    </row>
    <row r="259" spans="1:6" x14ac:dyDescent="0.3">
      <c r="A259" t="s">
        <v>4864</v>
      </c>
      <c r="B259" t="s">
        <v>5490</v>
      </c>
      <c r="C259" t="s">
        <v>4865</v>
      </c>
      <c r="D259" t="str" cm="1">
        <f t="array" ref="D259">TRANSPOSE(_xlfn._xlws.FILTER('Controllable Asset Registry'!$A$4:$A$764,IFERROR('Controllable Asset Registry'!$E$4:$E$764=A259,FALSE),"No Equipment in entity"))</f>
        <v>No Equipment in entity</v>
      </c>
    </row>
    <row r="260" spans="1:6" x14ac:dyDescent="0.3">
      <c r="A260" t="s">
        <v>4146</v>
      </c>
      <c r="B260" t="s">
        <v>5491</v>
      </c>
      <c r="C260" t="s">
        <v>4866</v>
      </c>
      <c r="D260" t="str" cm="1">
        <f t="array" ref="D260:E260">TRANSPOSE(_xlfn._xlws.FILTER('Controllable Asset Registry'!$A$4:$A$764,IFERROR('Controllable Asset Registry'!$E$4:$E$764=A260,FALSE),"No Equipment in entity"))</f>
        <v>VAV0132</v>
      </c>
      <c r="E260" t="str">
        <v>VAV0133</v>
      </c>
    </row>
    <row r="261" spans="1:6" x14ac:dyDescent="0.3">
      <c r="A261" t="s">
        <v>4145</v>
      </c>
      <c r="B261" t="s">
        <v>5492</v>
      </c>
      <c r="C261" t="s">
        <v>4867</v>
      </c>
      <c r="D261" t="str" cm="1">
        <f t="array" ref="D261">TRANSPOSE(_xlfn._xlws.FILTER('Controllable Asset Registry'!$A$4:$A$764,IFERROR('Controllable Asset Registry'!$E$4:$E$764=A261,FALSE),"No Equipment in entity"))</f>
        <v>VAV0131</v>
      </c>
    </row>
    <row r="262" spans="1:6" x14ac:dyDescent="0.3">
      <c r="A262" t="s">
        <v>4868</v>
      </c>
      <c r="B262" t="s">
        <v>5493</v>
      </c>
      <c r="C262" t="s">
        <v>4867</v>
      </c>
      <c r="D262" t="str" cm="1">
        <f t="array" ref="D262">TRANSPOSE(_xlfn._xlws.FILTER('Controllable Asset Registry'!$A$4:$A$764,IFERROR('Controllable Asset Registry'!$E$4:$E$764=A262,FALSE),"No Equipment in entity"))</f>
        <v>No Equipment in entity</v>
      </c>
    </row>
    <row r="263" spans="1:6" x14ac:dyDescent="0.3">
      <c r="A263" t="s">
        <v>4869</v>
      </c>
      <c r="B263" t="s">
        <v>5494</v>
      </c>
      <c r="C263" t="s">
        <v>4614</v>
      </c>
      <c r="D263" t="str" cm="1">
        <f t="array" ref="D263">TRANSPOSE(_xlfn._xlws.FILTER('Controllable Asset Registry'!$A$4:$A$764,IFERROR('Controllable Asset Registry'!$E$4:$E$764=A263,FALSE),"No Equipment in entity"))</f>
        <v>No Equipment in entity</v>
      </c>
    </row>
    <row r="264" spans="1:6" x14ac:dyDescent="0.3">
      <c r="A264" t="s">
        <v>3988</v>
      </c>
      <c r="B264" t="s">
        <v>5495</v>
      </c>
      <c r="C264" t="s">
        <v>4870</v>
      </c>
      <c r="D264" t="str" cm="1">
        <f t="array" ref="D264:F264">TRANSPOSE(_xlfn._xlws.FILTER('Controllable Asset Registry'!$A$4:$A$764,IFERROR('Controllable Asset Registry'!$E$4:$E$764=A264,FALSE),"No Equipment in entity"))</f>
        <v>FCU0045</v>
      </c>
      <c r="E264" t="str">
        <v>FCU0046</v>
      </c>
      <c r="F264" t="str">
        <v>FCU0047</v>
      </c>
    </row>
    <row r="265" spans="1:6" x14ac:dyDescent="0.3">
      <c r="A265" t="s">
        <v>3989</v>
      </c>
      <c r="B265" t="s">
        <v>5496</v>
      </c>
      <c r="C265" t="s">
        <v>4871</v>
      </c>
      <c r="D265" t="str" cm="1">
        <f t="array" ref="D265">TRANSPOSE(_xlfn._xlws.FILTER('Controllable Asset Registry'!$A$4:$A$764,IFERROR('Controllable Asset Registry'!$E$4:$E$764=A265,FALSE),"No Equipment in entity"))</f>
        <v>FCU0048</v>
      </c>
    </row>
    <row r="266" spans="1:6" x14ac:dyDescent="0.3">
      <c r="A266" t="s">
        <v>3990</v>
      </c>
      <c r="B266" t="s">
        <v>5497</v>
      </c>
      <c r="C266" t="s">
        <v>4872</v>
      </c>
      <c r="D266" t="str" cm="1">
        <f t="array" ref="D266">TRANSPOSE(_xlfn._xlws.FILTER('Controllable Asset Registry'!$A$4:$A$764,IFERROR('Controllable Asset Registry'!$E$4:$E$764=A266,FALSE),"No Equipment in entity"))</f>
        <v>FCU0049</v>
      </c>
    </row>
    <row r="267" spans="1:6" x14ac:dyDescent="0.3">
      <c r="A267" t="s">
        <v>3991</v>
      </c>
      <c r="B267" t="s">
        <v>5498</v>
      </c>
      <c r="C267" t="s">
        <v>4873</v>
      </c>
      <c r="D267" t="str" cm="1">
        <f t="array" ref="D267">TRANSPOSE(_xlfn._xlws.FILTER('Controllable Asset Registry'!$A$4:$A$764,IFERROR('Controllable Asset Registry'!$E$4:$E$764=A267,FALSE),"No Equipment in entity"))</f>
        <v>FCU0050</v>
      </c>
    </row>
    <row r="268" spans="1:6" x14ac:dyDescent="0.3">
      <c r="A268" t="s">
        <v>3992</v>
      </c>
      <c r="B268" t="s">
        <v>5499</v>
      </c>
      <c r="C268" t="s">
        <v>4874</v>
      </c>
      <c r="D268" t="str" cm="1">
        <f t="array" ref="D268:E268">TRANSPOSE(_xlfn._xlws.FILTER('Controllable Asset Registry'!$A$4:$A$764,IFERROR('Controllable Asset Registry'!$E$4:$E$764=A268,FALSE),"No Equipment in entity"))</f>
        <v>FCU0051</v>
      </c>
      <c r="E268" t="str">
        <v>FCU0052</v>
      </c>
    </row>
    <row r="269" spans="1:6" x14ac:dyDescent="0.3">
      <c r="A269" t="s">
        <v>3993</v>
      </c>
      <c r="B269" t="s">
        <v>5500</v>
      </c>
      <c r="C269" t="s">
        <v>4875</v>
      </c>
      <c r="D269" t="str" cm="1">
        <f t="array" ref="D269">TRANSPOSE(_xlfn._xlws.FILTER('Controllable Asset Registry'!$A$4:$A$764,IFERROR('Controllable Asset Registry'!$E$4:$E$764=A269,FALSE),"No Equipment in entity"))</f>
        <v>FCU0053</v>
      </c>
    </row>
    <row r="270" spans="1:6" x14ac:dyDescent="0.3">
      <c r="A270" t="s">
        <v>3978</v>
      </c>
      <c r="B270" t="s">
        <v>5501</v>
      </c>
      <c r="C270" t="s">
        <v>4876</v>
      </c>
      <c r="D270" t="str" cm="1">
        <f t="array" ref="D270:E270">TRANSPOSE(_xlfn._xlws.FILTER('Controllable Asset Registry'!$A$4:$A$764,IFERROR('Controllable Asset Registry'!$E$4:$E$764=A270,FALSE),"No Equipment in entity"))</f>
        <v>FCU0029</v>
      </c>
      <c r="E270" t="str">
        <v>FCU0030</v>
      </c>
    </row>
    <row r="271" spans="1:6" x14ac:dyDescent="0.3">
      <c r="A271" t="s">
        <v>3979</v>
      </c>
      <c r="B271" t="s">
        <v>5502</v>
      </c>
      <c r="C271" t="s">
        <v>4877</v>
      </c>
      <c r="D271" t="str" cm="1">
        <f t="array" ref="D271:F271">TRANSPOSE(_xlfn._xlws.FILTER('Controllable Asset Registry'!$A$4:$A$764,IFERROR('Controllable Asset Registry'!$E$4:$E$764=A271,FALSE),"No Equipment in entity"))</f>
        <v>FCU0031</v>
      </c>
      <c r="E271" t="str">
        <v>FCU0032</v>
      </c>
      <c r="F271" t="str">
        <v>FCU0033</v>
      </c>
    </row>
    <row r="272" spans="1:6" x14ac:dyDescent="0.3">
      <c r="A272" t="s">
        <v>3980</v>
      </c>
      <c r="B272" t="s">
        <v>5503</v>
      </c>
      <c r="C272" t="s">
        <v>4878</v>
      </c>
      <c r="D272" t="str" cm="1">
        <f t="array" ref="D272">TRANSPOSE(_xlfn._xlws.FILTER('Controllable Asset Registry'!$A$4:$A$764,IFERROR('Controllable Asset Registry'!$E$4:$E$764=A272,FALSE),"No Equipment in entity"))</f>
        <v>FCU0034</v>
      </c>
    </row>
    <row r="273" spans="1:6" x14ac:dyDescent="0.3">
      <c r="A273" t="s">
        <v>3981</v>
      </c>
      <c r="B273" t="s">
        <v>5504</v>
      </c>
      <c r="C273" t="s">
        <v>4879</v>
      </c>
      <c r="D273" t="str" cm="1">
        <f t="array" ref="D273">TRANSPOSE(_xlfn._xlws.FILTER('Controllable Asset Registry'!$A$4:$A$764,IFERROR('Controllable Asset Registry'!$E$4:$E$764=A273,FALSE),"No Equipment in entity"))</f>
        <v>FCU0035</v>
      </c>
    </row>
    <row r="274" spans="1:6" x14ac:dyDescent="0.3">
      <c r="A274" t="s">
        <v>3982</v>
      </c>
      <c r="B274" t="s">
        <v>5505</v>
      </c>
      <c r="C274" t="s">
        <v>4880</v>
      </c>
      <c r="D274" t="str" cm="1">
        <f t="array" ref="D274:E274">TRANSPOSE(_xlfn._xlws.FILTER('Controllable Asset Registry'!$A$4:$A$764,IFERROR('Controllable Asset Registry'!$E$4:$E$764=A274,FALSE),"No Equipment in entity"))</f>
        <v>FCU0036</v>
      </c>
      <c r="E274" t="str">
        <v>FCU0037</v>
      </c>
    </row>
    <row r="275" spans="1:6" x14ac:dyDescent="0.3">
      <c r="A275" t="s">
        <v>3983</v>
      </c>
      <c r="B275" t="s">
        <v>5506</v>
      </c>
      <c r="C275" t="s">
        <v>4881</v>
      </c>
      <c r="D275" t="str" cm="1">
        <f t="array" ref="D275">TRANSPOSE(_xlfn._xlws.FILTER('Controllable Asset Registry'!$A$4:$A$764,IFERROR('Controllable Asset Registry'!$E$4:$E$764=A275,FALSE),"No Equipment in entity"))</f>
        <v>FCU0038</v>
      </c>
    </row>
    <row r="276" spans="1:6" x14ac:dyDescent="0.3">
      <c r="A276" t="s">
        <v>3984</v>
      </c>
      <c r="B276" t="s">
        <v>5507</v>
      </c>
      <c r="C276" t="s">
        <v>4882</v>
      </c>
      <c r="D276" t="str" cm="1">
        <f t="array" ref="D276:E276">TRANSPOSE(_xlfn._xlws.FILTER('Controllable Asset Registry'!$A$4:$A$764,IFERROR('Controllable Asset Registry'!$E$4:$E$764=A276,FALSE),"No Equipment in entity"))</f>
        <v>FCU0039</v>
      </c>
      <c r="E276" t="str">
        <v>FCU0040</v>
      </c>
    </row>
    <row r="277" spans="1:6" x14ac:dyDescent="0.3">
      <c r="A277" t="s">
        <v>3985</v>
      </c>
      <c r="B277" t="s">
        <v>5508</v>
      </c>
      <c r="C277" t="s">
        <v>4883</v>
      </c>
      <c r="D277" t="str" cm="1">
        <f t="array" ref="D277">TRANSPOSE(_xlfn._xlws.FILTER('Controllable Asset Registry'!$A$4:$A$764,IFERROR('Controllable Asset Registry'!$E$4:$E$764=A277,FALSE),"No Equipment in entity"))</f>
        <v>FCU0041</v>
      </c>
    </row>
    <row r="278" spans="1:6" x14ac:dyDescent="0.3">
      <c r="A278" t="s">
        <v>3986</v>
      </c>
      <c r="B278" t="s">
        <v>5509</v>
      </c>
      <c r="C278" t="s">
        <v>4884</v>
      </c>
      <c r="D278" t="str" cm="1">
        <f t="array" ref="D278">TRANSPOSE(_xlfn._xlws.FILTER('Controllable Asset Registry'!$A$4:$A$764,IFERROR('Controllable Asset Registry'!$E$4:$E$764=A278,FALSE),"No Equipment in entity"))</f>
        <v>FCU0042</v>
      </c>
    </row>
    <row r="279" spans="1:6" x14ac:dyDescent="0.3">
      <c r="A279" t="s">
        <v>3987</v>
      </c>
      <c r="B279" t="s">
        <v>5510</v>
      </c>
      <c r="C279" t="s">
        <v>4885</v>
      </c>
      <c r="D279" t="str" cm="1">
        <f t="array" ref="D279:E279">TRANSPOSE(_xlfn._xlws.FILTER('Controllable Asset Registry'!$A$4:$A$764,IFERROR('Controllable Asset Registry'!$E$4:$E$764=A279,FALSE),"No Equipment in entity"))</f>
        <v>FCU0043</v>
      </c>
      <c r="E279" t="str">
        <v>FCU0044</v>
      </c>
    </row>
    <row r="280" spans="1:6" x14ac:dyDescent="0.3">
      <c r="A280" t="s">
        <v>4886</v>
      </c>
      <c r="B280" t="s">
        <v>5511</v>
      </c>
      <c r="C280" t="s">
        <v>4887</v>
      </c>
      <c r="D280" t="str" cm="1">
        <f t="array" ref="D280">TRANSPOSE(_xlfn._xlws.FILTER('Controllable Asset Registry'!$A$4:$A$764,IFERROR('Controllable Asset Registry'!$E$4:$E$764=A280,FALSE),"No Equipment in entity"))</f>
        <v>No Equipment in entity</v>
      </c>
    </row>
    <row r="281" spans="1:6" x14ac:dyDescent="0.3">
      <c r="A281" t="s">
        <v>4888</v>
      </c>
      <c r="B281" t="s">
        <v>5512</v>
      </c>
      <c r="C281" t="s">
        <v>4887</v>
      </c>
      <c r="D281" t="str" cm="1">
        <f t="array" ref="D281">TRANSPOSE(_xlfn._xlws.FILTER('Controllable Asset Registry'!$A$4:$A$764,IFERROR('Controllable Asset Registry'!$E$4:$E$764=A281,FALSE),"No Equipment in entity"))</f>
        <v>No Equipment in entity</v>
      </c>
    </row>
    <row r="282" spans="1:6" x14ac:dyDescent="0.3">
      <c r="A282" t="s">
        <v>4889</v>
      </c>
      <c r="B282" t="s">
        <v>5513</v>
      </c>
      <c r="C282" t="s">
        <v>4887</v>
      </c>
      <c r="D282" t="str" cm="1">
        <f t="array" ref="D282">TRANSPOSE(_xlfn._xlws.FILTER('Controllable Asset Registry'!$A$4:$A$764,IFERROR('Controllable Asset Registry'!$E$4:$E$764=A282,FALSE),"No Equipment in entity"))</f>
        <v>No Equipment in entity</v>
      </c>
    </row>
    <row r="283" spans="1:6" x14ac:dyDescent="0.3">
      <c r="A283" t="s">
        <v>4890</v>
      </c>
      <c r="B283" t="s">
        <v>5514</v>
      </c>
      <c r="C283" t="s">
        <v>4891</v>
      </c>
      <c r="D283" t="str" cm="1">
        <f t="array" ref="D283">TRANSPOSE(_xlfn._xlws.FILTER('Controllable Asset Registry'!$A$4:$A$764,IFERROR('Controllable Asset Registry'!$E$4:$E$764=A283,FALSE),"No Equipment in entity"))</f>
        <v>No Equipment in entity</v>
      </c>
    </row>
    <row r="284" spans="1:6" x14ac:dyDescent="0.3">
      <c r="A284" t="s">
        <v>4892</v>
      </c>
      <c r="B284" t="s">
        <v>5515</v>
      </c>
      <c r="C284" t="s">
        <v>4893</v>
      </c>
      <c r="D284" t="str" cm="1">
        <f t="array" ref="D284">TRANSPOSE(_xlfn._xlws.FILTER('Controllable Asset Registry'!$A$4:$A$764,IFERROR('Controllable Asset Registry'!$E$4:$E$764=A284,FALSE),"No Equipment in entity"))</f>
        <v>No Equipment in entity</v>
      </c>
    </row>
    <row r="285" spans="1:6" x14ac:dyDescent="0.3">
      <c r="A285" t="s">
        <v>3947</v>
      </c>
      <c r="B285" t="s">
        <v>5516</v>
      </c>
      <c r="C285" t="s">
        <v>4894</v>
      </c>
      <c r="D285" t="str" cm="1">
        <f t="array" ref="D285:F285">TRANSPOSE(_xlfn._xlws.FILTER('Controllable Asset Registry'!$A$4:$A$764,IFERROR('Controllable Asset Registry'!$E$4:$E$764=A285,FALSE),"No Equipment in entity"))</f>
        <v>AHU2_0001</v>
      </c>
      <c r="E285" t="str">
        <v>FCU0057</v>
      </c>
      <c r="F285" t="str">
        <v>FCU0058</v>
      </c>
    </row>
    <row r="286" spans="1:6" x14ac:dyDescent="0.3">
      <c r="A286" t="s">
        <v>4895</v>
      </c>
      <c r="B286" t="s">
        <v>5517</v>
      </c>
      <c r="C286" t="s">
        <v>4893</v>
      </c>
      <c r="D286" t="str" cm="1">
        <f t="array" ref="D286">TRANSPOSE(_xlfn._xlws.FILTER('Controllable Asset Registry'!$A$4:$A$764,IFERROR('Controllable Asset Registry'!$E$4:$E$764=A286,FALSE),"No Equipment in entity"))</f>
        <v>No Equipment in entity</v>
      </c>
    </row>
    <row r="287" spans="1:6" x14ac:dyDescent="0.3">
      <c r="A287" t="s">
        <v>4896</v>
      </c>
      <c r="B287" t="s">
        <v>5518</v>
      </c>
      <c r="C287" t="s">
        <v>4897</v>
      </c>
      <c r="D287" t="str" cm="1">
        <f t="array" ref="D287">TRANSPOSE(_xlfn._xlws.FILTER('Controllable Asset Registry'!$A$4:$A$764,IFERROR('Controllable Asset Registry'!$E$4:$E$764=A287,FALSE),"No Equipment in entity"))</f>
        <v>No Equipment in entity</v>
      </c>
    </row>
    <row r="288" spans="1:6" x14ac:dyDescent="0.3">
      <c r="A288" t="s">
        <v>4898</v>
      </c>
      <c r="B288" t="s">
        <v>5519</v>
      </c>
      <c r="C288" t="s">
        <v>4899</v>
      </c>
      <c r="D288" t="str" cm="1">
        <f t="array" ref="D288">TRANSPOSE(_xlfn._xlws.FILTER('Controllable Asset Registry'!$A$4:$A$764,IFERROR('Controllable Asset Registry'!$E$4:$E$764=A288,FALSE),"No Equipment in entity"))</f>
        <v>No Equipment in entity</v>
      </c>
    </row>
    <row r="289" spans="1:4" x14ac:dyDescent="0.3">
      <c r="A289" t="s">
        <v>4900</v>
      </c>
      <c r="B289" t="s">
        <v>5520</v>
      </c>
      <c r="C289" t="s">
        <v>4901</v>
      </c>
      <c r="D289" t="str" cm="1">
        <f t="array" ref="D289">TRANSPOSE(_xlfn._xlws.FILTER('Controllable Asset Registry'!$A$4:$A$764,IFERROR('Controllable Asset Registry'!$E$4:$E$764=A289,FALSE),"No Equipment in entity"))</f>
        <v>No Equipment in entity</v>
      </c>
    </row>
    <row r="290" spans="1:4" x14ac:dyDescent="0.3">
      <c r="A290" t="s">
        <v>4902</v>
      </c>
      <c r="B290" t="s">
        <v>5521</v>
      </c>
      <c r="C290" t="s">
        <v>4903</v>
      </c>
      <c r="D290" t="str" cm="1">
        <f t="array" ref="D290">TRANSPOSE(_xlfn._xlws.FILTER('Controllable Asset Registry'!$A$4:$A$764,IFERROR('Controllable Asset Registry'!$E$4:$E$764=A290,FALSE),"No Equipment in entity"))</f>
        <v>No Equipment in entity</v>
      </c>
    </row>
    <row r="291" spans="1:4" x14ac:dyDescent="0.3">
      <c r="A291" t="s">
        <v>4904</v>
      </c>
      <c r="B291" t="s">
        <v>5522</v>
      </c>
      <c r="C291" t="s">
        <v>4905</v>
      </c>
      <c r="D291" t="str" cm="1">
        <f t="array" ref="D291">TRANSPOSE(_xlfn._xlws.FILTER('Controllable Asset Registry'!$A$4:$A$764,IFERROR('Controllable Asset Registry'!$E$4:$E$764=A291,FALSE),"No Equipment in entity"))</f>
        <v>No Equipment in entity</v>
      </c>
    </row>
    <row r="292" spans="1:4" x14ac:dyDescent="0.3">
      <c r="A292" t="s">
        <v>4906</v>
      </c>
      <c r="B292" t="s">
        <v>5523</v>
      </c>
      <c r="C292" t="s">
        <v>4907</v>
      </c>
      <c r="D292" t="str" cm="1">
        <f t="array" ref="D292">TRANSPOSE(_xlfn._xlws.FILTER('Controllable Asset Registry'!$A$4:$A$764,IFERROR('Controllable Asset Registry'!$E$4:$E$764=A292,FALSE),"No Equipment in entity"))</f>
        <v>No Equipment in entity</v>
      </c>
    </row>
    <row r="293" spans="1:4" x14ac:dyDescent="0.3">
      <c r="A293" t="s">
        <v>4908</v>
      </c>
      <c r="B293" t="s">
        <v>5524</v>
      </c>
      <c r="C293" t="s">
        <v>4909</v>
      </c>
      <c r="D293" t="str" cm="1">
        <f t="array" ref="D293">TRANSPOSE(_xlfn._xlws.FILTER('Controllable Asset Registry'!$A$4:$A$764,IFERROR('Controllable Asset Registry'!$E$4:$E$764=A293,FALSE),"No Equipment in entity"))</f>
        <v>No Equipment in entity</v>
      </c>
    </row>
    <row r="294" spans="1:4" x14ac:dyDescent="0.3">
      <c r="A294" t="s">
        <v>4910</v>
      </c>
      <c r="B294" t="s">
        <v>5525</v>
      </c>
      <c r="C294" t="s">
        <v>4911</v>
      </c>
      <c r="D294" t="str" cm="1">
        <f t="array" ref="D294">TRANSPOSE(_xlfn._xlws.FILTER('Controllable Asset Registry'!$A$4:$A$764,IFERROR('Controllable Asset Registry'!$E$4:$E$764=A294,FALSE),"No Equipment in entity"))</f>
        <v>No Equipment in entity</v>
      </c>
    </row>
    <row r="295" spans="1:4" x14ac:dyDescent="0.3">
      <c r="A295" t="s">
        <v>4912</v>
      </c>
      <c r="B295" t="s">
        <v>5526</v>
      </c>
      <c r="C295" t="s">
        <v>4907</v>
      </c>
      <c r="D295" t="str" cm="1">
        <f t="array" ref="D295">TRANSPOSE(_xlfn._xlws.FILTER('Controllable Asset Registry'!$A$4:$A$764,IFERROR('Controllable Asset Registry'!$E$4:$E$764=A295,FALSE),"No Equipment in entity"))</f>
        <v>No Equipment in entity</v>
      </c>
    </row>
    <row r="296" spans="1:4" x14ac:dyDescent="0.3">
      <c r="A296" t="s">
        <v>4913</v>
      </c>
      <c r="B296" t="s">
        <v>5527</v>
      </c>
      <c r="C296" t="s">
        <v>4905</v>
      </c>
      <c r="D296" t="str" cm="1">
        <f t="array" ref="D296">TRANSPOSE(_xlfn._xlws.FILTER('Controllable Asset Registry'!$A$4:$A$764,IFERROR('Controllable Asset Registry'!$E$4:$E$764=A296,FALSE),"No Equipment in entity"))</f>
        <v>No Equipment in entity</v>
      </c>
    </row>
    <row r="297" spans="1:4" x14ac:dyDescent="0.3">
      <c r="A297" t="s">
        <v>4914</v>
      </c>
      <c r="B297" t="s">
        <v>5528</v>
      </c>
      <c r="C297" t="s">
        <v>4903</v>
      </c>
      <c r="D297" t="str" cm="1">
        <f t="array" ref="D297">TRANSPOSE(_xlfn._xlws.FILTER('Controllable Asset Registry'!$A$4:$A$764,IFERROR('Controllable Asset Registry'!$E$4:$E$764=A297,FALSE),"No Equipment in entity"))</f>
        <v>No Equipment in entity</v>
      </c>
    </row>
    <row r="298" spans="1:4" x14ac:dyDescent="0.3">
      <c r="A298" t="s">
        <v>4915</v>
      </c>
      <c r="B298" t="s">
        <v>5529</v>
      </c>
      <c r="C298" t="s">
        <v>4901</v>
      </c>
      <c r="D298" t="str" cm="1">
        <f t="array" ref="D298">TRANSPOSE(_xlfn._xlws.FILTER('Controllable Asset Registry'!$A$4:$A$764,IFERROR('Controllable Asset Registry'!$E$4:$E$764=A298,FALSE),"No Equipment in entity"))</f>
        <v>No Equipment in entity</v>
      </c>
    </row>
    <row r="299" spans="1:4" x14ac:dyDescent="0.3">
      <c r="A299" t="s">
        <v>4916</v>
      </c>
      <c r="B299" t="s">
        <v>5530</v>
      </c>
      <c r="C299" t="s">
        <v>4899</v>
      </c>
      <c r="D299" t="str" cm="1">
        <f t="array" ref="D299">TRANSPOSE(_xlfn._xlws.FILTER('Controllable Asset Registry'!$A$4:$A$764,IFERROR('Controllable Asset Registry'!$E$4:$E$764=A299,FALSE),"No Equipment in entity"))</f>
        <v>No Equipment in entity</v>
      </c>
    </row>
    <row r="300" spans="1:4" x14ac:dyDescent="0.3">
      <c r="A300" t="s">
        <v>4917</v>
      </c>
      <c r="B300" t="s">
        <v>5531</v>
      </c>
      <c r="C300" t="s">
        <v>4909</v>
      </c>
      <c r="D300" t="str" cm="1">
        <f t="array" ref="D300">TRANSPOSE(_xlfn._xlws.FILTER('Controllable Asset Registry'!$A$4:$A$764,IFERROR('Controllable Asset Registry'!$E$4:$E$764=A300,FALSE),"No Equipment in entity"))</f>
        <v>No Equipment in entity</v>
      </c>
    </row>
    <row r="301" spans="1:4" x14ac:dyDescent="0.3">
      <c r="A301" t="s">
        <v>4918</v>
      </c>
      <c r="B301" t="s">
        <v>5532</v>
      </c>
      <c r="C301" t="s">
        <v>4909</v>
      </c>
      <c r="D301" t="str" cm="1">
        <f t="array" ref="D301">TRANSPOSE(_xlfn._xlws.FILTER('Controllable Asset Registry'!$A$4:$A$764,IFERROR('Controllable Asset Registry'!$E$4:$E$764=A301,FALSE),"No Equipment in entity"))</f>
        <v>No Equipment in entity</v>
      </c>
    </row>
    <row r="302" spans="1:4" x14ac:dyDescent="0.3">
      <c r="A302" t="s">
        <v>4919</v>
      </c>
      <c r="B302" t="s">
        <v>5533</v>
      </c>
      <c r="C302" t="s">
        <v>4625</v>
      </c>
      <c r="D302" t="str" cm="1">
        <f t="array" ref="D302">TRANSPOSE(_xlfn._xlws.FILTER('Controllable Asset Registry'!$A$4:$A$764,IFERROR('Controllable Asset Registry'!$E$4:$E$764=A302,FALSE),"No Equipment in entity"))</f>
        <v>No Equipment in entity</v>
      </c>
    </row>
    <row r="303" spans="1:4" x14ac:dyDescent="0.3">
      <c r="A303" t="s">
        <v>4920</v>
      </c>
      <c r="B303" t="s">
        <v>5534</v>
      </c>
      <c r="C303" t="s">
        <v>4628</v>
      </c>
      <c r="D303" t="str" cm="1">
        <f t="array" ref="D303">TRANSPOSE(_xlfn._xlws.FILTER('Controllable Asset Registry'!$A$4:$A$764,IFERROR('Controllable Asset Registry'!$E$4:$E$764=A303,FALSE),"No Equipment in entity"))</f>
        <v>No Equipment in entity</v>
      </c>
    </row>
    <row r="304" spans="1:4" x14ac:dyDescent="0.3">
      <c r="A304" t="s">
        <v>4921</v>
      </c>
      <c r="B304" t="s">
        <v>5535</v>
      </c>
      <c r="C304" t="s">
        <v>4625</v>
      </c>
      <c r="D304" t="str" cm="1">
        <f t="array" ref="D304">TRANSPOSE(_xlfn._xlws.FILTER('Controllable Asset Registry'!$A$4:$A$764,IFERROR('Controllable Asset Registry'!$E$4:$E$764=A304,FALSE),"No Equipment in entity"))</f>
        <v>No Equipment in entity</v>
      </c>
    </row>
    <row r="305" spans="1:6" x14ac:dyDescent="0.3">
      <c r="A305" t="s">
        <v>4922</v>
      </c>
      <c r="B305" t="s">
        <v>5536</v>
      </c>
      <c r="C305" t="s">
        <v>4628</v>
      </c>
      <c r="D305" t="str" cm="1">
        <f t="array" ref="D305">TRANSPOSE(_xlfn._xlws.FILTER('Controllable Asset Registry'!$A$4:$A$764,IFERROR('Controllable Asset Registry'!$E$4:$E$764=A305,FALSE),"No Equipment in entity"))</f>
        <v>No Equipment in entity</v>
      </c>
    </row>
    <row r="306" spans="1:6" x14ac:dyDescent="0.3">
      <c r="A306" t="s">
        <v>4923</v>
      </c>
      <c r="B306" t="s">
        <v>5537</v>
      </c>
      <c r="C306" t="s">
        <v>3761</v>
      </c>
      <c r="D306" t="str" cm="1">
        <f t="array" ref="D306">TRANSPOSE(_xlfn._xlws.FILTER('Controllable Asset Registry'!$A$4:$A$764,IFERROR('Controllable Asset Registry'!$E$4:$E$764=A306,FALSE),"No Equipment in entity"))</f>
        <v>No Equipment in entity</v>
      </c>
    </row>
    <row r="307" spans="1:6" x14ac:dyDescent="0.3">
      <c r="A307" t="s">
        <v>4924</v>
      </c>
      <c r="B307" t="s">
        <v>5538</v>
      </c>
      <c r="C307" t="s">
        <v>4925</v>
      </c>
      <c r="D307" t="str" cm="1">
        <f t="array" ref="D307">TRANSPOSE(_xlfn._xlws.FILTER('Controllable Asset Registry'!$A$4:$A$764,IFERROR('Controllable Asset Registry'!$E$4:$E$764=A307,FALSE),"No Equipment in entity"))</f>
        <v>No Equipment in entity</v>
      </c>
    </row>
    <row r="308" spans="1:6" x14ac:dyDescent="0.3">
      <c r="A308" t="s">
        <v>4926</v>
      </c>
      <c r="B308" t="s">
        <v>5539</v>
      </c>
      <c r="C308" t="s">
        <v>4927</v>
      </c>
      <c r="D308" t="str" cm="1">
        <f t="array" ref="D308">TRANSPOSE(_xlfn._xlws.FILTER('Controllable Asset Registry'!$A$4:$A$764,IFERROR('Controllable Asset Registry'!$E$4:$E$764=A308,FALSE),"No Equipment in entity"))</f>
        <v>No Equipment in entity</v>
      </c>
    </row>
    <row r="309" spans="1:6" x14ac:dyDescent="0.3">
      <c r="A309" t="s">
        <v>3995</v>
      </c>
      <c r="B309" t="s">
        <v>5540</v>
      </c>
      <c r="C309" t="s">
        <v>4928</v>
      </c>
      <c r="D309" t="str" cm="1">
        <f t="array" ref="D309">TRANSPOSE(_xlfn._xlws.FILTER('Controllable Asset Registry'!$A$4:$A$764,IFERROR('Controllable Asset Registry'!$E$4:$E$764=A309,FALSE),"No Equipment in entity"))</f>
        <v>FCU0056</v>
      </c>
    </row>
    <row r="310" spans="1:6" x14ac:dyDescent="0.3">
      <c r="A310" t="s">
        <v>4929</v>
      </c>
      <c r="B310" t="s">
        <v>5541</v>
      </c>
      <c r="C310" t="s">
        <v>3758</v>
      </c>
      <c r="D310" t="str" cm="1">
        <f t="array" ref="D310">TRANSPOSE(_xlfn._xlws.FILTER('Controllable Asset Registry'!$A$4:$A$764,IFERROR('Controllable Asset Registry'!$E$4:$E$764=A310,FALSE),"No Equipment in entity"))</f>
        <v>No Equipment in entity</v>
      </c>
    </row>
    <row r="311" spans="1:6" x14ac:dyDescent="0.3">
      <c r="A311" t="s">
        <v>3975</v>
      </c>
      <c r="B311" t="s">
        <v>5542</v>
      </c>
      <c r="C311" t="s">
        <v>4634</v>
      </c>
      <c r="D311" t="str" cm="1">
        <f t="array" ref="D311:E311">TRANSPOSE(_xlfn._xlws.FILTER('Controllable Asset Registry'!$A$4:$A$764,IFERROR('Controllable Asset Registry'!$E$4:$E$764=A311,FALSE),"No Equipment in entity"))</f>
        <v>FCU0023</v>
      </c>
      <c r="E311" t="str">
        <v>FCU0024</v>
      </c>
    </row>
    <row r="312" spans="1:6" x14ac:dyDescent="0.3">
      <c r="A312" t="s">
        <v>4930</v>
      </c>
      <c r="B312" t="s">
        <v>5543</v>
      </c>
      <c r="C312" t="s">
        <v>4776</v>
      </c>
      <c r="D312" t="str" cm="1">
        <f t="array" ref="D312">TRANSPOSE(_xlfn._xlws.FILTER('Controllable Asset Registry'!$A$4:$A$764,IFERROR('Controllable Asset Registry'!$E$4:$E$764=A312,FALSE),"No Equipment in entity"))</f>
        <v>No Equipment in entity</v>
      </c>
    </row>
    <row r="313" spans="1:6" x14ac:dyDescent="0.3">
      <c r="A313" t="s">
        <v>4931</v>
      </c>
      <c r="B313" t="s">
        <v>5544</v>
      </c>
      <c r="C313" t="s">
        <v>4779</v>
      </c>
      <c r="D313" t="str" cm="1">
        <f t="array" ref="D313">TRANSPOSE(_xlfn._xlws.FILTER('Controllable Asset Registry'!$A$4:$A$764,IFERROR('Controllable Asset Registry'!$E$4:$E$764=A313,FALSE),"No Equipment in entity"))</f>
        <v>No Equipment in entity</v>
      </c>
    </row>
    <row r="314" spans="1:6" x14ac:dyDescent="0.3">
      <c r="A314" t="s">
        <v>4932</v>
      </c>
      <c r="B314" t="s">
        <v>5545</v>
      </c>
      <c r="C314" t="s">
        <v>3758</v>
      </c>
      <c r="D314" t="str" cm="1">
        <f t="array" ref="D314">TRANSPOSE(_xlfn._xlws.FILTER('Controllable Asset Registry'!$A$4:$A$764,IFERROR('Controllable Asset Registry'!$E$4:$E$764=A314,FALSE),"No Equipment in entity"))</f>
        <v>No Equipment in entity</v>
      </c>
    </row>
    <row r="315" spans="1:6" x14ac:dyDescent="0.3">
      <c r="A315" t="s">
        <v>4144</v>
      </c>
      <c r="B315" t="s">
        <v>5546</v>
      </c>
      <c r="C315" t="s">
        <v>4933</v>
      </c>
      <c r="D315" t="str" cm="1">
        <f t="array" ref="D315:F315">TRANSPOSE(_xlfn._xlws.FILTER('Controllable Asset Registry'!$A$4:$A$764,IFERROR('Controllable Asset Registry'!$E$4:$E$764=A315,FALSE),"No Equipment in entity"))</f>
        <v>VAV0129</v>
      </c>
      <c r="E315" t="str">
        <v>VAV0130</v>
      </c>
      <c r="F315" t="str">
        <v>VAV0156</v>
      </c>
    </row>
    <row r="316" spans="1:6" x14ac:dyDescent="0.3">
      <c r="A316" t="s">
        <v>4934</v>
      </c>
      <c r="B316" t="s">
        <v>5547</v>
      </c>
      <c r="C316" t="s">
        <v>4935</v>
      </c>
      <c r="D316" t="str" cm="1">
        <f t="array" ref="D316">TRANSPOSE(_xlfn._xlws.FILTER('Controllable Asset Registry'!$A$4:$A$764,IFERROR('Controllable Asset Registry'!$E$4:$E$764=A316,FALSE),"No Equipment in entity"))</f>
        <v>No Equipment in entity</v>
      </c>
    </row>
    <row r="317" spans="1:6" x14ac:dyDescent="0.3">
      <c r="A317" t="s">
        <v>3994</v>
      </c>
      <c r="B317" t="s">
        <v>5548</v>
      </c>
      <c r="C317" t="s">
        <v>4936</v>
      </c>
      <c r="D317" t="str" cm="1">
        <f t="array" ref="D317:E317">TRANSPOSE(_xlfn._xlws.FILTER('Controllable Asset Registry'!$A$4:$A$764,IFERROR('Controllable Asset Registry'!$E$4:$E$764=A317,FALSE),"No Equipment in entity"))</f>
        <v>FCU0054</v>
      </c>
      <c r="E317" t="str">
        <v>FCU0055</v>
      </c>
    </row>
    <row r="318" spans="1:6" x14ac:dyDescent="0.3">
      <c r="A318" t="s">
        <v>4937</v>
      </c>
      <c r="B318" t="s">
        <v>5549</v>
      </c>
      <c r="C318" t="s">
        <v>4935</v>
      </c>
      <c r="D318" t="str" cm="1">
        <f t="array" ref="D318">TRANSPOSE(_xlfn._xlws.FILTER('Controllable Asset Registry'!$A$4:$A$764,IFERROR('Controllable Asset Registry'!$E$4:$E$764=A318,FALSE),"No Equipment in entity"))</f>
        <v>No Equipment in entity</v>
      </c>
    </row>
    <row r="319" spans="1:6" x14ac:dyDescent="0.3">
      <c r="A319" t="s">
        <v>6162</v>
      </c>
      <c r="B319" t="s">
        <v>6163</v>
      </c>
      <c r="C319" t="s">
        <v>4790</v>
      </c>
      <c r="D319" t="str" cm="1">
        <f t="array" ref="D319">TRANSPOSE(_xlfn._xlws.FILTER('Controllable Asset Registry'!$A$4:$A$764,IFERROR('Controllable Asset Registry'!$E$4:$E$764=A319,FALSE),"No Equipment in entity"))</f>
        <v>No Equipment in entity</v>
      </c>
    </row>
    <row r="320" spans="1:6" x14ac:dyDescent="0.3">
      <c r="A320" t="s">
        <v>6164</v>
      </c>
      <c r="B320" t="s">
        <v>6165</v>
      </c>
      <c r="C320" t="s">
        <v>4793</v>
      </c>
      <c r="D320" t="str" cm="1">
        <f t="array" ref="D320">TRANSPOSE(_xlfn._xlws.FILTER('Controllable Asset Registry'!$A$4:$A$764,IFERROR('Controllable Asset Registry'!$E$4:$E$764=A320,FALSE),"No Equipment in entity"))</f>
        <v>No Equipment in entity</v>
      </c>
    </row>
    <row r="321" spans="1:4" x14ac:dyDescent="0.3">
      <c r="A321" t="s">
        <v>6166</v>
      </c>
      <c r="B321" t="s">
        <v>6167</v>
      </c>
      <c r="C321" t="s">
        <v>4796</v>
      </c>
      <c r="D321" t="str" cm="1">
        <f t="array" ref="D321">TRANSPOSE(_xlfn._xlws.FILTER('Controllable Asset Registry'!$A$4:$A$764,IFERROR('Controllable Asset Registry'!$E$4:$E$764=A321,FALSE),"No Equipment in entity"))</f>
        <v>No Equipment in entity</v>
      </c>
    </row>
    <row r="322" spans="1:4" x14ac:dyDescent="0.3">
      <c r="A322" t="s">
        <v>6168</v>
      </c>
      <c r="B322" t="s">
        <v>6169</v>
      </c>
      <c r="C322" t="s">
        <v>4799</v>
      </c>
      <c r="D322" t="str" cm="1">
        <f t="array" ref="D322">TRANSPOSE(_xlfn._xlws.FILTER('Controllable Asset Registry'!$A$4:$A$764,IFERROR('Controllable Asset Registry'!$E$4:$E$764=A322,FALSE),"No Equipment in entity"))</f>
        <v>No Equipment in entity</v>
      </c>
    </row>
    <row r="323" spans="1:4" x14ac:dyDescent="0.3">
      <c r="A323" t="s">
        <v>6170</v>
      </c>
      <c r="B323" t="s">
        <v>6171</v>
      </c>
      <c r="C323" t="s">
        <v>4663</v>
      </c>
      <c r="D323" t="str" cm="1">
        <f t="array" ref="D323">TRANSPOSE(_xlfn._xlws.FILTER('Controllable Asset Registry'!$A$4:$A$764,IFERROR('Controllable Asset Registry'!$E$4:$E$764=A323,FALSE),"No Equipment in entity"))</f>
        <v>No Equipment in entity</v>
      </c>
    </row>
    <row r="324" spans="1:4" x14ac:dyDescent="0.3">
      <c r="A324" t="s">
        <v>6172</v>
      </c>
      <c r="B324" t="s">
        <v>6173</v>
      </c>
      <c r="C324" t="s">
        <v>4666</v>
      </c>
      <c r="D324" t="str" cm="1">
        <f t="array" ref="D324">TRANSPOSE(_xlfn._xlws.FILTER('Controllable Asset Registry'!$A$4:$A$764,IFERROR('Controllable Asset Registry'!$E$4:$E$764=A324,FALSE),"No Equipment in entity"))</f>
        <v>No Equipment in entity</v>
      </c>
    </row>
    <row r="325" spans="1:4" x14ac:dyDescent="0.3">
      <c r="A325" t="s">
        <v>6174</v>
      </c>
      <c r="B325" t="s">
        <v>6175</v>
      </c>
      <c r="C325" t="s">
        <v>4669</v>
      </c>
      <c r="D325" t="str" cm="1">
        <f t="array" ref="D325">TRANSPOSE(_xlfn._xlws.FILTER('Controllable Asset Registry'!$A$4:$A$764,IFERROR('Controllable Asset Registry'!$E$4:$E$764=A325,FALSE),"No Equipment in entity"))</f>
        <v>No Equipment in entity</v>
      </c>
    </row>
    <row r="326" spans="1:4" x14ac:dyDescent="0.3">
      <c r="A326" t="s">
        <v>6176</v>
      </c>
      <c r="B326" t="s">
        <v>6177</v>
      </c>
      <c r="C326" t="s">
        <v>4808</v>
      </c>
      <c r="D326" t="str" cm="1">
        <f t="array" ref="D326">TRANSPOSE(_xlfn._xlws.FILTER('Controllable Asset Registry'!$A$4:$A$764,IFERROR('Controllable Asset Registry'!$E$4:$E$764=A326,FALSE),"No Equipment in entity"))</f>
        <v>No Equipment in entity</v>
      </c>
    </row>
    <row r="327" spans="1:4" x14ac:dyDescent="0.3">
      <c r="A327" t="s">
        <v>6178</v>
      </c>
      <c r="B327" t="s">
        <v>6179</v>
      </c>
      <c r="C327" t="s">
        <v>4674</v>
      </c>
      <c r="D327" t="str" cm="1">
        <f t="array" ref="D327">TRANSPOSE(_xlfn._xlws.FILTER('Controllable Asset Registry'!$A$4:$A$764,IFERROR('Controllable Asset Registry'!$E$4:$E$764=A327,FALSE),"No Equipment in entity"))</f>
        <v>No Equipment in entity</v>
      </c>
    </row>
    <row r="328" spans="1:4" x14ac:dyDescent="0.3">
      <c r="A328" t="s">
        <v>6180</v>
      </c>
      <c r="B328" t="s">
        <v>6181</v>
      </c>
      <c r="C328" t="s">
        <v>4676</v>
      </c>
      <c r="D328" t="str" cm="1">
        <f t="array" ref="D328">TRANSPOSE(_xlfn._xlws.FILTER('Controllable Asset Registry'!$A$4:$A$764,IFERROR('Controllable Asset Registry'!$E$4:$E$764=A328,FALSE),"No Equipment in entity"))</f>
        <v>No Equipment in entity</v>
      </c>
    </row>
    <row r="329" spans="1:4" x14ac:dyDescent="0.3">
      <c r="A329" t="s">
        <v>6182</v>
      </c>
      <c r="B329" t="s">
        <v>6183</v>
      </c>
      <c r="C329" t="s">
        <v>4815</v>
      </c>
      <c r="D329" t="str" cm="1">
        <f t="array" ref="D329">TRANSPOSE(_xlfn._xlws.FILTER('Controllable Asset Registry'!$A$4:$A$764,IFERROR('Controllable Asset Registry'!$E$4:$E$764=A329,FALSE),"No Equipment in entity"))</f>
        <v>No Equipment in entity</v>
      </c>
    </row>
    <row r="330" spans="1:4" x14ac:dyDescent="0.3">
      <c r="A330" t="s">
        <v>6184</v>
      </c>
      <c r="B330" t="s">
        <v>6185</v>
      </c>
      <c r="C330" t="s">
        <v>4679</v>
      </c>
      <c r="D330" t="str" cm="1">
        <f t="array" ref="D330">TRANSPOSE(_xlfn._xlws.FILTER('Controllable Asset Registry'!$A$4:$A$764,IFERROR('Controllable Asset Registry'!$E$4:$E$764=A330,FALSE),"No Equipment in entity"))</f>
        <v>No Equipment in entity</v>
      </c>
    </row>
    <row r="331" spans="1:4" x14ac:dyDescent="0.3">
      <c r="A331" t="s">
        <v>4189</v>
      </c>
      <c r="B331" t="s">
        <v>5550</v>
      </c>
      <c r="C331" t="s">
        <v>3892</v>
      </c>
      <c r="D331" t="str" cm="1">
        <f t="array" ref="D331">TRANSPOSE(_xlfn._xlws.FILTER('Controllable Asset Registry'!$A$4:$A$764,IFERROR('Controllable Asset Registry'!$E$4:$E$764=A331,FALSE),"No Equipment in entity"))</f>
        <v>VAV0180</v>
      </c>
    </row>
    <row r="332" spans="1:4" x14ac:dyDescent="0.3">
      <c r="A332" t="s">
        <v>4207</v>
      </c>
      <c r="B332" t="s">
        <v>5551</v>
      </c>
      <c r="C332" t="s">
        <v>4938</v>
      </c>
      <c r="D332" t="str" cm="1">
        <f t="array" ref="D332">TRANSPOSE(_xlfn._xlws.FILTER('Controllable Asset Registry'!$A$4:$A$764,IFERROR('Controllable Asset Registry'!$E$4:$E$764=A332,FALSE),"No Equipment in entity"))</f>
        <v>VAV0200</v>
      </c>
    </row>
    <row r="333" spans="1:4" x14ac:dyDescent="0.3">
      <c r="A333" t="s">
        <v>4197</v>
      </c>
      <c r="B333" t="s">
        <v>5552</v>
      </c>
      <c r="C333" t="s">
        <v>4938</v>
      </c>
      <c r="D333" t="str" cm="1">
        <f t="array" ref="D333">TRANSPOSE(_xlfn._xlws.FILTER('Controllable Asset Registry'!$A$4:$A$764,IFERROR('Controllable Asset Registry'!$E$4:$E$764=A333,FALSE),"No Equipment in entity"))</f>
        <v>VAV0190</v>
      </c>
    </row>
    <row r="334" spans="1:4" x14ac:dyDescent="0.3">
      <c r="A334" t="s">
        <v>4198</v>
      </c>
      <c r="B334" t="s">
        <v>5553</v>
      </c>
      <c r="C334" t="s">
        <v>4938</v>
      </c>
      <c r="D334" t="str" cm="1">
        <f t="array" ref="D334">TRANSPOSE(_xlfn._xlws.FILTER('Controllable Asset Registry'!$A$4:$A$764,IFERROR('Controllable Asset Registry'!$E$4:$E$764=A334,FALSE),"No Equipment in entity"))</f>
        <v>VAV0191</v>
      </c>
    </row>
    <row r="335" spans="1:4" x14ac:dyDescent="0.3">
      <c r="A335" t="s">
        <v>4199</v>
      </c>
      <c r="B335" t="s">
        <v>5554</v>
      </c>
      <c r="C335" t="s">
        <v>4938</v>
      </c>
      <c r="D335" t="str" cm="1">
        <f t="array" ref="D335">TRANSPOSE(_xlfn._xlws.FILTER('Controllable Asset Registry'!$A$4:$A$764,IFERROR('Controllable Asset Registry'!$E$4:$E$764=A335,FALSE),"No Equipment in entity"))</f>
        <v>VAV0192</v>
      </c>
    </row>
    <row r="336" spans="1:4" x14ac:dyDescent="0.3">
      <c r="A336" t="s">
        <v>4200</v>
      </c>
      <c r="B336" t="s">
        <v>5555</v>
      </c>
      <c r="C336" t="s">
        <v>4938</v>
      </c>
      <c r="D336" t="str" cm="1">
        <f t="array" ref="D336">TRANSPOSE(_xlfn._xlws.FILTER('Controllable Asset Registry'!$A$4:$A$764,IFERROR('Controllable Asset Registry'!$E$4:$E$764=A336,FALSE),"No Equipment in entity"))</f>
        <v>VAV0193</v>
      </c>
    </row>
    <row r="337" spans="1:4" x14ac:dyDescent="0.3">
      <c r="A337" t="s">
        <v>4201</v>
      </c>
      <c r="B337" t="s">
        <v>5556</v>
      </c>
      <c r="C337" t="s">
        <v>4938</v>
      </c>
      <c r="D337" t="str" cm="1">
        <f t="array" ref="D337">TRANSPOSE(_xlfn._xlws.FILTER('Controllable Asset Registry'!$A$4:$A$764,IFERROR('Controllable Asset Registry'!$E$4:$E$764=A337,FALSE),"No Equipment in entity"))</f>
        <v>VAV0194</v>
      </c>
    </row>
    <row r="338" spans="1:4" x14ac:dyDescent="0.3">
      <c r="A338" t="s">
        <v>4202</v>
      </c>
      <c r="B338" t="s">
        <v>5557</v>
      </c>
      <c r="C338" t="s">
        <v>4938</v>
      </c>
      <c r="D338" t="str" cm="1">
        <f t="array" ref="D338">TRANSPOSE(_xlfn._xlws.FILTER('Controllable Asset Registry'!$A$4:$A$764,IFERROR('Controllable Asset Registry'!$E$4:$E$764=A338,FALSE),"No Equipment in entity"))</f>
        <v>VAV0195</v>
      </c>
    </row>
    <row r="339" spans="1:4" x14ac:dyDescent="0.3">
      <c r="A339" t="s">
        <v>4203</v>
      </c>
      <c r="B339" t="s">
        <v>5558</v>
      </c>
      <c r="C339" t="s">
        <v>4939</v>
      </c>
      <c r="D339" t="str" cm="1">
        <f t="array" ref="D339">TRANSPOSE(_xlfn._xlws.FILTER('Controllable Asset Registry'!$A$4:$A$764,IFERROR('Controllable Asset Registry'!$E$4:$E$764=A339,FALSE),"No Equipment in entity"))</f>
        <v>VAV0196</v>
      </c>
    </row>
    <row r="340" spans="1:4" x14ac:dyDescent="0.3">
      <c r="A340" t="s">
        <v>4204</v>
      </c>
      <c r="B340" t="s">
        <v>5559</v>
      </c>
      <c r="C340" t="s">
        <v>4938</v>
      </c>
      <c r="D340" t="str" cm="1">
        <f t="array" ref="D340">TRANSPOSE(_xlfn._xlws.FILTER('Controllable Asset Registry'!$A$4:$A$764,IFERROR('Controllable Asset Registry'!$E$4:$E$764=A340,FALSE),"No Equipment in entity"))</f>
        <v>VAV0197</v>
      </c>
    </row>
    <row r="341" spans="1:4" x14ac:dyDescent="0.3">
      <c r="A341" t="s">
        <v>4205</v>
      </c>
      <c r="B341" t="s">
        <v>5560</v>
      </c>
      <c r="C341" t="s">
        <v>4938</v>
      </c>
      <c r="D341" t="str" cm="1">
        <f t="array" ref="D341">TRANSPOSE(_xlfn._xlws.FILTER('Controllable Asset Registry'!$A$4:$A$764,IFERROR('Controllable Asset Registry'!$E$4:$E$764=A341,FALSE),"No Equipment in entity"))</f>
        <v>VAV0198</v>
      </c>
    </row>
    <row r="342" spans="1:4" x14ac:dyDescent="0.3">
      <c r="A342" t="s">
        <v>4192</v>
      </c>
      <c r="B342" t="s">
        <v>5561</v>
      </c>
      <c r="C342" t="s">
        <v>4938</v>
      </c>
      <c r="D342" t="str" cm="1">
        <f t="array" ref="D342">TRANSPOSE(_xlfn._xlws.FILTER('Controllable Asset Registry'!$A$4:$A$764,IFERROR('Controllable Asset Registry'!$E$4:$E$764=A342,FALSE),"No Equipment in entity"))</f>
        <v>VAV0185</v>
      </c>
    </row>
    <row r="343" spans="1:4" x14ac:dyDescent="0.3">
      <c r="A343" t="s">
        <v>4193</v>
      </c>
      <c r="B343" t="s">
        <v>5562</v>
      </c>
      <c r="C343" t="s">
        <v>4938</v>
      </c>
      <c r="D343" t="str" cm="1">
        <f t="array" ref="D343">TRANSPOSE(_xlfn._xlws.FILTER('Controllable Asset Registry'!$A$4:$A$764,IFERROR('Controllable Asset Registry'!$E$4:$E$764=A343,FALSE),"No Equipment in entity"))</f>
        <v>VAV0186</v>
      </c>
    </row>
    <row r="344" spans="1:4" x14ac:dyDescent="0.3">
      <c r="A344" t="s">
        <v>4194</v>
      </c>
      <c r="B344" t="s">
        <v>5563</v>
      </c>
      <c r="C344" t="s">
        <v>4938</v>
      </c>
      <c r="D344" t="str" cm="1">
        <f t="array" ref="D344">TRANSPOSE(_xlfn._xlws.FILTER('Controllable Asset Registry'!$A$4:$A$764,IFERROR('Controllable Asset Registry'!$E$4:$E$764=A344,FALSE),"No Equipment in entity"))</f>
        <v>VAV0187</v>
      </c>
    </row>
    <row r="345" spans="1:4" x14ac:dyDescent="0.3">
      <c r="A345" t="s">
        <v>4195</v>
      </c>
      <c r="B345" t="s">
        <v>5564</v>
      </c>
      <c r="C345" t="s">
        <v>4938</v>
      </c>
      <c r="D345" t="str" cm="1">
        <f t="array" ref="D345">TRANSPOSE(_xlfn._xlws.FILTER('Controllable Asset Registry'!$A$4:$A$764,IFERROR('Controllable Asset Registry'!$E$4:$E$764=A345,FALSE),"No Equipment in entity"))</f>
        <v>VAV0188</v>
      </c>
    </row>
    <row r="346" spans="1:4" x14ac:dyDescent="0.3">
      <c r="A346" t="s">
        <v>4196</v>
      </c>
      <c r="B346" t="s">
        <v>5565</v>
      </c>
      <c r="C346" t="s">
        <v>4938</v>
      </c>
      <c r="D346" t="str" cm="1">
        <f t="array" ref="D346">TRANSPOSE(_xlfn._xlws.FILTER('Controllable Asset Registry'!$A$4:$A$764,IFERROR('Controllable Asset Registry'!$E$4:$E$764=A346,FALSE),"No Equipment in entity"))</f>
        <v>VAV0189</v>
      </c>
    </row>
    <row r="347" spans="1:4" x14ac:dyDescent="0.3">
      <c r="A347" t="s">
        <v>4168</v>
      </c>
      <c r="B347" t="s">
        <v>5566</v>
      </c>
      <c r="C347" t="s">
        <v>4938</v>
      </c>
      <c r="D347" t="str" cm="1">
        <f t="array" ref="D347">TRANSPOSE(_xlfn._xlws.FILTER('Controllable Asset Registry'!$A$4:$A$764,IFERROR('Controllable Asset Registry'!$E$4:$E$764=A347,FALSE),"No Equipment in entity"))</f>
        <v>VAV0157</v>
      </c>
    </row>
    <row r="348" spans="1:4" x14ac:dyDescent="0.3">
      <c r="A348" t="s">
        <v>4169</v>
      </c>
      <c r="B348" t="s">
        <v>5567</v>
      </c>
      <c r="C348" t="s">
        <v>4938</v>
      </c>
      <c r="D348" t="str" cm="1">
        <f t="array" ref="D348">TRANSPOSE(_xlfn._xlws.FILTER('Controllable Asset Registry'!$A$4:$A$764,IFERROR('Controllable Asset Registry'!$E$4:$E$764=A348,FALSE),"No Equipment in entity"))</f>
        <v>VAV0158</v>
      </c>
    </row>
    <row r="349" spans="1:4" x14ac:dyDescent="0.3">
      <c r="A349" t="s">
        <v>4170</v>
      </c>
      <c r="B349" t="s">
        <v>5568</v>
      </c>
      <c r="C349" t="s">
        <v>4938</v>
      </c>
      <c r="D349" t="str" cm="1">
        <f t="array" ref="D349">TRANSPOSE(_xlfn._xlws.FILTER('Controllable Asset Registry'!$A$4:$A$764,IFERROR('Controllable Asset Registry'!$E$4:$E$764=A349,FALSE),"No Equipment in entity"))</f>
        <v>VAV0159</v>
      </c>
    </row>
    <row r="350" spans="1:4" x14ac:dyDescent="0.3">
      <c r="A350" t="s">
        <v>4171</v>
      </c>
      <c r="B350" t="s">
        <v>5569</v>
      </c>
      <c r="C350" t="s">
        <v>4938</v>
      </c>
      <c r="D350" t="str" cm="1">
        <f t="array" ref="D350">TRANSPOSE(_xlfn._xlws.FILTER('Controllable Asset Registry'!$A$4:$A$764,IFERROR('Controllable Asset Registry'!$E$4:$E$764=A350,FALSE),"No Equipment in entity"))</f>
        <v>VAV0160</v>
      </c>
    </row>
    <row r="351" spans="1:4" x14ac:dyDescent="0.3">
      <c r="A351" t="s">
        <v>4172</v>
      </c>
      <c r="B351" t="s">
        <v>5570</v>
      </c>
      <c r="C351" t="s">
        <v>4938</v>
      </c>
      <c r="D351" t="str" cm="1">
        <f t="array" ref="D351">TRANSPOSE(_xlfn._xlws.FILTER('Controllable Asset Registry'!$A$4:$A$764,IFERROR('Controllable Asset Registry'!$E$4:$E$764=A351,FALSE),"No Equipment in entity"))</f>
        <v>VAV0161</v>
      </c>
    </row>
    <row r="352" spans="1:4" x14ac:dyDescent="0.3">
      <c r="A352" t="s">
        <v>4173</v>
      </c>
      <c r="B352" t="s">
        <v>5571</v>
      </c>
      <c r="C352" t="s">
        <v>4940</v>
      </c>
      <c r="D352" t="str" cm="1">
        <f t="array" ref="D352">TRANSPOSE(_xlfn._xlws.FILTER('Controllable Asset Registry'!$A$4:$A$764,IFERROR('Controllable Asset Registry'!$E$4:$E$764=A352,FALSE),"No Equipment in entity"))</f>
        <v>VAV0162</v>
      </c>
    </row>
    <row r="353" spans="1:6" x14ac:dyDescent="0.3">
      <c r="A353" t="s">
        <v>4174</v>
      </c>
      <c r="B353" t="s">
        <v>5572</v>
      </c>
      <c r="C353" t="s">
        <v>4938</v>
      </c>
      <c r="D353" t="str" cm="1">
        <f t="array" ref="D353">TRANSPOSE(_xlfn._xlws.FILTER('Controllable Asset Registry'!$A$4:$A$764,IFERROR('Controllable Asset Registry'!$E$4:$E$764=A353,FALSE),"No Equipment in entity"))</f>
        <v>VAV0163</v>
      </c>
    </row>
    <row r="354" spans="1:6" x14ac:dyDescent="0.3">
      <c r="A354" t="s">
        <v>4175</v>
      </c>
      <c r="B354" t="s">
        <v>5573</v>
      </c>
      <c r="C354" t="s">
        <v>4938</v>
      </c>
      <c r="D354" t="str" cm="1">
        <f t="array" ref="D354">TRANSPOSE(_xlfn._xlws.FILTER('Controllable Asset Registry'!$A$4:$A$764,IFERROR('Controllable Asset Registry'!$E$4:$E$764=A354,FALSE),"No Equipment in entity"))</f>
        <v>VAV0164</v>
      </c>
    </row>
    <row r="355" spans="1:6" x14ac:dyDescent="0.3">
      <c r="A355" t="s">
        <v>4176</v>
      </c>
      <c r="B355" t="s">
        <v>5574</v>
      </c>
      <c r="C355" t="s">
        <v>4938</v>
      </c>
      <c r="D355" t="str" cm="1">
        <f t="array" ref="D355">TRANSPOSE(_xlfn._xlws.FILTER('Controllable Asset Registry'!$A$4:$A$764,IFERROR('Controllable Asset Registry'!$E$4:$E$764=A355,FALSE),"No Equipment in entity"))</f>
        <v>VAV0165</v>
      </c>
    </row>
    <row r="356" spans="1:6" x14ac:dyDescent="0.3">
      <c r="A356" t="s">
        <v>4177</v>
      </c>
      <c r="B356" t="s">
        <v>5575</v>
      </c>
      <c r="C356" t="s">
        <v>4938</v>
      </c>
      <c r="D356" t="str" cm="1">
        <f t="array" ref="D356">TRANSPOSE(_xlfn._xlws.FILTER('Controllable Asset Registry'!$A$4:$A$764,IFERROR('Controllable Asset Registry'!$E$4:$E$764=A356,FALSE),"No Equipment in entity"))</f>
        <v>VAV0166</v>
      </c>
    </row>
    <row r="357" spans="1:6" x14ac:dyDescent="0.3">
      <c r="A357" t="s">
        <v>4178</v>
      </c>
      <c r="B357" t="s">
        <v>5576</v>
      </c>
      <c r="C357" t="s">
        <v>4938</v>
      </c>
      <c r="D357" t="str" cm="1">
        <f t="array" ref="D357">TRANSPOSE(_xlfn._xlws.FILTER('Controllable Asset Registry'!$A$4:$A$764,IFERROR('Controllable Asset Registry'!$E$4:$E$764=A357,FALSE),"No Equipment in entity"))</f>
        <v>VAV0167</v>
      </c>
    </row>
    <row r="358" spans="1:6" x14ac:dyDescent="0.3">
      <c r="A358" t="s">
        <v>4179</v>
      </c>
      <c r="B358" t="s">
        <v>5577</v>
      </c>
      <c r="C358" t="s">
        <v>4938</v>
      </c>
      <c r="D358" t="str" cm="1">
        <f t="array" ref="D358">TRANSPOSE(_xlfn._xlws.FILTER('Controllable Asset Registry'!$A$4:$A$764,IFERROR('Controllable Asset Registry'!$E$4:$E$764=A358,FALSE),"No Equipment in entity"))</f>
        <v>VAV0168</v>
      </c>
    </row>
    <row r="359" spans="1:6" x14ac:dyDescent="0.3">
      <c r="A359" t="s">
        <v>4180</v>
      </c>
      <c r="B359" t="s">
        <v>5578</v>
      </c>
      <c r="C359" t="s">
        <v>4938</v>
      </c>
      <c r="D359" t="str" cm="1">
        <f t="array" ref="D359">TRANSPOSE(_xlfn._xlws.FILTER('Controllable Asset Registry'!$A$4:$A$764,IFERROR('Controllable Asset Registry'!$E$4:$E$764=A359,FALSE),"No Equipment in entity"))</f>
        <v>VAV0169</v>
      </c>
    </row>
    <row r="360" spans="1:6" x14ac:dyDescent="0.3">
      <c r="A360" t="s">
        <v>4181</v>
      </c>
      <c r="B360" t="s">
        <v>5579</v>
      </c>
      <c r="C360" t="s">
        <v>4938</v>
      </c>
      <c r="D360" t="str" cm="1">
        <f t="array" ref="D360">TRANSPOSE(_xlfn._xlws.FILTER('Controllable Asset Registry'!$A$4:$A$764,IFERROR('Controllable Asset Registry'!$E$4:$E$764=A360,FALSE),"No Equipment in entity"))</f>
        <v>VAV0170</v>
      </c>
    </row>
    <row r="361" spans="1:6" x14ac:dyDescent="0.3">
      <c r="A361" t="s">
        <v>4182</v>
      </c>
      <c r="B361" t="s">
        <v>5580</v>
      </c>
      <c r="C361" t="s">
        <v>4938</v>
      </c>
      <c r="D361" t="str" cm="1">
        <f t="array" ref="D361">TRANSPOSE(_xlfn._xlws.FILTER('Controllable Asset Registry'!$A$4:$A$764,IFERROR('Controllable Asset Registry'!$E$4:$E$764=A361,FALSE),"No Equipment in entity"))</f>
        <v>VAV0171</v>
      </c>
    </row>
    <row r="362" spans="1:6" x14ac:dyDescent="0.3">
      <c r="A362" t="s">
        <v>4183</v>
      </c>
      <c r="B362" t="s">
        <v>5581</v>
      </c>
      <c r="C362" t="s">
        <v>4940</v>
      </c>
      <c r="D362" t="str" cm="1">
        <f t="array" ref="D362">TRANSPOSE(_xlfn._xlws.FILTER('Controllable Asset Registry'!$A$4:$A$764,IFERROR('Controllable Asset Registry'!$E$4:$E$764=A362,FALSE),"No Equipment in entity"))</f>
        <v>VAV0172</v>
      </c>
    </row>
    <row r="363" spans="1:6" x14ac:dyDescent="0.3">
      <c r="A363" t="s">
        <v>4184</v>
      </c>
      <c r="B363" t="s">
        <v>5582</v>
      </c>
      <c r="C363" t="s">
        <v>4941</v>
      </c>
      <c r="D363" t="str" cm="1">
        <f t="array" ref="D363:E363">TRANSPOSE(_xlfn._xlws.FILTER('Controllable Asset Registry'!$A$4:$A$764,IFERROR('Controllable Asset Registry'!$E$4:$E$764=A363,FALSE),"No Equipment in entity"))</f>
        <v>VAV0173</v>
      </c>
      <c r="E363" t="str">
        <v>VAV0174</v>
      </c>
    </row>
    <row r="364" spans="1:6" x14ac:dyDescent="0.3">
      <c r="A364" t="s">
        <v>4206</v>
      </c>
      <c r="B364" t="s">
        <v>5583</v>
      </c>
      <c r="C364" t="s">
        <v>4867</v>
      </c>
      <c r="D364" t="str" cm="1">
        <f t="array" ref="D364">TRANSPOSE(_xlfn._xlws.FILTER('Controllable Asset Registry'!$A$4:$A$764,IFERROR('Controllable Asset Registry'!$E$4:$E$764=A364,FALSE),"No Equipment in entity"))</f>
        <v>VAV0199</v>
      </c>
    </row>
    <row r="365" spans="1:6" x14ac:dyDescent="0.3">
      <c r="A365" t="s">
        <v>4190</v>
      </c>
      <c r="B365" t="s">
        <v>5584</v>
      </c>
      <c r="C365" t="s">
        <v>4756</v>
      </c>
      <c r="D365" t="str" cm="1">
        <f t="array" ref="D365:F365">TRANSPOSE(_xlfn._xlws.FILTER('Controllable Asset Registry'!$A$4:$A$764,IFERROR('Controllable Asset Registry'!$E$4:$E$764=A365,FALSE),"No Equipment in entity"))</f>
        <v>VAV0181</v>
      </c>
      <c r="E365" t="str">
        <v>VAV0182</v>
      </c>
      <c r="F365" t="str">
        <v>VAV0183</v>
      </c>
    </row>
    <row r="366" spans="1:6" x14ac:dyDescent="0.3">
      <c r="A366" t="s">
        <v>3999</v>
      </c>
      <c r="B366" t="s">
        <v>5585</v>
      </c>
      <c r="C366" t="s">
        <v>4836</v>
      </c>
      <c r="D366" t="str" cm="1">
        <f t="array" ref="D366">TRANSPOSE(_xlfn._xlws.FILTER('Controllable Asset Registry'!$A$4:$A$764,IFERROR('Controllable Asset Registry'!$E$4:$E$764=A366,FALSE),"No Equipment in entity"))</f>
        <v>FCU0063</v>
      </c>
    </row>
    <row r="367" spans="1:6" x14ac:dyDescent="0.3">
      <c r="A367" t="s">
        <v>4191</v>
      </c>
      <c r="B367" t="s">
        <v>5586</v>
      </c>
      <c r="C367" t="s">
        <v>4940</v>
      </c>
      <c r="D367" t="str" cm="1">
        <f t="array" ref="D367">TRANSPOSE(_xlfn._xlws.FILTER('Controllable Asset Registry'!$A$4:$A$764,IFERROR('Controllable Asset Registry'!$E$4:$E$764=A367,FALSE),"No Equipment in entity"))</f>
        <v>VAV0184</v>
      </c>
    </row>
    <row r="368" spans="1:6" x14ac:dyDescent="0.3">
      <c r="A368" t="s">
        <v>4942</v>
      </c>
      <c r="B368" t="s">
        <v>5587</v>
      </c>
      <c r="C368" t="s">
        <v>4707</v>
      </c>
      <c r="D368" t="str" cm="1">
        <f t="array" ref="D368">TRANSPOSE(_xlfn._xlws.FILTER('Controllable Asset Registry'!$A$4:$A$764,IFERROR('Controllable Asset Registry'!$E$4:$E$764=A368,FALSE),"No Equipment in entity"))</f>
        <v>No Equipment in entity</v>
      </c>
    </row>
    <row r="369" spans="1:5" x14ac:dyDescent="0.3">
      <c r="A369" t="s">
        <v>4943</v>
      </c>
      <c r="B369" t="s">
        <v>5588</v>
      </c>
      <c r="C369" t="s">
        <v>4865</v>
      </c>
      <c r="D369" t="str" cm="1">
        <f t="array" ref="D369">TRANSPOSE(_xlfn._xlws.FILTER('Controllable Asset Registry'!$A$4:$A$764,IFERROR('Controllable Asset Registry'!$E$4:$E$764=A369,FALSE),"No Equipment in entity"))</f>
        <v>No Equipment in entity</v>
      </c>
    </row>
    <row r="370" spans="1:5" x14ac:dyDescent="0.3">
      <c r="A370" t="s">
        <v>4944</v>
      </c>
      <c r="B370" t="s">
        <v>5589</v>
      </c>
      <c r="C370" t="s">
        <v>4867</v>
      </c>
      <c r="D370" t="str" cm="1">
        <f t="array" ref="D370">TRANSPOSE(_xlfn._xlws.FILTER('Controllable Asset Registry'!$A$4:$A$764,IFERROR('Controllable Asset Registry'!$E$4:$E$764=A370,FALSE),"No Equipment in entity"))</f>
        <v>No Equipment in entity</v>
      </c>
    </row>
    <row r="371" spans="1:5" x14ac:dyDescent="0.3">
      <c r="A371" t="s">
        <v>4945</v>
      </c>
      <c r="B371" t="s">
        <v>5590</v>
      </c>
      <c r="C371" t="s">
        <v>4614</v>
      </c>
      <c r="D371" t="str" cm="1">
        <f t="array" ref="D371">TRANSPOSE(_xlfn._xlws.FILTER('Controllable Asset Registry'!$A$4:$A$764,IFERROR('Controllable Asset Registry'!$E$4:$E$764=A371,FALSE),"No Equipment in entity"))</f>
        <v>No Equipment in entity</v>
      </c>
    </row>
    <row r="372" spans="1:5" x14ac:dyDescent="0.3">
      <c r="A372" t="s">
        <v>4222</v>
      </c>
      <c r="B372" t="s">
        <v>5591</v>
      </c>
      <c r="C372" t="s">
        <v>4946</v>
      </c>
      <c r="D372" t="str" cm="1">
        <f t="array" ref="D372">TRANSPOSE(_xlfn._xlws.FILTER('Controllable Asset Registry'!$A$4:$A$764,IFERROR('Controllable Asset Registry'!$E$4:$E$764=A372,FALSE),"No Equipment in entity"))</f>
        <v>VAV0217</v>
      </c>
    </row>
    <row r="373" spans="1:5" x14ac:dyDescent="0.3">
      <c r="A373" t="s">
        <v>3998</v>
      </c>
      <c r="B373" t="s">
        <v>5592</v>
      </c>
      <c r="C373" t="s">
        <v>4947</v>
      </c>
      <c r="D373" t="str" cm="1">
        <f t="array" ref="D373">TRANSPOSE(_xlfn._xlws.FILTER('Controllable Asset Registry'!$A$4:$A$764,IFERROR('Controllable Asset Registry'!$E$4:$E$764=A373,FALSE),"No Equipment in entity"))</f>
        <v>FCU0062</v>
      </c>
    </row>
    <row r="374" spans="1:5" x14ac:dyDescent="0.3">
      <c r="A374" t="s">
        <v>4948</v>
      </c>
      <c r="B374" t="s">
        <v>5593</v>
      </c>
      <c r="C374" t="s">
        <v>4707</v>
      </c>
      <c r="D374" t="str" cm="1">
        <f t="array" ref="D374">TRANSPOSE(_xlfn._xlws.FILTER('Controllable Asset Registry'!$A$4:$A$764,IFERROR('Controllable Asset Registry'!$E$4:$E$764=A374,FALSE),"No Equipment in entity"))</f>
        <v>No Equipment in entity</v>
      </c>
    </row>
    <row r="375" spans="1:5" x14ac:dyDescent="0.3">
      <c r="A375" t="s">
        <v>4210</v>
      </c>
      <c r="B375" t="s">
        <v>5594</v>
      </c>
      <c r="C375" t="s">
        <v>4949</v>
      </c>
      <c r="D375" t="str" cm="1">
        <f t="array" ref="D375">TRANSPOSE(_xlfn._xlws.FILTER('Controllable Asset Registry'!$A$4:$A$764,IFERROR('Controllable Asset Registry'!$E$4:$E$764=A375,FALSE),"No Equipment in entity"))</f>
        <v>VAV0204</v>
      </c>
    </row>
    <row r="376" spans="1:5" x14ac:dyDescent="0.3">
      <c r="A376" t="s">
        <v>4211</v>
      </c>
      <c r="B376" t="s">
        <v>5595</v>
      </c>
      <c r="C376" t="s">
        <v>4950</v>
      </c>
      <c r="D376" t="str" cm="1">
        <f t="array" ref="D376">TRANSPOSE(_xlfn._xlws.FILTER('Controllable Asset Registry'!$A$4:$A$764,IFERROR('Controllable Asset Registry'!$E$4:$E$764=A376,FALSE),"No Equipment in entity"))</f>
        <v>VAV0205</v>
      </c>
    </row>
    <row r="377" spans="1:5" x14ac:dyDescent="0.3">
      <c r="A377" t="s">
        <v>4212</v>
      </c>
      <c r="B377" t="s">
        <v>5596</v>
      </c>
      <c r="C377" t="s">
        <v>4950</v>
      </c>
      <c r="D377" t="str" cm="1">
        <f t="array" ref="D377">TRANSPOSE(_xlfn._xlws.FILTER('Controllable Asset Registry'!$A$4:$A$764,IFERROR('Controllable Asset Registry'!$E$4:$E$764=A377,FALSE),"No Equipment in entity"))</f>
        <v>VAV0206</v>
      </c>
    </row>
    <row r="378" spans="1:5" x14ac:dyDescent="0.3">
      <c r="A378" t="s">
        <v>4213</v>
      </c>
      <c r="B378" t="s">
        <v>5597</v>
      </c>
      <c r="C378" t="s">
        <v>4950</v>
      </c>
      <c r="D378" t="str" cm="1">
        <f t="array" ref="D378">TRANSPOSE(_xlfn._xlws.FILTER('Controllable Asset Registry'!$A$4:$A$764,IFERROR('Controllable Asset Registry'!$E$4:$E$764=A378,FALSE),"No Equipment in entity"))</f>
        <v>VAV0207</v>
      </c>
    </row>
    <row r="379" spans="1:5" x14ac:dyDescent="0.3">
      <c r="A379" t="s">
        <v>4214</v>
      </c>
      <c r="B379" t="s">
        <v>5598</v>
      </c>
      <c r="C379" t="s">
        <v>4950</v>
      </c>
      <c r="D379" t="str" cm="1">
        <f t="array" ref="D379">TRANSPOSE(_xlfn._xlws.FILTER('Controllable Asset Registry'!$A$4:$A$764,IFERROR('Controllable Asset Registry'!$E$4:$E$764=A379,FALSE),"No Equipment in entity"))</f>
        <v>VAV0208</v>
      </c>
    </row>
    <row r="380" spans="1:5" x14ac:dyDescent="0.3">
      <c r="A380" t="s">
        <v>4215</v>
      </c>
      <c r="B380" t="s">
        <v>5599</v>
      </c>
      <c r="C380" t="s">
        <v>4951</v>
      </c>
      <c r="D380" t="str" cm="1">
        <f t="array" ref="D380:E380">TRANSPOSE(_xlfn._xlws.FILTER('Controllable Asset Registry'!$A$4:$A$764,IFERROR('Controllable Asset Registry'!$E$4:$E$764=A380,FALSE),"No Equipment in entity"))</f>
        <v>VAV0209</v>
      </c>
      <c r="E380" t="str">
        <v>VAV0210</v>
      </c>
    </row>
    <row r="381" spans="1:5" x14ac:dyDescent="0.3">
      <c r="A381" t="s">
        <v>4216</v>
      </c>
      <c r="B381" t="s">
        <v>5600</v>
      </c>
      <c r="C381" t="s">
        <v>4950</v>
      </c>
      <c r="D381" t="str" cm="1">
        <f t="array" ref="D381">TRANSPOSE(_xlfn._xlws.FILTER('Controllable Asset Registry'!$A$4:$A$764,IFERROR('Controllable Asset Registry'!$E$4:$E$764=A381,FALSE),"No Equipment in entity"))</f>
        <v>VAV0211</v>
      </c>
    </row>
    <row r="382" spans="1:5" x14ac:dyDescent="0.3">
      <c r="A382" t="s">
        <v>4217</v>
      </c>
      <c r="B382" t="s">
        <v>5601</v>
      </c>
      <c r="C382" t="s">
        <v>4952</v>
      </c>
      <c r="D382" t="str" cm="1">
        <f t="array" ref="D382">TRANSPOSE(_xlfn._xlws.FILTER('Controllable Asset Registry'!$A$4:$A$764,IFERROR('Controllable Asset Registry'!$E$4:$E$764=A382,FALSE),"No Equipment in entity"))</f>
        <v>VAV0212</v>
      </c>
    </row>
    <row r="383" spans="1:5" x14ac:dyDescent="0.3">
      <c r="A383" t="s">
        <v>4218</v>
      </c>
      <c r="B383" t="s">
        <v>5602</v>
      </c>
      <c r="C383" t="s">
        <v>4953</v>
      </c>
      <c r="D383" t="str" cm="1">
        <f t="array" ref="D383">TRANSPOSE(_xlfn._xlws.FILTER('Controllable Asset Registry'!$A$4:$A$764,IFERROR('Controllable Asset Registry'!$E$4:$E$764=A383,FALSE),"No Equipment in entity"))</f>
        <v>VAV0213</v>
      </c>
    </row>
    <row r="384" spans="1:5" x14ac:dyDescent="0.3">
      <c r="A384" t="s">
        <v>4219</v>
      </c>
      <c r="B384" t="s">
        <v>5603</v>
      </c>
      <c r="C384" t="s">
        <v>4954</v>
      </c>
      <c r="D384" t="str" cm="1">
        <f t="array" ref="D384">TRANSPOSE(_xlfn._xlws.FILTER('Controllable Asset Registry'!$A$4:$A$764,IFERROR('Controllable Asset Registry'!$E$4:$E$764=A384,FALSE),"No Equipment in entity"))</f>
        <v>VAV0214</v>
      </c>
    </row>
    <row r="385" spans="1:5" x14ac:dyDescent="0.3">
      <c r="A385" t="s">
        <v>4220</v>
      </c>
      <c r="B385" t="s">
        <v>5604</v>
      </c>
      <c r="C385" t="s">
        <v>4955</v>
      </c>
      <c r="D385" t="str" cm="1">
        <f t="array" ref="D385">TRANSPOSE(_xlfn._xlws.FILTER('Controllable Asset Registry'!$A$4:$A$764,IFERROR('Controllable Asset Registry'!$E$4:$E$764=A385,FALSE),"No Equipment in entity"))</f>
        <v>VAV0215</v>
      </c>
    </row>
    <row r="386" spans="1:5" x14ac:dyDescent="0.3">
      <c r="A386" t="s">
        <v>4221</v>
      </c>
      <c r="B386" t="s">
        <v>5605</v>
      </c>
      <c r="C386" t="s">
        <v>4956</v>
      </c>
      <c r="D386" t="str" cm="1">
        <f t="array" ref="D386">TRANSPOSE(_xlfn._xlws.FILTER('Controllable Asset Registry'!$A$4:$A$764,IFERROR('Controllable Asset Registry'!$E$4:$E$764=A386,FALSE),"No Equipment in entity"))</f>
        <v>VAV0216</v>
      </c>
    </row>
    <row r="387" spans="1:5" x14ac:dyDescent="0.3">
      <c r="A387" t="s">
        <v>4223</v>
      </c>
      <c r="B387" t="s">
        <v>5606</v>
      </c>
      <c r="C387" t="s">
        <v>4957</v>
      </c>
      <c r="D387" t="str" cm="1">
        <f t="array" ref="D387:E387">TRANSPOSE(_xlfn._xlws.FILTER('Controllable Asset Registry'!$A$4:$A$764,IFERROR('Controllable Asset Registry'!$E$4:$E$764=A387,FALSE),"No Equipment in entity"))</f>
        <v>VAV0218</v>
      </c>
      <c r="E387" t="str">
        <v>VAV0219</v>
      </c>
    </row>
    <row r="388" spans="1:5" x14ac:dyDescent="0.3">
      <c r="A388" t="s">
        <v>4224</v>
      </c>
      <c r="B388" t="s">
        <v>5607</v>
      </c>
      <c r="C388" t="s">
        <v>4958</v>
      </c>
      <c r="D388" t="str" cm="1">
        <f t="array" ref="D388">TRANSPOSE(_xlfn._xlws.FILTER('Controllable Asset Registry'!$A$4:$A$764,IFERROR('Controllable Asset Registry'!$E$4:$E$764=A388,FALSE),"No Equipment in entity"))</f>
        <v>VAV0220</v>
      </c>
    </row>
    <row r="389" spans="1:5" x14ac:dyDescent="0.3">
      <c r="A389" t="s">
        <v>4959</v>
      </c>
      <c r="B389" t="s">
        <v>5608</v>
      </c>
      <c r="C389" t="s">
        <v>4625</v>
      </c>
      <c r="D389" t="str" cm="1">
        <f t="array" ref="D389">TRANSPOSE(_xlfn._xlws.FILTER('Controllable Asset Registry'!$A$4:$A$764,IFERROR('Controllable Asset Registry'!$E$4:$E$764=A389,FALSE),"No Equipment in entity"))</f>
        <v>No Equipment in entity</v>
      </c>
    </row>
    <row r="390" spans="1:5" x14ac:dyDescent="0.3">
      <c r="A390" t="s">
        <v>4960</v>
      </c>
      <c r="B390" t="s">
        <v>5609</v>
      </c>
      <c r="C390" t="s">
        <v>4628</v>
      </c>
      <c r="D390" t="str" cm="1">
        <f t="array" ref="D390">TRANSPOSE(_xlfn._xlws.FILTER('Controllable Asset Registry'!$A$4:$A$764,IFERROR('Controllable Asset Registry'!$E$4:$E$764=A390,FALSE),"No Equipment in entity"))</f>
        <v>No Equipment in entity</v>
      </c>
    </row>
    <row r="391" spans="1:5" x14ac:dyDescent="0.3">
      <c r="A391" t="s">
        <v>4961</v>
      </c>
      <c r="B391" t="s">
        <v>5610</v>
      </c>
      <c r="C391" t="s">
        <v>4625</v>
      </c>
      <c r="D391" t="str" cm="1">
        <f t="array" ref="D391">TRANSPOSE(_xlfn._xlws.FILTER('Controllable Asset Registry'!$A$4:$A$764,IFERROR('Controllable Asset Registry'!$E$4:$E$764=A391,FALSE),"No Equipment in entity"))</f>
        <v>No Equipment in entity</v>
      </c>
    </row>
    <row r="392" spans="1:5" x14ac:dyDescent="0.3">
      <c r="A392" t="s">
        <v>4962</v>
      </c>
      <c r="B392" t="s">
        <v>5611</v>
      </c>
      <c r="C392" t="s">
        <v>4628</v>
      </c>
      <c r="D392" t="str" cm="1">
        <f t="array" ref="D392">TRANSPOSE(_xlfn._xlws.FILTER('Controllable Asset Registry'!$A$4:$A$764,IFERROR('Controllable Asset Registry'!$E$4:$E$764=A392,FALSE),"No Equipment in entity"))</f>
        <v>No Equipment in entity</v>
      </c>
    </row>
    <row r="393" spans="1:5" x14ac:dyDescent="0.3">
      <c r="A393" t="s">
        <v>4963</v>
      </c>
      <c r="B393" t="s">
        <v>5612</v>
      </c>
      <c r="C393" t="s">
        <v>4625</v>
      </c>
      <c r="D393" t="str" cm="1">
        <f t="array" ref="D393">TRANSPOSE(_xlfn._xlws.FILTER('Controllable Asset Registry'!$A$4:$A$764,IFERROR('Controllable Asset Registry'!$E$4:$E$764=A393,FALSE),"No Equipment in entity"))</f>
        <v>No Equipment in entity</v>
      </c>
    </row>
    <row r="394" spans="1:5" x14ac:dyDescent="0.3">
      <c r="A394" t="s">
        <v>4964</v>
      </c>
      <c r="B394" t="s">
        <v>5613</v>
      </c>
      <c r="C394" t="s">
        <v>4628</v>
      </c>
      <c r="D394" t="str" cm="1">
        <f t="array" ref="D394">TRANSPOSE(_xlfn._xlws.FILTER('Controllable Asset Registry'!$A$4:$A$764,IFERROR('Controllable Asset Registry'!$E$4:$E$764=A394,FALSE),"No Equipment in entity"))</f>
        <v>No Equipment in entity</v>
      </c>
    </row>
    <row r="395" spans="1:5" x14ac:dyDescent="0.3">
      <c r="A395" t="s">
        <v>4965</v>
      </c>
      <c r="B395" t="s">
        <v>5614</v>
      </c>
      <c r="C395" t="s">
        <v>3761</v>
      </c>
      <c r="D395" t="str" cm="1">
        <f t="array" ref="D395">TRANSPOSE(_xlfn._xlws.FILTER('Controllable Asset Registry'!$A$4:$A$764,IFERROR('Controllable Asset Registry'!$E$4:$E$764=A395,FALSE),"No Equipment in entity"))</f>
        <v>No Equipment in entity</v>
      </c>
    </row>
    <row r="396" spans="1:5" x14ac:dyDescent="0.3">
      <c r="A396" t="s">
        <v>4966</v>
      </c>
      <c r="B396" t="s">
        <v>5615</v>
      </c>
      <c r="C396" t="s">
        <v>3761</v>
      </c>
      <c r="D396" t="str" cm="1">
        <f t="array" ref="D396">TRANSPOSE(_xlfn._xlws.FILTER('Controllable Asset Registry'!$A$4:$A$764,IFERROR('Controllable Asset Registry'!$E$4:$E$764=A396,FALSE),"No Equipment in entity"))</f>
        <v>No Equipment in entity</v>
      </c>
    </row>
    <row r="397" spans="1:5" x14ac:dyDescent="0.3">
      <c r="A397" t="s">
        <v>4967</v>
      </c>
      <c r="B397" t="s">
        <v>5616</v>
      </c>
      <c r="C397" t="s">
        <v>3761</v>
      </c>
      <c r="D397" t="str" cm="1">
        <f t="array" ref="D397">TRANSPOSE(_xlfn._xlws.FILTER('Controllable Asset Registry'!$A$4:$A$764,IFERROR('Controllable Asset Registry'!$E$4:$E$764=A397,FALSE),"No Equipment in entity"))</f>
        <v>No Equipment in entity</v>
      </c>
    </row>
    <row r="398" spans="1:5" x14ac:dyDescent="0.3">
      <c r="A398" t="s">
        <v>4968</v>
      </c>
      <c r="B398" t="s">
        <v>5617</v>
      </c>
      <c r="C398" t="s">
        <v>3758</v>
      </c>
      <c r="D398" t="str" cm="1">
        <f t="array" ref="D398">TRANSPOSE(_xlfn._xlws.FILTER('Controllable Asset Registry'!$A$4:$A$764,IFERROR('Controllable Asset Registry'!$E$4:$E$764=A398,FALSE),"No Equipment in entity"))</f>
        <v>No Equipment in entity</v>
      </c>
    </row>
    <row r="399" spans="1:5" x14ac:dyDescent="0.3">
      <c r="A399" t="s">
        <v>3997</v>
      </c>
      <c r="B399" t="s">
        <v>5618</v>
      </c>
      <c r="C399" t="s">
        <v>4634</v>
      </c>
      <c r="D399" t="str" cm="1">
        <f t="array" ref="D399">TRANSPOSE(_xlfn._xlws.FILTER('Controllable Asset Registry'!$A$4:$A$764,IFERROR('Controllable Asset Registry'!$E$4:$E$764=A399,FALSE),"No Equipment in entity"))</f>
        <v>FCU0061</v>
      </c>
    </row>
    <row r="400" spans="1:5" x14ac:dyDescent="0.3">
      <c r="A400" t="s">
        <v>4969</v>
      </c>
      <c r="B400" t="s">
        <v>5619</v>
      </c>
      <c r="C400" t="s">
        <v>3758</v>
      </c>
      <c r="D400" t="str" cm="1">
        <f t="array" ref="D400">TRANSPOSE(_xlfn._xlws.FILTER('Controllable Asset Registry'!$A$4:$A$764,IFERROR('Controllable Asset Registry'!$E$4:$E$764=A400,FALSE),"No Equipment in entity"))</f>
        <v>No Equipment in entity</v>
      </c>
    </row>
    <row r="401" spans="1:6" x14ac:dyDescent="0.3">
      <c r="A401" t="s">
        <v>3996</v>
      </c>
      <c r="B401" t="s">
        <v>5620</v>
      </c>
      <c r="C401" t="s">
        <v>4634</v>
      </c>
      <c r="D401" t="str" cm="1">
        <f t="array" ref="D401:E401">TRANSPOSE(_xlfn._xlws.FILTER('Controllable Asset Registry'!$A$4:$A$764,IFERROR('Controllable Asset Registry'!$E$4:$E$764=A401,FALSE),"No Equipment in entity"))</f>
        <v>FCU0059</v>
      </c>
      <c r="E401" t="str">
        <v>FCU0060</v>
      </c>
    </row>
    <row r="402" spans="1:6" x14ac:dyDescent="0.3">
      <c r="A402" t="s">
        <v>4970</v>
      </c>
      <c r="B402" t="s">
        <v>5621</v>
      </c>
      <c r="C402" t="s">
        <v>4776</v>
      </c>
      <c r="D402" t="str" cm="1">
        <f t="array" ref="D402">TRANSPOSE(_xlfn._xlws.FILTER('Controllable Asset Registry'!$A$4:$A$764,IFERROR('Controllable Asset Registry'!$E$4:$E$764=A402,FALSE),"No Equipment in entity"))</f>
        <v>No Equipment in entity</v>
      </c>
    </row>
    <row r="403" spans="1:6" x14ac:dyDescent="0.3">
      <c r="A403" t="s">
        <v>4971</v>
      </c>
      <c r="B403" t="s">
        <v>5622</v>
      </c>
      <c r="C403" t="s">
        <v>4972</v>
      </c>
      <c r="D403" t="str" cm="1">
        <f t="array" ref="D403">TRANSPOSE(_xlfn._xlws.FILTER('Controllable Asset Registry'!$A$4:$A$764,IFERROR('Controllable Asset Registry'!$E$4:$E$764=A403,FALSE),"No Equipment in entity"))</f>
        <v>No Equipment in entity</v>
      </c>
    </row>
    <row r="404" spans="1:6" x14ac:dyDescent="0.3">
      <c r="A404" t="s">
        <v>4973</v>
      </c>
      <c r="B404" t="s">
        <v>5623</v>
      </c>
      <c r="C404" t="s">
        <v>3758</v>
      </c>
      <c r="D404" t="str" cm="1">
        <f t="array" ref="D404">TRANSPOSE(_xlfn._xlws.FILTER('Controllable Asset Registry'!$A$4:$A$764,IFERROR('Controllable Asset Registry'!$E$4:$E$764=A404,FALSE),"No Equipment in entity"))</f>
        <v>No Equipment in entity</v>
      </c>
    </row>
    <row r="405" spans="1:6" x14ac:dyDescent="0.3">
      <c r="A405" t="s">
        <v>4186</v>
      </c>
      <c r="B405" t="s">
        <v>5624</v>
      </c>
      <c r="C405" t="s">
        <v>4933</v>
      </c>
      <c r="D405" t="str" cm="1">
        <f t="array" ref="D405:F405">TRANSPOSE(_xlfn._xlws.FILTER('Controllable Asset Registry'!$A$4:$A$764,IFERROR('Controllable Asset Registry'!$E$4:$E$764=A405,FALSE),"No Equipment in entity"))</f>
        <v>VAV0176</v>
      </c>
      <c r="E405" t="str">
        <v>VAV0179</v>
      </c>
      <c r="F405" t="str">
        <v>VAV0201</v>
      </c>
    </row>
    <row r="406" spans="1:6" x14ac:dyDescent="0.3">
      <c r="A406" t="s">
        <v>4225</v>
      </c>
      <c r="B406" t="s">
        <v>5625</v>
      </c>
      <c r="C406" t="s">
        <v>4974</v>
      </c>
      <c r="D406" t="str" cm="1">
        <f t="array" ref="D406">TRANSPOSE(_xlfn._xlws.FILTER('Controllable Asset Registry'!$A$4:$A$764,IFERROR('Controllable Asset Registry'!$E$4:$E$764=A406,FALSE),"No Equipment in entity"))</f>
        <v>VAV0221</v>
      </c>
    </row>
    <row r="407" spans="1:6" x14ac:dyDescent="0.3">
      <c r="A407" t="s">
        <v>4000</v>
      </c>
      <c r="B407" t="s">
        <v>5626</v>
      </c>
      <c r="C407" t="s">
        <v>4975</v>
      </c>
      <c r="D407" t="str" cm="1">
        <f t="array" ref="D407:F407">TRANSPOSE(_xlfn._xlws.FILTER('Controllable Asset Registry'!$A$4:$A$764,IFERROR('Controllable Asset Registry'!$E$4:$E$764=A407,FALSE),"No Equipment in entity"))</f>
        <v>FCU0064</v>
      </c>
      <c r="E407" t="str">
        <v>FCU0065</v>
      </c>
      <c r="F407" t="str">
        <v>FCU0066</v>
      </c>
    </row>
    <row r="408" spans="1:6" x14ac:dyDescent="0.3">
      <c r="A408" t="s">
        <v>6186</v>
      </c>
      <c r="B408" t="s">
        <v>6187</v>
      </c>
      <c r="C408" t="s">
        <v>4790</v>
      </c>
      <c r="D408" t="str" cm="1">
        <f t="array" ref="D408">TRANSPOSE(_xlfn._xlws.FILTER('Controllable Asset Registry'!$A$4:$A$764,IFERROR('Controllable Asset Registry'!$E$4:$E$764=A408,FALSE),"No Equipment in entity"))</f>
        <v>No Equipment in entity</v>
      </c>
    </row>
    <row r="409" spans="1:6" x14ac:dyDescent="0.3">
      <c r="A409" t="s">
        <v>6188</v>
      </c>
      <c r="B409" t="s">
        <v>6189</v>
      </c>
      <c r="C409" t="s">
        <v>4793</v>
      </c>
      <c r="D409" t="str" cm="1">
        <f t="array" ref="D409">TRANSPOSE(_xlfn._xlws.FILTER('Controllable Asset Registry'!$A$4:$A$764,IFERROR('Controllable Asset Registry'!$E$4:$E$764=A409,FALSE),"No Equipment in entity"))</f>
        <v>No Equipment in entity</v>
      </c>
    </row>
    <row r="410" spans="1:6" x14ac:dyDescent="0.3">
      <c r="A410" t="s">
        <v>6190</v>
      </c>
      <c r="B410" t="s">
        <v>6191</v>
      </c>
      <c r="C410" t="s">
        <v>4796</v>
      </c>
      <c r="D410" t="str" cm="1">
        <f t="array" ref="D410">TRANSPOSE(_xlfn._xlws.FILTER('Controllable Asset Registry'!$A$4:$A$764,IFERROR('Controllable Asset Registry'!$E$4:$E$764=A410,FALSE),"No Equipment in entity"))</f>
        <v>No Equipment in entity</v>
      </c>
    </row>
    <row r="411" spans="1:6" x14ac:dyDescent="0.3">
      <c r="A411" t="s">
        <v>6192</v>
      </c>
      <c r="B411" t="s">
        <v>6193</v>
      </c>
      <c r="C411" t="s">
        <v>4799</v>
      </c>
      <c r="D411" t="str" cm="1">
        <f t="array" ref="D411">TRANSPOSE(_xlfn._xlws.FILTER('Controllable Asset Registry'!$A$4:$A$764,IFERROR('Controllable Asset Registry'!$E$4:$E$764=A411,FALSE),"No Equipment in entity"))</f>
        <v>No Equipment in entity</v>
      </c>
    </row>
    <row r="412" spans="1:6" x14ac:dyDescent="0.3">
      <c r="A412" t="s">
        <v>6194</v>
      </c>
      <c r="B412" t="s">
        <v>6195</v>
      </c>
      <c r="C412" t="s">
        <v>4663</v>
      </c>
      <c r="D412" t="str" cm="1">
        <f t="array" ref="D412">TRANSPOSE(_xlfn._xlws.FILTER('Controllable Asset Registry'!$A$4:$A$764,IFERROR('Controllable Asset Registry'!$E$4:$E$764=A412,FALSE),"No Equipment in entity"))</f>
        <v>No Equipment in entity</v>
      </c>
    </row>
    <row r="413" spans="1:6" x14ac:dyDescent="0.3">
      <c r="A413" t="s">
        <v>6196</v>
      </c>
      <c r="B413" t="s">
        <v>6197</v>
      </c>
      <c r="C413" t="s">
        <v>4666</v>
      </c>
      <c r="D413" t="str" cm="1">
        <f t="array" ref="D413">TRANSPOSE(_xlfn._xlws.FILTER('Controllable Asset Registry'!$A$4:$A$764,IFERROR('Controllable Asset Registry'!$E$4:$E$764=A413,FALSE),"No Equipment in entity"))</f>
        <v>No Equipment in entity</v>
      </c>
    </row>
    <row r="414" spans="1:6" x14ac:dyDescent="0.3">
      <c r="A414" t="s">
        <v>6198</v>
      </c>
      <c r="B414" t="s">
        <v>6199</v>
      </c>
      <c r="C414" t="s">
        <v>4669</v>
      </c>
      <c r="D414" t="str" cm="1">
        <f t="array" ref="D414">TRANSPOSE(_xlfn._xlws.FILTER('Controllable Asset Registry'!$A$4:$A$764,IFERROR('Controllable Asset Registry'!$E$4:$E$764=A414,FALSE),"No Equipment in entity"))</f>
        <v>No Equipment in entity</v>
      </c>
    </row>
    <row r="415" spans="1:6" x14ac:dyDescent="0.3">
      <c r="A415" t="s">
        <v>6200</v>
      </c>
      <c r="B415" t="s">
        <v>6201</v>
      </c>
      <c r="C415" t="s">
        <v>4808</v>
      </c>
      <c r="D415" t="str" cm="1">
        <f t="array" ref="D415">TRANSPOSE(_xlfn._xlws.FILTER('Controllable Asset Registry'!$A$4:$A$764,IFERROR('Controllable Asset Registry'!$E$4:$E$764=A415,FALSE),"No Equipment in entity"))</f>
        <v>No Equipment in entity</v>
      </c>
    </row>
    <row r="416" spans="1:6" x14ac:dyDescent="0.3">
      <c r="A416" t="s">
        <v>6202</v>
      </c>
      <c r="B416" t="s">
        <v>6203</v>
      </c>
      <c r="C416" t="s">
        <v>4674</v>
      </c>
      <c r="D416" t="str" cm="1">
        <f t="array" ref="D416">TRANSPOSE(_xlfn._xlws.FILTER('Controllable Asset Registry'!$A$4:$A$764,IFERROR('Controllable Asset Registry'!$E$4:$E$764=A416,FALSE),"No Equipment in entity"))</f>
        <v>No Equipment in entity</v>
      </c>
    </row>
    <row r="417" spans="1:4" x14ac:dyDescent="0.3">
      <c r="A417" t="s">
        <v>6204</v>
      </c>
      <c r="B417" t="s">
        <v>6205</v>
      </c>
      <c r="C417" t="s">
        <v>4676</v>
      </c>
      <c r="D417" t="str" cm="1">
        <f t="array" ref="D417">TRANSPOSE(_xlfn._xlws.FILTER('Controllable Asset Registry'!$A$4:$A$764,IFERROR('Controllable Asset Registry'!$E$4:$E$764=A417,FALSE),"No Equipment in entity"))</f>
        <v>No Equipment in entity</v>
      </c>
    </row>
    <row r="418" spans="1:4" x14ac:dyDescent="0.3">
      <c r="A418" t="s">
        <v>6206</v>
      </c>
      <c r="B418" t="s">
        <v>6207</v>
      </c>
      <c r="C418" t="s">
        <v>4815</v>
      </c>
      <c r="D418" t="str" cm="1">
        <f t="array" ref="D418">TRANSPOSE(_xlfn._xlws.FILTER('Controllable Asset Registry'!$A$4:$A$764,IFERROR('Controllable Asset Registry'!$E$4:$E$764=A418,FALSE),"No Equipment in entity"))</f>
        <v>No Equipment in entity</v>
      </c>
    </row>
    <row r="419" spans="1:4" x14ac:dyDescent="0.3">
      <c r="A419" t="s">
        <v>6208</v>
      </c>
      <c r="B419" t="s">
        <v>6209</v>
      </c>
      <c r="C419" t="s">
        <v>4679</v>
      </c>
      <c r="D419" t="str" cm="1">
        <f t="array" ref="D419">TRANSPOSE(_xlfn._xlws.FILTER('Controllable Asset Registry'!$A$4:$A$764,IFERROR('Controllable Asset Registry'!$E$4:$E$764=A419,FALSE),"No Equipment in entity"))</f>
        <v>No Equipment in entity</v>
      </c>
    </row>
    <row r="420" spans="1:4" x14ac:dyDescent="0.3">
      <c r="A420" t="s">
        <v>4241</v>
      </c>
      <c r="B420" t="s">
        <v>5627</v>
      </c>
      <c r="C420" t="s">
        <v>4976</v>
      </c>
      <c r="D420" t="str" cm="1">
        <f t="array" ref="D420">TRANSPOSE(_xlfn._xlws.FILTER('Controllable Asset Registry'!$A$4:$A$764,IFERROR('Controllable Asset Registry'!$E$4:$E$764=A420,FALSE),"No Equipment in entity"))</f>
        <v>VAV0242</v>
      </c>
    </row>
    <row r="421" spans="1:4" x14ac:dyDescent="0.3">
      <c r="A421" t="s">
        <v>4977</v>
      </c>
      <c r="B421" t="s">
        <v>4978</v>
      </c>
      <c r="C421" t="s">
        <v>4979</v>
      </c>
      <c r="D421" t="str" cm="1">
        <f t="array" ref="D421">TRANSPOSE(_xlfn._xlws.FILTER('Controllable Asset Registry'!$A$4:$A$764,IFERROR('Controllable Asset Registry'!$E$4:$E$764=A421,FALSE),"No Equipment in entity"))</f>
        <v>No Equipment in entity</v>
      </c>
    </row>
    <row r="422" spans="1:4" x14ac:dyDescent="0.3">
      <c r="A422" t="s">
        <v>4980</v>
      </c>
      <c r="B422" t="s">
        <v>4981</v>
      </c>
      <c r="C422" t="s">
        <v>4982</v>
      </c>
      <c r="D422" t="str" cm="1">
        <f t="array" ref="D422">TRANSPOSE(_xlfn._xlws.FILTER('Controllable Asset Registry'!$A$4:$A$764,IFERROR('Controllable Asset Registry'!$E$4:$E$764=A422,FALSE),"No Equipment in entity"))</f>
        <v>No Equipment in entity</v>
      </c>
    </row>
    <row r="423" spans="1:4" x14ac:dyDescent="0.3">
      <c r="A423" t="s">
        <v>4226</v>
      </c>
      <c r="B423" t="s">
        <v>5628</v>
      </c>
      <c r="C423" t="s">
        <v>4983</v>
      </c>
      <c r="D423" t="str" cm="1">
        <f t="array" ref="D423">TRANSPOSE(_xlfn._xlws.FILTER('Controllable Asset Registry'!$A$4:$A$764,IFERROR('Controllable Asset Registry'!$E$4:$E$764=A423,FALSE),"No Equipment in entity"))</f>
        <v>VAV0223</v>
      </c>
    </row>
    <row r="424" spans="1:4" x14ac:dyDescent="0.3">
      <c r="A424" t="s">
        <v>4227</v>
      </c>
      <c r="B424" t="s">
        <v>5629</v>
      </c>
      <c r="C424" t="s">
        <v>4976</v>
      </c>
      <c r="D424" t="str" cm="1">
        <f t="array" ref="D424">TRANSPOSE(_xlfn._xlws.FILTER('Controllable Asset Registry'!$A$4:$A$764,IFERROR('Controllable Asset Registry'!$E$4:$E$764=A424,FALSE),"No Equipment in entity"))</f>
        <v>VAV0224</v>
      </c>
    </row>
    <row r="425" spans="1:4" x14ac:dyDescent="0.3">
      <c r="A425" t="s">
        <v>4228</v>
      </c>
      <c r="B425" t="s">
        <v>5630</v>
      </c>
      <c r="C425" t="s">
        <v>4976</v>
      </c>
      <c r="D425" t="str" cm="1">
        <f t="array" ref="D425">TRANSPOSE(_xlfn._xlws.FILTER('Controllable Asset Registry'!$A$4:$A$764,IFERROR('Controllable Asset Registry'!$E$4:$E$764=A425,FALSE),"No Equipment in entity"))</f>
        <v>VAV0225</v>
      </c>
    </row>
    <row r="426" spans="1:4" x14ac:dyDescent="0.3">
      <c r="A426" t="s">
        <v>4229</v>
      </c>
      <c r="B426" t="s">
        <v>5631</v>
      </c>
      <c r="C426" t="s">
        <v>4976</v>
      </c>
      <c r="D426" t="str" cm="1">
        <f t="array" ref="D426">TRANSPOSE(_xlfn._xlws.FILTER('Controllable Asset Registry'!$A$4:$A$764,IFERROR('Controllable Asset Registry'!$E$4:$E$764=A426,FALSE),"No Equipment in entity"))</f>
        <v>VAV0226</v>
      </c>
    </row>
    <row r="427" spans="1:4" x14ac:dyDescent="0.3">
      <c r="A427" t="s">
        <v>4230</v>
      </c>
      <c r="B427" t="s">
        <v>5632</v>
      </c>
      <c r="C427" t="s">
        <v>4984</v>
      </c>
      <c r="D427" t="str" cm="1">
        <f t="array" ref="D427">TRANSPOSE(_xlfn._xlws.FILTER('Controllable Asset Registry'!$A$4:$A$764,IFERROR('Controllable Asset Registry'!$E$4:$E$764=A427,FALSE),"No Equipment in entity"))</f>
        <v>VAV0227</v>
      </c>
    </row>
    <row r="428" spans="1:4" x14ac:dyDescent="0.3">
      <c r="A428" t="s">
        <v>4231</v>
      </c>
      <c r="B428" t="s">
        <v>5633</v>
      </c>
      <c r="C428" t="s">
        <v>4984</v>
      </c>
      <c r="D428" t="str" cm="1">
        <f t="array" ref="D428">TRANSPOSE(_xlfn._xlws.FILTER('Controllable Asset Registry'!$A$4:$A$764,IFERROR('Controllable Asset Registry'!$E$4:$E$764=A428,FALSE),"No Equipment in entity"))</f>
        <v>VAV0228</v>
      </c>
    </row>
    <row r="429" spans="1:4" x14ac:dyDescent="0.3">
      <c r="A429" t="s">
        <v>4232</v>
      </c>
      <c r="B429" t="s">
        <v>5634</v>
      </c>
      <c r="C429" t="s">
        <v>4984</v>
      </c>
      <c r="D429" t="str" cm="1">
        <f t="array" ref="D429">TRANSPOSE(_xlfn._xlws.FILTER('Controllable Asset Registry'!$A$4:$A$764,IFERROR('Controllable Asset Registry'!$E$4:$E$764=A429,FALSE),"No Equipment in entity"))</f>
        <v>VAV0229</v>
      </c>
    </row>
    <row r="430" spans="1:4" x14ac:dyDescent="0.3">
      <c r="A430" t="s">
        <v>4233</v>
      </c>
      <c r="B430" t="s">
        <v>5635</v>
      </c>
      <c r="C430" t="s">
        <v>4984</v>
      </c>
      <c r="D430" t="str" cm="1">
        <f t="array" ref="D430">TRANSPOSE(_xlfn._xlws.FILTER('Controllable Asset Registry'!$A$4:$A$764,IFERROR('Controllable Asset Registry'!$E$4:$E$764=A430,FALSE),"No Equipment in entity"))</f>
        <v>VAV0230</v>
      </c>
    </row>
    <row r="431" spans="1:4" x14ac:dyDescent="0.3">
      <c r="A431" t="s">
        <v>4234</v>
      </c>
      <c r="B431" t="s">
        <v>5636</v>
      </c>
      <c r="C431" t="s">
        <v>4984</v>
      </c>
      <c r="D431" t="str" cm="1">
        <f t="array" ref="D431">TRANSPOSE(_xlfn._xlws.FILTER('Controllable Asset Registry'!$A$4:$A$764,IFERROR('Controllable Asset Registry'!$E$4:$E$764=A431,FALSE),"No Equipment in entity"))</f>
        <v>VAV0231</v>
      </c>
    </row>
    <row r="432" spans="1:4" x14ac:dyDescent="0.3">
      <c r="A432" t="s">
        <v>4235</v>
      </c>
      <c r="B432" t="s">
        <v>5637</v>
      </c>
      <c r="C432" t="s">
        <v>4976</v>
      </c>
      <c r="D432" t="str" cm="1">
        <f t="array" ref="D432">TRANSPOSE(_xlfn._xlws.FILTER('Controllable Asset Registry'!$A$4:$A$764,IFERROR('Controllable Asset Registry'!$E$4:$E$764=A432,FALSE),"No Equipment in entity"))</f>
        <v>VAV0232</v>
      </c>
    </row>
    <row r="433" spans="1:5" x14ac:dyDescent="0.3">
      <c r="A433" t="s">
        <v>4243</v>
      </c>
      <c r="B433" t="s">
        <v>5638</v>
      </c>
      <c r="C433" t="s">
        <v>4867</v>
      </c>
      <c r="D433" t="str" cm="1">
        <f t="array" ref="D433">TRANSPOSE(_xlfn._xlws.FILTER('Controllable Asset Registry'!$A$4:$A$764,IFERROR('Controllable Asset Registry'!$E$4:$E$764=A433,FALSE),"No Equipment in entity"))</f>
        <v>VAV0250</v>
      </c>
    </row>
    <row r="434" spans="1:5" x14ac:dyDescent="0.3">
      <c r="A434" t="s">
        <v>4242</v>
      </c>
      <c r="B434" t="s">
        <v>5639</v>
      </c>
      <c r="C434" t="s">
        <v>4867</v>
      </c>
      <c r="D434" t="str" cm="1">
        <f t="array" ref="D434">TRANSPOSE(_xlfn._xlws.FILTER('Controllable Asset Registry'!$A$4:$A$764,IFERROR('Controllable Asset Registry'!$E$4:$E$764=A434,FALSE),"No Equipment in entity"))</f>
        <v>VAV0249</v>
      </c>
    </row>
    <row r="435" spans="1:5" x14ac:dyDescent="0.3">
      <c r="A435" t="s">
        <v>4985</v>
      </c>
      <c r="B435" t="s">
        <v>4986</v>
      </c>
      <c r="C435" t="s">
        <v>4614</v>
      </c>
      <c r="D435" t="str" cm="1">
        <f t="array" ref="D435">TRANSPOSE(_xlfn._xlws.FILTER('Controllable Asset Registry'!$A$4:$A$764,IFERROR('Controllable Asset Registry'!$E$4:$E$764=A435,FALSE),"No Equipment in entity"))</f>
        <v>No Equipment in entity</v>
      </c>
    </row>
    <row r="436" spans="1:5" x14ac:dyDescent="0.3">
      <c r="A436" t="s">
        <v>4987</v>
      </c>
      <c r="B436" t="s">
        <v>4988</v>
      </c>
      <c r="C436" t="s">
        <v>4989</v>
      </c>
      <c r="D436" t="str" cm="1">
        <f t="array" ref="D436">TRANSPOSE(_xlfn._xlws.FILTER('Controllable Asset Registry'!$A$4:$A$764,IFERROR('Controllable Asset Registry'!$E$4:$E$764=A436,FALSE),"No Equipment in entity"))</f>
        <v>No Equipment in entity</v>
      </c>
    </row>
    <row r="437" spans="1:5" x14ac:dyDescent="0.3">
      <c r="A437" t="s">
        <v>4240</v>
      </c>
      <c r="B437" t="s">
        <v>5640</v>
      </c>
      <c r="C437" t="s">
        <v>4990</v>
      </c>
      <c r="D437" t="str" cm="1">
        <f t="array" ref="D437:E437">TRANSPOSE(_xlfn._xlws.FILTER('Controllable Asset Registry'!$A$4:$A$764,IFERROR('Controllable Asset Registry'!$E$4:$E$764=A437,FALSE),"No Equipment in entity"))</f>
        <v>VAV0240</v>
      </c>
      <c r="E437" t="str">
        <v>VAV0241</v>
      </c>
    </row>
    <row r="438" spans="1:5" x14ac:dyDescent="0.3">
      <c r="A438" t="s">
        <v>4991</v>
      </c>
      <c r="B438" t="s">
        <v>4992</v>
      </c>
      <c r="C438" t="s">
        <v>4865</v>
      </c>
      <c r="D438" t="str" cm="1">
        <f t="array" ref="D438">TRANSPOSE(_xlfn._xlws.FILTER('Controllable Asset Registry'!$A$4:$A$764,IFERROR('Controllable Asset Registry'!$E$4:$E$764=A438,FALSE),"No Equipment in entity"))</f>
        <v>No Equipment in entity</v>
      </c>
    </row>
    <row r="439" spans="1:5" x14ac:dyDescent="0.3">
      <c r="A439" t="s">
        <v>4993</v>
      </c>
      <c r="B439" t="s">
        <v>4994</v>
      </c>
      <c r="C439" t="s">
        <v>4707</v>
      </c>
      <c r="D439" t="str" cm="1">
        <f t="array" ref="D439">TRANSPOSE(_xlfn._xlws.FILTER('Controllable Asset Registry'!$A$4:$A$764,IFERROR('Controllable Asset Registry'!$E$4:$E$764=A439,FALSE),"No Equipment in entity"))</f>
        <v>No Equipment in entity</v>
      </c>
    </row>
    <row r="440" spans="1:5" x14ac:dyDescent="0.3">
      <c r="A440" t="s">
        <v>4239</v>
      </c>
      <c r="B440" t="s">
        <v>5641</v>
      </c>
      <c r="C440" t="s">
        <v>4995</v>
      </c>
      <c r="D440" t="str" cm="1">
        <f t="array" ref="D440">TRANSPOSE(_xlfn._xlws.FILTER('Controllable Asset Registry'!$A$4:$A$764,IFERROR('Controllable Asset Registry'!$E$4:$E$764=A440,FALSE),"No Equipment in entity"))</f>
        <v>VAV0239</v>
      </c>
    </row>
    <row r="441" spans="1:5" x14ac:dyDescent="0.3">
      <c r="A441" t="s">
        <v>4238</v>
      </c>
      <c r="B441" t="s">
        <v>5642</v>
      </c>
      <c r="C441" t="s">
        <v>4996</v>
      </c>
      <c r="D441" t="str" cm="1">
        <f t="array" ref="D441">TRANSPOSE(_xlfn._xlws.FILTER('Controllable Asset Registry'!$A$4:$A$764,IFERROR('Controllable Asset Registry'!$E$4:$E$764=A441,FALSE),"No Equipment in entity"))</f>
        <v>VAV0238</v>
      </c>
    </row>
    <row r="442" spans="1:5" x14ac:dyDescent="0.3">
      <c r="A442" t="s">
        <v>4237</v>
      </c>
      <c r="B442" t="s">
        <v>5643</v>
      </c>
      <c r="C442" t="s">
        <v>4997</v>
      </c>
      <c r="D442" t="str" cm="1">
        <f t="array" ref="D442">TRANSPOSE(_xlfn._xlws.FILTER('Controllable Asset Registry'!$A$4:$A$764,IFERROR('Controllable Asset Registry'!$E$4:$E$764=A442,FALSE),"No Equipment in entity"))</f>
        <v>VAV0236</v>
      </c>
    </row>
    <row r="443" spans="1:5" x14ac:dyDescent="0.3">
      <c r="A443" t="s">
        <v>4244</v>
      </c>
      <c r="B443" t="s">
        <v>5644</v>
      </c>
      <c r="C443" t="s">
        <v>4867</v>
      </c>
      <c r="D443" t="str" cm="1">
        <f t="array" ref="D443">TRANSPOSE(_xlfn._xlws.FILTER('Controllable Asset Registry'!$A$4:$A$764,IFERROR('Controllable Asset Registry'!$E$4:$E$764=A443,FALSE),"No Equipment in entity"))</f>
        <v>VAV0252</v>
      </c>
    </row>
    <row r="444" spans="1:5" x14ac:dyDescent="0.3">
      <c r="A444" t="s">
        <v>4998</v>
      </c>
      <c r="B444" t="s">
        <v>5645</v>
      </c>
      <c r="C444" t="s">
        <v>4836</v>
      </c>
      <c r="D444" t="str" cm="1">
        <f t="array" ref="D444">TRANSPOSE(_xlfn._xlws.FILTER('Controllable Asset Registry'!$A$4:$A$764,IFERROR('Controllable Asset Registry'!$E$4:$E$764=A444,FALSE),"No Equipment in entity"))</f>
        <v>No Equipment in entity</v>
      </c>
    </row>
    <row r="445" spans="1:5" x14ac:dyDescent="0.3">
      <c r="A445" t="s">
        <v>4999</v>
      </c>
      <c r="B445" t="s">
        <v>5646</v>
      </c>
      <c r="C445" t="s">
        <v>4707</v>
      </c>
      <c r="D445" t="str" cm="1">
        <f t="array" ref="D445">TRANSPOSE(_xlfn._xlws.FILTER('Controllable Asset Registry'!$A$4:$A$764,IFERROR('Controllable Asset Registry'!$E$4:$E$764=A445,FALSE),"No Equipment in entity"))</f>
        <v>No Equipment in entity</v>
      </c>
    </row>
    <row r="446" spans="1:5" x14ac:dyDescent="0.3">
      <c r="A446" t="s">
        <v>4245</v>
      </c>
      <c r="B446" t="s">
        <v>5647</v>
      </c>
      <c r="C446" t="s">
        <v>4867</v>
      </c>
      <c r="D446" t="str" cm="1">
        <f t="array" ref="D446">TRANSPOSE(_xlfn._xlws.FILTER('Controllable Asset Registry'!$A$4:$A$764,IFERROR('Controllable Asset Registry'!$E$4:$E$764=A446,FALSE),"No Equipment in entity"))</f>
        <v>VAV0253</v>
      </c>
    </row>
    <row r="447" spans="1:5" x14ac:dyDescent="0.3">
      <c r="A447" t="s">
        <v>4246</v>
      </c>
      <c r="B447" t="s">
        <v>5648</v>
      </c>
      <c r="C447" t="s">
        <v>5000</v>
      </c>
      <c r="D447" t="str" cm="1">
        <f t="array" ref="D447">TRANSPOSE(_xlfn._xlws.FILTER('Controllable Asset Registry'!$A$4:$A$764,IFERROR('Controllable Asset Registry'!$E$4:$E$764=A447,FALSE),"No Equipment in entity"))</f>
        <v>VAV0254</v>
      </c>
    </row>
    <row r="448" spans="1:5" x14ac:dyDescent="0.3">
      <c r="A448" t="s">
        <v>4247</v>
      </c>
      <c r="B448" t="s">
        <v>5649</v>
      </c>
      <c r="C448" t="s">
        <v>5000</v>
      </c>
      <c r="D448" t="str" cm="1">
        <f t="array" ref="D448">TRANSPOSE(_xlfn._xlws.FILTER('Controllable Asset Registry'!$A$4:$A$764,IFERROR('Controllable Asset Registry'!$E$4:$E$764=A448,FALSE),"No Equipment in entity"))</f>
        <v>VAV0255</v>
      </c>
    </row>
    <row r="449" spans="1:5" x14ac:dyDescent="0.3">
      <c r="A449" t="s">
        <v>5001</v>
      </c>
      <c r="B449" t="s">
        <v>5650</v>
      </c>
      <c r="C449" t="s">
        <v>5002</v>
      </c>
      <c r="D449" t="str" cm="1">
        <f t="array" ref="D449">TRANSPOSE(_xlfn._xlws.FILTER('Controllable Asset Registry'!$A$4:$A$764,IFERROR('Controllable Asset Registry'!$E$4:$E$764=A449,FALSE),"No Equipment in entity"))</f>
        <v>No Equipment in entity</v>
      </c>
    </row>
    <row r="450" spans="1:5" x14ac:dyDescent="0.3">
      <c r="A450" t="s">
        <v>4248</v>
      </c>
      <c r="B450" t="s">
        <v>5651</v>
      </c>
      <c r="C450" t="s">
        <v>5003</v>
      </c>
      <c r="D450" t="str" cm="1">
        <f t="array" ref="D450:E450">TRANSPOSE(_xlfn._xlws.FILTER('Controllable Asset Registry'!$A$4:$A$764,IFERROR('Controllable Asset Registry'!$E$4:$E$764=A450,FALSE),"No Equipment in entity"))</f>
        <v>VAV0256</v>
      </c>
      <c r="E450" t="str">
        <v>VAV0257</v>
      </c>
    </row>
    <row r="451" spans="1:5" x14ac:dyDescent="0.3">
      <c r="A451" t="s">
        <v>4249</v>
      </c>
      <c r="B451" t="s">
        <v>5652</v>
      </c>
      <c r="C451" t="s">
        <v>5000</v>
      </c>
      <c r="D451" t="str" cm="1">
        <f t="array" ref="D451">TRANSPOSE(_xlfn._xlws.FILTER('Controllable Asset Registry'!$A$4:$A$764,IFERROR('Controllable Asset Registry'!$E$4:$E$764=A451,FALSE),"No Equipment in entity"))</f>
        <v>VAV0258</v>
      </c>
    </row>
    <row r="452" spans="1:5" x14ac:dyDescent="0.3">
      <c r="A452" t="s">
        <v>4250</v>
      </c>
      <c r="B452" t="s">
        <v>5653</v>
      </c>
      <c r="C452" t="s">
        <v>5000</v>
      </c>
      <c r="D452" t="str" cm="1">
        <f t="array" ref="D452">TRANSPOSE(_xlfn._xlws.FILTER('Controllable Asset Registry'!$A$4:$A$764,IFERROR('Controllable Asset Registry'!$E$4:$E$764=A452,FALSE),"No Equipment in entity"))</f>
        <v>VAV0259</v>
      </c>
    </row>
    <row r="453" spans="1:5" x14ac:dyDescent="0.3">
      <c r="A453" t="s">
        <v>4251</v>
      </c>
      <c r="B453" t="s">
        <v>5654</v>
      </c>
      <c r="C453" t="s">
        <v>5000</v>
      </c>
      <c r="D453" t="str" cm="1">
        <f t="array" ref="D453">TRANSPOSE(_xlfn._xlws.FILTER('Controllable Asset Registry'!$A$4:$A$764,IFERROR('Controllable Asset Registry'!$E$4:$E$764=A453,FALSE),"No Equipment in entity"))</f>
        <v>VAV0260</v>
      </c>
    </row>
    <row r="454" spans="1:5" x14ac:dyDescent="0.3">
      <c r="A454" t="s">
        <v>4252</v>
      </c>
      <c r="B454" t="s">
        <v>5655</v>
      </c>
      <c r="C454" t="s">
        <v>5004</v>
      </c>
      <c r="D454" t="str" cm="1">
        <f t="array" ref="D454">TRANSPOSE(_xlfn._xlws.FILTER('Controllable Asset Registry'!$A$4:$A$764,IFERROR('Controllable Asset Registry'!$E$4:$E$764=A454,FALSE),"No Equipment in entity"))</f>
        <v>VAV0261</v>
      </c>
    </row>
    <row r="455" spans="1:5" x14ac:dyDescent="0.3">
      <c r="A455" t="s">
        <v>4253</v>
      </c>
      <c r="B455" t="s">
        <v>5656</v>
      </c>
      <c r="C455" t="s">
        <v>5005</v>
      </c>
      <c r="D455" t="str" cm="1">
        <f t="array" ref="D455">TRANSPOSE(_xlfn._xlws.FILTER('Controllable Asset Registry'!$A$4:$A$764,IFERROR('Controllable Asset Registry'!$E$4:$E$764=A455,FALSE),"No Equipment in entity"))</f>
        <v>VAV0262</v>
      </c>
    </row>
    <row r="456" spans="1:5" x14ac:dyDescent="0.3">
      <c r="A456" t="s">
        <v>5006</v>
      </c>
      <c r="B456" t="s">
        <v>5657</v>
      </c>
      <c r="C456" t="s">
        <v>5007</v>
      </c>
      <c r="D456" t="str" cm="1">
        <f t="array" ref="D456">TRANSPOSE(_xlfn._xlws.FILTER('Controllable Asset Registry'!$A$4:$A$764,IFERROR('Controllable Asset Registry'!$E$4:$E$764=A456,FALSE),"No Equipment in entity"))</f>
        <v>No Equipment in entity</v>
      </c>
    </row>
    <row r="457" spans="1:5" x14ac:dyDescent="0.3">
      <c r="A457" t="s">
        <v>4254</v>
      </c>
      <c r="B457" t="s">
        <v>5658</v>
      </c>
      <c r="C457" t="s">
        <v>5008</v>
      </c>
      <c r="D457" t="str" cm="1">
        <f t="array" ref="D457:E457">TRANSPOSE(_xlfn._xlws.FILTER('Controllable Asset Registry'!$A$4:$A$764,IFERROR('Controllable Asset Registry'!$E$4:$E$764=A457,FALSE),"No Equipment in entity"))</f>
        <v>VAV0263</v>
      </c>
      <c r="E457" t="str">
        <v>VAV0264</v>
      </c>
    </row>
    <row r="458" spans="1:5" x14ac:dyDescent="0.3">
      <c r="A458" t="s">
        <v>5009</v>
      </c>
      <c r="B458" t="s">
        <v>5659</v>
      </c>
      <c r="C458" t="s">
        <v>4625</v>
      </c>
      <c r="D458" t="str" cm="1">
        <f t="array" ref="D458">TRANSPOSE(_xlfn._xlws.FILTER('Controllable Asset Registry'!$A$4:$A$764,IFERROR('Controllable Asset Registry'!$E$4:$E$764=A458,FALSE),"No Equipment in entity"))</f>
        <v>No Equipment in entity</v>
      </c>
    </row>
    <row r="459" spans="1:5" x14ac:dyDescent="0.3">
      <c r="A459" t="s">
        <v>5010</v>
      </c>
      <c r="B459" t="s">
        <v>5660</v>
      </c>
      <c r="C459" t="s">
        <v>4628</v>
      </c>
      <c r="D459" t="str" cm="1">
        <f t="array" ref="D459">TRANSPOSE(_xlfn._xlws.FILTER('Controllable Asset Registry'!$A$4:$A$764,IFERROR('Controllable Asset Registry'!$E$4:$E$764=A459,FALSE),"No Equipment in entity"))</f>
        <v>No Equipment in entity</v>
      </c>
    </row>
    <row r="460" spans="1:5" x14ac:dyDescent="0.3">
      <c r="A460" t="s">
        <v>5011</v>
      </c>
      <c r="B460" t="s">
        <v>5661</v>
      </c>
      <c r="C460" t="s">
        <v>4625</v>
      </c>
      <c r="D460" t="str" cm="1">
        <f t="array" ref="D460">TRANSPOSE(_xlfn._xlws.FILTER('Controllable Asset Registry'!$A$4:$A$764,IFERROR('Controllable Asset Registry'!$E$4:$E$764=A460,FALSE),"No Equipment in entity"))</f>
        <v>No Equipment in entity</v>
      </c>
    </row>
    <row r="461" spans="1:5" x14ac:dyDescent="0.3">
      <c r="A461" t="s">
        <v>5012</v>
      </c>
      <c r="B461" t="s">
        <v>5662</v>
      </c>
      <c r="C461" t="s">
        <v>4628</v>
      </c>
      <c r="D461" t="str" cm="1">
        <f t="array" ref="D461">TRANSPOSE(_xlfn._xlws.FILTER('Controllable Asset Registry'!$A$4:$A$764,IFERROR('Controllable Asset Registry'!$E$4:$E$764=A461,FALSE),"No Equipment in entity"))</f>
        <v>No Equipment in entity</v>
      </c>
    </row>
    <row r="462" spans="1:5" x14ac:dyDescent="0.3">
      <c r="A462" t="s">
        <v>5013</v>
      </c>
      <c r="B462" t="s">
        <v>5663</v>
      </c>
      <c r="C462" t="s">
        <v>3761</v>
      </c>
      <c r="D462" t="str" cm="1">
        <f t="array" ref="D462">TRANSPOSE(_xlfn._xlws.FILTER('Controllable Asset Registry'!$A$4:$A$764,IFERROR('Controllable Asset Registry'!$E$4:$E$764=A462,FALSE),"No Equipment in entity"))</f>
        <v>No Equipment in entity</v>
      </c>
    </row>
    <row r="463" spans="1:5" x14ac:dyDescent="0.3">
      <c r="A463" t="s">
        <v>5014</v>
      </c>
      <c r="B463" t="s">
        <v>5664</v>
      </c>
      <c r="C463" t="s">
        <v>3761</v>
      </c>
      <c r="D463" t="str" cm="1">
        <f t="array" ref="D463">TRANSPOSE(_xlfn._xlws.FILTER('Controllable Asset Registry'!$A$4:$A$764,IFERROR('Controllable Asset Registry'!$E$4:$E$764=A463,FALSE),"No Equipment in entity"))</f>
        <v>No Equipment in entity</v>
      </c>
    </row>
    <row r="464" spans="1:5" x14ac:dyDescent="0.3">
      <c r="A464" t="s">
        <v>5015</v>
      </c>
      <c r="B464" t="s">
        <v>5665</v>
      </c>
      <c r="C464" t="s">
        <v>3758</v>
      </c>
      <c r="D464" t="str" cm="1">
        <f t="array" ref="D464">TRANSPOSE(_xlfn._xlws.FILTER('Controllable Asset Registry'!$A$4:$A$764,IFERROR('Controllable Asset Registry'!$E$4:$E$764=A464,FALSE),"No Equipment in entity"))</f>
        <v>No Equipment in entity</v>
      </c>
    </row>
    <row r="465" spans="1:7" x14ac:dyDescent="0.3">
      <c r="A465" t="s">
        <v>4003</v>
      </c>
      <c r="B465" t="s">
        <v>5666</v>
      </c>
      <c r="C465" t="s">
        <v>4634</v>
      </c>
      <c r="D465" t="str" cm="1">
        <f t="array" ref="D465">TRANSPOSE(_xlfn._xlws.FILTER('Controllable Asset Registry'!$A$4:$A$764,IFERROR('Controllable Asset Registry'!$E$4:$E$764=A465,FALSE),"No Equipment in entity"))</f>
        <v>FCU0073</v>
      </c>
    </row>
    <row r="466" spans="1:7" x14ac:dyDescent="0.3">
      <c r="A466" t="s">
        <v>5016</v>
      </c>
      <c r="B466" t="s">
        <v>5667</v>
      </c>
      <c r="C466" t="s">
        <v>3758</v>
      </c>
      <c r="D466" t="str" cm="1">
        <f t="array" ref="D466">TRANSPOSE(_xlfn._xlws.FILTER('Controllable Asset Registry'!$A$4:$A$764,IFERROR('Controllable Asset Registry'!$E$4:$E$764=A466,FALSE),"No Equipment in entity"))</f>
        <v>No Equipment in entity</v>
      </c>
    </row>
    <row r="467" spans="1:7" x14ac:dyDescent="0.3">
      <c r="A467" t="s">
        <v>5017</v>
      </c>
      <c r="B467" t="s">
        <v>5668</v>
      </c>
      <c r="C467" t="s">
        <v>3758</v>
      </c>
      <c r="D467" t="str" cm="1">
        <f t="array" ref="D467">TRANSPOSE(_xlfn._xlws.FILTER('Controllable Asset Registry'!$A$4:$A$764,IFERROR('Controllable Asset Registry'!$E$4:$E$764=A467,FALSE),"No Equipment in entity"))</f>
        <v>No Equipment in entity</v>
      </c>
    </row>
    <row r="468" spans="1:7" x14ac:dyDescent="0.3">
      <c r="A468" t="s">
        <v>4002</v>
      </c>
      <c r="B468" t="s">
        <v>5669</v>
      </c>
      <c r="C468" t="s">
        <v>4634</v>
      </c>
      <c r="D468" t="str" cm="1">
        <f t="array" ref="D468:E468">TRANSPOSE(_xlfn._xlws.FILTER('Controllable Asset Registry'!$A$4:$A$764,IFERROR('Controllable Asset Registry'!$E$4:$E$764=A468,FALSE),"No Equipment in entity"))</f>
        <v>FCU0071</v>
      </c>
      <c r="E468" t="str">
        <v>FCU0072</v>
      </c>
    </row>
    <row r="469" spans="1:7" x14ac:dyDescent="0.3">
      <c r="A469" t="s">
        <v>5018</v>
      </c>
      <c r="B469" t="s">
        <v>5670</v>
      </c>
      <c r="C469" t="s">
        <v>5019</v>
      </c>
      <c r="D469" t="str" cm="1">
        <f t="array" ref="D469">TRANSPOSE(_xlfn._xlws.FILTER('Controllable Asset Registry'!$A$4:$A$764,IFERROR('Controllable Asset Registry'!$E$4:$E$764=A469,FALSE),"No Equipment in entity"))</f>
        <v>No Equipment in entity</v>
      </c>
    </row>
    <row r="470" spans="1:7" x14ac:dyDescent="0.3">
      <c r="A470" t="s">
        <v>5020</v>
      </c>
      <c r="B470" t="s">
        <v>5671</v>
      </c>
      <c r="C470" t="s">
        <v>4779</v>
      </c>
      <c r="D470" t="str" cm="1">
        <f t="array" ref="D470">TRANSPOSE(_xlfn._xlws.FILTER('Controllable Asset Registry'!$A$4:$A$764,IFERROR('Controllable Asset Registry'!$E$4:$E$764=A470,FALSE),"No Equipment in entity"))</f>
        <v>No Equipment in entity</v>
      </c>
    </row>
    <row r="471" spans="1:7" x14ac:dyDescent="0.3">
      <c r="A471" t="s">
        <v>4236</v>
      </c>
      <c r="B471" t="s">
        <v>5672</v>
      </c>
      <c r="C471" t="s">
        <v>4933</v>
      </c>
      <c r="D471" t="str" cm="1">
        <f t="array" ref="D471:F471">TRANSPOSE(_xlfn._xlws.FILTER('Controllable Asset Registry'!$A$4:$A$764,IFERROR('Controllable Asset Registry'!$E$4:$E$764=A471,FALSE),"No Equipment in entity"))</f>
        <v>VAV0235</v>
      </c>
      <c r="E471" t="str">
        <v>VAV0237</v>
      </c>
      <c r="F471" t="str">
        <v>VAV0251</v>
      </c>
    </row>
    <row r="472" spans="1:7" x14ac:dyDescent="0.3">
      <c r="A472" t="s">
        <v>5021</v>
      </c>
      <c r="B472" t="s">
        <v>5673</v>
      </c>
      <c r="C472" t="s">
        <v>5022</v>
      </c>
      <c r="D472" t="str" cm="1">
        <f t="array" ref="D472">TRANSPOSE(_xlfn._xlws.FILTER('Controllable Asset Registry'!$A$4:$A$764,IFERROR('Controllable Asset Registry'!$E$4:$E$764=A472,FALSE),"No Equipment in entity"))</f>
        <v>No Equipment in entity</v>
      </c>
    </row>
    <row r="473" spans="1:7" x14ac:dyDescent="0.3">
      <c r="A473" t="s">
        <v>4255</v>
      </c>
      <c r="B473" t="s">
        <v>5674</v>
      </c>
      <c r="C473" t="s">
        <v>4974</v>
      </c>
      <c r="D473" t="str" cm="1">
        <f t="array" ref="D473:E473">TRANSPOSE(_xlfn._xlws.FILTER('Controllable Asset Registry'!$A$4:$A$764,IFERROR('Controllable Asset Registry'!$E$4:$E$764=A473,FALSE),"No Equipment in entity"))</f>
        <v>VAV0265</v>
      </c>
      <c r="E473" t="str">
        <v>VAV0266</v>
      </c>
    </row>
    <row r="474" spans="1:7" x14ac:dyDescent="0.3">
      <c r="A474" t="s">
        <v>5023</v>
      </c>
      <c r="B474" t="s">
        <v>5675</v>
      </c>
      <c r="C474" t="s">
        <v>4836</v>
      </c>
      <c r="D474" t="str" cm="1">
        <f t="array" ref="D474">TRANSPOSE(_xlfn._xlws.FILTER('Controllable Asset Registry'!$A$4:$A$764,IFERROR('Controllable Asset Registry'!$E$4:$E$764=A474,FALSE),"No Equipment in entity"))</f>
        <v>No Equipment in entity</v>
      </c>
    </row>
    <row r="475" spans="1:7" x14ac:dyDescent="0.3">
      <c r="A475" t="s">
        <v>4005</v>
      </c>
      <c r="B475" t="s">
        <v>5676</v>
      </c>
      <c r="C475" t="s">
        <v>5024</v>
      </c>
      <c r="D475" t="str" cm="1">
        <f t="array" ref="D475:G475">TRANSPOSE(_xlfn._xlws.FILTER('Controllable Asset Registry'!$A$4:$A$764,IFERROR('Controllable Asset Registry'!$E$4:$E$764=A475,FALSE),"No Equipment in entity"))</f>
        <v>FCU0077</v>
      </c>
      <c r="E475" t="str">
        <v>FCU0078</v>
      </c>
      <c r="F475" t="str">
        <v>FCU0079</v>
      </c>
      <c r="G475" t="str">
        <v>FCU0080</v>
      </c>
    </row>
    <row r="476" spans="1:7" x14ac:dyDescent="0.3">
      <c r="A476" t="s">
        <v>4006</v>
      </c>
      <c r="B476" t="s">
        <v>5677</v>
      </c>
      <c r="C476" t="s">
        <v>5025</v>
      </c>
      <c r="D476" t="str" cm="1">
        <f t="array" ref="D476:E476">TRANSPOSE(_xlfn._xlws.FILTER('Controllable Asset Registry'!$A$4:$A$764,IFERROR('Controllable Asset Registry'!$E$4:$E$764=A476,FALSE),"No Equipment in entity"))</f>
        <v>FCU0081</v>
      </c>
      <c r="E476" t="str">
        <v>FCU0083</v>
      </c>
    </row>
    <row r="477" spans="1:7" x14ac:dyDescent="0.3">
      <c r="A477" t="s">
        <v>4007</v>
      </c>
      <c r="B477" t="s">
        <v>5678</v>
      </c>
      <c r="C477" t="s">
        <v>5025</v>
      </c>
      <c r="D477" t="str" cm="1">
        <f t="array" ref="D477">TRANSPOSE(_xlfn._xlws.FILTER('Controllable Asset Registry'!$A$4:$A$764,IFERROR('Controllable Asset Registry'!$E$4:$E$764=A477,FALSE),"No Equipment in entity"))</f>
        <v>FCU0082</v>
      </c>
    </row>
    <row r="478" spans="1:7" x14ac:dyDescent="0.3">
      <c r="A478" t="s">
        <v>6210</v>
      </c>
      <c r="B478" t="s">
        <v>6211</v>
      </c>
      <c r="C478" t="s">
        <v>4793</v>
      </c>
      <c r="D478" t="str" cm="1">
        <f t="array" ref="D478">TRANSPOSE(_xlfn._xlws.FILTER('Controllable Asset Registry'!$A$4:$A$764,IFERROR('Controllable Asset Registry'!$E$4:$E$764=A478,FALSE),"No Equipment in entity"))</f>
        <v>No Equipment in entity</v>
      </c>
    </row>
    <row r="479" spans="1:7" x14ac:dyDescent="0.3">
      <c r="A479" t="s">
        <v>6212</v>
      </c>
      <c r="B479" t="s">
        <v>6213</v>
      </c>
      <c r="C479" t="s">
        <v>4796</v>
      </c>
      <c r="D479" t="str" cm="1">
        <f t="array" ref="D479">TRANSPOSE(_xlfn._xlws.FILTER('Controllable Asset Registry'!$A$4:$A$764,IFERROR('Controllable Asset Registry'!$E$4:$E$764=A479,FALSE),"No Equipment in entity"))</f>
        <v>No Equipment in entity</v>
      </c>
    </row>
    <row r="480" spans="1:7" x14ac:dyDescent="0.3">
      <c r="A480" t="s">
        <v>6214</v>
      </c>
      <c r="B480" t="s">
        <v>6215</v>
      </c>
      <c r="C480" t="s">
        <v>4799</v>
      </c>
      <c r="D480" t="str" cm="1">
        <f t="array" ref="D480">TRANSPOSE(_xlfn._xlws.FILTER('Controllable Asset Registry'!$A$4:$A$764,IFERROR('Controllable Asset Registry'!$E$4:$E$764=A480,FALSE),"No Equipment in entity"))</f>
        <v>No Equipment in entity</v>
      </c>
    </row>
    <row r="481" spans="1:4" x14ac:dyDescent="0.3">
      <c r="A481" t="s">
        <v>6216</v>
      </c>
      <c r="B481" t="s">
        <v>6217</v>
      </c>
      <c r="C481" t="s">
        <v>4663</v>
      </c>
      <c r="D481" t="str" cm="1">
        <f t="array" ref="D481">TRANSPOSE(_xlfn._xlws.FILTER('Controllable Asset Registry'!$A$4:$A$764,IFERROR('Controllable Asset Registry'!$E$4:$E$764=A481,FALSE),"No Equipment in entity"))</f>
        <v>No Equipment in entity</v>
      </c>
    </row>
    <row r="482" spans="1:4" x14ac:dyDescent="0.3">
      <c r="A482" t="s">
        <v>6218</v>
      </c>
      <c r="B482" t="s">
        <v>6219</v>
      </c>
      <c r="C482" t="s">
        <v>4666</v>
      </c>
      <c r="D482" t="str" cm="1">
        <f t="array" ref="D482">TRANSPOSE(_xlfn._xlws.FILTER('Controllable Asset Registry'!$A$4:$A$764,IFERROR('Controllable Asset Registry'!$E$4:$E$764=A482,FALSE),"No Equipment in entity"))</f>
        <v>No Equipment in entity</v>
      </c>
    </row>
    <row r="483" spans="1:4" x14ac:dyDescent="0.3">
      <c r="A483" t="s">
        <v>6220</v>
      </c>
      <c r="B483" t="s">
        <v>6221</v>
      </c>
      <c r="C483" t="s">
        <v>4669</v>
      </c>
      <c r="D483" t="str" cm="1">
        <f t="array" ref="D483">TRANSPOSE(_xlfn._xlws.FILTER('Controllable Asset Registry'!$A$4:$A$764,IFERROR('Controllable Asset Registry'!$E$4:$E$764=A483,FALSE),"No Equipment in entity"))</f>
        <v>No Equipment in entity</v>
      </c>
    </row>
    <row r="484" spans="1:4" x14ac:dyDescent="0.3">
      <c r="A484" t="s">
        <v>6222</v>
      </c>
      <c r="B484" t="s">
        <v>6223</v>
      </c>
      <c r="C484" t="s">
        <v>4808</v>
      </c>
      <c r="D484" t="str" cm="1">
        <f t="array" ref="D484">TRANSPOSE(_xlfn._xlws.FILTER('Controllable Asset Registry'!$A$4:$A$764,IFERROR('Controllable Asset Registry'!$E$4:$E$764=A484,FALSE),"No Equipment in entity"))</f>
        <v>No Equipment in entity</v>
      </c>
    </row>
    <row r="485" spans="1:4" x14ac:dyDescent="0.3">
      <c r="A485" t="s">
        <v>6224</v>
      </c>
      <c r="B485" t="s">
        <v>6225</v>
      </c>
      <c r="C485" t="s">
        <v>4674</v>
      </c>
      <c r="D485" t="str" cm="1">
        <f t="array" ref="D485">TRANSPOSE(_xlfn._xlws.FILTER('Controllable Asset Registry'!$A$4:$A$764,IFERROR('Controllable Asset Registry'!$E$4:$E$764=A485,FALSE),"No Equipment in entity"))</f>
        <v>No Equipment in entity</v>
      </c>
    </row>
    <row r="486" spans="1:4" x14ac:dyDescent="0.3">
      <c r="A486" t="s">
        <v>6226</v>
      </c>
      <c r="B486" t="s">
        <v>6227</v>
      </c>
      <c r="C486" t="s">
        <v>4676</v>
      </c>
      <c r="D486" t="str" cm="1">
        <f t="array" ref="D486">TRANSPOSE(_xlfn._xlws.FILTER('Controllable Asset Registry'!$A$4:$A$764,IFERROR('Controllable Asset Registry'!$E$4:$E$764=A486,FALSE),"No Equipment in entity"))</f>
        <v>No Equipment in entity</v>
      </c>
    </row>
    <row r="487" spans="1:4" x14ac:dyDescent="0.3">
      <c r="A487" t="s">
        <v>6228</v>
      </c>
      <c r="B487" t="s">
        <v>6229</v>
      </c>
      <c r="C487" t="s">
        <v>4815</v>
      </c>
      <c r="D487" t="str" cm="1">
        <f t="array" ref="D487">TRANSPOSE(_xlfn._xlws.FILTER('Controllable Asset Registry'!$A$4:$A$764,IFERROR('Controllable Asset Registry'!$E$4:$E$764=A487,FALSE),"No Equipment in entity"))</f>
        <v>No Equipment in entity</v>
      </c>
    </row>
    <row r="488" spans="1:4" x14ac:dyDescent="0.3">
      <c r="A488" t="s">
        <v>6230</v>
      </c>
      <c r="B488" t="s">
        <v>6231</v>
      </c>
      <c r="C488" t="s">
        <v>4679</v>
      </c>
      <c r="D488" t="str" cm="1">
        <f t="array" ref="D488">TRANSPOSE(_xlfn._xlws.FILTER('Controllable Asset Registry'!$A$4:$A$764,IFERROR('Controllable Asset Registry'!$E$4:$E$764=A488,FALSE),"No Equipment in entity"))</f>
        <v>No Equipment in entity</v>
      </c>
    </row>
    <row r="489" spans="1:4" x14ac:dyDescent="0.3">
      <c r="A489" t="s">
        <v>4286</v>
      </c>
      <c r="B489" t="s">
        <v>5679</v>
      </c>
      <c r="C489" t="s">
        <v>5026</v>
      </c>
      <c r="D489" t="str" cm="1">
        <f t="array" ref="D489">TRANSPOSE(_xlfn._xlws.FILTER('Controllable Asset Registry'!$A$4:$A$764,IFERROR('Controllable Asset Registry'!$E$4:$E$764=A489,FALSE),"No Equipment in entity"))</f>
        <v>VAV0303</v>
      </c>
    </row>
    <row r="490" spans="1:4" x14ac:dyDescent="0.3">
      <c r="A490" t="s">
        <v>4277</v>
      </c>
      <c r="B490" t="s">
        <v>5680</v>
      </c>
      <c r="C490" t="s">
        <v>5027</v>
      </c>
      <c r="D490" t="str" cm="1">
        <f t="array" ref="D490">TRANSPOSE(_xlfn._xlws.FILTER('Controllable Asset Registry'!$A$4:$A$764,IFERROR('Controllable Asset Registry'!$E$4:$E$764=A490,FALSE),"No Equipment in entity"))</f>
        <v>VAV0293</v>
      </c>
    </row>
    <row r="491" spans="1:4" x14ac:dyDescent="0.3">
      <c r="A491" t="s">
        <v>4278</v>
      </c>
      <c r="B491" t="s">
        <v>5681</v>
      </c>
      <c r="C491" t="s">
        <v>5028</v>
      </c>
      <c r="D491" t="str" cm="1">
        <f t="array" ref="D491">TRANSPOSE(_xlfn._xlws.FILTER('Controllable Asset Registry'!$A$4:$A$764,IFERROR('Controllable Asset Registry'!$E$4:$E$764=A491,FALSE),"No Equipment in entity"))</f>
        <v>VAV0294</v>
      </c>
    </row>
    <row r="492" spans="1:4" x14ac:dyDescent="0.3">
      <c r="A492" t="s">
        <v>4279</v>
      </c>
      <c r="B492" t="s">
        <v>5682</v>
      </c>
      <c r="C492" t="s">
        <v>5026</v>
      </c>
      <c r="D492" t="str" cm="1">
        <f t="array" ref="D492">TRANSPOSE(_xlfn._xlws.FILTER('Controllable Asset Registry'!$A$4:$A$764,IFERROR('Controllable Asset Registry'!$E$4:$E$764=A492,FALSE),"No Equipment in entity"))</f>
        <v>VAV0295</v>
      </c>
    </row>
    <row r="493" spans="1:4" x14ac:dyDescent="0.3">
      <c r="A493" t="s">
        <v>4280</v>
      </c>
      <c r="B493" t="s">
        <v>5683</v>
      </c>
      <c r="C493" t="s">
        <v>5029</v>
      </c>
      <c r="D493" t="str" cm="1">
        <f t="array" ref="D493">TRANSPOSE(_xlfn._xlws.FILTER('Controllable Asset Registry'!$A$4:$A$764,IFERROR('Controllable Asset Registry'!$E$4:$E$764=A493,FALSE),"No Equipment in entity"))</f>
        <v>VAV0296</v>
      </c>
    </row>
    <row r="494" spans="1:4" x14ac:dyDescent="0.3">
      <c r="A494" t="s">
        <v>4281</v>
      </c>
      <c r="B494" t="s">
        <v>5684</v>
      </c>
      <c r="C494" t="s">
        <v>5029</v>
      </c>
      <c r="D494" t="str" cm="1">
        <f t="array" ref="D494">TRANSPOSE(_xlfn._xlws.FILTER('Controllable Asset Registry'!$A$4:$A$764,IFERROR('Controllable Asset Registry'!$E$4:$E$764=A494,FALSE),"No Equipment in entity"))</f>
        <v>VAV0297</v>
      </c>
    </row>
    <row r="495" spans="1:4" x14ac:dyDescent="0.3">
      <c r="A495" t="s">
        <v>4282</v>
      </c>
      <c r="B495" t="s">
        <v>5685</v>
      </c>
      <c r="C495" t="s">
        <v>5029</v>
      </c>
      <c r="D495" t="str" cm="1">
        <f t="array" ref="D495">TRANSPOSE(_xlfn._xlws.FILTER('Controllable Asset Registry'!$A$4:$A$764,IFERROR('Controllable Asset Registry'!$E$4:$E$764=A495,FALSE),"No Equipment in entity"))</f>
        <v>VAV0298</v>
      </c>
    </row>
    <row r="496" spans="1:4" x14ac:dyDescent="0.3">
      <c r="A496" t="s">
        <v>4283</v>
      </c>
      <c r="B496" t="s">
        <v>5686</v>
      </c>
      <c r="C496" t="s">
        <v>5026</v>
      </c>
      <c r="D496" t="str" cm="1">
        <f t="array" ref="D496">TRANSPOSE(_xlfn._xlws.FILTER('Controllable Asset Registry'!$A$4:$A$764,IFERROR('Controllable Asset Registry'!$E$4:$E$764=A496,FALSE),"No Equipment in entity"))</f>
        <v>VAV0299</v>
      </c>
    </row>
    <row r="497" spans="1:4" x14ac:dyDescent="0.3">
      <c r="A497" t="s">
        <v>6128</v>
      </c>
      <c r="B497" t="s">
        <v>6232</v>
      </c>
      <c r="C497" t="s">
        <v>5029</v>
      </c>
      <c r="D497" t="str" cm="1">
        <f t="array" ref="D497">TRANSPOSE(_xlfn._xlws.FILTER('Controllable Asset Registry'!$A$4:$A$764,IFERROR('Controllable Asset Registry'!$E$4:$E$764=A497,FALSE),"No Equipment in entity"))</f>
        <v>VAV0290</v>
      </c>
    </row>
    <row r="498" spans="1:4" x14ac:dyDescent="0.3">
      <c r="A498" t="s">
        <v>6233</v>
      </c>
      <c r="B498" t="s">
        <v>6232</v>
      </c>
      <c r="C498" t="s">
        <v>5026</v>
      </c>
      <c r="D498" t="str" cm="1">
        <f t="array" ref="D498">TRANSPOSE(_xlfn._xlws.FILTER('Controllable Asset Registry'!$A$4:$A$764,IFERROR('Controllable Asset Registry'!$E$4:$E$764=A498,FALSE),"No Equipment in entity"))</f>
        <v>No Equipment in entity</v>
      </c>
    </row>
    <row r="499" spans="1:4" x14ac:dyDescent="0.3">
      <c r="A499" t="s">
        <v>6129</v>
      </c>
      <c r="B499" t="s">
        <v>6234</v>
      </c>
      <c r="C499" t="s">
        <v>5029</v>
      </c>
      <c r="D499" t="str" cm="1">
        <f t="array" ref="D499">TRANSPOSE(_xlfn._xlws.FILTER('Controllable Asset Registry'!$A$4:$A$764,IFERROR('Controllable Asset Registry'!$E$4:$E$764=A499,FALSE),"No Equipment in entity"))</f>
        <v>VAV0291</v>
      </c>
    </row>
    <row r="500" spans="1:4" x14ac:dyDescent="0.3">
      <c r="A500" t="s">
        <v>4276</v>
      </c>
      <c r="B500" t="s">
        <v>5687</v>
      </c>
      <c r="C500" t="s">
        <v>5026</v>
      </c>
      <c r="D500" t="str" cm="1">
        <f t="array" ref="D500">TRANSPOSE(_xlfn._xlws.FILTER('Controllable Asset Registry'!$A$4:$A$764,IFERROR('Controllable Asset Registry'!$E$4:$E$764=A500,FALSE),"No Equipment in entity"))</f>
        <v>VAV0292</v>
      </c>
    </row>
    <row r="501" spans="1:4" x14ac:dyDescent="0.3">
      <c r="A501" t="s">
        <v>4256</v>
      </c>
      <c r="B501" t="s">
        <v>5688</v>
      </c>
      <c r="C501" t="s">
        <v>5030</v>
      </c>
      <c r="D501" t="str" cm="1">
        <f t="array" ref="D501">TRANSPOSE(_xlfn._xlws.FILTER('Controllable Asset Registry'!$A$4:$A$764,IFERROR('Controllable Asset Registry'!$E$4:$E$764=A501,FALSE),"No Equipment in entity"))</f>
        <v>VAV0267</v>
      </c>
    </row>
    <row r="502" spans="1:4" x14ac:dyDescent="0.3">
      <c r="A502" t="s">
        <v>4257</v>
      </c>
      <c r="B502" t="s">
        <v>5689</v>
      </c>
      <c r="C502" t="s">
        <v>5028</v>
      </c>
      <c r="D502" t="str" cm="1">
        <f t="array" ref="D502">TRANSPOSE(_xlfn._xlws.FILTER('Controllable Asset Registry'!$A$4:$A$764,IFERROR('Controllable Asset Registry'!$E$4:$E$764=A502,FALSE),"No Equipment in entity"))</f>
        <v>VAV0268</v>
      </c>
    </row>
    <row r="503" spans="1:4" x14ac:dyDescent="0.3">
      <c r="A503" t="s">
        <v>4258</v>
      </c>
      <c r="B503" t="s">
        <v>5690</v>
      </c>
      <c r="C503" t="s">
        <v>5026</v>
      </c>
      <c r="D503" t="str" cm="1">
        <f t="array" ref="D503">TRANSPOSE(_xlfn._xlws.FILTER('Controllable Asset Registry'!$A$4:$A$764,IFERROR('Controllable Asset Registry'!$E$4:$E$764=A503,FALSE),"No Equipment in entity"))</f>
        <v>VAV0269</v>
      </c>
    </row>
    <row r="504" spans="1:4" x14ac:dyDescent="0.3">
      <c r="A504" t="s">
        <v>4259</v>
      </c>
      <c r="B504" t="s">
        <v>5691</v>
      </c>
      <c r="C504" t="s">
        <v>5026</v>
      </c>
      <c r="D504" t="str" cm="1">
        <f t="array" ref="D504">TRANSPOSE(_xlfn._xlws.FILTER('Controllable Asset Registry'!$A$4:$A$764,IFERROR('Controllable Asset Registry'!$E$4:$E$764=A504,FALSE),"No Equipment in entity"))</f>
        <v>VAV0270</v>
      </c>
    </row>
    <row r="505" spans="1:4" x14ac:dyDescent="0.3">
      <c r="A505" t="s">
        <v>4260</v>
      </c>
      <c r="B505" t="s">
        <v>5692</v>
      </c>
      <c r="C505" t="s">
        <v>5026</v>
      </c>
      <c r="D505" t="str" cm="1">
        <f t="array" ref="D505">TRANSPOSE(_xlfn._xlws.FILTER('Controllable Asset Registry'!$A$4:$A$764,IFERROR('Controllable Asset Registry'!$E$4:$E$764=A505,FALSE),"No Equipment in entity"))</f>
        <v>VAV0271</v>
      </c>
    </row>
    <row r="506" spans="1:4" x14ac:dyDescent="0.3">
      <c r="A506" t="s">
        <v>4261</v>
      </c>
      <c r="B506" t="s">
        <v>5693</v>
      </c>
      <c r="C506" t="s">
        <v>5026</v>
      </c>
      <c r="D506" t="str" cm="1">
        <f t="array" ref="D506">TRANSPOSE(_xlfn._xlws.FILTER('Controllable Asset Registry'!$A$4:$A$764,IFERROR('Controllable Asset Registry'!$E$4:$E$764=A506,FALSE),"No Equipment in entity"))</f>
        <v>VAV0272</v>
      </c>
    </row>
    <row r="507" spans="1:4" x14ac:dyDescent="0.3">
      <c r="A507" t="s">
        <v>4262</v>
      </c>
      <c r="B507" t="s">
        <v>5694</v>
      </c>
      <c r="C507" t="s">
        <v>5029</v>
      </c>
      <c r="D507" t="str" cm="1">
        <f t="array" ref="D507">TRANSPOSE(_xlfn._xlws.FILTER('Controllable Asset Registry'!$A$4:$A$764,IFERROR('Controllable Asset Registry'!$E$4:$E$764=A507,FALSE),"No Equipment in entity"))</f>
        <v>VAV0273</v>
      </c>
    </row>
    <row r="508" spans="1:4" x14ac:dyDescent="0.3">
      <c r="A508" t="s">
        <v>4263</v>
      </c>
      <c r="B508" t="s">
        <v>5695</v>
      </c>
      <c r="C508" t="s">
        <v>5029</v>
      </c>
      <c r="D508" t="str" cm="1">
        <f t="array" ref="D508">TRANSPOSE(_xlfn._xlws.FILTER('Controllable Asset Registry'!$A$4:$A$764,IFERROR('Controllable Asset Registry'!$E$4:$E$764=A508,FALSE),"No Equipment in entity"))</f>
        <v>VAV0274</v>
      </c>
    </row>
    <row r="509" spans="1:4" x14ac:dyDescent="0.3">
      <c r="A509" t="s">
        <v>6127</v>
      </c>
      <c r="B509" t="s">
        <v>6235</v>
      </c>
      <c r="C509" t="s">
        <v>5029</v>
      </c>
      <c r="D509" t="str" cm="1">
        <f t="array" ref="D509">TRANSPOSE(_xlfn._xlws.FILTER('Controllable Asset Registry'!$A$4:$A$764,IFERROR('Controllable Asset Registry'!$E$4:$E$764=A509,FALSE),"No Equipment in entity"))</f>
        <v>VAV0275</v>
      </c>
    </row>
    <row r="510" spans="1:4" x14ac:dyDescent="0.3">
      <c r="A510" t="s">
        <v>4264</v>
      </c>
      <c r="B510" t="s">
        <v>5696</v>
      </c>
      <c r="C510" t="s">
        <v>5029</v>
      </c>
      <c r="D510" t="str" cm="1">
        <f t="array" ref="D510">TRANSPOSE(_xlfn._xlws.FILTER('Controllable Asset Registry'!$A$4:$A$764,IFERROR('Controllable Asset Registry'!$E$4:$E$764=A510,FALSE),"No Equipment in entity"))</f>
        <v>VAV0276</v>
      </c>
    </row>
    <row r="511" spans="1:4" x14ac:dyDescent="0.3">
      <c r="A511" t="s">
        <v>4265</v>
      </c>
      <c r="B511" t="s">
        <v>5697</v>
      </c>
      <c r="C511" t="s">
        <v>5029</v>
      </c>
      <c r="D511" t="str" cm="1">
        <f t="array" ref="D511">TRANSPOSE(_xlfn._xlws.FILTER('Controllable Asset Registry'!$A$4:$A$764,IFERROR('Controllable Asset Registry'!$E$4:$E$764=A511,FALSE),"No Equipment in entity"))</f>
        <v>VAV0277</v>
      </c>
    </row>
    <row r="512" spans="1:4" x14ac:dyDescent="0.3">
      <c r="A512" t="s">
        <v>4266</v>
      </c>
      <c r="B512" t="s">
        <v>5698</v>
      </c>
      <c r="C512" t="s">
        <v>5029</v>
      </c>
      <c r="D512" t="str" cm="1">
        <f t="array" ref="D512">TRANSPOSE(_xlfn._xlws.FILTER('Controllable Asset Registry'!$A$4:$A$764,IFERROR('Controllable Asset Registry'!$E$4:$E$764=A512,FALSE),"No Equipment in entity"))</f>
        <v>VAV0278</v>
      </c>
    </row>
    <row r="513" spans="1:5" x14ac:dyDescent="0.3">
      <c r="A513" t="s">
        <v>4267</v>
      </c>
      <c r="B513" t="s">
        <v>5699</v>
      </c>
      <c r="C513" t="s">
        <v>5028</v>
      </c>
      <c r="D513" t="str" cm="1">
        <f t="array" ref="D513">TRANSPOSE(_xlfn._xlws.FILTER('Controllable Asset Registry'!$A$4:$A$764,IFERROR('Controllable Asset Registry'!$E$4:$E$764=A513,FALSE),"No Equipment in entity"))</f>
        <v>VAV0279</v>
      </c>
    </row>
    <row r="514" spans="1:5" x14ac:dyDescent="0.3">
      <c r="A514" t="s">
        <v>4268</v>
      </c>
      <c r="B514" t="s">
        <v>5700</v>
      </c>
      <c r="C514" t="s">
        <v>5030</v>
      </c>
      <c r="D514" t="str" cm="1">
        <f t="array" ref="D514">TRANSPOSE(_xlfn._xlws.FILTER('Controllable Asset Registry'!$A$4:$A$764,IFERROR('Controllable Asset Registry'!$E$4:$E$764=A514,FALSE),"No Equipment in entity"))</f>
        <v>VAV0280</v>
      </c>
    </row>
    <row r="515" spans="1:5" x14ac:dyDescent="0.3">
      <c r="A515" t="s">
        <v>4269</v>
      </c>
      <c r="B515" t="s">
        <v>5701</v>
      </c>
      <c r="C515" t="s">
        <v>5026</v>
      </c>
      <c r="D515" t="str" cm="1">
        <f t="array" ref="D515">TRANSPOSE(_xlfn._xlws.FILTER('Controllable Asset Registry'!$A$4:$A$764,IFERROR('Controllable Asset Registry'!$E$4:$E$764=A515,FALSE),"No Equipment in entity"))</f>
        <v>VAV0281</v>
      </c>
    </row>
    <row r="516" spans="1:5" x14ac:dyDescent="0.3">
      <c r="A516" t="s">
        <v>4297</v>
      </c>
      <c r="B516" t="s">
        <v>5702</v>
      </c>
      <c r="C516" t="s">
        <v>5029</v>
      </c>
      <c r="D516" t="str" cm="1">
        <f t="array" ref="D516">TRANSPOSE(_xlfn._xlws.FILTER('Controllable Asset Registry'!$A$4:$A$764,IFERROR('Controllable Asset Registry'!$E$4:$E$764=A516,FALSE),"No Equipment in entity"))</f>
        <v>VAV0322</v>
      </c>
    </row>
    <row r="517" spans="1:5" x14ac:dyDescent="0.3">
      <c r="A517" t="s">
        <v>4285</v>
      </c>
      <c r="B517" t="s">
        <v>5703</v>
      </c>
      <c r="C517" t="s">
        <v>5031</v>
      </c>
      <c r="D517" t="str" cm="1">
        <f t="array" ref="D517">TRANSPOSE(_xlfn._xlws.FILTER('Controllable Asset Registry'!$A$4:$A$764,IFERROR('Controllable Asset Registry'!$E$4:$E$764=A517,FALSE),"No Equipment in entity"))</f>
        <v>VAV0302</v>
      </c>
    </row>
    <row r="518" spans="1:5" x14ac:dyDescent="0.3">
      <c r="A518" t="s">
        <v>4284</v>
      </c>
      <c r="B518" t="s">
        <v>5704</v>
      </c>
      <c r="C518" t="s">
        <v>4941</v>
      </c>
      <c r="D518" t="str" cm="1">
        <f t="array" ref="D518:E518">TRANSPOSE(_xlfn._xlws.FILTER('Controllable Asset Registry'!$A$4:$A$764,IFERROR('Controllable Asset Registry'!$E$4:$E$764=A518,FALSE),"No Equipment in entity"))</f>
        <v>VAV0300</v>
      </c>
      <c r="E518" t="str">
        <v>VAV0301</v>
      </c>
    </row>
    <row r="519" spans="1:5" x14ac:dyDescent="0.3">
      <c r="A519" t="s">
        <v>4010</v>
      </c>
      <c r="B519" t="s">
        <v>5705</v>
      </c>
      <c r="C519" t="s">
        <v>4836</v>
      </c>
      <c r="D519" t="str" cm="1">
        <f t="array" ref="D519">TRANSPOSE(_xlfn._xlws.FILTER('Controllable Asset Registry'!$A$4:$A$764,IFERROR('Controllable Asset Registry'!$E$4:$E$764=A519,FALSE),"No Equipment in entity"))</f>
        <v>FCU0088</v>
      </c>
    </row>
    <row r="520" spans="1:5" x14ac:dyDescent="0.3">
      <c r="A520" t="s">
        <v>4275</v>
      </c>
      <c r="B520" t="s">
        <v>5706</v>
      </c>
      <c r="C520" t="s">
        <v>5032</v>
      </c>
      <c r="D520" t="str" cm="1">
        <f t="array" ref="D520:E520">TRANSPOSE(_xlfn._xlws.FILTER('Controllable Asset Registry'!$A$4:$A$764,IFERROR('Controllable Asset Registry'!$E$4:$E$764=A520,FALSE),"No Equipment in entity"))</f>
        <v>VAV0288</v>
      </c>
      <c r="E520" t="str">
        <v>VAV0289</v>
      </c>
    </row>
    <row r="521" spans="1:5" x14ac:dyDescent="0.3">
      <c r="A521" t="s">
        <v>5033</v>
      </c>
      <c r="B521" t="s">
        <v>5707</v>
      </c>
      <c r="C521" t="s">
        <v>4707</v>
      </c>
      <c r="D521" t="str" cm="1">
        <f t="array" ref="D521">TRANSPOSE(_xlfn._xlws.FILTER('Controllable Asset Registry'!$A$4:$A$764,IFERROR('Controllable Asset Registry'!$E$4:$E$764=A521,FALSE),"No Equipment in entity"))</f>
        <v>No Equipment in entity</v>
      </c>
    </row>
    <row r="522" spans="1:5" x14ac:dyDescent="0.3">
      <c r="A522" t="s">
        <v>5034</v>
      </c>
      <c r="B522" t="s">
        <v>5708</v>
      </c>
      <c r="C522" t="s">
        <v>4865</v>
      </c>
      <c r="D522" t="str" cm="1">
        <f t="array" ref="D522">TRANSPOSE(_xlfn._xlws.FILTER('Controllable Asset Registry'!$A$4:$A$764,IFERROR('Controllable Asset Registry'!$E$4:$E$764=A522,FALSE),"No Equipment in entity"))</f>
        <v>No Equipment in entity</v>
      </c>
    </row>
    <row r="523" spans="1:5" x14ac:dyDescent="0.3">
      <c r="A523" t="s">
        <v>4274</v>
      </c>
      <c r="B523" t="s">
        <v>5709</v>
      </c>
      <c r="C523" t="s">
        <v>5035</v>
      </c>
      <c r="D523" t="str" cm="1">
        <f t="array" ref="D523:E523">TRANSPOSE(_xlfn._xlws.FILTER('Controllable Asset Registry'!$A$4:$A$764,IFERROR('Controllable Asset Registry'!$E$4:$E$764=A523,FALSE),"No Equipment in entity"))</f>
        <v>VAV0286</v>
      </c>
      <c r="E523" t="str">
        <v>VAV0287</v>
      </c>
    </row>
    <row r="524" spans="1:5" x14ac:dyDescent="0.3">
      <c r="A524" t="s">
        <v>4273</v>
      </c>
      <c r="B524" t="s">
        <v>5710</v>
      </c>
      <c r="C524" t="s">
        <v>5026</v>
      </c>
      <c r="D524" t="str" cm="1">
        <f t="array" ref="D524">TRANSPOSE(_xlfn._xlws.FILTER('Controllable Asset Registry'!$A$4:$A$764,IFERROR('Controllable Asset Registry'!$E$4:$E$764=A524,FALSE),"No Equipment in entity"))</f>
        <v>VAV0285</v>
      </c>
    </row>
    <row r="525" spans="1:5" x14ac:dyDescent="0.3">
      <c r="A525" t="s">
        <v>4272</v>
      </c>
      <c r="B525" t="s">
        <v>5711</v>
      </c>
      <c r="C525" t="s">
        <v>4614</v>
      </c>
      <c r="D525" t="str" cm="1">
        <f t="array" ref="D525">TRANSPOSE(_xlfn._xlws.FILTER('Controllable Asset Registry'!$A$4:$A$764,IFERROR('Controllable Asset Registry'!$E$4:$E$764=A525,FALSE),"No Equipment in entity"))</f>
        <v>VAV0284</v>
      </c>
    </row>
    <row r="526" spans="1:5" x14ac:dyDescent="0.3">
      <c r="A526" t="s">
        <v>4287</v>
      </c>
      <c r="B526" t="s">
        <v>5712</v>
      </c>
      <c r="C526" t="s">
        <v>5036</v>
      </c>
      <c r="D526" t="str" cm="1">
        <f t="array" ref="D526">TRANSPOSE(_xlfn._xlws.FILTER('Controllable Asset Registry'!$A$4:$A$764,IFERROR('Controllable Asset Registry'!$E$4:$E$764=A526,FALSE),"No Equipment in entity"))</f>
        <v>VAV0305</v>
      </c>
    </row>
    <row r="527" spans="1:5" x14ac:dyDescent="0.3">
      <c r="A527" t="s">
        <v>4004</v>
      </c>
      <c r="B527" t="s">
        <v>5713</v>
      </c>
      <c r="C527" t="s">
        <v>5036</v>
      </c>
      <c r="D527" t="str" cm="1">
        <f t="array" ref="D527">TRANSPOSE(_xlfn._xlws.FILTER('Controllable Asset Registry'!$A$4:$A$764,IFERROR('Controllable Asset Registry'!$E$4:$E$764=A527,FALSE),"No Equipment in entity"))</f>
        <v>VAV0306</v>
      </c>
    </row>
    <row r="528" spans="1:5" x14ac:dyDescent="0.3">
      <c r="A528" t="s">
        <v>4288</v>
      </c>
      <c r="B528" t="s">
        <v>5714</v>
      </c>
      <c r="C528" t="s">
        <v>5036</v>
      </c>
      <c r="D528" t="str" cm="1">
        <f t="array" ref="D528">TRANSPOSE(_xlfn._xlws.FILTER('Controllable Asset Registry'!$A$4:$A$764,IFERROR('Controllable Asset Registry'!$E$4:$E$764=A528,FALSE),"No Equipment in entity"))</f>
        <v>VAV0307</v>
      </c>
    </row>
    <row r="529" spans="1:5" x14ac:dyDescent="0.3">
      <c r="A529" t="s">
        <v>5037</v>
      </c>
      <c r="B529" t="s">
        <v>5715</v>
      </c>
      <c r="C529" t="s">
        <v>4707</v>
      </c>
      <c r="D529" t="str" cm="1">
        <f t="array" ref="D529">TRANSPOSE(_xlfn._xlws.FILTER('Controllable Asset Registry'!$A$4:$A$764,IFERROR('Controllable Asset Registry'!$E$4:$E$764=A529,FALSE),"No Equipment in entity"))</f>
        <v>No Equipment in entity</v>
      </c>
    </row>
    <row r="530" spans="1:5" x14ac:dyDescent="0.3">
      <c r="A530" t="s">
        <v>4289</v>
      </c>
      <c r="B530" t="s">
        <v>5716</v>
      </c>
      <c r="C530" t="s">
        <v>5038</v>
      </c>
      <c r="D530" t="str" cm="1">
        <f t="array" ref="D530:E530">TRANSPOSE(_xlfn._xlws.FILTER('Controllable Asset Registry'!$A$4:$A$764,IFERROR('Controllable Asset Registry'!$E$4:$E$764=A530,FALSE),"No Equipment in entity"))</f>
        <v>VAV0308</v>
      </c>
      <c r="E530" t="str">
        <v>VAV0309</v>
      </c>
    </row>
    <row r="531" spans="1:5" x14ac:dyDescent="0.3">
      <c r="A531" t="s">
        <v>4290</v>
      </c>
      <c r="B531" t="s">
        <v>5717</v>
      </c>
      <c r="C531" t="s">
        <v>5036</v>
      </c>
      <c r="D531" t="str" cm="1">
        <f t="array" ref="D531">TRANSPOSE(_xlfn._xlws.FILTER('Controllable Asset Registry'!$A$4:$A$764,IFERROR('Controllable Asset Registry'!$E$4:$E$764=A531,FALSE),"No Equipment in entity"))</f>
        <v>VAV0310</v>
      </c>
    </row>
    <row r="532" spans="1:5" x14ac:dyDescent="0.3">
      <c r="A532" t="s">
        <v>4291</v>
      </c>
      <c r="B532" t="s">
        <v>5718</v>
      </c>
      <c r="C532" t="s">
        <v>5036</v>
      </c>
      <c r="D532" t="str" cm="1">
        <f t="array" ref="D532">TRANSPOSE(_xlfn._xlws.FILTER('Controllable Asset Registry'!$A$4:$A$764,IFERROR('Controllable Asset Registry'!$E$4:$E$764=A532,FALSE),"No Equipment in entity"))</f>
        <v>VAV0311</v>
      </c>
    </row>
    <row r="533" spans="1:5" x14ac:dyDescent="0.3">
      <c r="A533" t="s">
        <v>4292</v>
      </c>
      <c r="B533" t="s">
        <v>5719</v>
      </c>
      <c r="C533" t="s">
        <v>5036</v>
      </c>
      <c r="D533" t="str" cm="1">
        <f t="array" ref="D533">TRANSPOSE(_xlfn._xlws.FILTER('Controllable Asset Registry'!$A$4:$A$764,IFERROR('Controllable Asset Registry'!$E$4:$E$764=A533,FALSE),"No Equipment in entity"))</f>
        <v>VAV0312</v>
      </c>
    </row>
    <row r="534" spans="1:5" x14ac:dyDescent="0.3">
      <c r="A534" t="s">
        <v>4293</v>
      </c>
      <c r="B534" t="s">
        <v>5720</v>
      </c>
      <c r="C534" t="s">
        <v>5036</v>
      </c>
      <c r="D534" t="str" cm="1">
        <f t="array" ref="D534">TRANSPOSE(_xlfn._xlws.FILTER('Controllable Asset Registry'!$A$4:$A$764,IFERROR('Controllable Asset Registry'!$E$4:$E$764=A534,FALSE),"No Equipment in entity"))</f>
        <v>VAV0313</v>
      </c>
    </row>
    <row r="535" spans="1:5" x14ac:dyDescent="0.3">
      <c r="A535" t="s">
        <v>6130</v>
      </c>
      <c r="B535" t="s">
        <v>6236</v>
      </c>
      <c r="C535" t="s">
        <v>5039</v>
      </c>
      <c r="D535" t="str" cm="1">
        <f t="array" ref="D535">TRANSPOSE(_xlfn._xlws.FILTER('Controllable Asset Registry'!$A$4:$A$764,IFERROR('Controllable Asset Registry'!$E$4:$E$764=A535,FALSE),"No Equipment in entity"))</f>
        <v>VAV0314</v>
      </c>
    </row>
    <row r="536" spans="1:5" x14ac:dyDescent="0.3">
      <c r="A536" t="s">
        <v>4294</v>
      </c>
      <c r="B536" t="s">
        <v>5721</v>
      </c>
      <c r="C536" t="s">
        <v>5040</v>
      </c>
      <c r="D536" t="str" cm="1">
        <f t="array" ref="D536">TRANSPOSE(_xlfn._xlws.FILTER('Controllable Asset Registry'!$A$4:$A$764,IFERROR('Controllable Asset Registry'!$E$4:$E$764=A536,FALSE),"No Equipment in entity"))</f>
        <v>VAV0315</v>
      </c>
    </row>
    <row r="537" spans="1:5" x14ac:dyDescent="0.3">
      <c r="A537" t="s">
        <v>4295</v>
      </c>
      <c r="B537" t="s">
        <v>5722</v>
      </c>
      <c r="C537" t="s">
        <v>5036</v>
      </c>
      <c r="D537" t="str" cm="1">
        <f t="array" ref="D537">TRANSPOSE(_xlfn._xlws.FILTER('Controllable Asset Registry'!$A$4:$A$764,IFERROR('Controllable Asset Registry'!$E$4:$E$764=A537,FALSE),"No Equipment in entity"))</f>
        <v>VAV0316</v>
      </c>
    </row>
    <row r="538" spans="1:5" x14ac:dyDescent="0.3">
      <c r="A538" t="s">
        <v>4296</v>
      </c>
      <c r="B538" t="s">
        <v>5723</v>
      </c>
      <c r="C538" t="s">
        <v>5030</v>
      </c>
      <c r="D538" t="str" cm="1">
        <f t="array" ref="D538">TRANSPOSE(_xlfn._xlws.FILTER('Controllable Asset Registry'!$A$4:$A$764,IFERROR('Controllable Asset Registry'!$E$4:$E$764=A538,FALSE),"No Equipment in entity"))</f>
        <v>VAV0317</v>
      </c>
    </row>
    <row r="539" spans="1:5" x14ac:dyDescent="0.3">
      <c r="A539" t="s">
        <v>3948</v>
      </c>
      <c r="B539" t="s">
        <v>5724</v>
      </c>
      <c r="C539" t="s">
        <v>5041</v>
      </c>
      <c r="D539" t="str" cm="1">
        <f t="array" ref="D539:E539">TRANSPOSE(_xlfn._xlws.FILTER('Controllable Asset Registry'!$A$4:$A$764,IFERROR('Controllable Asset Registry'!$E$4:$E$764=A539,FALSE),"No Equipment in entity"))</f>
        <v>AHU5_0001</v>
      </c>
      <c r="E539" t="str">
        <v>AHU5_0002</v>
      </c>
    </row>
    <row r="540" spans="1:5" x14ac:dyDescent="0.3">
      <c r="A540" t="s">
        <v>5042</v>
      </c>
      <c r="B540" t="s">
        <v>5725</v>
      </c>
      <c r="C540" t="s">
        <v>4625</v>
      </c>
      <c r="D540" t="str" cm="1">
        <f t="array" ref="D540">TRANSPOSE(_xlfn._xlws.FILTER('Controllable Asset Registry'!$A$4:$A$764,IFERROR('Controllable Asset Registry'!$E$4:$E$764=A540,FALSE),"No Equipment in entity"))</f>
        <v>No Equipment in entity</v>
      </c>
    </row>
    <row r="541" spans="1:5" x14ac:dyDescent="0.3">
      <c r="A541" t="s">
        <v>5043</v>
      </c>
      <c r="B541" t="s">
        <v>5726</v>
      </c>
      <c r="C541" t="s">
        <v>4628</v>
      </c>
      <c r="D541" t="str" cm="1">
        <f t="array" ref="D541">TRANSPOSE(_xlfn._xlws.FILTER('Controllable Asset Registry'!$A$4:$A$764,IFERROR('Controllable Asset Registry'!$E$4:$E$764=A541,FALSE),"No Equipment in entity"))</f>
        <v>No Equipment in entity</v>
      </c>
    </row>
    <row r="542" spans="1:5" x14ac:dyDescent="0.3">
      <c r="A542" t="s">
        <v>5044</v>
      </c>
      <c r="B542" t="s">
        <v>5727</v>
      </c>
      <c r="C542" t="s">
        <v>4625</v>
      </c>
      <c r="D542" t="str" cm="1">
        <f t="array" ref="D542">TRANSPOSE(_xlfn._xlws.FILTER('Controllable Asset Registry'!$A$4:$A$764,IFERROR('Controllable Asset Registry'!$E$4:$E$764=A542,FALSE),"No Equipment in entity"))</f>
        <v>No Equipment in entity</v>
      </c>
    </row>
    <row r="543" spans="1:5" x14ac:dyDescent="0.3">
      <c r="A543" t="s">
        <v>5045</v>
      </c>
      <c r="B543" t="s">
        <v>5728</v>
      </c>
      <c r="C543" t="s">
        <v>4628</v>
      </c>
      <c r="D543" t="str" cm="1">
        <f t="array" ref="D543">TRANSPOSE(_xlfn._xlws.FILTER('Controllable Asset Registry'!$A$4:$A$764,IFERROR('Controllable Asset Registry'!$E$4:$E$764=A543,FALSE),"No Equipment in entity"))</f>
        <v>No Equipment in entity</v>
      </c>
    </row>
    <row r="544" spans="1:5" x14ac:dyDescent="0.3">
      <c r="A544" t="s">
        <v>5046</v>
      </c>
      <c r="B544" t="s">
        <v>5729</v>
      </c>
      <c r="C544" t="s">
        <v>3761</v>
      </c>
      <c r="D544" t="str" cm="1">
        <f t="array" ref="D544">TRANSPOSE(_xlfn._xlws.FILTER('Controllable Asset Registry'!$A$4:$A$764,IFERROR('Controllable Asset Registry'!$E$4:$E$764=A544,FALSE),"No Equipment in entity"))</f>
        <v>No Equipment in entity</v>
      </c>
    </row>
    <row r="545" spans="1:11" x14ac:dyDescent="0.3">
      <c r="A545" t="s">
        <v>5047</v>
      </c>
      <c r="B545" t="s">
        <v>5730</v>
      </c>
      <c r="C545" t="s">
        <v>3761</v>
      </c>
      <c r="D545" t="str" cm="1">
        <f t="array" ref="D545">TRANSPOSE(_xlfn._xlws.FILTER('Controllable Asset Registry'!$A$4:$A$764,IFERROR('Controllable Asset Registry'!$E$4:$E$764=A545,FALSE),"No Equipment in entity"))</f>
        <v>No Equipment in entity</v>
      </c>
    </row>
    <row r="546" spans="1:11" x14ac:dyDescent="0.3">
      <c r="A546" t="s">
        <v>5048</v>
      </c>
      <c r="B546" t="s">
        <v>5731</v>
      </c>
      <c r="C546" t="s">
        <v>3761</v>
      </c>
      <c r="D546" t="str" cm="1">
        <f t="array" ref="D546">TRANSPOSE(_xlfn._xlws.FILTER('Controllable Asset Registry'!$A$4:$A$764,IFERROR('Controllable Asset Registry'!$E$4:$E$764=A546,FALSE),"No Equipment in entity"))</f>
        <v>No Equipment in entity</v>
      </c>
    </row>
    <row r="547" spans="1:11" x14ac:dyDescent="0.3">
      <c r="A547" t="s">
        <v>5049</v>
      </c>
      <c r="B547" t="s">
        <v>5732</v>
      </c>
      <c r="C547" t="s">
        <v>3761</v>
      </c>
      <c r="D547" t="str" cm="1">
        <f t="array" ref="D547">TRANSPOSE(_xlfn._xlws.FILTER('Controllable Asset Registry'!$A$4:$A$764,IFERROR('Controllable Asset Registry'!$E$4:$E$764=A547,FALSE),"No Equipment in entity"))</f>
        <v>No Equipment in entity</v>
      </c>
    </row>
    <row r="548" spans="1:11" x14ac:dyDescent="0.3">
      <c r="A548" t="s">
        <v>5050</v>
      </c>
      <c r="B548" t="s">
        <v>5733</v>
      </c>
      <c r="C548" t="s">
        <v>3761</v>
      </c>
      <c r="D548" t="str" cm="1">
        <f t="array" ref="D548">TRANSPOSE(_xlfn._xlws.FILTER('Controllable Asset Registry'!$A$4:$A$764,IFERROR('Controllable Asset Registry'!$E$4:$E$764=A548,FALSE),"No Equipment in entity"))</f>
        <v>No Equipment in entity</v>
      </c>
    </row>
    <row r="549" spans="1:11" x14ac:dyDescent="0.3">
      <c r="A549" t="s">
        <v>5051</v>
      </c>
      <c r="B549" t="s">
        <v>5734</v>
      </c>
      <c r="C549" t="s">
        <v>3758</v>
      </c>
      <c r="D549" t="str" cm="1">
        <f t="array" ref="D549">TRANSPOSE(_xlfn._xlws.FILTER('Controllable Asset Registry'!$A$4:$A$764,IFERROR('Controllable Asset Registry'!$E$4:$E$764=A549,FALSE),"No Equipment in entity"))</f>
        <v>No Equipment in entity</v>
      </c>
    </row>
    <row r="550" spans="1:11" x14ac:dyDescent="0.3">
      <c r="A550" t="s">
        <v>4009</v>
      </c>
      <c r="B550" t="s">
        <v>5735</v>
      </c>
      <c r="C550" t="s">
        <v>4634</v>
      </c>
      <c r="D550" t="str" cm="1">
        <f t="array" ref="D550">TRANSPOSE(_xlfn._xlws.FILTER('Controllable Asset Registry'!$A$4:$A$764,IFERROR('Controllable Asset Registry'!$E$4:$E$764=A550,FALSE),"No Equipment in entity"))</f>
        <v>FCU0087</v>
      </c>
    </row>
    <row r="551" spans="1:11" x14ac:dyDescent="0.3">
      <c r="A551" t="s">
        <v>5052</v>
      </c>
      <c r="B551" t="s">
        <v>5736</v>
      </c>
      <c r="C551" t="s">
        <v>3758</v>
      </c>
      <c r="D551" t="str" cm="1">
        <f t="array" ref="D551">TRANSPOSE(_xlfn._xlws.FILTER('Controllable Asset Registry'!$A$4:$A$764,IFERROR('Controllable Asset Registry'!$E$4:$E$764=A551,FALSE),"No Equipment in entity"))</f>
        <v>No Equipment in entity</v>
      </c>
    </row>
    <row r="552" spans="1:11" x14ac:dyDescent="0.3">
      <c r="A552" t="s">
        <v>4008</v>
      </c>
      <c r="B552" t="s">
        <v>5737</v>
      </c>
      <c r="C552" t="s">
        <v>4634</v>
      </c>
      <c r="D552" t="str" cm="1">
        <f t="array" ref="D552:E552">TRANSPOSE(_xlfn._xlws.FILTER('Controllable Asset Registry'!$A$4:$A$764,IFERROR('Controllable Asset Registry'!$E$4:$E$764=A552,FALSE),"No Equipment in entity"))</f>
        <v>FCU0085</v>
      </c>
      <c r="E552" t="str">
        <v>FCU0086</v>
      </c>
    </row>
    <row r="553" spans="1:11" x14ac:dyDescent="0.3">
      <c r="A553" t="s">
        <v>5053</v>
      </c>
      <c r="B553" t="s">
        <v>5738</v>
      </c>
      <c r="C553" t="s">
        <v>4776</v>
      </c>
      <c r="D553" t="str" cm="1">
        <f t="array" ref="D553">TRANSPOSE(_xlfn._xlws.FILTER('Controllable Asset Registry'!$A$4:$A$764,IFERROR('Controllable Asset Registry'!$E$4:$E$764=A553,FALSE),"No Equipment in entity"))</f>
        <v>No Equipment in entity</v>
      </c>
    </row>
    <row r="554" spans="1:11" x14ac:dyDescent="0.3">
      <c r="A554" t="s">
        <v>5054</v>
      </c>
      <c r="B554" t="s">
        <v>5739</v>
      </c>
      <c r="C554" t="s">
        <v>4779</v>
      </c>
      <c r="D554" t="str" cm="1">
        <f t="array" ref="D554">TRANSPOSE(_xlfn._xlws.FILTER('Controllable Asset Registry'!$A$4:$A$764,IFERROR('Controllable Asset Registry'!$E$4:$E$764=A554,FALSE),"No Equipment in entity"))</f>
        <v>No Equipment in entity</v>
      </c>
    </row>
    <row r="555" spans="1:11" x14ac:dyDescent="0.3">
      <c r="A555" t="s">
        <v>5055</v>
      </c>
      <c r="B555" t="s">
        <v>5740</v>
      </c>
      <c r="C555" t="s">
        <v>3758</v>
      </c>
      <c r="D555" t="str" cm="1">
        <f t="array" ref="D555">TRANSPOSE(_xlfn._xlws.FILTER('Controllable Asset Registry'!$A$4:$A$764,IFERROR('Controllable Asset Registry'!$E$4:$E$764=A555,FALSE),"No Equipment in entity"))</f>
        <v>No Equipment in entity</v>
      </c>
    </row>
    <row r="556" spans="1:11" x14ac:dyDescent="0.3">
      <c r="A556" t="s">
        <v>4270</v>
      </c>
      <c r="B556" t="s">
        <v>5741</v>
      </c>
      <c r="C556" t="s">
        <v>4933</v>
      </c>
      <c r="D556" t="str" cm="1">
        <f t="array" ref="D556:E556">TRANSPOSE(_xlfn._xlws.FILTER('Controllable Asset Registry'!$A$4:$A$764,IFERROR('Controllable Asset Registry'!$E$4:$E$764=A556,FALSE),"No Equipment in entity"))</f>
        <v>VAV0282</v>
      </c>
      <c r="E556" t="str">
        <v>VAV0304</v>
      </c>
    </row>
    <row r="557" spans="1:11" x14ac:dyDescent="0.3">
      <c r="A557" t="s">
        <v>4001</v>
      </c>
      <c r="B557" t="s">
        <v>5742</v>
      </c>
      <c r="C557" t="s">
        <v>5022</v>
      </c>
      <c r="D557" t="str" cm="1">
        <f t="array" ref="D557:K557">TRANSPOSE(_xlfn._xlws.FILTER('Controllable Asset Registry'!$A$4:$A$764,IFERROR('Controllable Asset Registry'!$E$4:$E$764=A557,FALSE),"No Equipment in entity"))</f>
        <v>FCU0067</v>
      </c>
      <c r="E557" t="str">
        <v>FCU0068</v>
      </c>
      <c r="F557" t="str">
        <v>FCU0069</v>
      </c>
      <c r="G557" t="str">
        <v>FCU0070</v>
      </c>
      <c r="H557" t="str">
        <v>FCU0092</v>
      </c>
      <c r="I557" t="str">
        <v>FCU0093</v>
      </c>
      <c r="J557" t="str">
        <v>FCU0094</v>
      </c>
      <c r="K557" t="str">
        <v>FCU0095</v>
      </c>
    </row>
    <row r="558" spans="1:11" x14ac:dyDescent="0.3">
      <c r="A558" t="s">
        <v>5056</v>
      </c>
      <c r="B558" t="s">
        <v>5743</v>
      </c>
      <c r="C558" t="s">
        <v>5022</v>
      </c>
      <c r="D558" t="str" cm="1">
        <f t="array" ref="D558">TRANSPOSE(_xlfn._xlws.FILTER('Controllable Asset Registry'!$A$4:$A$764,IFERROR('Controllable Asset Registry'!$E$4:$E$764=A558,FALSE),"No Equipment in entity"))</f>
        <v>No Equipment in entity</v>
      </c>
    </row>
    <row r="559" spans="1:11" x14ac:dyDescent="0.3">
      <c r="A559" t="s">
        <v>5057</v>
      </c>
      <c r="B559" t="s">
        <v>5744</v>
      </c>
      <c r="C559" t="s">
        <v>5025</v>
      </c>
      <c r="D559" t="str" cm="1">
        <f t="array" ref="D559">TRANSPOSE(_xlfn._xlws.FILTER('Controllable Asset Registry'!$A$4:$A$764,IFERROR('Controllable Asset Registry'!$E$4:$E$764=A559,FALSE),"No Equipment in entity"))</f>
        <v>No Equipment in entity</v>
      </c>
    </row>
    <row r="560" spans="1:11" x14ac:dyDescent="0.3">
      <c r="A560" t="s">
        <v>6237</v>
      </c>
      <c r="B560" t="s">
        <v>6238</v>
      </c>
      <c r="C560" t="s">
        <v>4793</v>
      </c>
      <c r="D560" t="str" cm="1">
        <f t="array" ref="D560">TRANSPOSE(_xlfn._xlws.FILTER('Controllable Asset Registry'!$A$4:$A$764,IFERROR('Controllable Asset Registry'!$E$4:$E$764=A560,FALSE),"No Equipment in entity"))</f>
        <v>No Equipment in entity</v>
      </c>
    </row>
    <row r="561" spans="1:4" x14ac:dyDescent="0.3">
      <c r="A561" t="s">
        <v>6239</v>
      </c>
      <c r="B561" t="s">
        <v>6240</v>
      </c>
      <c r="C561" t="s">
        <v>4796</v>
      </c>
      <c r="D561" t="str" cm="1">
        <f t="array" ref="D561">TRANSPOSE(_xlfn._xlws.FILTER('Controllable Asset Registry'!$A$4:$A$764,IFERROR('Controllable Asset Registry'!$E$4:$E$764=A561,FALSE),"No Equipment in entity"))</f>
        <v>No Equipment in entity</v>
      </c>
    </row>
    <row r="562" spans="1:4" x14ac:dyDescent="0.3">
      <c r="A562" t="s">
        <v>6241</v>
      </c>
      <c r="B562" t="s">
        <v>6242</v>
      </c>
      <c r="C562" t="s">
        <v>4799</v>
      </c>
      <c r="D562" t="str" cm="1">
        <f t="array" ref="D562">TRANSPOSE(_xlfn._xlws.FILTER('Controllable Asset Registry'!$A$4:$A$764,IFERROR('Controllable Asset Registry'!$E$4:$E$764=A562,FALSE),"No Equipment in entity"))</f>
        <v>No Equipment in entity</v>
      </c>
    </row>
    <row r="563" spans="1:4" x14ac:dyDescent="0.3">
      <c r="A563" t="s">
        <v>6243</v>
      </c>
      <c r="B563" t="s">
        <v>6244</v>
      </c>
      <c r="C563" t="s">
        <v>4663</v>
      </c>
      <c r="D563" t="str" cm="1">
        <f t="array" ref="D563">TRANSPOSE(_xlfn._xlws.FILTER('Controllable Asset Registry'!$A$4:$A$764,IFERROR('Controllable Asset Registry'!$E$4:$E$764=A563,FALSE),"No Equipment in entity"))</f>
        <v>No Equipment in entity</v>
      </c>
    </row>
    <row r="564" spans="1:4" x14ac:dyDescent="0.3">
      <c r="A564" t="s">
        <v>6245</v>
      </c>
      <c r="B564" t="s">
        <v>6246</v>
      </c>
      <c r="C564" t="s">
        <v>4666</v>
      </c>
      <c r="D564" t="str" cm="1">
        <f t="array" ref="D564">TRANSPOSE(_xlfn._xlws.FILTER('Controllable Asset Registry'!$A$4:$A$764,IFERROR('Controllable Asset Registry'!$E$4:$E$764=A564,FALSE),"No Equipment in entity"))</f>
        <v>No Equipment in entity</v>
      </c>
    </row>
    <row r="565" spans="1:4" x14ac:dyDescent="0.3">
      <c r="A565" t="s">
        <v>6247</v>
      </c>
      <c r="B565" t="s">
        <v>6248</v>
      </c>
      <c r="C565" t="s">
        <v>4669</v>
      </c>
      <c r="D565" t="str" cm="1">
        <f t="array" ref="D565">TRANSPOSE(_xlfn._xlws.FILTER('Controllable Asset Registry'!$A$4:$A$764,IFERROR('Controllable Asset Registry'!$E$4:$E$764=A565,FALSE),"No Equipment in entity"))</f>
        <v>No Equipment in entity</v>
      </c>
    </row>
    <row r="566" spans="1:4" x14ac:dyDescent="0.3">
      <c r="A566" t="s">
        <v>6249</v>
      </c>
      <c r="B566" t="s">
        <v>6250</v>
      </c>
      <c r="C566" t="s">
        <v>4808</v>
      </c>
      <c r="D566" t="str" cm="1">
        <f t="array" ref="D566">TRANSPOSE(_xlfn._xlws.FILTER('Controllable Asset Registry'!$A$4:$A$764,IFERROR('Controllable Asset Registry'!$E$4:$E$764=A566,FALSE),"No Equipment in entity"))</f>
        <v>No Equipment in entity</v>
      </c>
    </row>
    <row r="567" spans="1:4" x14ac:dyDescent="0.3">
      <c r="A567" t="s">
        <v>6251</v>
      </c>
      <c r="B567" t="s">
        <v>6252</v>
      </c>
      <c r="C567" t="s">
        <v>4674</v>
      </c>
      <c r="D567" t="str" cm="1">
        <f t="array" ref="D567">TRANSPOSE(_xlfn._xlws.FILTER('Controllable Asset Registry'!$A$4:$A$764,IFERROR('Controllable Asset Registry'!$E$4:$E$764=A567,FALSE),"No Equipment in entity"))</f>
        <v>No Equipment in entity</v>
      </c>
    </row>
    <row r="568" spans="1:4" x14ac:dyDescent="0.3">
      <c r="A568" t="s">
        <v>6253</v>
      </c>
      <c r="B568" t="s">
        <v>6254</v>
      </c>
      <c r="C568" t="s">
        <v>4676</v>
      </c>
      <c r="D568" t="str" cm="1">
        <f t="array" ref="D568">TRANSPOSE(_xlfn._xlws.FILTER('Controllable Asset Registry'!$A$4:$A$764,IFERROR('Controllable Asset Registry'!$E$4:$E$764=A568,FALSE),"No Equipment in entity"))</f>
        <v>No Equipment in entity</v>
      </c>
    </row>
    <row r="569" spans="1:4" x14ac:dyDescent="0.3">
      <c r="A569" t="s">
        <v>6255</v>
      </c>
      <c r="B569" t="s">
        <v>6256</v>
      </c>
      <c r="C569" t="s">
        <v>4815</v>
      </c>
      <c r="D569" t="str" cm="1">
        <f t="array" ref="D569">TRANSPOSE(_xlfn._xlws.FILTER('Controllable Asset Registry'!$A$4:$A$764,IFERROR('Controllable Asset Registry'!$E$4:$E$764=A569,FALSE),"No Equipment in entity"))</f>
        <v>No Equipment in entity</v>
      </c>
    </row>
    <row r="570" spans="1:4" x14ac:dyDescent="0.3">
      <c r="A570" t="s">
        <v>6257</v>
      </c>
      <c r="B570" t="s">
        <v>6258</v>
      </c>
      <c r="C570" t="s">
        <v>4679</v>
      </c>
      <c r="D570" t="str" cm="1">
        <f t="array" ref="D570">TRANSPOSE(_xlfn._xlws.FILTER('Controllable Asset Registry'!$A$4:$A$764,IFERROR('Controllable Asset Registry'!$E$4:$E$764=A570,FALSE),"No Equipment in entity"))</f>
        <v>No Equipment in entity</v>
      </c>
    </row>
    <row r="571" spans="1:4" x14ac:dyDescent="0.3">
      <c r="A571" t="s">
        <v>4332</v>
      </c>
      <c r="B571" t="s">
        <v>5745</v>
      </c>
      <c r="C571" t="s">
        <v>5058</v>
      </c>
      <c r="D571" t="str" cm="1">
        <f t="array" ref="D571">TRANSPOSE(_xlfn._xlws.FILTER('Controllable Asset Registry'!$A$4:$A$764,IFERROR('Controllable Asset Registry'!$E$4:$E$764=A571,FALSE),"No Equipment in entity"))</f>
        <v>VAV0359</v>
      </c>
    </row>
    <row r="572" spans="1:4" x14ac:dyDescent="0.3">
      <c r="A572" t="s">
        <v>4322</v>
      </c>
      <c r="B572" t="s">
        <v>5746</v>
      </c>
      <c r="C572" t="s">
        <v>5059</v>
      </c>
      <c r="D572" t="str" cm="1">
        <f t="array" ref="D572">TRANSPOSE(_xlfn._xlws.FILTER('Controllable Asset Registry'!$A$4:$A$764,IFERROR('Controllable Asset Registry'!$E$4:$E$764=A572,FALSE),"No Equipment in entity"))</f>
        <v>VAV0349</v>
      </c>
    </row>
    <row r="573" spans="1:4" x14ac:dyDescent="0.3">
      <c r="A573" t="s">
        <v>4323</v>
      </c>
      <c r="B573" t="s">
        <v>5747</v>
      </c>
      <c r="C573" t="s">
        <v>5060</v>
      </c>
      <c r="D573" t="str" cm="1">
        <f t="array" ref="D573">TRANSPOSE(_xlfn._xlws.FILTER('Controllable Asset Registry'!$A$4:$A$764,IFERROR('Controllable Asset Registry'!$E$4:$E$764=A573,FALSE),"No Equipment in entity"))</f>
        <v>VAV0350</v>
      </c>
    </row>
    <row r="574" spans="1:4" x14ac:dyDescent="0.3">
      <c r="A574" t="s">
        <v>4324</v>
      </c>
      <c r="B574" t="s">
        <v>5748</v>
      </c>
      <c r="C574" t="s">
        <v>5060</v>
      </c>
      <c r="D574" t="str" cm="1">
        <f t="array" ref="D574">TRANSPOSE(_xlfn._xlws.FILTER('Controllable Asset Registry'!$A$4:$A$764,IFERROR('Controllable Asset Registry'!$E$4:$E$764=A574,FALSE),"No Equipment in entity"))</f>
        <v>VAV0351</v>
      </c>
    </row>
    <row r="575" spans="1:4" x14ac:dyDescent="0.3">
      <c r="A575" t="s">
        <v>4325</v>
      </c>
      <c r="B575" t="s">
        <v>5749</v>
      </c>
      <c r="C575" t="s">
        <v>5060</v>
      </c>
      <c r="D575" t="str" cm="1">
        <f t="array" ref="D575">TRANSPOSE(_xlfn._xlws.FILTER('Controllable Asset Registry'!$A$4:$A$764,IFERROR('Controllable Asset Registry'!$E$4:$E$764=A575,FALSE),"No Equipment in entity"))</f>
        <v>VAV0352</v>
      </c>
    </row>
    <row r="576" spans="1:4" x14ac:dyDescent="0.3">
      <c r="A576" t="s">
        <v>4326</v>
      </c>
      <c r="B576" t="s">
        <v>5750</v>
      </c>
      <c r="C576" t="s">
        <v>5060</v>
      </c>
      <c r="D576" t="str" cm="1">
        <f t="array" ref="D576">TRANSPOSE(_xlfn._xlws.FILTER('Controllable Asset Registry'!$A$4:$A$764,IFERROR('Controllable Asset Registry'!$E$4:$E$764=A576,FALSE),"No Equipment in entity"))</f>
        <v>VAV0353</v>
      </c>
    </row>
    <row r="577" spans="1:4" x14ac:dyDescent="0.3">
      <c r="A577" t="s">
        <v>4327</v>
      </c>
      <c r="B577" t="s">
        <v>5751</v>
      </c>
      <c r="C577" t="s">
        <v>5060</v>
      </c>
      <c r="D577" t="str" cm="1">
        <f t="array" ref="D577">TRANSPOSE(_xlfn._xlws.FILTER('Controllable Asset Registry'!$A$4:$A$764,IFERROR('Controllable Asset Registry'!$E$4:$E$764=A577,FALSE),"No Equipment in entity"))</f>
        <v>VAV0354</v>
      </c>
    </row>
    <row r="578" spans="1:4" x14ac:dyDescent="0.3">
      <c r="A578" t="s">
        <v>4328</v>
      </c>
      <c r="B578" t="s">
        <v>5752</v>
      </c>
      <c r="C578" t="s">
        <v>5060</v>
      </c>
      <c r="D578" t="str" cm="1">
        <f t="array" ref="D578">TRANSPOSE(_xlfn._xlws.FILTER('Controllable Asset Registry'!$A$4:$A$764,IFERROR('Controllable Asset Registry'!$E$4:$E$764=A578,FALSE),"No Equipment in entity"))</f>
        <v>VAV0355</v>
      </c>
    </row>
    <row r="579" spans="1:4" x14ac:dyDescent="0.3">
      <c r="A579" t="s">
        <v>4319</v>
      </c>
      <c r="B579" t="s">
        <v>5753</v>
      </c>
      <c r="C579" t="s">
        <v>5060</v>
      </c>
      <c r="D579" t="str" cm="1">
        <f t="array" ref="D579">TRANSPOSE(_xlfn._xlws.FILTER('Controllable Asset Registry'!$A$4:$A$764,IFERROR('Controllable Asset Registry'!$E$4:$E$764=A579,FALSE),"No Equipment in entity"))</f>
        <v>VAV0346</v>
      </c>
    </row>
    <row r="580" spans="1:4" x14ac:dyDescent="0.3">
      <c r="A580" t="s">
        <v>4320</v>
      </c>
      <c r="B580" t="s">
        <v>5754</v>
      </c>
      <c r="C580" t="s">
        <v>5061</v>
      </c>
      <c r="D580" t="str" cm="1">
        <f t="array" ref="D580">TRANSPOSE(_xlfn._xlws.FILTER('Controllable Asset Registry'!$A$4:$A$764,IFERROR('Controllable Asset Registry'!$E$4:$E$764=A580,FALSE),"No Equipment in entity"))</f>
        <v>VAV0347</v>
      </c>
    </row>
    <row r="581" spans="1:4" x14ac:dyDescent="0.3">
      <c r="A581" t="s">
        <v>4321</v>
      </c>
      <c r="B581" t="s">
        <v>5755</v>
      </c>
      <c r="C581" t="s">
        <v>5062</v>
      </c>
      <c r="D581" t="str" cm="1">
        <f t="array" ref="D581">TRANSPOSE(_xlfn._xlws.FILTER('Controllable Asset Registry'!$A$4:$A$764,IFERROR('Controllable Asset Registry'!$E$4:$E$764=A581,FALSE),"No Equipment in entity"))</f>
        <v>VAV0348</v>
      </c>
    </row>
    <row r="582" spans="1:4" x14ac:dyDescent="0.3">
      <c r="A582" t="s">
        <v>4298</v>
      </c>
      <c r="B582" t="s">
        <v>5756</v>
      </c>
      <c r="C582" t="s">
        <v>5062</v>
      </c>
      <c r="D582" t="str" cm="1">
        <f t="array" ref="D582">TRANSPOSE(_xlfn._xlws.FILTER('Controllable Asset Registry'!$A$4:$A$764,IFERROR('Controllable Asset Registry'!$E$4:$E$764=A582,FALSE),"No Equipment in entity"))</f>
        <v>VAV0323</v>
      </c>
    </row>
    <row r="583" spans="1:4" x14ac:dyDescent="0.3">
      <c r="A583" t="s">
        <v>4299</v>
      </c>
      <c r="B583" t="s">
        <v>5757</v>
      </c>
      <c r="C583" t="s">
        <v>5061</v>
      </c>
      <c r="D583" t="str" cm="1">
        <f t="array" ref="D583">TRANSPOSE(_xlfn._xlws.FILTER('Controllable Asset Registry'!$A$4:$A$764,IFERROR('Controllable Asset Registry'!$E$4:$E$764=A583,FALSE),"No Equipment in entity"))</f>
        <v>VAV0324</v>
      </c>
    </row>
    <row r="584" spans="1:4" x14ac:dyDescent="0.3">
      <c r="A584" t="s">
        <v>4300</v>
      </c>
      <c r="B584" t="s">
        <v>5758</v>
      </c>
      <c r="C584" t="s">
        <v>5063</v>
      </c>
      <c r="D584" t="str" cm="1">
        <f t="array" ref="D584">TRANSPOSE(_xlfn._xlws.FILTER('Controllable Asset Registry'!$A$4:$A$764,IFERROR('Controllable Asset Registry'!$E$4:$E$764=A584,FALSE),"No Equipment in entity"))</f>
        <v>VAV0325</v>
      </c>
    </row>
    <row r="585" spans="1:4" x14ac:dyDescent="0.3">
      <c r="A585" t="s">
        <v>4301</v>
      </c>
      <c r="B585" t="s">
        <v>5759</v>
      </c>
      <c r="C585" t="s">
        <v>5063</v>
      </c>
      <c r="D585" t="str" cm="1">
        <f t="array" ref="D585">TRANSPOSE(_xlfn._xlws.FILTER('Controllable Asset Registry'!$A$4:$A$764,IFERROR('Controllable Asset Registry'!$E$4:$E$764=A585,FALSE),"No Equipment in entity"))</f>
        <v>VAV0326</v>
      </c>
    </row>
    <row r="586" spans="1:4" x14ac:dyDescent="0.3">
      <c r="A586" t="s">
        <v>4302</v>
      </c>
      <c r="B586" t="s">
        <v>5760</v>
      </c>
      <c r="C586" t="s">
        <v>5063</v>
      </c>
      <c r="D586" t="str" cm="1">
        <f t="array" ref="D586">TRANSPOSE(_xlfn._xlws.FILTER('Controllable Asset Registry'!$A$4:$A$764,IFERROR('Controllable Asset Registry'!$E$4:$E$764=A586,FALSE),"No Equipment in entity"))</f>
        <v>VAV0327</v>
      </c>
    </row>
    <row r="587" spans="1:4" x14ac:dyDescent="0.3">
      <c r="A587" t="s">
        <v>4303</v>
      </c>
      <c r="B587" t="s">
        <v>5761</v>
      </c>
      <c r="C587" t="s">
        <v>5063</v>
      </c>
      <c r="D587" t="str" cm="1">
        <f t="array" ref="D587">TRANSPOSE(_xlfn._xlws.FILTER('Controllable Asset Registry'!$A$4:$A$764,IFERROR('Controllable Asset Registry'!$E$4:$E$764=A587,FALSE),"No Equipment in entity"))</f>
        <v>VAV0328</v>
      </c>
    </row>
    <row r="588" spans="1:4" x14ac:dyDescent="0.3">
      <c r="A588" t="s">
        <v>4304</v>
      </c>
      <c r="B588" t="s">
        <v>5762</v>
      </c>
      <c r="C588" t="s">
        <v>5063</v>
      </c>
      <c r="D588" t="str" cm="1">
        <f t="array" ref="D588">TRANSPOSE(_xlfn._xlws.FILTER('Controllable Asset Registry'!$A$4:$A$764,IFERROR('Controllable Asset Registry'!$E$4:$E$764=A588,FALSE),"No Equipment in entity"))</f>
        <v>VAV0329</v>
      </c>
    </row>
    <row r="589" spans="1:4" x14ac:dyDescent="0.3">
      <c r="A589" t="s">
        <v>4305</v>
      </c>
      <c r="B589" t="s">
        <v>5763</v>
      </c>
      <c r="C589" t="s">
        <v>5063</v>
      </c>
      <c r="D589" t="str" cm="1">
        <f t="array" ref="D589">TRANSPOSE(_xlfn._xlws.FILTER('Controllable Asset Registry'!$A$4:$A$764,IFERROR('Controllable Asset Registry'!$E$4:$E$764=A589,FALSE),"No Equipment in entity"))</f>
        <v>VAV0330</v>
      </c>
    </row>
    <row r="590" spans="1:4" x14ac:dyDescent="0.3">
      <c r="A590" t="s">
        <v>4306</v>
      </c>
      <c r="B590" t="s">
        <v>5764</v>
      </c>
      <c r="C590" t="s">
        <v>5063</v>
      </c>
      <c r="D590" t="str" cm="1">
        <f t="array" ref="D590">TRANSPOSE(_xlfn._xlws.FILTER('Controllable Asset Registry'!$A$4:$A$764,IFERROR('Controllable Asset Registry'!$E$4:$E$764=A590,FALSE),"No Equipment in entity"))</f>
        <v>VAV0331</v>
      </c>
    </row>
    <row r="591" spans="1:4" x14ac:dyDescent="0.3">
      <c r="A591" t="s">
        <v>4307</v>
      </c>
      <c r="B591" t="s">
        <v>5765</v>
      </c>
      <c r="C591" t="s">
        <v>5064</v>
      </c>
      <c r="D591" t="str" cm="1">
        <f t="array" ref="D591">TRANSPOSE(_xlfn._xlws.FILTER('Controllable Asset Registry'!$A$4:$A$764,IFERROR('Controllable Asset Registry'!$E$4:$E$764=A591,FALSE),"No Equipment in entity"))</f>
        <v>VAV0332</v>
      </c>
    </row>
    <row r="592" spans="1:4" x14ac:dyDescent="0.3">
      <c r="A592" t="s">
        <v>4308</v>
      </c>
      <c r="B592" t="s">
        <v>5766</v>
      </c>
      <c r="C592" t="s">
        <v>5064</v>
      </c>
      <c r="D592" t="str" cm="1">
        <f t="array" ref="D592">TRANSPOSE(_xlfn._xlws.FILTER('Controllable Asset Registry'!$A$4:$A$764,IFERROR('Controllable Asset Registry'!$E$4:$E$764=A592,FALSE),"No Equipment in entity"))</f>
        <v>VAV0333</v>
      </c>
    </row>
    <row r="593" spans="1:5" x14ac:dyDescent="0.3">
      <c r="A593" t="s">
        <v>4309</v>
      </c>
      <c r="B593" t="s">
        <v>5767</v>
      </c>
      <c r="C593" t="s">
        <v>5065</v>
      </c>
      <c r="D593" t="str" cm="1">
        <f t="array" ref="D593">TRANSPOSE(_xlfn._xlws.FILTER('Controllable Asset Registry'!$A$4:$A$764,IFERROR('Controllable Asset Registry'!$E$4:$E$764=A593,FALSE),"No Equipment in entity"))</f>
        <v>VAV0334</v>
      </c>
    </row>
    <row r="594" spans="1:5" x14ac:dyDescent="0.3">
      <c r="A594" t="s">
        <v>4310</v>
      </c>
      <c r="B594" t="s">
        <v>5768</v>
      </c>
      <c r="C594" t="s">
        <v>5065</v>
      </c>
      <c r="D594" t="str" cm="1">
        <f t="array" ref="D594">TRANSPOSE(_xlfn._xlws.FILTER('Controllable Asset Registry'!$A$4:$A$764,IFERROR('Controllable Asset Registry'!$E$4:$E$764=A594,FALSE),"No Equipment in entity"))</f>
        <v>VAV0335</v>
      </c>
    </row>
    <row r="595" spans="1:5" x14ac:dyDescent="0.3">
      <c r="A595" t="s">
        <v>4311</v>
      </c>
      <c r="B595" t="s">
        <v>5769</v>
      </c>
      <c r="C595" t="s">
        <v>5066</v>
      </c>
      <c r="D595" t="str" cm="1">
        <f t="array" ref="D595">TRANSPOSE(_xlfn._xlws.FILTER('Controllable Asset Registry'!$A$4:$A$764,IFERROR('Controllable Asset Registry'!$E$4:$E$764=A595,FALSE),"No Equipment in entity"))</f>
        <v>VAV0336</v>
      </c>
    </row>
    <row r="596" spans="1:5" x14ac:dyDescent="0.3">
      <c r="A596" t="s">
        <v>4312</v>
      </c>
      <c r="B596" t="s">
        <v>5770</v>
      </c>
      <c r="C596" t="s">
        <v>5067</v>
      </c>
      <c r="D596" t="str" cm="1">
        <f t="array" ref="D596">TRANSPOSE(_xlfn._xlws.FILTER('Controllable Asset Registry'!$A$4:$A$764,IFERROR('Controllable Asset Registry'!$E$4:$E$764=A596,FALSE),"No Equipment in entity"))</f>
        <v>VAV0337</v>
      </c>
    </row>
    <row r="597" spans="1:5" x14ac:dyDescent="0.3">
      <c r="A597" t="s">
        <v>4313</v>
      </c>
      <c r="B597" t="s">
        <v>5771</v>
      </c>
      <c r="C597" t="s">
        <v>5068</v>
      </c>
      <c r="D597" t="str" cm="1">
        <f t="array" ref="D597">TRANSPOSE(_xlfn._xlws.FILTER('Controllable Asset Registry'!$A$4:$A$764,IFERROR('Controllable Asset Registry'!$E$4:$E$764=A597,FALSE),"No Equipment in entity"))</f>
        <v>VAV0338</v>
      </c>
    </row>
    <row r="598" spans="1:5" x14ac:dyDescent="0.3">
      <c r="A598" t="s">
        <v>4314</v>
      </c>
      <c r="B598" t="s">
        <v>5772</v>
      </c>
      <c r="C598" t="s">
        <v>5068</v>
      </c>
      <c r="D598" t="str" cm="1">
        <f t="array" ref="D598">TRANSPOSE(_xlfn._xlws.FILTER('Controllable Asset Registry'!$A$4:$A$764,IFERROR('Controllable Asset Registry'!$E$4:$E$764=A598,FALSE),"No Equipment in entity"))</f>
        <v>VAV0339</v>
      </c>
    </row>
    <row r="599" spans="1:5" x14ac:dyDescent="0.3">
      <c r="A599" t="s">
        <v>4331</v>
      </c>
      <c r="B599" t="s">
        <v>5773</v>
      </c>
      <c r="C599" t="s">
        <v>4867</v>
      </c>
      <c r="D599" t="str" cm="1">
        <f t="array" ref="D599">TRANSPOSE(_xlfn._xlws.FILTER('Controllable Asset Registry'!$A$4:$A$764,IFERROR('Controllable Asset Registry'!$E$4:$E$764=A599,FALSE),"No Equipment in entity"))</f>
        <v>VAV0358</v>
      </c>
    </row>
    <row r="600" spans="1:5" x14ac:dyDescent="0.3">
      <c r="A600" t="s">
        <v>4330</v>
      </c>
      <c r="B600" t="s">
        <v>5774</v>
      </c>
      <c r="C600" t="s">
        <v>4867</v>
      </c>
      <c r="D600" t="str" cm="1">
        <f t="array" ref="D600">TRANSPOSE(_xlfn._xlws.FILTER('Controllable Asset Registry'!$A$4:$A$764,IFERROR('Controllable Asset Registry'!$E$4:$E$764=A600,FALSE),"No Equipment in entity"))</f>
        <v>VAV0357</v>
      </c>
    </row>
    <row r="601" spans="1:5" x14ac:dyDescent="0.3">
      <c r="A601" t="s">
        <v>4329</v>
      </c>
      <c r="B601" t="s">
        <v>5775</v>
      </c>
      <c r="C601" t="s">
        <v>4867</v>
      </c>
      <c r="D601" t="str" cm="1">
        <f t="array" ref="D601">TRANSPOSE(_xlfn._xlws.FILTER('Controllable Asset Registry'!$A$4:$A$764,IFERROR('Controllable Asset Registry'!$E$4:$E$764=A601,FALSE),"No Equipment in entity"))</f>
        <v>VAV0356</v>
      </c>
    </row>
    <row r="602" spans="1:5" x14ac:dyDescent="0.3">
      <c r="A602" t="s">
        <v>4015</v>
      </c>
      <c r="B602" t="s">
        <v>5776</v>
      </c>
      <c r="C602" t="s">
        <v>4836</v>
      </c>
      <c r="D602" t="str" cm="1">
        <f t="array" ref="D602">TRANSPOSE(_xlfn._xlws.FILTER('Controllable Asset Registry'!$A$4:$A$764,IFERROR('Controllable Asset Registry'!$E$4:$E$764=A602,FALSE),"No Equipment in entity"))</f>
        <v>FCU0102</v>
      </c>
    </row>
    <row r="603" spans="1:5" x14ac:dyDescent="0.3">
      <c r="A603" t="s">
        <v>4318</v>
      </c>
      <c r="B603" t="s">
        <v>5777</v>
      </c>
      <c r="C603" t="s">
        <v>3892</v>
      </c>
      <c r="D603" t="str" cm="1">
        <f t="array" ref="D603:E603">TRANSPOSE(_xlfn._xlws.FILTER('Controllable Asset Registry'!$A$4:$A$764,IFERROR('Controllable Asset Registry'!$E$4:$E$764=A603,FALSE),"No Equipment in entity"))</f>
        <v>VAV0344</v>
      </c>
      <c r="E603" t="str">
        <v>VAV0345</v>
      </c>
    </row>
    <row r="604" spans="1:5" x14ac:dyDescent="0.3">
      <c r="A604" t="s">
        <v>5069</v>
      </c>
      <c r="B604" t="s">
        <v>5778</v>
      </c>
      <c r="C604" t="s">
        <v>4707</v>
      </c>
      <c r="D604" t="str" cm="1">
        <f t="array" ref="D604">TRANSPOSE(_xlfn._xlws.FILTER('Controllable Asset Registry'!$A$4:$A$764,IFERROR('Controllable Asset Registry'!$E$4:$E$764=A604,FALSE),"No Equipment in entity"))</f>
        <v>No Equipment in entity</v>
      </c>
    </row>
    <row r="605" spans="1:5" x14ac:dyDescent="0.3">
      <c r="A605" t="s">
        <v>5070</v>
      </c>
      <c r="B605" t="s">
        <v>5779</v>
      </c>
      <c r="C605" t="s">
        <v>4865</v>
      </c>
      <c r="D605" t="str" cm="1">
        <f t="array" ref="D605">TRANSPOSE(_xlfn._xlws.FILTER('Controllable Asset Registry'!$A$4:$A$764,IFERROR('Controllable Asset Registry'!$E$4:$E$764=A605,FALSE),"No Equipment in entity"))</f>
        <v>No Equipment in entity</v>
      </c>
    </row>
    <row r="606" spans="1:5" x14ac:dyDescent="0.3">
      <c r="A606" t="s">
        <v>4317</v>
      </c>
      <c r="B606" t="s">
        <v>5780</v>
      </c>
      <c r="C606" t="s">
        <v>5071</v>
      </c>
      <c r="D606" t="str" cm="1">
        <f t="array" ref="D606">TRANSPOSE(_xlfn._xlws.FILTER('Controllable Asset Registry'!$A$4:$A$764,IFERROR('Controllable Asset Registry'!$E$4:$E$764=A606,FALSE),"No Equipment in entity"))</f>
        <v>VAV0342</v>
      </c>
    </row>
    <row r="607" spans="1:5" x14ac:dyDescent="0.3">
      <c r="A607" t="s">
        <v>4316</v>
      </c>
      <c r="B607" t="s">
        <v>5781</v>
      </c>
      <c r="C607" t="s">
        <v>5072</v>
      </c>
      <c r="D607" t="str" cm="1">
        <f t="array" ref="D607">TRANSPOSE(_xlfn._xlws.FILTER('Controllable Asset Registry'!$A$4:$A$764,IFERROR('Controllable Asset Registry'!$E$4:$E$764=A607,FALSE),"No Equipment in entity"))</f>
        <v>VAV0341</v>
      </c>
    </row>
    <row r="608" spans="1:5" x14ac:dyDescent="0.3">
      <c r="A608" t="s">
        <v>5073</v>
      </c>
      <c r="B608" t="s">
        <v>5782</v>
      </c>
      <c r="C608" t="s">
        <v>4614</v>
      </c>
      <c r="D608" t="str" cm="1">
        <f t="array" ref="D608">TRANSPOSE(_xlfn._xlws.FILTER('Controllable Asset Registry'!$A$4:$A$764,IFERROR('Controllable Asset Registry'!$E$4:$E$764=A608,FALSE),"No Equipment in entity"))</f>
        <v>No Equipment in entity</v>
      </c>
    </row>
    <row r="609" spans="1:4" x14ac:dyDescent="0.3">
      <c r="A609" t="s">
        <v>4333</v>
      </c>
      <c r="B609" t="s">
        <v>5783</v>
      </c>
      <c r="C609" t="s">
        <v>5074</v>
      </c>
      <c r="D609" t="str" cm="1">
        <f t="array" ref="D609">TRANSPOSE(_xlfn._xlws.FILTER('Controllable Asset Registry'!$A$4:$A$764,IFERROR('Controllable Asset Registry'!$E$4:$E$764=A609,FALSE),"No Equipment in entity"))</f>
        <v>VAV0361</v>
      </c>
    </row>
    <row r="610" spans="1:4" x14ac:dyDescent="0.3">
      <c r="A610" t="s">
        <v>4334</v>
      </c>
      <c r="B610" t="s">
        <v>5784</v>
      </c>
      <c r="C610" t="s">
        <v>5074</v>
      </c>
      <c r="D610" t="str" cm="1">
        <f t="array" ref="D610">TRANSPOSE(_xlfn._xlws.FILTER('Controllable Asset Registry'!$A$4:$A$764,IFERROR('Controllable Asset Registry'!$E$4:$E$764=A610,FALSE),"No Equipment in entity"))</f>
        <v>VAV0362</v>
      </c>
    </row>
    <row r="611" spans="1:4" x14ac:dyDescent="0.3">
      <c r="A611" t="s">
        <v>5075</v>
      </c>
      <c r="B611" t="s">
        <v>5785</v>
      </c>
      <c r="C611" t="s">
        <v>4707</v>
      </c>
      <c r="D611" t="str" cm="1">
        <f t="array" ref="D611">TRANSPOSE(_xlfn._xlws.FILTER('Controllable Asset Registry'!$A$4:$A$764,IFERROR('Controllable Asset Registry'!$E$4:$E$764=A611,FALSE),"No Equipment in entity"))</f>
        <v>No Equipment in entity</v>
      </c>
    </row>
    <row r="612" spans="1:4" x14ac:dyDescent="0.3">
      <c r="A612" t="s">
        <v>4335</v>
      </c>
      <c r="B612" t="s">
        <v>5786</v>
      </c>
      <c r="C612" t="s">
        <v>5074</v>
      </c>
      <c r="D612" t="str" cm="1">
        <f t="array" ref="D612">TRANSPOSE(_xlfn._xlws.FILTER('Controllable Asset Registry'!$A$4:$A$764,IFERROR('Controllable Asset Registry'!$E$4:$E$764=A612,FALSE),"No Equipment in entity"))</f>
        <v>VAV0363</v>
      </c>
    </row>
    <row r="613" spans="1:4" x14ac:dyDescent="0.3">
      <c r="A613" t="s">
        <v>4336</v>
      </c>
      <c r="B613" t="s">
        <v>5787</v>
      </c>
      <c r="C613" t="s">
        <v>5068</v>
      </c>
      <c r="D613" t="str" cm="1">
        <f t="array" ref="D613">TRANSPOSE(_xlfn._xlws.FILTER('Controllable Asset Registry'!$A$4:$A$764,IFERROR('Controllable Asset Registry'!$E$4:$E$764=A613,FALSE),"No Equipment in entity"))</f>
        <v>VAV0364</v>
      </c>
    </row>
    <row r="614" spans="1:4" x14ac:dyDescent="0.3">
      <c r="A614" t="s">
        <v>4337</v>
      </c>
      <c r="B614" t="s">
        <v>5788</v>
      </c>
      <c r="C614" t="s">
        <v>5076</v>
      </c>
      <c r="D614" t="str" cm="1">
        <f t="array" ref="D614">TRANSPOSE(_xlfn._xlws.FILTER('Controllable Asset Registry'!$A$4:$A$764,IFERROR('Controllable Asset Registry'!$E$4:$E$764=A614,FALSE),"No Equipment in entity"))</f>
        <v>VAV0365</v>
      </c>
    </row>
    <row r="615" spans="1:4" x14ac:dyDescent="0.3">
      <c r="A615" t="s">
        <v>4338</v>
      </c>
      <c r="B615" t="s">
        <v>5789</v>
      </c>
      <c r="C615" t="s">
        <v>5077</v>
      </c>
      <c r="D615" t="str" cm="1">
        <f t="array" ref="D615">TRANSPOSE(_xlfn._xlws.FILTER('Controllable Asset Registry'!$A$4:$A$764,IFERROR('Controllable Asset Registry'!$E$4:$E$764=A615,FALSE),"No Equipment in entity"))</f>
        <v>VAV0366</v>
      </c>
    </row>
    <row r="616" spans="1:4" x14ac:dyDescent="0.3">
      <c r="A616" t="s">
        <v>4016</v>
      </c>
      <c r="B616" t="s">
        <v>5790</v>
      </c>
      <c r="C616" t="s">
        <v>4836</v>
      </c>
      <c r="D616" t="str" cm="1">
        <f t="array" ref="D616">TRANSPOSE(_xlfn._xlws.FILTER('Controllable Asset Registry'!$A$4:$A$764,IFERROR('Controllable Asset Registry'!$E$4:$E$764=A616,FALSE),"No Equipment in entity"))</f>
        <v>FCU0103</v>
      </c>
    </row>
    <row r="617" spans="1:4" x14ac:dyDescent="0.3">
      <c r="A617" t="s">
        <v>4339</v>
      </c>
      <c r="B617" t="s">
        <v>5791</v>
      </c>
      <c r="C617" t="s">
        <v>5078</v>
      </c>
      <c r="D617" t="str" cm="1">
        <f t="array" ref="D617">TRANSPOSE(_xlfn._xlws.FILTER('Controllable Asset Registry'!$A$4:$A$764,IFERROR('Controllable Asset Registry'!$E$4:$E$764=A617,FALSE),"No Equipment in entity"))</f>
        <v>VAV0367</v>
      </c>
    </row>
    <row r="618" spans="1:4" x14ac:dyDescent="0.3">
      <c r="A618" t="s">
        <v>4340</v>
      </c>
      <c r="B618" t="s">
        <v>5792</v>
      </c>
      <c r="C618" t="s">
        <v>5077</v>
      </c>
      <c r="D618" t="str" cm="1">
        <f t="array" ref="D618">TRANSPOSE(_xlfn._xlws.FILTER('Controllable Asset Registry'!$A$4:$A$764,IFERROR('Controllable Asset Registry'!$E$4:$E$764=A618,FALSE),"No Equipment in entity"))</f>
        <v>VAV0368</v>
      </c>
    </row>
    <row r="619" spans="1:4" x14ac:dyDescent="0.3">
      <c r="A619" t="s">
        <v>4341</v>
      </c>
      <c r="B619" t="s">
        <v>5793</v>
      </c>
      <c r="C619" t="s">
        <v>5077</v>
      </c>
      <c r="D619" t="str" cm="1">
        <f t="array" ref="D619">TRANSPOSE(_xlfn._xlws.FILTER('Controllable Asset Registry'!$A$4:$A$764,IFERROR('Controllable Asset Registry'!$E$4:$E$764=A619,FALSE),"No Equipment in entity"))</f>
        <v>VAV0369</v>
      </c>
    </row>
    <row r="620" spans="1:4" x14ac:dyDescent="0.3">
      <c r="A620" t="s">
        <v>4342</v>
      </c>
      <c r="B620" t="s">
        <v>5794</v>
      </c>
      <c r="C620" t="s">
        <v>5079</v>
      </c>
      <c r="D620" t="str" cm="1">
        <f t="array" ref="D620">TRANSPOSE(_xlfn._xlws.FILTER('Controllable Asset Registry'!$A$4:$A$764,IFERROR('Controllable Asset Registry'!$E$4:$E$764=A620,FALSE),"No Equipment in entity"))</f>
        <v>VAV0370</v>
      </c>
    </row>
    <row r="621" spans="1:4" x14ac:dyDescent="0.3">
      <c r="A621" t="s">
        <v>5080</v>
      </c>
      <c r="B621" t="s">
        <v>5795</v>
      </c>
      <c r="C621" t="s">
        <v>5081</v>
      </c>
      <c r="D621" t="str" cm="1">
        <f t="array" ref="D621">TRANSPOSE(_xlfn._xlws.FILTER('Controllable Asset Registry'!$A$4:$A$764,IFERROR('Controllable Asset Registry'!$E$4:$E$764=A621,FALSE),"No Equipment in entity"))</f>
        <v>No Equipment in entity</v>
      </c>
    </row>
    <row r="622" spans="1:4" x14ac:dyDescent="0.3">
      <c r="A622" t="s">
        <v>5082</v>
      </c>
      <c r="B622" t="s">
        <v>5796</v>
      </c>
      <c r="C622" t="s">
        <v>4625</v>
      </c>
      <c r="D622" t="str" cm="1">
        <f t="array" ref="D622">TRANSPOSE(_xlfn._xlws.FILTER('Controllable Asset Registry'!$A$4:$A$764,IFERROR('Controllable Asset Registry'!$E$4:$E$764=A622,FALSE),"No Equipment in entity"))</f>
        <v>No Equipment in entity</v>
      </c>
    </row>
    <row r="623" spans="1:4" x14ac:dyDescent="0.3">
      <c r="A623" t="s">
        <v>5083</v>
      </c>
      <c r="B623" t="s">
        <v>5797</v>
      </c>
      <c r="C623" t="s">
        <v>4628</v>
      </c>
      <c r="D623" t="str" cm="1">
        <f t="array" ref="D623">TRANSPOSE(_xlfn._xlws.FILTER('Controllable Asset Registry'!$A$4:$A$764,IFERROR('Controllable Asset Registry'!$E$4:$E$764=A623,FALSE),"No Equipment in entity"))</f>
        <v>No Equipment in entity</v>
      </c>
    </row>
    <row r="624" spans="1:4" x14ac:dyDescent="0.3">
      <c r="A624" t="s">
        <v>5084</v>
      </c>
      <c r="B624" t="s">
        <v>5798</v>
      </c>
      <c r="C624" t="s">
        <v>4625</v>
      </c>
      <c r="D624" t="str" cm="1">
        <f t="array" ref="D624">TRANSPOSE(_xlfn._xlws.FILTER('Controllable Asset Registry'!$A$4:$A$764,IFERROR('Controllable Asset Registry'!$E$4:$E$764=A624,FALSE),"No Equipment in entity"))</f>
        <v>No Equipment in entity</v>
      </c>
    </row>
    <row r="625" spans="1:6" x14ac:dyDescent="0.3">
      <c r="A625" t="s">
        <v>5085</v>
      </c>
      <c r="B625" t="s">
        <v>5799</v>
      </c>
      <c r="C625" t="s">
        <v>4628</v>
      </c>
      <c r="D625" t="str" cm="1">
        <f t="array" ref="D625">TRANSPOSE(_xlfn._xlws.FILTER('Controllable Asset Registry'!$A$4:$A$764,IFERROR('Controllable Asset Registry'!$E$4:$E$764=A625,FALSE),"No Equipment in entity"))</f>
        <v>No Equipment in entity</v>
      </c>
    </row>
    <row r="626" spans="1:6" x14ac:dyDescent="0.3">
      <c r="A626" t="s">
        <v>5086</v>
      </c>
      <c r="B626" t="s">
        <v>5800</v>
      </c>
      <c r="C626" t="s">
        <v>3761</v>
      </c>
      <c r="D626" t="str" cm="1">
        <f t="array" ref="D626">TRANSPOSE(_xlfn._xlws.FILTER('Controllable Asset Registry'!$A$4:$A$764,IFERROR('Controllable Asset Registry'!$E$4:$E$764=A626,FALSE),"No Equipment in entity"))</f>
        <v>No Equipment in entity</v>
      </c>
    </row>
    <row r="627" spans="1:6" x14ac:dyDescent="0.3">
      <c r="A627" t="s">
        <v>5087</v>
      </c>
      <c r="B627" t="s">
        <v>5801</v>
      </c>
      <c r="C627" t="s">
        <v>3761</v>
      </c>
      <c r="D627" t="str" cm="1">
        <f t="array" ref="D627">TRANSPOSE(_xlfn._xlws.FILTER('Controllable Asset Registry'!$A$4:$A$764,IFERROR('Controllable Asset Registry'!$E$4:$E$764=A627,FALSE),"No Equipment in entity"))</f>
        <v>No Equipment in entity</v>
      </c>
    </row>
    <row r="628" spans="1:6" x14ac:dyDescent="0.3">
      <c r="A628" t="s">
        <v>5088</v>
      </c>
      <c r="B628" t="s">
        <v>5802</v>
      </c>
      <c r="C628" t="s">
        <v>3761</v>
      </c>
      <c r="D628" t="str" cm="1">
        <f t="array" ref="D628">TRANSPOSE(_xlfn._xlws.FILTER('Controllable Asset Registry'!$A$4:$A$764,IFERROR('Controllable Asset Registry'!$E$4:$E$764=A628,FALSE),"No Equipment in entity"))</f>
        <v>No Equipment in entity</v>
      </c>
    </row>
    <row r="629" spans="1:6" x14ac:dyDescent="0.3">
      <c r="A629" t="s">
        <v>5089</v>
      </c>
      <c r="B629" t="s">
        <v>5803</v>
      </c>
      <c r="C629" t="s">
        <v>3758</v>
      </c>
      <c r="D629" t="str" cm="1">
        <f t="array" ref="D629">TRANSPOSE(_xlfn._xlws.FILTER('Controllable Asset Registry'!$A$4:$A$764,IFERROR('Controllable Asset Registry'!$E$4:$E$764=A629,FALSE),"No Equipment in entity"))</f>
        <v>No Equipment in entity</v>
      </c>
    </row>
    <row r="630" spans="1:6" x14ac:dyDescent="0.3">
      <c r="A630" t="s">
        <v>4013</v>
      </c>
      <c r="B630" t="s">
        <v>5804</v>
      </c>
      <c r="C630" t="s">
        <v>4634</v>
      </c>
      <c r="D630" t="str" cm="1">
        <f t="array" ref="D630">TRANSPOSE(_xlfn._xlws.FILTER('Controllable Asset Registry'!$A$4:$A$764,IFERROR('Controllable Asset Registry'!$E$4:$E$764=A630,FALSE),"No Equipment in entity"))</f>
        <v>FCU0098</v>
      </c>
    </row>
    <row r="631" spans="1:6" x14ac:dyDescent="0.3">
      <c r="A631" t="s">
        <v>5090</v>
      </c>
      <c r="B631" t="s">
        <v>5805</v>
      </c>
      <c r="C631" t="s">
        <v>3758</v>
      </c>
      <c r="D631" t="str" cm="1">
        <f t="array" ref="D631">TRANSPOSE(_xlfn._xlws.FILTER('Controllable Asset Registry'!$A$4:$A$764,IFERROR('Controllable Asset Registry'!$E$4:$E$764=A631,FALSE),"No Equipment in entity"))</f>
        <v>No Equipment in entity</v>
      </c>
    </row>
    <row r="632" spans="1:6" x14ac:dyDescent="0.3">
      <c r="A632" t="s">
        <v>4012</v>
      </c>
      <c r="B632" t="s">
        <v>5806</v>
      </c>
      <c r="C632" t="s">
        <v>4634</v>
      </c>
      <c r="D632" t="str" cm="1">
        <f t="array" ref="D632">TRANSPOSE(_xlfn._xlws.FILTER('Controllable Asset Registry'!$A$4:$A$764,IFERROR('Controllable Asset Registry'!$E$4:$E$764=A632,FALSE),"No Equipment in entity"))</f>
        <v>FCU0096</v>
      </c>
    </row>
    <row r="633" spans="1:6" x14ac:dyDescent="0.3">
      <c r="A633" t="s">
        <v>5091</v>
      </c>
      <c r="B633" t="s">
        <v>5807</v>
      </c>
      <c r="C633" t="s">
        <v>5019</v>
      </c>
      <c r="D633" t="str" cm="1">
        <f t="array" ref="D633">TRANSPOSE(_xlfn._xlws.FILTER('Controllable Asset Registry'!$A$4:$A$764,IFERROR('Controllable Asset Registry'!$E$4:$E$764=A633,FALSE),"No Equipment in entity"))</f>
        <v>No Equipment in entity</v>
      </c>
    </row>
    <row r="634" spans="1:6" x14ac:dyDescent="0.3">
      <c r="A634" t="s">
        <v>5092</v>
      </c>
      <c r="B634" t="s">
        <v>5808</v>
      </c>
      <c r="C634" t="s">
        <v>4779</v>
      </c>
      <c r="D634" t="str" cm="1">
        <f t="array" ref="D634">TRANSPOSE(_xlfn._xlws.FILTER('Controllable Asset Registry'!$A$4:$A$764,IFERROR('Controllable Asset Registry'!$E$4:$E$764=A634,FALSE),"No Equipment in entity"))</f>
        <v>No Equipment in entity</v>
      </c>
    </row>
    <row r="635" spans="1:6" x14ac:dyDescent="0.3">
      <c r="A635" t="s">
        <v>5093</v>
      </c>
      <c r="B635" t="s">
        <v>5809</v>
      </c>
      <c r="C635" t="s">
        <v>3758</v>
      </c>
      <c r="D635" t="str" cm="1">
        <f t="array" ref="D635">TRANSPOSE(_xlfn._xlws.FILTER('Controllable Asset Registry'!$A$4:$A$764,IFERROR('Controllable Asset Registry'!$E$4:$E$764=A635,FALSE),"No Equipment in entity"))</f>
        <v>No Equipment in entity</v>
      </c>
    </row>
    <row r="636" spans="1:6" x14ac:dyDescent="0.3">
      <c r="A636" t="s">
        <v>4315</v>
      </c>
      <c r="B636" t="s">
        <v>5810</v>
      </c>
      <c r="C636" t="s">
        <v>4933</v>
      </c>
      <c r="D636" t="str" cm="1">
        <f t="array" ref="D636:F636">TRANSPOSE(_xlfn._xlws.FILTER('Controllable Asset Registry'!$A$4:$A$764,IFERROR('Controllable Asset Registry'!$E$4:$E$764=A636,FALSE),"No Equipment in entity"))</f>
        <v>VAV0340</v>
      </c>
      <c r="E636" t="str">
        <v>VAV0343</v>
      </c>
      <c r="F636" t="str">
        <v>VAV0360</v>
      </c>
    </row>
    <row r="637" spans="1:6" x14ac:dyDescent="0.3">
      <c r="A637" t="s">
        <v>5094</v>
      </c>
      <c r="B637" t="s">
        <v>5811</v>
      </c>
      <c r="C637" t="s">
        <v>5095</v>
      </c>
      <c r="D637" t="str" cm="1">
        <f t="array" ref="D637">TRANSPOSE(_xlfn._xlws.FILTER('Controllable Asset Registry'!$A$4:$A$764,IFERROR('Controllable Asset Registry'!$E$4:$E$764=A637,FALSE),"No Equipment in entity"))</f>
        <v>No Equipment in entity</v>
      </c>
    </row>
    <row r="638" spans="1:6" x14ac:dyDescent="0.3">
      <c r="A638" t="s">
        <v>4343</v>
      </c>
      <c r="B638" t="s">
        <v>5812</v>
      </c>
      <c r="C638" t="s">
        <v>4974</v>
      </c>
      <c r="D638" t="str" cm="1">
        <f t="array" ref="D638:E638">TRANSPOSE(_xlfn._xlws.FILTER('Controllable Asset Registry'!$A$4:$A$764,IFERROR('Controllable Asset Registry'!$E$4:$E$764=A638,FALSE),"No Equipment in entity"))</f>
        <v>VAV0371</v>
      </c>
      <c r="E638" t="str">
        <v>VAV0372</v>
      </c>
    </row>
    <row r="639" spans="1:6" x14ac:dyDescent="0.3">
      <c r="A639" t="s">
        <v>4011</v>
      </c>
      <c r="B639" t="s">
        <v>5813</v>
      </c>
      <c r="C639" t="s">
        <v>5095</v>
      </c>
      <c r="D639" t="str" cm="1">
        <f t="array" ref="D639:F639">TRANSPOSE(_xlfn._xlws.FILTER('Controllable Asset Registry'!$A$4:$A$764,IFERROR('Controllable Asset Registry'!$E$4:$E$764=A639,FALSE),"No Equipment in entity"))</f>
        <v>FCU0089</v>
      </c>
      <c r="E639" t="str">
        <v>FCU0090</v>
      </c>
      <c r="F639" t="str">
        <v>FCU0091</v>
      </c>
    </row>
    <row r="640" spans="1:6" x14ac:dyDescent="0.3">
      <c r="A640" t="s">
        <v>6259</v>
      </c>
      <c r="B640" t="s">
        <v>6260</v>
      </c>
      <c r="C640" t="s">
        <v>4793</v>
      </c>
      <c r="D640" t="str" cm="1">
        <f t="array" ref="D640">TRANSPOSE(_xlfn._xlws.FILTER('Controllable Asset Registry'!$A$4:$A$764,IFERROR('Controllable Asset Registry'!$E$4:$E$764=A640,FALSE),"No Equipment in entity"))</f>
        <v>No Equipment in entity</v>
      </c>
    </row>
    <row r="641" spans="1:5" x14ac:dyDescent="0.3">
      <c r="A641" t="s">
        <v>6261</v>
      </c>
      <c r="B641" t="s">
        <v>6262</v>
      </c>
      <c r="C641" t="s">
        <v>4796</v>
      </c>
      <c r="D641" t="str" cm="1">
        <f t="array" ref="D641">TRANSPOSE(_xlfn._xlws.FILTER('Controllable Asset Registry'!$A$4:$A$764,IFERROR('Controllable Asset Registry'!$E$4:$E$764=A641,FALSE),"No Equipment in entity"))</f>
        <v>No Equipment in entity</v>
      </c>
    </row>
    <row r="642" spans="1:5" x14ac:dyDescent="0.3">
      <c r="A642" t="s">
        <v>6263</v>
      </c>
      <c r="B642" t="s">
        <v>6264</v>
      </c>
      <c r="C642" t="s">
        <v>4799</v>
      </c>
      <c r="D642" t="str" cm="1">
        <f t="array" ref="D642">TRANSPOSE(_xlfn._xlws.FILTER('Controllable Asset Registry'!$A$4:$A$764,IFERROR('Controllable Asset Registry'!$E$4:$E$764=A642,FALSE),"No Equipment in entity"))</f>
        <v>No Equipment in entity</v>
      </c>
    </row>
    <row r="643" spans="1:5" x14ac:dyDescent="0.3">
      <c r="A643" t="s">
        <v>6265</v>
      </c>
      <c r="B643" t="s">
        <v>6266</v>
      </c>
      <c r="C643" t="s">
        <v>4663</v>
      </c>
      <c r="D643" t="str" cm="1">
        <f t="array" ref="D643">TRANSPOSE(_xlfn._xlws.FILTER('Controllable Asset Registry'!$A$4:$A$764,IFERROR('Controllable Asset Registry'!$E$4:$E$764=A643,FALSE),"No Equipment in entity"))</f>
        <v>No Equipment in entity</v>
      </c>
    </row>
    <row r="644" spans="1:5" x14ac:dyDescent="0.3">
      <c r="A644" t="s">
        <v>6267</v>
      </c>
      <c r="B644" t="s">
        <v>6268</v>
      </c>
      <c r="C644" t="s">
        <v>4666</v>
      </c>
      <c r="D644" t="str" cm="1">
        <f t="array" ref="D644">TRANSPOSE(_xlfn._xlws.FILTER('Controllable Asset Registry'!$A$4:$A$764,IFERROR('Controllable Asset Registry'!$E$4:$E$764=A644,FALSE),"No Equipment in entity"))</f>
        <v>No Equipment in entity</v>
      </c>
    </row>
    <row r="645" spans="1:5" x14ac:dyDescent="0.3">
      <c r="A645" t="s">
        <v>6269</v>
      </c>
      <c r="B645" t="s">
        <v>6270</v>
      </c>
      <c r="C645" t="s">
        <v>4669</v>
      </c>
      <c r="D645" t="str" cm="1">
        <f t="array" ref="D645">TRANSPOSE(_xlfn._xlws.FILTER('Controllable Asset Registry'!$A$4:$A$764,IFERROR('Controllable Asset Registry'!$E$4:$E$764=A645,FALSE),"No Equipment in entity"))</f>
        <v>No Equipment in entity</v>
      </c>
    </row>
    <row r="646" spans="1:5" x14ac:dyDescent="0.3">
      <c r="A646" t="s">
        <v>6271</v>
      </c>
      <c r="B646" t="s">
        <v>6272</v>
      </c>
      <c r="C646" t="s">
        <v>4808</v>
      </c>
      <c r="D646" t="str" cm="1">
        <f t="array" ref="D646">TRANSPOSE(_xlfn._xlws.FILTER('Controllable Asset Registry'!$A$4:$A$764,IFERROR('Controllable Asset Registry'!$E$4:$E$764=A646,FALSE),"No Equipment in entity"))</f>
        <v>No Equipment in entity</v>
      </c>
    </row>
    <row r="647" spans="1:5" x14ac:dyDescent="0.3">
      <c r="A647" t="s">
        <v>6273</v>
      </c>
      <c r="B647" t="s">
        <v>6274</v>
      </c>
      <c r="C647" t="s">
        <v>4674</v>
      </c>
      <c r="D647" t="str" cm="1">
        <f t="array" ref="D647">TRANSPOSE(_xlfn._xlws.FILTER('Controllable Asset Registry'!$A$4:$A$764,IFERROR('Controllable Asset Registry'!$E$4:$E$764=A647,FALSE),"No Equipment in entity"))</f>
        <v>No Equipment in entity</v>
      </c>
    </row>
    <row r="648" spans="1:5" x14ac:dyDescent="0.3">
      <c r="A648" t="s">
        <v>6275</v>
      </c>
      <c r="B648" t="s">
        <v>6276</v>
      </c>
      <c r="C648" t="s">
        <v>4676</v>
      </c>
      <c r="D648" t="str" cm="1">
        <f t="array" ref="D648">TRANSPOSE(_xlfn._xlws.FILTER('Controllable Asset Registry'!$A$4:$A$764,IFERROR('Controllable Asset Registry'!$E$4:$E$764=A648,FALSE),"No Equipment in entity"))</f>
        <v>No Equipment in entity</v>
      </c>
    </row>
    <row r="649" spans="1:5" x14ac:dyDescent="0.3">
      <c r="A649" t="s">
        <v>6277</v>
      </c>
      <c r="B649" t="s">
        <v>6278</v>
      </c>
      <c r="C649" t="s">
        <v>4815</v>
      </c>
      <c r="D649" t="str" cm="1">
        <f t="array" ref="D649">TRANSPOSE(_xlfn._xlws.FILTER('Controllable Asset Registry'!$A$4:$A$764,IFERROR('Controllable Asset Registry'!$E$4:$E$764=A649,FALSE),"No Equipment in entity"))</f>
        <v>No Equipment in entity</v>
      </c>
    </row>
    <row r="650" spans="1:5" x14ac:dyDescent="0.3">
      <c r="A650" t="s">
        <v>6279</v>
      </c>
      <c r="B650" t="s">
        <v>6280</v>
      </c>
      <c r="C650" t="s">
        <v>4679</v>
      </c>
      <c r="D650" t="str" cm="1">
        <f t="array" ref="D650">TRANSPOSE(_xlfn._xlws.FILTER('Controllable Asset Registry'!$A$4:$A$764,IFERROR('Controllable Asset Registry'!$E$4:$E$764=A650,FALSE),"No Equipment in entity"))</f>
        <v>No Equipment in entity</v>
      </c>
    </row>
    <row r="651" spans="1:5" x14ac:dyDescent="0.3">
      <c r="A651" t="s">
        <v>4365</v>
      </c>
      <c r="B651" t="s">
        <v>5814</v>
      </c>
      <c r="C651" t="s">
        <v>5096</v>
      </c>
      <c r="D651" t="str" cm="1">
        <f t="array" ref="D651">TRANSPOSE(_xlfn._xlws.FILTER('Controllable Asset Registry'!$A$4:$A$764,IFERROR('Controllable Asset Registry'!$E$4:$E$764=A651,FALSE),"No Equipment in entity"))</f>
        <v>VAV0397</v>
      </c>
    </row>
    <row r="652" spans="1:5" x14ac:dyDescent="0.3">
      <c r="A652" t="s">
        <v>4366</v>
      </c>
      <c r="B652" t="s">
        <v>5815</v>
      </c>
      <c r="C652" t="s">
        <v>5097</v>
      </c>
      <c r="D652" t="str" cm="1">
        <f t="array" ref="D652:E652">TRANSPOSE(_xlfn._xlws.FILTER('Controllable Asset Registry'!$A$4:$A$764,IFERROR('Controllable Asset Registry'!$E$4:$E$764=A652,FALSE),"No Equipment in entity"))</f>
        <v>VAV0398</v>
      </c>
      <c r="E652" t="str">
        <v>VAV0400</v>
      </c>
    </row>
    <row r="653" spans="1:5" x14ac:dyDescent="0.3">
      <c r="A653" t="s">
        <v>4367</v>
      </c>
      <c r="B653" t="s">
        <v>5816</v>
      </c>
      <c r="C653" t="s">
        <v>5096</v>
      </c>
      <c r="D653" t="str" cm="1">
        <f t="array" ref="D653">TRANSPOSE(_xlfn._xlws.FILTER('Controllable Asset Registry'!$A$4:$A$764,IFERROR('Controllable Asset Registry'!$E$4:$E$764=A653,FALSE),"No Equipment in entity"))</f>
        <v>VAV0401</v>
      </c>
    </row>
    <row r="654" spans="1:5" x14ac:dyDescent="0.3">
      <c r="A654" t="s">
        <v>4368</v>
      </c>
      <c r="B654" t="s">
        <v>5817</v>
      </c>
      <c r="C654" t="s">
        <v>5096</v>
      </c>
      <c r="D654" t="str" cm="1">
        <f t="array" ref="D654">TRANSPOSE(_xlfn._xlws.FILTER('Controllable Asset Registry'!$A$4:$A$764,IFERROR('Controllable Asset Registry'!$E$4:$E$764=A654,FALSE),"No Equipment in entity"))</f>
        <v>VAV0402</v>
      </c>
    </row>
    <row r="655" spans="1:5" x14ac:dyDescent="0.3">
      <c r="A655" t="s">
        <v>4369</v>
      </c>
      <c r="B655" t="s">
        <v>5818</v>
      </c>
      <c r="C655" t="s">
        <v>5096</v>
      </c>
      <c r="D655" t="str" cm="1">
        <f t="array" ref="D655">TRANSPOSE(_xlfn._xlws.FILTER('Controllable Asset Registry'!$A$4:$A$764,IFERROR('Controllable Asset Registry'!$E$4:$E$764=A655,FALSE),"No Equipment in entity"))</f>
        <v>VAV0403</v>
      </c>
    </row>
    <row r="656" spans="1:5" x14ac:dyDescent="0.3">
      <c r="A656" t="s">
        <v>4370</v>
      </c>
      <c r="B656" t="s">
        <v>5819</v>
      </c>
      <c r="C656" t="s">
        <v>5096</v>
      </c>
      <c r="D656" t="str" cm="1">
        <f t="array" ref="D656">TRANSPOSE(_xlfn._xlws.FILTER('Controllable Asset Registry'!$A$4:$A$764,IFERROR('Controllable Asset Registry'!$E$4:$E$764=A656,FALSE),"No Equipment in entity"))</f>
        <v>VAV0404</v>
      </c>
    </row>
    <row r="657" spans="1:4" x14ac:dyDescent="0.3">
      <c r="A657" t="s">
        <v>4371</v>
      </c>
      <c r="B657" t="s">
        <v>5820</v>
      </c>
      <c r="C657" t="s">
        <v>5098</v>
      </c>
      <c r="D657" t="str" cm="1">
        <f t="array" ref="D657">TRANSPOSE(_xlfn._xlws.FILTER('Controllable Asset Registry'!$A$4:$A$764,IFERROR('Controllable Asset Registry'!$E$4:$E$764=A657,FALSE),"No Equipment in entity"))</f>
        <v>VAV0405</v>
      </c>
    </row>
    <row r="658" spans="1:4" x14ac:dyDescent="0.3">
      <c r="A658" t="s">
        <v>4372</v>
      </c>
      <c r="B658" t="s">
        <v>5821</v>
      </c>
      <c r="C658" t="s">
        <v>5098</v>
      </c>
      <c r="D658" t="str" cm="1">
        <f t="array" ref="D658">TRANSPOSE(_xlfn._xlws.FILTER('Controllable Asset Registry'!$A$4:$A$764,IFERROR('Controllable Asset Registry'!$E$4:$E$764=A658,FALSE),"No Equipment in entity"))</f>
        <v>VAV0406</v>
      </c>
    </row>
    <row r="659" spans="1:4" x14ac:dyDescent="0.3">
      <c r="A659" t="s">
        <v>4373</v>
      </c>
      <c r="B659" t="s">
        <v>5822</v>
      </c>
      <c r="C659" t="s">
        <v>5098</v>
      </c>
      <c r="D659" t="str" cm="1">
        <f t="array" ref="D659">TRANSPOSE(_xlfn._xlws.FILTER('Controllable Asset Registry'!$A$4:$A$764,IFERROR('Controllable Asset Registry'!$E$4:$E$764=A659,FALSE),"No Equipment in entity"))</f>
        <v>VAV0407</v>
      </c>
    </row>
    <row r="660" spans="1:4" x14ac:dyDescent="0.3">
      <c r="A660" t="s">
        <v>4374</v>
      </c>
      <c r="B660" t="s">
        <v>5823</v>
      </c>
      <c r="C660" t="s">
        <v>5098</v>
      </c>
      <c r="D660" t="str" cm="1">
        <f t="array" ref="D660">TRANSPOSE(_xlfn._xlws.FILTER('Controllable Asset Registry'!$A$4:$A$764,IFERROR('Controllable Asset Registry'!$E$4:$E$764=A660,FALSE),"No Equipment in entity"))</f>
        <v>VAV0408</v>
      </c>
    </row>
    <row r="661" spans="1:4" x14ac:dyDescent="0.3">
      <c r="A661" t="s">
        <v>4375</v>
      </c>
      <c r="B661" t="s">
        <v>5824</v>
      </c>
      <c r="C661" t="s">
        <v>5098</v>
      </c>
      <c r="D661" t="str" cm="1">
        <f t="array" ref="D661">TRANSPOSE(_xlfn._xlws.FILTER('Controllable Asset Registry'!$A$4:$A$764,IFERROR('Controllable Asset Registry'!$E$4:$E$764=A661,FALSE),"No Equipment in entity"))</f>
        <v>VAV0409</v>
      </c>
    </row>
    <row r="662" spans="1:4" x14ac:dyDescent="0.3">
      <c r="A662" t="s">
        <v>4376</v>
      </c>
      <c r="B662" t="s">
        <v>5825</v>
      </c>
      <c r="C662" t="s">
        <v>5098</v>
      </c>
      <c r="D662" t="str" cm="1">
        <f t="array" ref="D662">TRANSPOSE(_xlfn._xlws.FILTER('Controllable Asset Registry'!$A$4:$A$764,IFERROR('Controllable Asset Registry'!$E$4:$E$764=A662,FALSE),"No Equipment in entity"))</f>
        <v>VAV0410</v>
      </c>
    </row>
    <row r="663" spans="1:4" x14ac:dyDescent="0.3">
      <c r="A663" t="s">
        <v>4377</v>
      </c>
      <c r="B663" t="s">
        <v>5826</v>
      </c>
      <c r="C663" t="s">
        <v>5098</v>
      </c>
      <c r="D663" t="str" cm="1">
        <f t="array" ref="D663">TRANSPOSE(_xlfn._xlws.FILTER('Controllable Asset Registry'!$A$4:$A$764,IFERROR('Controllable Asset Registry'!$E$4:$E$764=A663,FALSE),"No Equipment in entity"))</f>
        <v>VAV0411</v>
      </c>
    </row>
    <row r="664" spans="1:4" x14ac:dyDescent="0.3">
      <c r="A664" t="s">
        <v>4378</v>
      </c>
      <c r="B664" t="s">
        <v>5827</v>
      </c>
      <c r="C664" t="s">
        <v>5098</v>
      </c>
      <c r="D664" t="str" cm="1">
        <f t="array" ref="D664">TRANSPOSE(_xlfn._xlws.FILTER('Controllable Asset Registry'!$A$4:$A$764,IFERROR('Controllable Asset Registry'!$E$4:$E$764=A664,FALSE),"No Equipment in entity"))</f>
        <v>VAV0412</v>
      </c>
    </row>
    <row r="665" spans="1:4" x14ac:dyDescent="0.3">
      <c r="A665" t="s">
        <v>4379</v>
      </c>
      <c r="B665" t="s">
        <v>5828</v>
      </c>
      <c r="C665" t="s">
        <v>5098</v>
      </c>
      <c r="D665" t="str" cm="1">
        <f t="array" ref="D665">TRANSPOSE(_xlfn._xlws.FILTER('Controllable Asset Registry'!$A$4:$A$764,IFERROR('Controllable Asset Registry'!$E$4:$E$764=A665,FALSE),"No Equipment in entity"))</f>
        <v>VAV0413</v>
      </c>
    </row>
    <row r="666" spans="1:4" x14ac:dyDescent="0.3">
      <c r="A666" t="s">
        <v>4380</v>
      </c>
      <c r="B666" t="s">
        <v>5829</v>
      </c>
      <c r="C666" t="s">
        <v>5098</v>
      </c>
      <c r="D666" t="str" cm="1">
        <f t="array" ref="D666">TRANSPOSE(_xlfn._xlws.FILTER('Controllable Asset Registry'!$A$4:$A$764,IFERROR('Controllable Asset Registry'!$E$4:$E$764=A666,FALSE),"No Equipment in entity"))</f>
        <v>VAV0414</v>
      </c>
    </row>
    <row r="667" spans="1:4" x14ac:dyDescent="0.3">
      <c r="A667" t="s">
        <v>4344</v>
      </c>
      <c r="B667" t="s">
        <v>5830</v>
      </c>
      <c r="C667" t="s">
        <v>5099</v>
      </c>
      <c r="D667" t="str" cm="1">
        <f t="array" ref="D667">TRANSPOSE(_xlfn._xlws.FILTER('Controllable Asset Registry'!$A$4:$A$764,IFERROR('Controllable Asset Registry'!$E$4:$E$764=A667,FALSE),"No Equipment in entity"))</f>
        <v>VAV0373</v>
      </c>
    </row>
    <row r="668" spans="1:4" x14ac:dyDescent="0.3">
      <c r="A668" t="s">
        <v>4345</v>
      </c>
      <c r="B668" t="s">
        <v>5831</v>
      </c>
      <c r="C668" t="s">
        <v>5100</v>
      </c>
      <c r="D668" t="str" cm="1">
        <f t="array" ref="D668">TRANSPOSE(_xlfn._xlws.FILTER('Controllable Asset Registry'!$A$4:$A$764,IFERROR('Controllable Asset Registry'!$E$4:$E$764=A668,FALSE),"No Equipment in entity"))</f>
        <v>VAV0374</v>
      </c>
    </row>
    <row r="669" spans="1:4" x14ac:dyDescent="0.3">
      <c r="A669" t="s">
        <v>4346</v>
      </c>
      <c r="B669" t="s">
        <v>5832</v>
      </c>
      <c r="C669" t="s">
        <v>5101</v>
      </c>
      <c r="D669" t="str" cm="1">
        <f t="array" ref="D669">TRANSPOSE(_xlfn._xlws.FILTER('Controllable Asset Registry'!$A$4:$A$764,IFERROR('Controllable Asset Registry'!$E$4:$E$764=A669,FALSE),"No Equipment in entity"))</f>
        <v>VAV0375</v>
      </c>
    </row>
    <row r="670" spans="1:4" x14ac:dyDescent="0.3">
      <c r="A670" t="s">
        <v>4347</v>
      </c>
      <c r="B670" t="s">
        <v>5833</v>
      </c>
      <c r="C670" t="s">
        <v>5102</v>
      </c>
      <c r="D670" t="str" cm="1">
        <f t="array" ref="D670">TRANSPOSE(_xlfn._xlws.FILTER('Controllable Asset Registry'!$A$4:$A$764,IFERROR('Controllable Asset Registry'!$E$4:$E$764=A670,FALSE),"No Equipment in entity"))</f>
        <v>VAV0376</v>
      </c>
    </row>
    <row r="671" spans="1:4" x14ac:dyDescent="0.3">
      <c r="A671" t="s">
        <v>4348</v>
      </c>
      <c r="B671" t="s">
        <v>5834</v>
      </c>
      <c r="C671" t="s">
        <v>5102</v>
      </c>
      <c r="D671" t="str" cm="1">
        <f t="array" ref="D671">TRANSPOSE(_xlfn._xlws.FILTER('Controllable Asset Registry'!$A$4:$A$764,IFERROR('Controllable Asset Registry'!$E$4:$E$764=A671,FALSE),"No Equipment in entity"))</f>
        <v>VAV0377</v>
      </c>
    </row>
    <row r="672" spans="1:4" x14ac:dyDescent="0.3">
      <c r="A672" t="s">
        <v>4349</v>
      </c>
      <c r="B672" t="s">
        <v>5835</v>
      </c>
      <c r="C672" t="s">
        <v>5102</v>
      </c>
      <c r="D672" t="str" cm="1">
        <f t="array" ref="D672">TRANSPOSE(_xlfn._xlws.FILTER('Controllable Asset Registry'!$A$4:$A$764,IFERROR('Controllable Asset Registry'!$E$4:$E$764=A672,FALSE),"No Equipment in entity"))</f>
        <v>VAV0378</v>
      </c>
    </row>
    <row r="673" spans="1:5" x14ac:dyDescent="0.3">
      <c r="A673" t="s">
        <v>4350</v>
      </c>
      <c r="B673" t="s">
        <v>5836</v>
      </c>
      <c r="C673" t="s">
        <v>5102</v>
      </c>
      <c r="D673" t="str" cm="1">
        <f t="array" ref="D673">TRANSPOSE(_xlfn._xlws.FILTER('Controllable Asset Registry'!$A$4:$A$764,IFERROR('Controllable Asset Registry'!$E$4:$E$764=A673,FALSE),"No Equipment in entity"))</f>
        <v>VAV0379</v>
      </c>
    </row>
    <row r="674" spans="1:5" x14ac:dyDescent="0.3">
      <c r="A674" t="s">
        <v>4351</v>
      </c>
      <c r="B674" t="s">
        <v>5837</v>
      </c>
      <c r="C674" t="s">
        <v>5102</v>
      </c>
      <c r="D674" t="str" cm="1">
        <f t="array" ref="D674">TRANSPOSE(_xlfn._xlws.FILTER('Controllable Asset Registry'!$A$4:$A$764,IFERROR('Controllable Asset Registry'!$E$4:$E$764=A674,FALSE),"No Equipment in entity"))</f>
        <v>VAV0380</v>
      </c>
    </row>
    <row r="675" spans="1:5" x14ac:dyDescent="0.3">
      <c r="A675" t="s">
        <v>4352</v>
      </c>
      <c r="B675" t="s">
        <v>5838</v>
      </c>
      <c r="C675" t="s">
        <v>5102</v>
      </c>
      <c r="D675" t="str" cm="1">
        <f t="array" ref="D675">TRANSPOSE(_xlfn._xlws.FILTER('Controllable Asset Registry'!$A$4:$A$764,IFERROR('Controllable Asset Registry'!$E$4:$E$764=A675,FALSE),"No Equipment in entity"))</f>
        <v>VAV0381</v>
      </c>
    </row>
    <row r="676" spans="1:5" x14ac:dyDescent="0.3">
      <c r="A676" t="s">
        <v>4353</v>
      </c>
      <c r="B676" t="s">
        <v>5839</v>
      </c>
      <c r="C676" t="s">
        <v>5102</v>
      </c>
      <c r="D676" t="str" cm="1">
        <f t="array" ref="D676">TRANSPOSE(_xlfn._xlws.FILTER('Controllable Asset Registry'!$A$4:$A$764,IFERROR('Controllable Asset Registry'!$E$4:$E$764=A676,FALSE),"No Equipment in entity"))</f>
        <v>VAV0382</v>
      </c>
    </row>
    <row r="677" spans="1:5" x14ac:dyDescent="0.3">
      <c r="A677" t="s">
        <v>4354</v>
      </c>
      <c r="B677" t="s">
        <v>5840</v>
      </c>
      <c r="C677" t="s">
        <v>5102</v>
      </c>
      <c r="D677" t="str" cm="1">
        <f t="array" ref="D677">TRANSPOSE(_xlfn._xlws.FILTER('Controllable Asset Registry'!$A$4:$A$764,IFERROR('Controllable Asset Registry'!$E$4:$E$764=A677,FALSE),"No Equipment in entity"))</f>
        <v>VAV0383</v>
      </c>
    </row>
    <row r="678" spans="1:5" x14ac:dyDescent="0.3">
      <c r="A678" t="s">
        <v>4355</v>
      </c>
      <c r="B678" t="s">
        <v>5841</v>
      </c>
      <c r="C678" t="s">
        <v>5102</v>
      </c>
      <c r="D678" t="str" cm="1">
        <f t="array" ref="D678">TRANSPOSE(_xlfn._xlws.FILTER('Controllable Asset Registry'!$A$4:$A$764,IFERROR('Controllable Asset Registry'!$E$4:$E$764=A678,FALSE),"No Equipment in entity"))</f>
        <v>VAV0384</v>
      </c>
    </row>
    <row r="679" spans="1:5" x14ac:dyDescent="0.3">
      <c r="A679" t="s">
        <v>4356</v>
      </c>
      <c r="B679" t="s">
        <v>5842</v>
      </c>
      <c r="C679" t="s">
        <v>4941</v>
      </c>
      <c r="D679" t="str" cm="1">
        <f t="array" ref="D679:E679">TRANSPOSE(_xlfn._xlws.FILTER('Controllable Asset Registry'!$A$4:$A$764,IFERROR('Controllable Asset Registry'!$E$4:$E$764=A679,FALSE),"No Equipment in entity"))</f>
        <v>VAV0385</v>
      </c>
      <c r="E679" t="str">
        <v>VAV0386</v>
      </c>
    </row>
    <row r="680" spans="1:5" x14ac:dyDescent="0.3">
      <c r="A680" t="s">
        <v>4357</v>
      </c>
      <c r="B680" t="s">
        <v>5843</v>
      </c>
      <c r="C680" t="s">
        <v>4867</v>
      </c>
      <c r="D680" t="str" cm="1">
        <f t="array" ref="D680">TRANSPOSE(_xlfn._xlws.FILTER('Controllable Asset Registry'!$A$4:$A$764,IFERROR('Controllable Asset Registry'!$E$4:$E$764=A680,FALSE),"No Equipment in entity"))</f>
        <v>VAV0387</v>
      </c>
    </row>
    <row r="681" spans="1:5" x14ac:dyDescent="0.3">
      <c r="A681" t="s">
        <v>4360</v>
      </c>
      <c r="B681" t="s">
        <v>5844</v>
      </c>
      <c r="C681" t="s">
        <v>4867</v>
      </c>
      <c r="D681" t="str" cm="1">
        <f t="array" ref="D681:E681">TRANSPOSE(_xlfn._xlws.FILTER('Controllable Asset Registry'!$A$4:$A$764,IFERROR('Controllable Asset Registry'!$E$4:$E$764=A681,FALSE),"No Equipment in entity"))</f>
        <v>VAV0391</v>
      </c>
      <c r="E681" t="str">
        <v>VAV0392</v>
      </c>
    </row>
    <row r="682" spans="1:5" x14ac:dyDescent="0.3">
      <c r="A682" t="s">
        <v>4019</v>
      </c>
      <c r="B682" t="s">
        <v>5845</v>
      </c>
      <c r="C682" t="s">
        <v>4836</v>
      </c>
      <c r="D682" t="str" cm="1">
        <f t="array" ref="D682">TRANSPOSE(_xlfn._xlws.FILTER('Controllable Asset Registry'!$A$4:$A$764,IFERROR('Controllable Asset Registry'!$E$4:$E$764=A682,FALSE),"No Equipment in entity"))</f>
        <v>FCU0107</v>
      </c>
    </row>
    <row r="683" spans="1:5" x14ac:dyDescent="0.3">
      <c r="A683" t="s">
        <v>4364</v>
      </c>
      <c r="B683" t="s">
        <v>5846</v>
      </c>
      <c r="C683" t="s">
        <v>5100</v>
      </c>
      <c r="D683" t="str" cm="1">
        <f t="array" ref="D683">TRANSPOSE(_xlfn._xlws.FILTER('Controllable Asset Registry'!$A$4:$A$764,IFERROR('Controllable Asset Registry'!$E$4:$E$764=A683,FALSE),"No Equipment in entity"))</f>
        <v>VAV0396</v>
      </c>
    </row>
    <row r="684" spans="1:5" x14ac:dyDescent="0.3">
      <c r="A684" t="s">
        <v>4363</v>
      </c>
      <c r="B684" t="s">
        <v>5847</v>
      </c>
      <c r="C684" t="s">
        <v>5100</v>
      </c>
      <c r="D684" t="str" cm="1">
        <f t="array" ref="D684">TRANSPOSE(_xlfn._xlws.FILTER('Controllable Asset Registry'!$A$4:$A$764,IFERROR('Controllable Asset Registry'!$E$4:$E$764=A684,FALSE),"No Equipment in entity"))</f>
        <v>VAV0395</v>
      </c>
    </row>
    <row r="685" spans="1:5" x14ac:dyDescent="0.3">
      <c r="A685" t="s">
        <v>4020</v>
      </c>
      <c r="B685" t="s">
        <v>5848</v>
      </c>
      <c r="C685" t="s">
        <v>4836</v>
      </c>
      <c r="D685" t="str" cm="1">
        <f t="array" ref="D685">TRANSPOSE(_xlfn._xlws.FILTER('Controllable Asset Registry'!$A$4:$A$764,IFERROR('Controllable Asset Registry'!$E$4:$E$764=A685,FALSE),"No Equipment in entity"))</f>
        <v>FCU0108</v>
      </c>
    </row>
    <row r="686" spans="1:5" x14ac:dyDescent="0.3">
      <c r="A686" t="s">
        <v>4362</v>
      </c>
      <c r="B686" t="s">
        <v>5849</v>
      </c>
      <c r="C686" t="s">
        <v>5100</v>
      </c>
      <c r="D686" t="str" cm="1">
        <f t="array" ref="D686">TRANSPOSE(_xlfn._xlws.FILTER('Controllable Asset Registry'!$A$4:$A$764,IFERROR('Controllable Asset Registry'!$E$4:$E$764=A686,FALSE),"No Equipment in entity"))</f>
        <v>VAV0394</v>
      </c>
    </row>
    <row r="687" spans="1:5" x14ac:dyDescent="0.3">
      <c r="A687" t="s">
        <v>4361</v>
      </c>
      <c r="B687" t="s">
        <v>5850</v>
      </c>
      <c r="C687" t="s">
        <v>3892</v>
      </c>
      <c r="D687" t="str" cm="1">
        <f t="array" ref="D687">TRANSPOSE(_xlfn._xlws.FILTER('Controllable Asset Registry'!$A$4:$A$764,IFERROR('Controllable Asset Registry'!$E$4:$E$764=A687,FALSE),"No Equipment in entity"))</f>
        <v>VAV0393</v>
      </c>
    </row>
    <row r="688" spans="1:5" x14ac:dyDescent="0.3">
      <c r="A688" t="s">
        <v>5103</v>
      </c>
      <c r="B688" t="s">
        <v>5851</v>
      </c>
      <c r="C688" t="s">
        <v>4707</v>
      </c>
      <c r="D688" t="str" cm="1">
        <f t="array" ref="D688">TRANSPOSE(_xlfn._xlws.FILTER('Controllable Asset Registry'!$A$4:$A$764,IFERROR('Controllable Asset Registry'!$E$4:$E$764=A688,FALSE),"No Equipment in entity"))</f>
        <v>No Equipment in entity</v>
      </c>
    </row>
    <row r="689" spans="1:5" x14ac:dyDescent="0.3">
      <c r="A689" t="s">
        <v>5104</v>
      </c>
      <c r="B689" t="s">
        <v>5852</v>
      </c>
      <c r="C689" t="s">
        <v>4865</v>
      </c>
      <c r="D689" t="str" cm="1">
        <f t="array" ref="D689">TRANSPOSE(_xlfn._xlws.FILTER('Controllable Asset Registry'!$A$4:$A$764,IFERROR('Controllable Asset Registry'!$E$4:$E$764=A689,FALSE),"No Equipment in entity"))</f>
        <v>No Equipment in entity</v>
      </c>
    </row>
    <row r="690" spans="1:5" x14ac:dyDescent="0.3">
      <c r="A690" t="s">
        <v>5105</v>
      </c>
      <c r="B690" t="s">
        <v>5853</v>
      </c>
      <c r="C690" t="s">
        <v>4614</v>
      </c>
      <c r="D690" t="str" cm="1">
        <f t="array" ref="D690">TRANSPOSE(_xlfn._xlws.FILTER('Controllable Asset Registry'!$A$4:$A$764,IFERROR('Controllable Asset Registry'!$E$4:$E$764=A690,FALSE),"No Equipment in entity"))</f>
        <v>No Equipment in entity</v>
      </c>
    </row>
    <row r="691" spans="1:5" x14ac:dyDescent="0.3">
      <c r="A691" t="s">
        <v>5106</v>
      </c>
      <c r="B691" t="s">
        <v>5854</v>
      </c>
      <c r="C691" t="s">
        <v>3758</v>
      </c>
      <c r="D691" t="str" cm="1">
        <f t="array" ref="D691">TRANSPOSE(_xlfn._xlws.FILTER('Controllable Asset Registry'!$A$4:$A$764,IFERROR('Controllable Asset Registry'!$E$4:$E$764=A691,FALSE),"No Equipment in entity"))</f>
        <v>No Equipment in entity</v>
      </c>
    </row>
    <row r="692" spans="1:5" x14ac:dyDescent="0.3">
      <c r="A692" t="s">
        <v>4381</v>
      </c>
      <c r="B692" t="s">
        <v>5855</v>
      </c>
      <c r="C692" t="s">
        <v>5107</v>
      </c>
      <c r="D692" t="str" cm="1">
        <f t="array" ref="D692">TRANSPOSE(_xlfn._xlws.FILTER('Controllable Asset Registry'!$A$4:$A$764,IFERROR('Controllable Asset Registry'!$E$4:$E$764=A692,FALSE),"No Equipment in entity"))</f>
        <v>VAV0415</v>
      </c>
    </row>
    <row r="693" spans="1:5" x14ac:dyDescent="0.3">
      <c r="A693" t="s">
        <v>4382</v>
      </c>
      <c r="B693" t="s">
        <v>5856</v>
      </c>
      <c r="C693" t="s">
        <v>5108</v>
      </c>
      <c r="D693" t="str" cm="1">
        <f t="array" ref="D693">TRANSPOSE(_xlfn._xlws.FILTER('Controllable Asset Registry'!$A$4:$A$764,IFERROR('Controllable Asset Registry'!$E$4:$E$764=A693,FALSE),"No Equipment in entity"))</f>
        <v>VAV0416</v>
      </c>
    </row>
    <row r="694" spans="1:5" x14ac:dyDescent="0.3">
      <c r="A694" t="s">
        <v>5109</v>
      </c>
      <c r="B694" t="s">
        <v>5857</v>
      </c>
      <c r="C694" t="s">
        <v>4707</v>
      </c>
      <c r="D694" t="str" cm="1">
        <f t="array" ref="D694">TRANSPOSE(_xlfn._xlws.FILTER('Controllable Asset Registry'!$A$4:$A$764,IFERROR('Controllable Asset Registry'!$E$4:$E$764=A694,FALSE),"No Equipment in entity"))</f>
        <v>No Equipment in entity</v>
      </c>
    </row>
    <row r="695" spans="1:5" x14ac:dyDescent="0.3">
      <c r="A695" t="s">
        <v>4383</v>
      </c>
      <c r="B695" t="s">
        <v>5858</v>
      </c>
      <c r="C695" t="s">
        <v>5108</v>
      </c>
      <c r="D695" t="str" cm="1">
        <f t="array" ref="D695:E695">TRANSPOSE(_xlfn._xlws.FILTER('Controllable Asset Registry'!$A$4:$A$764,IFERROR('Controllable Asset Registry'!$E$4:$E$764=A695,FALSE),"No Equipment in entity"))</f>
        <v>VAV0417</v>
      </c>
      <c r="E695" t="str">
        <v>VAV0418</v>
      </c>
    </row>
    <row r="696" spans="1:5" x14ac:dyDescent="0.3">
      <c r="A696" t="s">
        <v>4384</v>
      </c>
      <c r="B696" t="s">
        <v>5859</v>
      </c>
      <c r="C696" t="s">
        <v>5108</v>
      </c>
      <c r="D696" t="str" cm="1">
        <f t="array" ref="D696:E696">TRANSPOSE(_xlfn._xlws.FILTER('Controllable Asset Registry'!$A$4:$A$764,IFERROR('Controllable Asset Registry'!$E$4:$E$764=A696,FALSE),"No Equipment in entity"))</f>
        <v>VAV0419</v>
      </c>
      <c r="E696" t="str">
        <v>VAV0420</v>
      </c>
    </row>
    <row r="697" spans="1:5" x14ac:dyDescent="0.3">
      <c r="A697" t="s">
        <v>5110</v>
      </c>
      <c r="B697" t="s">
        <v>5860</v>
      </c>
      <c r="C697" t="s">
        <v>5108</v>
      </c>
      <c r="D697" t="str" cm="1">
        <f t="array" ref="D697">TRANSPOSE(_xlfn._xlws.FILTER('Controllable Asset Registry'!$A$4:$A$764,IFERROR('Controllable Asset Registry'!$E$4:$E$764=A697,FALSE),"No Equipment in entity"))</f>
        <v>No Equipment in entity</v>
      </c>
    </row>
    <row r="698" spans="1:5" x14ac:dyDescent="0.3">
      <c r="A698" t="s">
        <v>5111</v>
      </c>
      <c r="B698" t="s">
        <v>5861</v>
      </c>
      <c r="C698" t="s">
        <v>5108</v>
      </c>
      <c r="D698" t="str" cm="1">
        <f t="array" ref="D698">TRANSPOSE(_xlfn._xlws.FILTER('Controllable Asset Registry'!$A$4:$A$764,IFERROR('Controllable Asset Registry'!$E$4:$E$764=A698,FALSE),"No Equipment in entity"))</f>
        <v>No Equipment in entity</v>
      </c>
    </row>
    <row r="699" spans="1:5" x14ac:dyDescent="0.3">
      <c r="A699" t="s">
        <v>4385</v>
      </c>
      <c r="B699" t="s">
        <v>5862</v>
      </c>
      <c r="C699" t="s">
        <v>5112</v>
      </c>
      <c r="D699" t="str" cm="1">
        <f t="array" ref="D699">TRANSPOSE(_xlfn._xlws.FILTER('Controllable Asset Registry'!$A$4:$A$764,IFERROR('Controllable Asset Registry'!$E$4:$E$764=A699,FALSE),"No Equipment in entity"))</f>
        <v>VAV0421</v>
      </c>
    </row>
    <row r="700" spans="1:5" x14ac:dyDescent="0.3">
      <c r="A700" t="s">
        <v>4387</v>
      </c>
      <c r="B700" t="s">
        <v>5863</v>
      </c>
      <c r="C700" t="s">
        <v>5113</v>
      </c>
      <c r="D700" t="str" cm="1">
        <f t="array" ref="D700">TRANSPOSE(_xlfn._xlws.FILTER('Controllable Asset Registry'!$A$4:$A$764,IFERROR('Controllable Asset Registry'!$E$4:$E$764=A700,FALSE),"No Equipment in entity"))</f>
        <v>VAV0423</v>
      </c>
    </row>
    <row r="701" spans="1:5" x14ac:dyDescent="0.3">
      <c r="A701" t="s">
        <v>4388</v>
      </c>
      <c r="B701" t="s">
        <v>5864</v>
      </c>
      <c r="C701" t="s">
        <v>5113</v>
      </c>
      <c r="D701" t="str" cm="1">
        <f t="array" ref="D701">TRANSPOSE(_xlfn._xlws.FILTER('Controllable Asset Registry'!$A$4:$A$764,IFERROR('Controllable Asset Registry'!$E$4:$E$764=A701,FALSE),"No Equipment in entity"))</f>
        <v>VAV0424</v>
      </c>
    </row>
    <row r="702" spans="1:5" x14ac:dyDescent="0.3">
      <c r="A702" t="s">
        <v>4389</v>
      </c>
      <c r="B702" t="s">
        <v>5865</v>
      </c>
      <c r="C702" t="s">
        <v>5114</v>
      </c>
      <c r="D702" t="str" cm="1">
        <f t="array" ref="D702">TRANSPOSE(_xlfn._xlws.FILTER('Controllable Asset Registry'!$A$4:$A$764,IFERROR('Controllable Asset Registry'!$E$4:$E$764=A702,FALSE),"No Equipment in entity"))</f>
        <v>VAV0425</v>
      </c>
    </row>
    <row r="703" spans="1:5" x14ac:dyDescent="0.3">
      <c r="A703" t="s">
        <v>4390</v>
      </c>
      <c r="B703" t="s">
        <v>5866</v>
      </c>
      <c r="C703" t="s">
        <v>5115</v>
      </c>
      <c r="D703" t="str" cm="1">
        <f t="array" ref="D703">TRANSPOSE(_xlfn._xlws.FILTER('Controllable Asset Registry'!$A$4:$A$764,IFERROR('Controllable Asset Registry'!$E$4:$E$764=A703,FALSE),"No Equipment in entity"))</f>
        <v>VAV0426</v>
      </c>
    </row>
    <row r="704" spans="1:5" x14ac:dyDescent="0.3">
      <c r="A704" t="s">
        <v>4391</v>
      </c>
      <c r="B704" t="s">
        <v>5867</v>
      </c>
      <c r="C704" t="s">
        <v>5116</v>
      </c>
      <c r="D704" t="str" cm="1">
        <f t="array" ref="D704">TRANSPOSE(_xlfn._xlws.FILTER('Controllable Asset Registry'!$A$4:$A$764,IFERROR('Controllable Asset Registry'!$E$4:$E$764=A704,FALSE),"No Equipment in entity"))</f>
        <v>VAV0427</v>
      </c>
    </row>
    <row r="705" spans="1:5" x14ac:dyDescent="0.3">
      <c r="A705" t="s">
        <v>4392</v>
      </c>
      <c r="B705" t="s">
        <v>5868</v>
      </c>
      <c r="C705" t="s">
        <v>5117</v>
      </c>
      <c r="D705" t="str" cm="1">
        <f t="array" ref="D705">TRANSPOSE(_xlfn._xlws.FILTER('Controllable Asset Registry'!$A$4:$A$764,IFERROR('Controllable Asset Registry'!$E$4:$E$764=A705,FALSE),"No Equipment in entity"))</f>
        <v>VAV0428</v>
      </c>
    </row>
    <row r="706" spans="1:5" x14ac:dyDescent="0.3">
      <c r="A706" t="s">
        <v>4393</v>
      </c>
      <c r="B706" t="s">
        <v>5869</v>
      </c>
      <c r="C706" t="s">
        <v>5118</v>
      </c>
      <c r="D706" t="str" cm="1">
        <f t="array" ref="D706">TRANSPOSE(_xlfn._xlws.FILTER('Controllable Asset Registry'!$A$4:$A$764,IFERROR('Controllable Asset Registry'!$E$4:$E$764=A706,FALSE),"No Equipment in entity"))</f>
        <v>VAV0429</v>
      </c>
    </row>
    <row r="707" spans="1:5" x14ac:dyDescent="0.3">
      <c r="A707" t="s">
        <v>5119</v>
      </c>
      <c r="B707" t="s">
        <v>5870</v>
      </c>
      <c r="C707" t="s">
        <v>4628</v>
      </c>
      <c r="D707" t="str" cm="1">
        <f t="array" ref="D707">TRANSPOSE(_xlfn._xlws.FILTER('Controllable Asset Registry'!$A$4:$A$764,IFERROR('Controllable Asset Registry'!$E$4:$E$764=A707,FALSE),"No Equipment in entity"))</f>
        <v>No Equipment in entity</v>
      </c>
    </row>
    <row r="708" spans="1:5" x14ac:dyDescent="0.3">
      <c r="A708" t="s">
        <v>5120</v>
      </c>
      <c r="B708" t="s">
        <v>5871</v>
      </c>
      <c r="C708" t="s">
        <v>4625</v>
      </c>
      <c r="D708" t="str" cm="1">
        <f t="array" ref="D708">TRANSPOSE(_xlfn._xlws.FILTER('Controllable Asset Registry'!$A$4:$A$764,IFERROR('Controllable Asset Registry'!$E$4:$E$764=A708,FALSE),"No Equipment in entity"))</f>
        <v>No Equipment in entity</v>
      </c>
    </row>
    <row r="709" spans="1:5" x14ac:dyDescent="0.3">
      <c r="A709" t="s">
        <v>5121</v>
      </c>
      <c r="B709" t="s">
        <v>5872</v>
      </c>
      <c r="C709" t="s">
        <v>4625</v>
      </c>
      <c r="D709" t="str" cm="1">
        <f t="array" ref="D709">TRANSPOSE(_xlfn._xlws.FILTER('Controllable Asset Registry'!$A$4:$A$764,IFERROR('Controllable Asset Registry'!$E$4:$E$764=A709,FALSE),"No Equipment in entity"))</f>
        <v>No Equipment in entity</v>
      </c>
    </row>
    <row r="710" spans="1:5" x14ac:dyDescent="0.3">
      <c r="A710" t="s">
        <v>5122</v>
      </c>
      <c r="B710" t="s">
        <v>5873</v>
      </c>
      <c r="C710" t="s">
        <v>4628</v>
      </c>
      <c r="D710" t="str" cm="1">
        <f t="array" ref="D710">TRANSPOSE(_xlfn._xlws.FILTER('Controllable Asset Registry'!$A$4:$A$764,IFERROR('Controllable Asset Registry'!$E$4:$E$764=A710,FALSE),"No Equipment in entity"))</f>
        <v>No Equipment in entity</v>
      </c>
    </row>
    <row r="711" spans="1:5" x14ac:dyDescent="0.3">
      <c r="A711" t="s">
        <v>5123</v>
      </c>
      <c r="B711" t="s">
        <v>5874</v>
      </c>
      <c r="C711" t="s">
        <v>4625</v>
      </c>
      <c r="D711" t="str" cm="1">
        <f t="array" ref="D711">TRANSPOSE(_xlfn._xlws.FILTER('Controllable Asset Registry'!$A$4:$A$764,IFERROR('Controllable Asset Registry'!$E$4:$E$764=A711,FALSE),"No Equipment in entity"))</f>
        <v>No Equipment in entity</v>
      </c>
    </row>
    <row r="712" spans="1:5" x14ac:dyDescent="0.3">
      <c r="A712" t="s">
        <v>5124</v>
      </c>
      <c r="B712" t="s">
        <v>5875</v>
      </c>
      <c r="C712" t="s">
        <v>4628</v>
      </c>
      <c r="D712" t="str" cm="1">
        <f t="array" ref="D712">TRANSPOSE(_xlfn._xlws.FILTER('Controllable Asset Registry'!$A$4:$A$764,IFERROR('Controllable Asset Registry'!$E$4:$E$764=A712,FALSE),"No Equipment in entity"))</f>
        <v>No Equipment in entity</v>
      </c>
    </row>
    <row r="713" spans="1:5" x14ac:dyDescent="0.3">
      <c r="A713" t="s">
        <v>5125</v>
      </c>
      <c r="B713" t="s">
        <v>5876</v>
      </c>
      <c r="C713" t="s">
        <v>3761</v>
      </c>
      <c r="D713" t="str" cm="1">
        <f t="array" ref="D713">TRANSPOSE(_xlfn._xlws.FILTER('Controllable Asset Registry'!$A$4:$A$764,IFERROR('Controllable Asset Registry'!$E$4:$E$764=A713,FALSE),"No Equipment in entity"))</f>
        <v>No Equipment in entity</v>
      </c>
    </row>
    <row r="714" spans="1:5" x14ac:dyDescent="0.3">
      <c r="A714" t="s">
        <v>5126</v>
      </c>
      <c r="B714" t="s">
        <v>5877</v>
      </c>
      <c r="C714" t="s">
        <v>3761</v>
      </c>
      <c r="D714" t="str" cm="1">
        <f t="array" ref="D714">TRANSPOSE(_xlfn._xlws.FILTER('Controllable Asset Registry'!$A$4:$A$764,IFERROR('Controllable Asset Registry'!$E$4:$E$764=A714,FALSE),"No Equipment in entity"))</f>
        <v>No Equipment in entity</v>
      </c>
    </row>
    <row r="715" spans="1:5" x14ac:dyDescent="0.3">
      <c r="A715" t="s">
        <v>5127</v>
      </c>
      <c r="B715" t="s">
        <v>5878</v>
      </c>
      <c r="C715" t="s">
        <v>3761</v>
      </c>
      <c r="D715" t="str" cm="1">
        <f t="array" ref="D715">TRANSPOSE(_xlfn._xlws.FILTER('Controllable Asset Registry'!$A$4:$A$764,IFERROR('Controllable Asset Registry'!$E$4:$E$764=A715,FALSE),"No Equipment in entity"))</f>
        <v>No Equipment in entity</v>
      </c>
    </row>
    <row r="716" spans="1:5" x14ac:dyDescent="0.3">
      <c r="A716" t="s">
        <v>5128</v>
      </c>
      <c r="B716" t="s">
        <v>5879</v>
      </c>
      <c r="C716" t="s">
        <v>3758</v>
      </c>
      <c r="D716" t="str" cm="1">
        <f t="array" ref="D716">TRANSPOSE(_xlfn._xlws.FILTER('Controllable Asset Registry'!$A$4:$A$764,IFERROR('Controllable Asset Registry'!$E$4:$E$764=A716,FALSE),"No Equipment in entity"))</f>
        <v>No Equipment in entity</v>
      </c>
    </row>
    <row r="717" spans="1:5" x14ac:dyDescent="0.3">
      <c r="A717" t="s">
        <v>4018</v>
      </c>
      <c r="B717" t="s">
        <v>5880</v>
      </c>
      <c r="C717" t="s">
        <v>4634</v>
      </c>
      <c r="D717" t="str" cm="1">
        <f t="array" ref="D717">TRANSPOSE(_xlfn._xlws.FILTER('Controllable Asset Registry'!$A$4:$A$764,IFERROR('Controllable Asset Registry'!$E$4:$E$764=A717,FALSE),"No Equipment in entity"))</f>
        <v>FCU0106</v>
      </c>
    </row>
    <row r="718" spans="1:5" x14ac:dyDescent="0.3">
      <c r="A718" t="s">
        <v>4017</v>
      </c>
      <c r="B718" t="s">
        <v>5881</v>
      </c>
      <c r="C718" t="s">
        <v>4634</v>
      </c>
      <c r="D718" t="str" cm="1">
        <f t="array" ref="D718:E718">TRANSPOSE(_xlfn._xlws.FILTER('Controllable Asset Registry'!$A$4:$A$764,IFERROR('Controllable Asset Registry'!$E$4:$E$764=A718,FALSE),"No Equipment in entity"))</f>
        <v>FCU0104</v>
      </c>
      <c r="E718" t="str">
        <v>FCU0105</v>
      </c>
    </row>
    <row r="719" spans="1:5" x14ac:dyDescent="0.3">
      <c r="A719" t="s">
        <v>5129</v>
      </c>
      <c r="B719" t="s">
        <v>5882</v>
      </c>
      <c r="C719" t="s">
        <v>5019</v>
      </c>
      <c r="D719" t="str" cm="1">
        <f t="array" ref="D719">TRANSPOSE(_xlfn._xlws.FILTER('Controllable Asset Registry'!$A$4:$A$764,IFERROR('Controllable Asset Registry'!$E$4:$E$764=A719,FALSE),"No Equipment in entity"))</f>
        <v>No Equipment in entity</v>
      </c>
    </row>
    <row r="720" spans="1:5" x14ac:dyDescent="0.3">
      <c r="A720" t="s">
        <v>5130</v>
      </c>
      <c r="B720" t="s">
        <v>5883</v>
      </c>
      <c r="C720" t="s">
        <v>4779</v>
      </c>
      <c r="D720" t="str" cm="1">
        <f t="array" ref="D720">TRANSPOSE(_xlfn._xlws.FILTER('Controllable Asset Registry'!$A$4:$A$764,IFERROR('Controllable Asset Registry'!$E$4:$E$764=A720,FALSE),"No Equipment in entity"))</f>
        <v>No Equipment in entity</v>
      </c>
    </row>
    <row r="721" spans="1:8" x14ac:dyDescent="0.3">
      <c r="A721" t="s">
        <v>5131</v>
      </c>
      <c r="B721" t="s">
        <v>5884</v>
      </c>
      <c r="C721" t="s">
        <v>3758</v>
      </c>
      <c r="D721" t="str" cm="1">
        <f t="array" ref="D721">TRANSPOSE(_xlfn._xlws.FILTER('Controllable Asset Registry'!$A$4:$A$764,IFERROR('Controllable Asset Registry'!$E$4:$E$764=A721,FALSE),"No Equipment in entity"))</f>
        <v>No Equipment in entity</v>
      </c>
    </row>
    <row r="722" spans="1:8" x14ac:dyDescent="0.3">
      <c r="A722" t="s">
        <v>4359</v>
      </c>
      <c r="B722" t="s">
        <v>5885</v>
      </c>
      <c r="C722" t="s">
        <v>4933</v>
      </c>
      <c r="D722" t="str" cm="1">
        <f t="array" ref="D722:F722">TRANSPOSE(_xlfn._xlws.FILTER('Controllable Asset Registry'!$A$4:$A$764,IFERROR('Controllable Asset Registry'!$E$4:$E$764=A722,FALSE),"No Equipment in entity"))</f>
        <v>VAV0389</v>
      </c>
      <c r="E722" t="str">
        <v>VAV0390</v>
      </c>
      <c r="F722" t="str">
        <v>VAV0399</v>
      </c>
    </row>
    <row r="723" spans="1:8" x14ac:dyDescent="0.3">
      <c r="A723" t="s">
        <v>4014</v>
      </c>
      <c r="B723" t="s">
        <v>5886</v>
      </c>
      <c r="C723" t="s">
        <v>5022</v>
      </c>
      <c r="D723" t="str" cm="1">
        <f t="array" ref="D723:F723">TRANSPOSE(_xlfn._xlws.FILTER('Controllable Asset Registry'!$A$4:$A$764,IFERROR('Controllable Asset Registry'!$E$4:$E$764=A723,FALSE),"No Equipment in entity"))</f>
        <v>FCU0099</v>
      </c>
      <c r="E723" t="str">
        <v>FCU0100</v>
      </c>
      <c r="F723" t="str">
        <v>FCU0101</v>
      </c>
    </row>
    <row r="724" spans="1:8" x14ac:dyDescent="0.3">
      <c r="A724" t="s">
        <v>4386</v>
      </c>
      <c r="B724" t="s">
        <v>5887</v>
      </c>
      <c r="C724" t="s">
        <v>4974</v>
      </c>
      <c r="D724" t="str" cm="1">
        <f t="array" ref="D724">TRANSPOSE(_xlfn._xlws.FILTER('Controllable Asset Registry'!$A$4:$A$764,IFERROR('Controllable Asset Registry'!$E$4:$E$764=A724,FALSE),"No Equipment in entity"))</f>
        <v>VAV0422</v>
      </c>
    </row>
    <row r="725" spans="1:8" x14ac:dyDescent="0.3">
      <c r="A725" t="s">
        <v>6281</v>
      </c>
      <c r="B725" t="s">
        <v>6282</v>
      </c>
      <c r="C725" t="s">
        <v>4793</v>
      </c>
      <c r="D725" t="str" cm="1">
        <f t="array" ref="D725">TRANSPOSE(_xlfn._xlws.FILTER('Controllable Asset Registry'!$A$4:$A$764,IFERROR('Controllable Asset Registry'!$E$4:$E$764=A725,FALSE),"No Equipment in entity"))</f>
        <v>No Equipment in entity</v>
      </c>
    </row>
    <row r="726" spans="1:8" x14ac:dyDescent="0.3">
      <c r="A726" t="s">
        <v>6283</v>
      </c>
      <c r="B726" t="s">
        <v>6284</v>
      </c>
      <c r="C726" t="s">
        <v>4796</v>
      </c>
      <c r="D726" t="str" cm="1">
        <f t="array" ref="D726">TRANSPOSE(_xlfn._xlws.FILTER('Controllable Asset Registry'!$A$4:$A$764,IFERROR('Controllable Asset Registry'!$E$4:$E$764=A726,FALSE),"No Equipment in entity"))</f>
        <v>No Equipment in entity</v>
      </c>
    </row>
    <row r="727" spans="1:8" x14ac:dyDescent="0.3">
      <c r="A727" t="s">
        <v>6285</v>
      </c>
      <c r="B727" t="s">
        <v>6286</v>
      </c>
      <c r="C727" t="s">
        <v>4799</v>
      </c>
      <c r="D727" t="str" cm="1">
        <f t="array" ref="D727">TRANSPOSE(_xlfn._xlws.FILTER('Controllable Asset Registry'!$A$4:$A$764,IFERROR('Controllable Asset Registry'!$E$4:$E$764=A727,FALSE),"No Equipment in entity"))</f>
        <v>No Equipment in entity</v>
      </c>
    </row>
    <row r="728" spans="1:8" x14ac:dyDescent="0.3">
      <c r="A728" t="s">
        <v>6287</v>
      </c>
      <c r="B728" t="s">
        <v>6288</v>
      </c>
      <c r="C728" t="s">
        <v>4663</v>
      </c>
      <c r="D728" t="str" cm="1">
        <f t="array" ref="D728">TRANSPOSE(_xlfn._xlws.FILTER('Controllable Asset Registry'!$A$4:$A$764,IFERROR('Controllable Asset Registry'!$E$4:$E$764=A728,FALSE),"No Equipment in entity"))</f>
        <v>No Equipment in entity</v>
      </c>
    </row>
    <row r="729" spans="1:8" x14ac:dyDescent="0.3">
      <c r="A729" t="s">
        <v>6289</v>
      </c>
      <c r="B729" t="s">
        <v>6290</v>
      </c>
      <c r="C729" t="s">
        <v>4666</v>
      </c>
      <c r="D729" t="str" cm="1">
        <f t="array" ref="D729">TRANSPOSE(_xlfn._xlws.FILTER('Controllable Asset Registry'!$A$4:$A$764,IFERROR('Controllable Asset Registry'!$E$4:$E$764=A729,FALSE),"No Equipment in entity"))</f>
        <v>No Equipment in entity</v>
      </c>
    </row>
    <row r="730" spans="1:8" x14ac:dyDescent="0.3">
      <c r="A730" t="s">
        <v>6291</v>
      </c>
      <c r="B730" t="s">
        <v>6292</v>
      </c>
      <c r="C730" t="s">
        <v>4669</v>
      </c>
      <c r="D730" t="str" cm="1">
        <f t="array" ref="D730">TRANSPOSE(_xlfn._xlws.FILTER('Controllable Asset Registry'!$A$4:$A$764,IFERROR('Controllable Asset Registry'!$E$4:$E$764=A730,FALSE),"No Equipment in entity"))</f>
        <v>No Equipment in entity</v>
      </c>
    </row>
    <row r="731" spans="1:8" x14ac:dyDescent="0.3">
      <c r="A731" t="s">
        <v>6293</v>
      </c>
      <c r="B731" t="s">
        <v>6294</v>
      </c>
      <c r="C731" t="s">
        <v>4808</v>
      </c>
      <c r="D731" t="str" cm="1">
        <f t="array" ref="D731">TRANSPOSE(_xlfn._xlws.FILTER('Controllable Asset Registry'!$A$4:$A$764,IFERROR('Controllable Asset Registry'!$E$4:$E$764=A731,FALSE),"No Equipment in entity"))</f>
        <v>No Equipment in entity</v>
      </c>
    </row>
    <row r="732" spans="1:8" x14ac:dyDescent="0.3">
      <c r="A732" t="s">
        <v>6295</v>
      </c>
      <c r="B732" t="s">
        <v>6296</v>
      </c>
      <c r="C732" t="s">
        <v>4674</v>
      </c>
      <c r="D732" t="str" cm="1">
        <f t="array" ref="D732">TRANSPOSE(_xlfn._xlws.FILTER('Controllable Asset Registry'!$A$4:$A$764,IFERROR('Controllable Asset Registry'!$E$4:$E$764=A732,FALSE),"No Equipment in entity"))</f>
        <v>No Equipment in entity</v>
      </c>
    </row>
    <row r="733" spans="1:8" x14ac:dyDescent="0.3">
      <c r="A733" t="s">
        <v>6297</v>
      </c>
      <c r="B733" t="s">
        <v>6298</v>
      </c>
      <c r="C733" t="s">
        <v>4676</v>
      </c>
      <c r="D733" t="str" cm="1">
        <f t="array" ref="D733">TRANSPOSE(_xlfn._xlws.FILTER('Controllable Asset Registry'!$A$4:$A$764,IFERROR('Controllable Asset Registry'!$E$4:$E$764=A733,FALSE),"No Equipment in entity"))</f>
        <v>No Equipment in entity</v>
      </c>
    </row>
    <row r="734" spans="1:8" x14ac:dyDescent="0.3">
      <c r="A734" t="s">
        <v>6299</v>
      </c>
      <c r="B734" t="s">
        <v>6300</v>
      </c>
      <c r="C734" t="s">
        <v>4815</v>
      </c>
      <c r="D734" t="str" cm="1">
        <f t="array" ref="D734">TRANSPOSE(_xlfn._xlws.FILTER('Controllable Asset Registry'!$A$4:$A$764,IFERROR('Controllable Asset Registry'!$E$4:$E$764=A734,FALSE),"No Equipment in entity"))</f>
        <v>No Equipment in entity</v>
      </c>
    </row>
    <row r="735" spans="1:8" x14ac:dyDescent="0.3">
      <c r="A735" t="s">
        <v>6301</v>
      </c>
      <c r="B735" t="s">
        <v>6302</v>
      </c>
      <c r="C735" t="s">
        <v>4679</v>
      </c>
      <c r="D735" t="str" cm="1">
        <f t="array" ref="D735">TRANSPOSE(_xlfn._xlws.FILTER('Controllable Asset Registry'!$A$4:$A$764,IFERROR('Controllable Asset Registry'!$E$4:$E$764=A735,FALSE),"No Equipment in entity"))</f>
        <v>No Equipment in entity</v>
      </c>
    </row>
    <row r="736" spans="1:8" x14ac:dyDescent="0.3">
      <c r="A736" t="s">
        <v>4395</v>
      </c>
      <c r="B736" t="s">
        <v>5888</v>
      </c>
      <c r="C736" t="s">
        <v>5132</v>
      </c>
      <c r="D736" t="str" cm="1">
        <f t="array" ref="D736:H736">TRANSPOSE(_xlfn._xlws.FILTER('Controllable Asset Registry'!$A$4:$A$764,IFERROR('Controllable Asset Registry'!$E$4:$E$764=A736,FALSE),"No Equipment in entity"))</f>
        <v>VAV0433</v>
      </c>
      <c r="E736" t="str">
        <v>VAV0434</v>
      </c>
      <c r="F736" t="str">
        <v>VAV0435</v>
      </c>
      <c r="G736" t="str">
        <v>VAV0436</v>
      </c>
      <c r="H736" t="str">
        <v>VAV0437</v>
      </c>
    </row>
    <row r="737" spans="1:8" x14ac:dyDescent="0.3">
      <c r="A737" t="s">
        <v>4396</v>
      </c>
      <c r="B737" t="s">
        <v>5889</v>
      </c>
      <c r="C737" t="s">
        <v>5133</v>
      </c>
      <c r="D737" t="str" cm="1">
        <f t="array" ref="D737">TRANSPOSE(_xlfn._xlws.FILTER('Controllable Asset Registry'!$A$4:$A$764,IFERROR('Controllable Asset Registry'!$E$4:$E$764=A737,FALSE),"No Equipment in entity"))</f>
        <v>VAV0438</v>
      </c>
    </row>
    <row r="738" spans="1:8" x14ac:dyDescent="0.3">
      <c r="A738" t="s">
        <v>5134</v>
      </c>
      <c r="B738" t="s">
        <v>5890</v>
      </c>
      <c r="C738" t="s">
        <v>4707</v>
      </c>
      <c r="D738" t="str" cm="1">
        <f t="array" ref="D738">TRANSPOSE(_xlfn._xlws.FILTER('Controllable Asset Registry'!$A$4:$A$764,IFERROR('Controllable Asset Registry'!$E$4:$E$764=A738,FALSE),"No Equipment in entity"))</f>
        <v>No Equipment in entity</v>
      </c>
    </row>
    <row r="739" spans="1:8" x14ac:dyDescent="0.3">
      <c r="A739" t="s">
        <v>5135</v>
      </c>
      <c r="B739" t="s">
        <v>5891</v>
      </c>
      <c r="C739" t="s">
        <v>5136</v>
      </c>
      <c r="D739" t="str" cm="1">
        <f t="array" ref="D739">TRANSPOSE(_xlfn._xlws.FILTER('Controllable Asset Registry'!$A$4:$A$764,IFERROR('Controllable Asset Registry'!$E$4:$E$764=A739,FALSE),"No Equipment in entity"))</f>
        <v>No Equipment in entity</v>
      </c>
    </row>
    <row r="740" spans="1:8" x14ac:dyDescent="0.3">
      <c r="A740" t="s">
        <v>5137</v>
      </c>
      <c r="B740" t="s">
        <v>5892</v>
      </c>
      <c r="C740" t="s">
        <v>4614</v>
      </c>
      <c r="D740" t="str" cm="1">
        <f t="array" ref="D740">TRANSPOSE(_xlfn._xlws.FILTER('Controllable Asset Registry'!$A$4:$A$764,IFERROR('Controllable Asset Registry'!$E$4:$E$764=A740,FALSE),"No Equipment in entity"))</f>
        <v>No Equipment in entity</v>
      </c>
    </row>
    <row r="741" spans="1:8" x14ac:dyDescent="0.3">
      <c r="A741" t="s">
        <v>5138</v>
      </c>
      <c r="B741" t="s">
        <v>5893</v>
      </c>
      <c r="C741" t="s">
        <v>3758</v>
      </c>
      <c r="D741" t="str" cm="1">
        <f t="array" ref="D741">TRANSPOSE(_xlfn._xlws.FILTER('Controllable Asset Registry'!$A$4:$A$764,IFERROR('Controllable Asset Registry'!$E$4:$E$764=A741,FALSE),"No Equipment in entity"))</f>
        <v>No Equipment in entity</v>
      </c>
    </row>
    <row r="742" spans="1:8" x14ac:dyDescent="0.3">
      <c r="A742" t="s">
        <v>4021</v>
      </c>
      <c r="B742" t="s">
        <v>5894</v>
      </c>
      <c r="C742" t="s">
        <v>4634</v>
      </c>
      <c r="D742" t="str" cm="1">
        <f t="array" ref="D742">TRANSPOSE(_xlfn._xlws.FILTER('Controllable Asset Registry'!$A$4:$A$764,IFERROR('Controllable Asset Registry'!$E$4:$E$764=A742,FALSE),"No Equipment in entity"))</f>
        <v>FCU0109</v>
      </c>
    </row>
    <row r="743" spans="1:8" x14ac:dyDescent="0.3">
      <c r="A743" t="s">
        <v>5139</v>
      </c>
      <c r="B743" t="s">
        <v>5895</v>
      </c>
      <c r="C743" t="s">
        <v>3758</v>
      </c>
      <c r="D743" t="str" cm="1">
        <f t="array" ref="D743">TRANSPOSE(_xlfn._xlws.FILTER('Controllable Asset Registry'!$A$4:$A$764,IFERROR('Controllable Asset Registry'!$E$4:$E$764=A743,FALSE),"No Equipment in entity"))</f>
        <v>No Equipment in entity</v>
      </c>
    </row>
    <row r="744" spans="1:8" x14ac:dyDescent="0.3">
      <c r="A744" t="s">
        <v>5140</v>
      </c>
      <c r="B744" t="s">
        <v>5896</v>
      </c>
      <c r="C744" t="s">
        <v>4776</v>
      </c>
      <c r="D744" t="str" cm="1">
        <f t="array" ref="D744">TRANSPOSE(_xlfn._xlws.FILTER('Controllable Asset Registry'!$A$4:$A$764,IFERROR('Controllable Asset Registry'!$E$4:$E$764=A744,FALSE),"No Equipment in entity"))</f>
        <v>No Equipment in entity</v>
      </c>
    </row>
    <row r="745" spans="1:8" x14ac:dyDescent="0.3">
      <c r="A745" t="s">
        <v>5141</v>
      </c>
      <c r="B745" t="s">
        <v>5897</v>
      </c>
      <c r="C745" t="s">
        <v>4779</v>
      </c>
      <c r="D745" t="str" cm="1">
        <f t="array" ref="D745">TRANSPOSE(_xlfn._xlws.FILTER('Controllable Asset Registry'!$A$4:$A$764,IFERROR('Controllable Asset Registry'!$E$4:$E$764=A745,FALSE),"No Equipment in entity"))</f>
        <v>No Equipment in entity</v>
      </c>
    </row>
    <row r="746" spans="1:8" x14ac:dyDescent="0.3">
      <c r="A746" t="s">
        <v>5142</v>
      </c>
      <c r="B746" t="s">
        <v>5898</v>
      </c>
      <c r="C746" t="s">
        <v>3758</v>
      </c>
      <c r="D746" t="str" cm="1">
        <f t="array" ref="D746">TRANSPOSE(_xlfn._xlws.FILTER('Controllable Asset Registry'!$A$4:$A$764,IFERROR('Controllable Asset Registry'!$E$4:$E$764=A746,FALSE),"No Equipment in entity"))</f>
        <v>No Equipment in entity</v>
      </c>
    </row>
    <row r="747" spans="1:8" x14ac:dyDescent="0.3">
      <c r="A747" t="s">
        <v>5143</v>
      </c>
      <c r="B747" t="s">
        <v>5899</v>
      </c>
      <c r="C747" t="s">
        <v>5022</v>
      </c>
      <c r="D747" t="str" cm="1">
        <f t="array" ref="D747">TRANSPOSE(_xlfn._xlws.FILTER('Controllable Asset Registry'!$A$4:$A$764,IFERROR('Controllable Asset Registry'!$E$4:$E$764=A747,FALSE),"No Equipment in entity"))</f>
        <v>No Equipment in entity</v>
      </c>
    </row>
    <row r="748" spans="1:8" x14ac:dyDescent="0.3">
      <c r="A748" t="s">
        <v>4397</v>
      </c>
      <c r="B748" t="s">
        <v>5900</v>
      </c>
      <c r="C748" t="s">
        <v>5144</v>
      </c>
      <c r="D748" t="str" cm="1">
        <f t="array" ref="D748:H748">TRANSPOSE(_xlfn._xlws.FILTER('Controllable Asset Registry'!$A$4:$A$764,IFERROR('Controllable Asset Registry'!$E$4:$E$764=A748,FALSE),"No Equipment in entity"))</f>
        <v>VAV0439</v>
      </c>
      <c r="E748" t="str">
        <v>VAV0440</v>
      </c>
      <c r="F748" t="str">
        <v>VAV0441</v>
      </c>
      <c r="G748" t="str">
        <v>VAV0442</v>
      </c>
      <c r="H748" t="str">
        <v>VAV0443</v>
      </c>
    </row>
    <row r="749" spans="1:8" x14ac:dyDescent="0.3">
      <c r="A749" t="s">
        <v>6303</v>
      </c>
      <c r="B749" t="s">
        <v>6304</v>
      </c>
      <c r="C749" t="s">
        <v>4793</v>
      </c>
      <c r="D749" t="str" cm="1">
        <f t="array" ref="D749">TRANSPOSE(_xlfn._xlws.FILTER('Controllable Asset Registry'!$A$4:$A$764,IFERROR('Controllable Asset Registry'!$E$4:$E$764=A749,FALSE),"No Equipment in entity"))</f>
        <v>No Equipment in entity</v>
      </c>
    </row>
    <row r="750" spans="1:8" x14ac:dyDescent="0.3">
      <c r="A750" t="s">
        <v>6305</v>
      </c>
      <c r="B750" t="s">
        <v>6306</v>
      </c>
      <c r="C750" t="s">
        <v>4796</v>
      </c>
      <c r="D750" t="str" cm="1">
        <f t="array" ref="D750">TRANSPOSE(_xlfn._xlws.FILTER('Controllable Asset Registry'!$A$4:$A$764,IFERROR('Controllable Asset Registry'!$E$4:$E$764=A750,FALSE),"No Equipment in entity"))</f>
        <v>No Equipment in entity</v>
      </c>
    </row>
    <row r="751" spans="1:8" x14ac:dyDescent="0.3">
      <c r="A751" t="s">
        <v>6307</v>
      </c>
      <c r="B751" t="s">
        <v>6308</v>
      </c>
      <c r="C751" t="s">
        <v>4799</v>
      </c>
      <c r="D751" t="str" cm="1">
        <f t="array" ref="D751">TRANSPOSE(_xlfn._xlws.FILTER('Controllable Asset Registry'!$A$4:$A$764,IFERROR('Controllable Asset Registry'!$E$4:$E$764=A751,FALSE),"No Equipment in entity"))</f>
        <v>No Equipment in entity</v>
      </c>
    </row>
    <row r="752" spans="1:8" x14ac:dyDescent="0.3">
      <c r="A752" t="s">
        <v>6309</v>
      </c>
      <c r="B752" t="s">
        <v>6310</v>
      </c>
      <c r="C752" t="s">
        <v>4663</v>
      </c>
      <c r="D752" t="str" cm="1">
        <f t="array" ref="D752">TRANSPOSE(_xlfn._xlws.FILTER('Controllable Asset Registry'!$A$4:$A$764,IFERROR('Controllable Asset Registry'!$E$4:$E$764=A752,FALSE),"No Equipment in entity"))</f>
        <v>No Equipment in entity</v>
      </c>
    </row>
    <row r="753" spans="1:4" x14ac:dyDescent="0.3">
      <c r="A753" t="s">
        <v>6311</v>
      </c>
      <c r="B753" t="s">
        <v>6312</v>
      </c>
      <c r="C753" t="s">
        <v>4666</v>
      </c>
      <c r="D753" t="str" cm="1">
        <f t="array" ref="D753">TRANSPOSE(_xlfn._xlws.FILTER('Controllable Asset Registry'!$A$4:$A$764,IFERROR('Controllable Asset Registry'!$E$4:$E$764=A753,FALSE),"No Equipment in entity"))</f>
        <v>No Equipment in entity</v>
      </c>
    </row>
    <row r="754" spans="1:4" x14ac:dyDescent="0.3">
      <c r="A754" t="s">
        <v>6313</v>
      </c>
      <c r="B754" t="s">
        <v>6314</v>
      </c>
      <c r="C754" t="s">
        <v>4669</v>
      </c>
      <c r="D754" t="str" cm="1">
        <f t="array" ref="D754">TRANSPOSE(_xlfn._xlws.FILTER('Controllable Asset Registry'!$A$4:$A$764,IFERROR('Controllable Asset Registry'!$E$4:$E$764=A754,FALSE),"No Equipment in entity"))</f>
        <v>No Equipment in entity</v>
      </c>
    </row>
    <row r="755" spans="1:4" x14ac:dyDescent="0.3">
      <c r="A755" t="s">
        <v>6315</v>
      </c>
      <c r="B755" t="s">
        <v>6316</v>
      </c>
      <c r="C755" t="s">
        <v>4808</v>
      </c>
      <c r="D755" t="str" cm="1">
        <f t="array" ref="D755">TRANSPOSE(_xlfn._xlws.FILTER('Controllable Asset Registry'!$A$4:$A$764,IFERROR('Controllable Asset Registry'!$E$4:$E$764=A755,FALSE),"No Equipment in entity"))</f>
        <v>No Equipment in entity</v>
      </c>
    </row>
    <row r="756" spans="1:4" x14ac:dyDescent="0.3">
      <c r="A756" t="s">
        <v>6317</v>
      </c>
      <c r="B756" t="s">
        <v>6318</v>
      </c>
      <c r="C756" t="s">
        <v>4674</v>
      </c>
      <c r="D756" t="str" cm="1">
        <f t="array" ref="D756">TRANSPOSE(_xlfn._xlws.FILTER('Controllable Asset Registry'!$A$4:$A$764,IFERROR('Controllable Asset Registry'!$E$4:$E$764=A756,FALSE),"No Equipment in entity"))</f>
        <v>No Equipment in entity</v>
      </c>
    </row>
    <row r="757" spans="1:4" x14ac:dyDescent="0.3">
      <c r="A757" t="s">
        <v>6319</v>
      </c>
      <c r="B757" t="s">
        <v>6320</v>
      </c>
      <c r="C757" t="s">
        <v>4676</v>
      </c>
      <c r="D757" t="str" cm="1">
        <f t="array" ref="D757">TRANSPOSE(_xlfn._xlws.FILTER('Controllable Asset Registry'!$A$4:$A$764,IFERROR('Controllable Asset Registry'!$E$4:$E$764=A757,FALSE),"No Equipment in entity"))</f>
        <v>No Equipment in entity</v>
      </c>
    </row>
    <row r="758" spans="1:4" x14ac:dyDescent="0.3">
      <c r="A758" t="s">
        <v>6321</v>
      </c>
      <c r="B758" t="s">
        <v>6322</v>
      </c>
      <c r="C758" t="s">
        <v>4815</v>
      </c>
      <c r="D758" t="str" cm="1">
        <f t="array" ref="D758">TRANSPOSE(_xlfn._xlws.FILTER('Controllable Asset Registry'!$A$4:$A$764,IFERROR('Controllable Asset Registry'!$E$4:$E$764=A758,FALSE),"No Equipment in entity"))</f>
        <v>No Equipment in entity</v>
      </c>
    </row>
    <row r="759" spans="1:4" x14ac:dyDescent="0.3">
      <c r="A759" t="s">
        <v>6323</v>
      </c>
      <c r="B759" t="s">
        <v>6324</v>
      </c>
      <c r="C759" t="s">
        <v>4679</v>
      </c>
      <c r="D759" t="str" cm="1">
        <f t="array" ref="D759">TRANSPOSE(_xlfn._xlws.FILTER('Controllable Asset Registry'!$A$4:$A$764,IFERROR('Controllable Asset Registry'!$E$4:$E$764=A759,FALSE),"No Equipment in entity"))</f>
        <v>No Equipment in entity</v>
      </c>
    </row>
    <row r="760" spans="1:4" x14ac:dyDescent="0.3">
      <c r="A760" t="s">
        <v>4430</v>
      </c>
      <c r="B760" t="s">
        <v>5901</v>
      </c>
      <c r="C760" t="s">
        <v>5145</v>
      </c>
      <c r="D760" t="str" cm="1">
        <f t="array" ref="D760">TRANSPOSE(_xlfn._xlws.FILTER('Controllable Asset Registry'!$A$4:$A$764,IFERROR('Controllable Asset Registry'!$E$4:$E$764=A760,FALSE),"No Equipment in entity"))</f>
        <v>VAV0479</v>
      </c>
    </row>
    <row r="761" spans="1:4" x14ac:dyDescent="0.3">
      <c r="A761" t="s">
        <v>4431</v>
      </c>
      <c r="B761" t="s">
        <v>5902</v>
      </c>
      <c r="C761" t="s">
        <v>5146</v>
      </c>
      <c r="D761" t="str" cm="1">
        <f t="array" ref="D761">TRANSPOSE(_xlfn._xlws.FILTER('Controllable Asset Registry'!$A$4:$A$764,IFERROR('Controllable Asset Registry'!$E$4:$E$764=A761,FALSE),"No Equipment in entity"))</f>
        <v>VAV0480</v>
      </c>
    </row>
    <row r="762" spans="1:4" x14ac:dyDescent="0.3">
      <c r="A762" t="s">
        <v>4432</v>
      </c>
      <c r="B762" t="s">
        <v>5903</v>
      </c>
      <c r="C762" t="s">
        <v>5147</v>
      </c>
      <c r="D762" t="str" cm="1">
        <f t="array" ref="D762">TRANSPOSE(_xlfn._xlws.FILTER('Controllable Asset Registry'!$A$4:$A$764,IFERROR('Controllable Asset Registry'!$E$4:$E$764=A762,FALSE),"No Equipment in entity"))</f>
        <v>VAV0481</v>
      </c>
    </row>
    <row r="763" spans="1:4" x14ac:dyDescent="0.3">
      <c r="A763" t="s">
        <v>4433</v>
      </c>
      <c r="B763" t="s">
        <v>5904</v>
      </c>
      <c r="C763" t="s">
        <v>5147</v>
      </c>
      <c r="D763" t="str" cm="1">
        <f t="array" ref="D763">TRANSPOSE(_xlfn._xlws.FILTER('Controllable Asset Registry'!$A$4:$A$764,IFERROR('Controllable Asset Registry'!$E$4:$E$764=A763,FALSE),"No Equipment in entity"))</f>
        <v>VAV0482</v>
      </c>
    </row>
    <row r="764" spans="1:4" x14ac:dyDescent="0.3">
      <c r="A764" t="s">
        <v>4434</v>
      </c>
      <c r="B764" t="s">
        <v>5905</v>
      </c>
      <c r="C764" t="s">
        <v>5147</v>
      </c>
      <c r="D764" t="str" cm="1">
        <f t="array" ref="D764">TRANSPOSE(_xlfn._xlws.FILTER('Controllable Asset Registry'!$A$4:$A$764,IFERROR('Controllable Asset Registry'!$E$4:$E$764=A764,FALSE),"No Equipment in entity"))</f>
        <v>VAV0483</v>
      </c>
    </row>
    <row r="765" spans="1:4" x14ac:dyDescent="0.3">
      <c r="A765" t="s">
        <v>4435</v>
      </c>
      <c r="B765" t="s">
        <v>5906</v>
      </c>
      <c r="C765" t="s">
        <v>5147</v>
      </c>
      <c r="D765" t="str" cm="1">
        <f t="array" ref="D765">TRANSPOSE(_xlfn._xlws.FILTER('Controllable Asset Registry'!$A$4:$A$764,IFERROR('Controllable Asset Registry'!$E$4:$E$764=A765,FALSE),"No Equipment in entity"))</f>
        <v>VAV0484</v>
      </c>
    </row>
    <row r="766" spans="1:4" x14ac:dyDescent="0.3">
      <c r="A766" t="s">
        <v>4436</v>
      </c>
      <c r="B766" t="s">
        <v>5907</v>
      </c>
      <c r="C766" t="s">
        <v>5147</v>
      </c>
      <c r="D766" t="str" cm="1">
        <f t="array" ref="D766">TRANSPOSE(_xlfn._xlws.FILTER('Controllable Asset Registry'!$A$4:$A$764,IFERROR('Controllable Asset Registry'!$E$4:$E$764=A766,FALSE),"No Equipment in entity"))</f>
        <v>VAV0485</v>
      </c>
    </row>
    <row r="767" spans="1:4" x14ac:dyDescent="0.3">
      <c r="A767" t="s">
        <v>4437</v>
      </c>
      <c r="B767" t="s">
        <v>5908</v>
      </c>
      <c r="C767" t="s">
        <v>5148</v>
      </c>
      <c r="D767" t="str" cm="1">
        <f t="array" ref="D767">TRANSPOSE(_xlfn._xlws.FILTER('Controllable Asset Registry'!$A$4:$A$764,IFERROR('Controllable Asset Registry'!$E$4:$E$764=A767,FALSE),"No Equipment in entity"))</f>
        <v>VAV0486</v>
      </c>
    </row>
    <row r="768" spans="1:4" x14ac:dyDescent="0.3">
      <c r="A768" t="s">
        <v>4438</v>
      </c>
      <c r="B768" t="s">
        <v>5909</v>
      </c>
      <c r="C768" t="s">
        <v>5148</v>
      </c>
      <c r="D768" t="str" cm="1">
        <f t="array" ref="D768">TRANSPOSE(_xlfn._xlws.FILTER('Controllable Asset Registry'!$A$4:$A$764,IFERROR('Controllable Asset Registry'!$E$4:$E$764=A768,FALSE),"No Equipment in entity"))</f>
        <v>VAV0487</v>
      </c>
    </row>
    <row r="769" spans="1:5" x14ac:dyDescent="0.3">
      <c r="A769" t="s">
        <v>4439</v>
      </c>
      <c r="B769" t="s">
        <v>5910</v>
      </c>
      <c r="C769" t="s">
        <v>5149</v>
      </c>
      <c r="D769" t="str" cm="1">
        <f t="array" ref="D769">TRANSPOSE(_xlfn._xlws.FILTER('Controllable Asset Registry'!$A$4:$A$764,IFERROR('Controllable Asset Registry'!$E$4:$E$764=A769,FALSE),"No Equipment in entity"))</f>
        <v>VAV0488</v>
      </c>
    </row>
    <row r="770" spans="1:5" x14ac:dyDescent="0.3">
      <c r="A770" t="s">
        <v>4398</v>
      </c>
      <c r="B770" t="s">
        <v>5911</v>
      </c>
      <c r="C770" t="s">
        <v>5150</v>
      </c>
      <c r="D770" t="str" cm="1">
        <f t="array" ref="D770">TRANSPOSE(_xlfn._xlws.FILTER('Controllable Asset Registry'!$A$4:$A$764,IFERROR('Controllable Asset Registry'!$E$4:$E$764=A770,FALSE),"No Equipment in entity"))</f>
        <v>VAV0444</v>
      </c>
    </row>
    <row r="771" spans="1:5" x14ac:dyDescent="0.3">
      <c r="A771" t="s">
        <v>4399</v>
      </c>
      <c r="B771" t="s">
        <v>5912</v>
      </c>
      <c r="C771" t="s">
        <v>5150</v>
      </c>
      <c r="D771" t="str" cm="1">
        <f t="array" ref="D771">TRANSPOSE(_xlfn._xlws.FILTER('Controllable Asset Registry'!$A$4:$A$764,IFERROR('Controllable Asset Registry'!$E$4:$E$764=A771,FALSE),"No Equipment in entity"))</f>
        <v>VAV0445</v>
      </c>
    </row>
    <row r="772" spans="1:5" x14ac:dyDescent="0.3">
      <c r="A772" t="s">
        <v>4400</v>
      </c>
      <c r="B772" t="s">
        <v>5913</v>
      </c>
      <c r="C772" t="s">
        <v>5150</v>
      </c>
      <c r="D772" t="str" cm="1">
        <f t="array" ref="D772">TRANSPOSE(_xlfn._xlws.FILTER('Controllable Asset Registry'!$A$4:$A$764,IFERROR('Controllable Asset Registry'!$E$4:$E$764=A772,FALSE),"No Equipment in entity"))</f>
        <v>VAV0446</v>
      </c>
    </row>
    <row r="773" spans="1:5" x14ac:dyDescent="0.3">
      <c r="A773" t="s">
        <v>4401</v>
      </c>
      <c r="B773" t="s">
        <v>5914</v>
      </c>
      <c r="C773" t="s">
        <v>5150</v>
      </c>
      <c r="D773" t="str" cm="1">
        <f t="array" ref="D773">TRANSPOSE(_xlfn._xlws.FILTER('Controllable Asset Registry'!$A$4:$A$764,IFERROR('Controllable Asset Registry'!$E$4:$E$764=A773,FALSE),"No Equipment in entity"))</f>
        <v>VAV0447</v>
      </c>
    </row>
    <row r="774" spans="1:5" x14ac:dyDescent="0.3">
      <c r="A774" t="s">
        <v>4402</v>
      </c>
      <c r="B774" t="s">
        <v>5915</v>
      </c>
      <c r="C774" t="s">
        <v>5150</v>
      </c>
      <c r="D774" t="str" cm="1">
        <f t="array" ref="D774">TRANSPOSE(_xlfn._xlws.FILTER('Controllable Asset Registry'!$A$4:$A$764,IFERROR('Controllable Asset Registry'!$E$4:$E$764=A774,FALSE),"No Equipment in entity"))</f>
        <v>VAV0448</v>
      </c>
    </row>
    <row r="775" spans="1:5" x14ac:dyDescent="0.3">
      <c r="A775" t="s">
        <v>4403</v>
      </c>
      <c r="B775" t="s">
        <v>5916</v>
      </c>
      <c r="C775" t="s">
        <v>5150</v>
      </c>
      <c r="D775" t="str" cm="1">
        <f t="array" ref="D775">TRANSPOSE(_xlfn._xlws.FILTER('Controllable Asset Registry'!$A$4:$A$764,IFERROR('Controllable Asset Registry'!$E$4:$E$764=A775,FALSE),"No Equipment in entity"))</f>
        <v>VAV0449</v>
      </c>
    </row>
    <row r="776" spans="1:5" x14ac:dyDescent="0.3">
      <c r="A776" t="s">
        <v>4404</v>
      </c>
      <c r="B776" t="s">
        <v>5917</v>
      </c>
      <c r="C776" t="s">
        <v>5150</v>
      </c>
      <c r="D776" t="str" cm="1">
        <f t="array" ref="D776">TRANSPOSE(_xlfn._xlws.FILTER('Controllable Asset Registry'!$A$4:$A$764,IFERROR('Controllable Asset Registry'!$E$4:$E$764=A776,FALSE),"No Equipment in entity"))</f>
        <v>VAV0450</v>
      </c>
    </row>
    <row r="777" spans="1:5" x14ac:dyDescent="0.3">
      <c r="A777" t="s">
        <v>4405</v>
      </c>
      <c r="B777" t="s">
        <v>5918</v>
      </c>
      <c r="C777" t="s">
        <v>5151</v>
      </c>
      <c r="D777" t="str" cm="1">
        <f t="array" ref="D777">TRANSPOSE(_xlfn._xlws.FILTER('Controllable Asset Registry'!$A$4:$A$764,IFERROR('Controllable Asset Registry'!$E$4:$E$764=A777,FALSE),"No Equipment in entity"))</f>
        <v>VAV0451</v>
      </c>
    </row>
    <row r="778" spans="1:5" x14ac:dyDescent="0.3">
      <c r="A778" t="s">
        <v>4406</v>
      </c>
      <c r="B778" t="s">
        <v>5919</v>
      </c>
      <c r="C778" t="s">
        <v>5151</v>
      </c>
      <c r="D778" t="str" cm="1">
        <f t="array" ref="D778">TRANSPOSE(_xlfn._xlws.FILTER('Controllable Asset Registry'!$A$4:$A$764,IFERROR('Controllable Asset Registry'!$E$4:$E$764=A778,FALSE),"No Equipment in entity"))</f>
        <v>VAV0452</v>
      </c>
    </row>
    <row r="779" spans="1:5" x14ac:dyDescent="0.3">
      <c r="A779" t="s">
        <v>4407</v>
      </c>
      <c r="B779" t="s">
        <v>5920</v>
      </c>
      <c r="C779" t="s">
        <v>5151</v>
      </c>
      <c r="D779" t="str" cm="1">
        <f t="array" ref="D779">TRANSPOSE(_xlfn._xlws.FILTER('Controllable Asset Registry'!$A$4:$A$764,IFERROR('Controllable Asset Registry'!$E$4:$E$764=A779,FALSE),"No Equipment in entity"))</f>
        <v>VAV0453</v>
      </c>
    </row>
    <row r="780" spans="1:5" x14ac:dyDescent="0.3">
      <c r="A780" t="s">
        <v>4408</v>
      </c>
      <c r="B780" t="s">
        <v>5921</v>
      </c>
      <c r="C780" t="s">
        <v>5152</v>
      </c>
      <c r="D780" t="str" cm="1">
        <f t="array" ref="D780">TRANSPOSE(_xlfn._xlws.FILTER('Controllable Asset Registry'!$A$4:$A$764,IFERROR('Controllable Asset Registry'!$E$4:$E$764=A780,FALSE),"No Equipment in entity"))</f>
        <v>VAV0454</v>
      </c>
    </row>
    <row r="781" spans="1:5" x14ac:dyDescent="0.3">
      <c r="A781" t="s">
        <v>4409</v>
      </c>
      <c r="B781" t="s">
        <v>5922</v>
      </c>
      <c r="C781" t="s">
        <v>5150</v>
      </c>
      <c r="D781" t="str" cm="1">
        <f t="array" ref="D781">TRANSPOSE(_xlfn._xlws.FILTER('Controllable Asset Registry'!$A$4:$A$764,IFERROR('Controllable Asset Registry'!$E$4:$E$764=A781,FALSE),"No Equipment in entity"))</f>
        <v>VAV0455</v>
      </c>
    </row>
    <row r="782" spans="1:5" x14ac:dyDescent="0.3">
      <c r="A782" t="s">
        <v>4410</v>
      </c>
      <c r="B782" t="s">
        <v>5923</v>
      </c>
      <c r="C782" t="s">
        <v>5151</v>
      </c>
      <c r="D782" t="str" cm="1">
        <f t="array" ref="D782">TRANSPOSE(_xlfn._xlws.FILTER('Controllable Asset Registry'!$A$4:$A$764,IFERROR('Controllable Asset Registry'!$E$4:$E$764=A782,FALSE),"No Equipment in entity"))</f>
        <v>VAV0456</v>
      </c>
    </row>
    <row r="783" spans="1:5" x14ac:dyDescent="0.3">
      <c r="A783" t="s">
        <v>4411</v>
      </c>
      <c r="B783" t="s">
        <v>5924</v>
      </c>
      <c r="C783" t="s">
        <v>5151</v>
      </c>
      <c r="D783" t="str" cm="1">
        <f t="array" ref="D783">TRANSPOSE(_xlfn._xlws.FILTER('Controllable Asset Registry'!$A$4:$A$764,IFERROR('Controllable Asset Registry'!$E$4:$E$764=A783,FALSE),"No Equipment in entity"))</f>
        <v>VAV0457</v>
      </c>
    </row>
    <row r="784" spans="1:5" x14ac:dyDescent="0.3">
      <c r="A784" t="s">
        <v>4412</v>
      </c>
      <c r="B784" t="s">
        <v>5925</v>
      </c>
      <c r="C784" t="s">
        <v>5151</v>
      </c>
      <c r="D784" t="str" cm="1">
        <f t="array" ref="D784:E784">TRANSPOSE(_xlfn._xlws.FILTER('Controllable Asset Registry'!$A$4:$A$764,IFERROR('Controllable Asset Registry'!$E$4:$E$764=A784,FALSE),"No Equipment in entity"))</f>
        <v>VAV0458</v>
      </c>
      <c r="E784" t="str">
        <v>VAV0459</v>
      </c>
    </row>
    <row r="785" spans="1:4" x14ac:dyDescent="0.3">
      <c r="A785" t="s">
        <v>4413</v>
      </c>
      <c r="B785" t="s">
        <v>5926</v>
      </c>
      <c r="C785" t="s">
        <v>5153</v>
      </c>
      <c r="D785" t="str" cm="1">
        <f t="array" ref="D785">TRANSPOSE(_xlfn._xlws.FILTER('Controllable Asset Registry'!$A$4:$A$764,IFERROR('Controllable Asset Registry'!$E$4:$E$764=A785,FALSE),"No Equipment in entity"))</f>
        <v>VAV0460</v>
      </c>
    </row>
    <row r="786" spans="1:4" x14ac:dyDescent="0.3">
      <c r="A786" t="s">
        <v>4414</v>
      </c>
      <c r="B786" t="s">
        <v>5927</v>
      </c>
      <c r="C786" t="s">
        <v>5153</v>
      </c>
      <c r="D786" t="str" cm="1">
        <f t="array" ref="D786">TRANSPOSE(_xlfn._xlws.FILTER('Controllable Asset Registry'!$A$4:$A$764,IFERROR('Controllable Asset Registry'!$E$4:$E$764=A786,FALSE),"No Equipment in entity"))</f>
        <v>VAV0461</v>
      </c>
    </row>
    <row r="787" spans="1:4" x14ac:dyDescent="0.3">
      <c r="A787" t="s">
        <v>4415</v>
      </c>
      <c r="B787" t="s">
        <v>5928</v>
      </c>
      <c r="C787" t="s">
        <v>5153</v>
      </c>
      <c r="D787" t="str" cm="1">
        <f t="array" ref="D787">TRANSPOSE(_xlfn._xlws.FILTER('Controllable Asset Registry'!$A$4:$A$764,IFERROR('Controllable Asset Registry'!$E$4:$E$764=A787,FALSE),"No Equipment in entity"))</f>
        <v>VAV0462</v>
      </c>
    </row>
    <row r="788" spans="1:4" x14ac:dyDescent="0.3">
      <c r="A788" t="s">
        <v>4416</v>
      </c>
      <c r="B788" t="s">
        <v>5929</v>
      </c>
      <c r="C788" t="s">
        <v>5153</v>
      </c>
      <c r="D788" t="str" cm="1">
        <f t="array" ref="D788">TRANSPOSE(_xlfn._xlws.FILTER('Controllable Asset Registry'!$A$4:$A$764,IFERROR('Controllable Asset Registry'!$E$4:$E$764=A788,FALSE),"No Equipment in entity"))</f>
        <v>VAV0463</v>
      </c>
    </row>
    <row r="789" spans="1:4" x14ac:dyDescent="0.3">
      <c r="A789" t="s">
        <v>4417</v>
      </c>
      <c r="B789" t="s">
        <v>5930</v>
      </c>
      <c r="C789" t="s">
        <v>5153</v>
      </c>
      <c r="D789" t="str" cm="1">
        <f t="array" ref="D789">TRANSPOSE(_xlfn._xlws.FILTER('Controllable Asset Registry'!$A$4:$A$764,IFERROR('Controllable Asset Registry'!$E$4:$E$764=A789,FALSE),"No Equipment in entity"))</f>
        <v>VAV0464</v>
      </c>
    </row>
    <row r="790" spans="1:4" x14ac:dyDescent="0.3">
      <c r="A790" t="s">
        <v>4418</v>
      </c>
      <c r="B790" t="s">
        <v>5931</v>
      </c>
      <c r="C790" t="s">
        <v>5154</v>
      </c>
      <c r="D790" t="str" cm="1">
        <f t="array" ref="D790">TRANSPOSE(_xlfn._xlws.FILTER('Controllable Asset Registry'!$A$4:$A$764,IFERROR('Controllable Asset Registry'!$E$4:$E$764=A790,FALSE),"No Equipment in entity"))</f>
        <v>VAV0465</v>
      </c>
    </row>
    <row r="791" spans="1:4" x14ac:dyDescent="0.3">
      <c r="A791" t="s">
        <v>4419</v>
      </c>
      <c r="B791" t="s">
        <v>5932</v>
      </c>
      <c r="C791" t="s">
        <v>5155</v>
      </c>
      <c r="D791" t="str" cm="1">
        <f t="array" ref="D791">TRANSPOSE(_xlfn._xlws.FILTER('Controllable Asset Registry'!$A$4:$A$764,IFERROR('Controllable Asset Registry'!$E$4:$E$764=A791,FALSE),"No Equipment in entity"))</f>
        <v>VAV0466</v>
      </c>
    </row>
    <row r="792" spans="1:4" x14ac:dyDescent="0.3">
      <c r="A792" t="s">
        <v>4420</v>
      </c>
      <c r="B792" t="s">
        <v>5933</v>
      </c>
      <c r="C792" t="s">
        <v>5156</v>
      </c>
      <c r="D792" t="str" cm="1">
        <f t="array" ref="D792">TRANSPOSE(_xlfn._xlws.FILTER('Controllable Asset Registry'!$A$4:$A$764,IFERROR('Controllable Asset Registry'!$E$4:$E$764=A792,FALSE),"No Equipment in entity"))</f>
        <v>VAV0467</v>
      </c>
    </row>
    <row r="793" spans="1:4" x14ac:dyDescent="0.3">
      <c r="A793" t="s">
        <v>4421</v>
      </c>
      <c r="B793" t="s">
        <v>5934</v>
      </c>
      <c r="C793" t="s">
        <v>5156</v>
      </c>
      <c r="D793" t="str" cm="1">
        <f t="array" ref="D793">TRANSPOSE(_xlfn._xlws.FILTER('Controllable Asset Registry'!$A$4:$A$764,IFERROR('Controllable Asset Registry'!$E$4:$E$764=A793,FALSE),"No Equipment in entity"))</f>
        <v>VAV0468</v>
      </c>
    </row>
    <row r="794" spans="1:4" x14ac:dyDescent="0.3">
      <c r="A794" t="s">
        <v>4422</v>
      </c>
      <c r="B794" t="s">
        <v>5935</v>
      </c>
      <c r="C794" t="s">
        <v>5156</v>
      </c>
      <c r="D794" t="str" cm="1">
        <f t="array" ref="D794">TRANSPOSE(_xlfn._xlws.FILTER('Controllable Asset Registry'!$A$4:$A$764,IFERROR('Controllable Asset Registry'!$E$4:$E$764=A794,FALSE),"No Equipment in entity"))</f>
        <v>VAV0469</v>
      </c>
    </row>
    <row r="795" spans="1:4" x14ac:dyDescent="0.3">
      <c r="A795" t="s">
        <v>4423</v>
      </c>
      <c r="B795" t="s">
        <v>5936</v>
      </c>
      <c r="C795" t="s">
        <v>5157</v>
      </c>
      <c r="D795" t="str" cm="1">
        <f t="array" ref="D795">TRANSPOSE(_xlfn._xlws.FILTER('Controllable Asset Registry'!$A$4:$A$764,IFERROR('Controllable Asset Registry'!$E$4:$E$764=A795,FALSE),"No Equipment in entity"))</f>
        <v>VAV0470</v>
      </c>
    </row>
    <row r="796" spans="1:4" x14ac:dyDescent="0.3">
      <c r="A796" t="s">
        <v>4424</v>
      </c>
      <c r="B796" t="s">
        <v>5937</v>
      </c>
      <c r="C796" t="s">
        <v>5158</v>
      </c>
      <c r="D796" t="str" cm="1">
        <f t="array" ref="D796">TRANSPOSE(_xlfn._xlws.FILTER('Controllable Asset Registry'!$A$4:$A$764,IFERROR('Controllable Asset Registry'!$E$4:$E$764=A796,FALSE),"No Equipment in entity"))</f>
        <v>VAV0471</v>
      </c>
    </row>
    <row r="797" spans="1:4" x14ac:dyDescent="0.3">
      <c r="A797" t="s">
        <v>4425</v>
      </c>
      <c r="B797" t="s">
        <v>5938</v>
      </c>
      <c r="C797" t="s">
        <v>5157</v>
      </c>
      <c r="D797" t="str" cm="1">
        <f t="array" ref="D797">TRANSPOSE(_xlfn._xlws.FILTER('Controllable Asset Registry'!$A$4:$A$764,IFERROR('Controllable Asset Registry'!$E$4:$E$764=A797,FALSE),"No Equipment in entity"))</f>
        <v>VAV0472</v>
      </c>
    </row>
    <row r="798" spans="1:4" x14ac:dyDescent="0.3">
      <c r="A798" t="s">
        <v>4427</v>
      </c>
      <c r="B798" t="s">
        <v>5939</v>
      </c>
      <c r="C798" t="s">
        <v>4941</v>
      </c>
      <c r="D798" t="str" cm="1">
        <f t="array" ref="D798">TRANSPOSE(_xlfn._xlws.FILTER('Controllable Asset Registry'!$A$4:$A$764,IFERROR('Controllable Asset Registry'!$E$4:$E$764=A798,FALSE),"No Equipment in entity"))</f>
        <v>VAV0475</v>
      </c>
    </row>
    <row r="799" spans="1:4" x14ac:dyDescent="0.3">
      <c r="A799" t="s">
        <v>4428</v>
      </c>
      <c r="B799" t="s">
        <v>5940</v>
      </c>
      <c r="C799" t="s">
        <v>5159</v>
      </c>
      <c r="D799" t="str" cm="1">
        <f t="array" ref="D799">TRANSPOSE(_xlfn._xlws.FILTER('Controllable Asset Registry'!$A$4:$A$764,IFERROR('Controllable Asset Registry'!$E$4:$E$764=A799,FALSE),"No Equipment in entity"))</f>
        <v>VAV0476</v>
      </c>
    </row>
    <row r="800" spans="1:4" x14ac:dyDescent="0.3">
      <c r="A800" t="s">
        <v>4429</v>
      </c>
      <c r="B800" t="s">
        <v>5941</v>
      </c>
      <c r="C800" t="s">
        <v>5160</v>
      </c>
      <c r="D800" t="str" cm="1">
        <f t="array" ref="D800">TRANSPOSE(_xlfn._xlws.FILTER('Controllable Asset Registry'!$A$4:$A$764,IFERROR('Controllable Asset Registry'!$E$4:$E$764=A800,FALSE),"No Equipment in entity"))</f>
        <v>VAV0477</v>
      </c>
    </row>
    <row r="801" spans="1:7" x14ac:dyDescent="0.3">
      <c r="A801" t="s">
        <v>4039</v>
      </c>
      <c r="B801" t="s">
        <v>5942</v>
      </c>
      <c r="C801" t="s">
        <v>5161</v>
      </c>
      <c r="D801" t="str" cm="1">
        <f t="array" ref="D801">TRANSPOSE(_xlfn._xlws.FILTER('Controllable Asset Registry'!$A$4:$A$764,IFERROR('Controllable Asset Registry'!$E$4:$E$764=A801,FALSE),"No Equipment in entity"))</f>
        <v>FCU0132</v>
      </c>
    </row>
    <row r="802" spans="1:7" x14ac:dyDescent="0.3">
      <c r="A802" t="s">
        <v>5162</v>
      </c>
      <c r="B802" t="s">
        <v>5943</v>
      </c>
      <c r="C802" t="s">
        <v>5163</v>
      </c>
      <c r="D802" t="str" cm="1">
        <f t="array" ref="D802">TRANSPOSE(_xlfn._xlws.FILTER('Controllable Asset Registry'!$A$4:$A$764,IFERROR('Controllable Asset Registry'!$E$4:$E$764=A802,FALSE),"No Equipment in entity"))</f>
        <v>No Equipment in entity</v>
      </c>
    </row>
    <row r="803" spans="1:7" x14ac:dyDescent="0.3">
      <c r="A803" t="s">
        <v>5164</v>
      </c>
      <c r="B803" t="s">
        <v>5944</v>
      </c>
      <c r="C803" t="s">
        <v>5165</v>
      </c>
      <c r="D803" t="str" cm="1">
        <f t="array" ref="D803">TRANSPOSE(_xlfn._xlws.FILTER('Controllable Asset Registry'!$A$4:$A$764,IFERROR('Controllable Asset Registry'!$E$4:$E$764=A803,FALSE),"No Equipment in entity"))</f>
        <v>No Equipment in entity</v>
      </c>
    </row>
    <row r="804" spans="1:7" x14ac:dyDescent="0.3">
      <c r="A804" t="s">
        <v>4441</v>
      </c>
      <c r="B804" t="s">
        <v>5945</v>
      </c>
      <c r="C804" t="s">
        <v>5166</v>
      </c>
      <c r="D804" t="str" cm="1">
        <f t="array" ref="D804">TRANSPOSE(_xlfn._xlws.FILTER('Controllable Asset Registry'!$A$4:$A$764,IFERROR('Controllable Asset Registry'!$E$4:$E$764=A804,FALSE),"No Equipment in entity"))</f>
        <v>VAV0490</v>
      </c>
    </row>
    <row r="805" spans="1:7" x14ac:dyDescent="0.3">
      <c r="A805" t="s">
        <v>4440</v>
      </c>
      <c r="B805" t="s">
        <v>5946</v>
      </c>
      <c r="C805" t="s">
        <v>3892</v>
      </c>
      <c r="D805" t="str" cm="1">
        <f t="array" ref="D805">TRANSPOSE(_xlfn._xlws.FILTER('Controllable Asset Registry'!$A$4:$A$764,IFERROR('Controllable Asset Registry'!$E$4:$E$764=A805,FALSE),"No Equipment in entity"))</f>
        <v>VAV0489</v>
      </c>
    </row>
    <row r="806" spans="1:7" x14ac:dyDescent="0.3">
      <c r="A806" t="s">
        <v>5167</v>
      </c>
      <c r="B806" t="s">
        <v>5947</v>
      </c>
      <c r="C806" t="s">
        <v>3752</v>
      </c>
      <c r="D806" t="str" cm="1">
        <f t="array" ref="D806">TRANSPOSE(_xlfn._xlws.FILTER('Controllable Asset Registry'!$A$4:$A$764,IFERROR('Controllable Asset Registry'!$E$4:$E$764=A806,FALSE),"No Equipment in entity"))</f>
        <v>No Equipment in entity</v>
      </c>
    </row>
    <row r="807" spans="1:7" x14ac:dyDescent="0.3">
      <c r="A807" t="s">
        <v>5168</v>
      </c>
      <c r="B807" t="s">
        <v>5948</v>
      </c>
      <c r="C807" t="s">
        <v>4865</v>
      </c>
      <c r="D807" t="str" cm="1">
        <f t="array" ref="D807">TRANSPOSE(_xlfn._xlws.FILTER('Controllable Asset Registry'!$A$4:$A$764,IFERROR('Controllable Asset Registry'!$E$4:$E$764=A807,FALSE),"No Equipment in entity"))</f>
        <v>No Equipment in entity</v>
      </c>
    </row>
    <row r="808" spans="1:7" x14ac:dyDescent="0.3">
      <c r="A808" t="s">
        <v>4444</v>
      </c>
      <c r="B808" t="s">
        <v>5949</v>
      </c>
      <c r="C808" t="s">
        <v>5169</v>
      </c>
      <c r="D808" t="str" cm="1">
        <f t="array" ref="D808">TRANSPOSE(_xlfn._xlws.FILTER('Controllable Asset Registry'!$A$4:$A$764,IFERROR('Controllable Asset Registry'!$E$4:$E$764=A808,FALSE),"No Equipment in entity"))</f>
        <v>VAV0496</v>
      </c>
    </row>
    <row r="809" spans="1:7" x14ac:dyDescent="0.3">
      <c r="A809" t="s">
        <v>3950</v>
      </c>
      <c r="B809" t="s">
        <v>5950</v>
      </c>
      <c r="C809" t="s">
        <v>5170</v>
      </c>
      <c r="D809" t="str" cm="1">
        <f t="array" ref="D809">TRANSPOSE(_xlfn._xlws.FILTER('Controllable Asset Registry'!$A$4:$A$764,IFERROR('Controllable Asset Registry'!$E$4:$E$764=A809,FALSE),"No Equipment in entity"))</f>
        <v>AHU9_0003</v>
      </c>
    </row>
    <row r="810" spans="1:7" x14ac:dyDescent="0.3">
      <c r="A810" t="s">
        <v>4443</v>
      </c>
      <c r="B810" t="s">
        <v>5951</v>
      </c>
      <c r="C810" t="s">
        <v>5171</v>
      </c>
      <c r="D810" t="str" cm="1">
        <f t="array" ref="D810:G810">TRANSPOSE(_xlfn._xlws.FILTER('Controllable Asset Registry'!$A$4:$A$764,IFERROR('Controllable Asset Registry'!$E$4:$E$764=A810,FALSE),"No Equipment in entity"))</f>
        <v>VAV0493</v>
      </c>
      <c r="E810" t="str">
        <v>VAV0494</v>
      </c>
      <c r="F810" t="str">
        <v>VAV0495</v>
      </c>
      <c r="G810" t="str">
        <v>VAV0497</v>
      </c>
    </row>
    <row r="811" spans="1:7" x14ac:dyDescent="0.3">
      <c r="A811" t="s">
        <v>3949</v>
      </c>
      <c r="B811" t="s">
        <v>5952</v>
      </c>
      <c r="C811" t="s">
        <v>5041</v>
      </c>
      <c r="D811" t="str" cm="1">
        <f t="array" ref="D811:E811">TRANSPOSE(_xlfn._xlws.FILTER('Controllable Asset Registry'!$A$4:$A$764,IFERROR('Controllable Asset Registry'!$E$4:$E$764=A811,FALSE),"No Equipment in entity"))</f>
        <v>AHU9_0001</v>
      </c>
      <c r="E811" t="str">
        <v>AHU9_0002</v>
      </c>
    </row>
    <row r="812" spans="1:7" x14ac:dyDescent="0.3">
      <c r="A812" t="s">
        <v>5172</v>
      </c>
      <c r="B812" t="s">
        <v>5953</v>
      </c>
      <c r="C812" t="s">
        <v>3752</v>
      </c>
      <c r="D812" t="str" cm="1">
        <f t="array" ref="D812">TRANSPOSE(_xlfn._xlws.FILTER('Controllable Asset Registry'!$A$4:$A$764,IFERROR('Controllable Asset Registry'!$E$4:$E$764=A812,FALSE),"No Equipment in entity"))</f>
        <v>No Equipment in entity</v>
      </c>
    </row>
    <row r="813" spans="1:7" x14ac:dyDescent="0.3">
      <c r="A813" t="s">
        <v>5173</v>
      </c>
      <c r="B813" t="s">
        <v>5954</v>
      </c>
      <c r="C813" t="s">
        <v>5174</v>
      </c>
      <c r="D813" t="str" cm="1">
        <f t="array" ref="D813">TRANSPOSE(_xlfn._xlws.FILTER('Controllable Asset Registry'!$A$4:$A$764,IFERROR('Controllable Asset Registry'!$E$4:$E$764=A813,FALSE),"No Equipment in entity"))</f>
        <v>No Equipment in entity</v>
      </c>
    </row>
    <row r="814" spans="1:7" x14ac:dyDescent="0.3">
      <c r="A814" t="s">
        <v>5175</v>
      </c>
      <c r="B814" t="s">
        <v>5955</v>
      </c>
      <c r="C814" t="s">
        <v>4614</v>
      </c>
      <c r="D814" t="str" cm="1">
        <f t="array" ref="D814">TRANSPOSE(_xlfn._xlws.FILTER('Controllable Asset Registry'!$A$4:$A$764,IFERROR('Controllable Asset Registry'!$E$4:$E$764=A814,FALSE),"No Equipment in entity"))</f>
        <v>No Equipment in entity</v>
      </c>
    </row>
    <row r="815" spans="1:7" x14ac:dyDescent="0.3">
      <c r="A815" t="s">
        <v>5176</v>
      </c>
      <c r="B815" t="s">
        <v>5956</v>
      </c>
      <c r="C815" t="s">
        <v>4625</v>
      </c>
      <c r="D815" t="str" cm="1">
        <f t="array" ref="D815">TRANSPOSE(_xlfn._xlws.FILTER('Controllable Asset Registry'!$A$4:$A$764,IFERROR('Controllable Asset Registry'!$E$4:$E$764=A815,FALSE),"No Equipment in entity"))</f>
        <v>No Equipment in entity</v>
      </c>
    </row>
    <row r="816" spans="1:7" x14ac:dyDescent="0.3">
      <c r="A816" t="s">
        <v>5177</v>
      </c>
      <c r="B816" t="s">
        <v>5957</v>
      </c>
      <c r="C816" t="s">
        <v>4628</v>
      </c>
      <c r="D816" t="str" cm="1">
        <f t="array" ref="D816">TRANSPOSE(_xlfn._xlws.FILTER('Controllable Asset Registry'!$A$4:$A$764,IFERROR('Controllable Asset Registry'!$E$4:$E$764=A816,FALSE),"No Equipment in entity"))</f>
        <v>No Equipment in entity</v>
      </c>
    </row>
    <row r="817" spans="1:4" x14ac:dyDescent="0.3">
      <c r="A817" t="s">
        <v>4442</v>
      </c>
      <c r="B817" t="s">
        <v>5958</v>
      </c>
      <c r="C817" t="s">
        <v>4625</v>
      </c>
      <c r="D817" t="str" cm="1">
        <f t="array" ref="D817">TRANSPOSE(_xlfn._xlws.FILTER('Controllable Asset Registry'!$A$4:$A$764,IFERROR('Controllable Asset Registry'!$E$4:$E$764=A817,FALSE),"No Equipment in entity"))</f>
        <v>VAV0491</v>
      </c>
    </row>
    <row r="818" spans="1:4" x14ac:dyDescent="0.3">
      <c r="A818" t="s">
        <v>5178</v>
      </c>
      <c r="B818" t="s">
        <v>5959</v>
      </c>
      <c r="C818" t="s">
        <v>4628</v>
      </c>
      <c r="D818" t="str" cm="1">
        <f t="array" ref="D818">TRANSPOSE(_xlfn._xlws.FILTER('Controllable Asset Registry'!$A$4:$A$764,IFERROR('Controllable Asset Registry'!$E$4:$E$764=A818,FALSE),"No Equipment in entity"))</f>
        <v>No Equipment in entity</v>
      </c>
    </row>
    <row r="819" spans="1:4" x14ac:dyDescent="0.3">
      <c r="A819" t="s">
        <v>5179</v>
      </c>
      <c r="B819" t="s">
        <v>5960</v>
      </c>
      <c r="C819" t="s">
        <v>3761</v>
      </c>
      <c r="D819" t="str" cm="1">
        <f t="array" ref="D819">TRANSPOSE(_xlfn._xlws.FILTER('Controllable Asset Registry'!$A$4:$A$764,IFERROR('Controllable Asset Registry'!$E$4:$E$764=A819,FALSE),"No Equipment in entity"))</f>
        <v>No Equipment in entity</v>
      </c>
    </row>
    <row r="820" spans="1:4" x14ac:dyDescent="0.3">
      <c r="A820" t="s">
        <v>5180</v>
      </c>
      <c r="B820" t="s">
        <v>5961</v>
      </c>
      <c r="C820" t="s">
        <v>3761</v>
      </c>
      <c r="D820" t="str" cm="1">
        <f t="array" ref="D820">TRANSPOSE(_xlfn._xlws.FILTER('Controllable Asset Registry'!$A$4:$A$764,IFERROR('Controllable Asset Registry'!$E$4:$E$764=A820,FALSE),"No Equipment in entity"))</f>
        <v>No Equipment in entity</v>
      </c>
    </row>
    <row r="821" spans="1:4" x14ac:dyDescent="0.3">
      <c r="A821" t="s">
        <v>5181</v>
      </c>
      <c r="B821" t="s">
        <v>5962</v>
      </c>
      <c r="C821" t="s">
        <v>3761</v>
      </c>
      <c r="D821" t="str" cm="1">
        <f t="array" ref="D821">TRANSPOSE(_xlfn._xlws.FILTER('Controllable Asset Registry'!$A$4:$A$764,IFERROR('Controllable Asset Registry'!$E$4:$E$764=A821,FALSE),"No Equipment in entity"))</f>
        <v>No Equipment in entity</v>
      </c>
    </row>
    <row r="822" spans="1:4" x14ac:dyDescent="0.3">
      <c r="A822" t="s">
        <v>5182</v>
      </c>
      <c r="B822" t="s">
        <v>5963</v>
      </c>
      <c r="C822" t="s">
        <v>3761</v>
      </c>
      <c r="D822" t="str" cm="1">
        <f t="array" ref="D822">TRANSPOSE(_xlfn._xlws.FILTER('Controllable Asset Registry'!$A$4:$A$764,IFERROR('Controllable Asset Registry'!$E$4:$E$764=A822,FALSE),"No Equipment in entity"))</f>
        <v>No Equipment in entity</v>
      </c>
    </row>
    <row r="823" spans="1:4" x14ac:dyDescent="0.3">
      <c r="A823" t="s">
        <v>5183</v>
      </c>
      <c r="B823" t="s">
        <v>5964</v>
      </c>
      <c r="C823" t="s">
        <v>3761</v>
      </c>
      <c r="D823" t="str" cm="1">
        <f t="array" ref="D823">TRANSPOSE(_xlfn._xlws.FILTER('Controllable Asset Registry'!$A$4:$A$764,IFERROR('Controllable Asset Registry'!$E$4:$E$764=A823,FALSE),"No Equipment in entity"))</f>
        <v>No Equipment in entity</v>
      </c>
    </row>
    <row r="824" spans="1:4" x14ac:dyDescent="0.3">
      <c r="A824" t="s">
        <v>4023</v>
      </c>
      <c r="B824" t="s">
        <v>5965</v>
      </c>
      <c r="C824" t="s">
        <v>4634</v>
      </c>
      <c r="D824" t="str" cm="1">
        <f t="array" ref="D824">TRANSPOSE(_xlfn._xlws.FILTER('Controllable Asset Registry'!$A$4:$A$764,IFERROR('Controllable Asset Registry'!$E$4:$E$764=A824,FALSE),"No Equipment in entity"))</f>
        <v>FCU0112</v>
      </c>
    </row>
    <row r="825" spans="1:4" x14ac:dyDescent="0.3">
      <c r="A825" t="s">
        <v>5184</v>
      </c>
      <c r="B825" t="s">
        <v>5966</v>
      </c>
      <c r="C825" t="s">
        <v>3758</v>
      </c>
      <c r="D825" t="str" cm="1">
        <f t="array" ref="D825">TRANSPOSE(_xlfn._xlws.FILTER('Controllable Asset Registry'!$A$4:$A$764,IFERROR('Controllable Asset Registry'!$E$4:$E$764=A825,FALSE),"No Equipment in entity"))</f>
        <v>No Equipment in entity</v>
      </c>
    </row>
    <row r="826" spans="1:4" x14ac:dyDescent="0.3">
      <c r="A826" t="s">
        <v>4022</v>
      </c>
      <c r="B826" t="s">
        <v>5967</v>
      </c>
      <c r="C826" t="s">
        <v>4634</v>
      </c>
      <c r="D826" t="str" cm="1">
        <f t="array" ref="D826">TRANSPOSE(_xlfn._xlws.FILTER('Controllable Asset Registry'!$A$4:$A$764,IFERROR('Controllable Asset Registry'!$E$4:$E$764=A826,FALSE),"No Equipment in entity"))</f>
        <v>FCU0110</v>
      </c>
    </row>
    <row r="827" spans="1:4" x14ac:dyDescent="0.3">
      <c r="A827" t="s">
        <v>5185</v>
      </c>
      <c r="B827" t="s">
        <v>5968</v>
      </c>
      <c r="C827" t="s">
        <v>5019</v>
      </c>
      <c r="D827" t="str" cm="1">
        <f t="array" ref="D827">TRANSPOSE(_xlfn._xlws.FILTER('Controllable Asset Registry'!$A$4:$A$764,IFERROR('Controllable Asset Registry'!$E$4:$E$764=A827,FALSE),"No Equipment in entity"))</f>
        <v>No Equipment in entity</v>
      </c>
    </row>
    <row r="828" spans="1:4" x14ac:dyDescent="0.3">
      <c r="A828" t="s">
        <v>5186</v>
      </c>
      <c r="B828" t="s">
        <v>5969</v>
      </c>
      <c r="C828" t="s">
        <v>4779</v>
      </c>
      <c r="D828" t="str" cm="1">
        <f t="array" ref="D828">TRANSPOSE(_xlfn._xlws.FILTER('Controllable Asset Registry'!$A$4:$A$764,IFERROR('Controllable Asset Registry'!$E$4:$E$764=A828,FALSE),"No Equipment in entity"))</f>
        <v>No Equipment in entity</v>
      </c>
    </row>
    <row r="829" spans="1:4" x14ac:dyDescent="0.3">
      <c r="A829" t="s">
        <v>5187</v>
      </c>
      <c r="B829" t="s">
        <v>5970</v>
      </c>
      <c r="C829" t="s">
        <v>3758</v>
      </c>
      <c r="D829" t="str" cm="1">
        <f t="array" ref="D829">TRANSPOSE(_xlfn._xlws.FILTER('Controllable Asset Registry'!$A$4:$A$764,IFERROR('Controllable Asset Registry'!$E$4:$E$764=A829,FALSE),"No Equipment in entity"))</f>
        <v>No Equipment in entity</v>
      </c>
    </row>
    <row r="830" spans="1:4" x14ac:dyDescent="0.3">
      <c r="A830" t="s">
        <v>6325</v>
      </c>
      <c r="B830" t="s">
        <v>6326</v>
      </c>
      <c r="C830" t="s">
        <v>4793</v>
      </c>
      <c r="D830" t="str" cm="1">
        <f t="array" ref="D830">TRANSPOSE(_xlfn._xlws.FILTER('Controllable Asset Registry'!$A$4:$A$764,IFERROR('Controllable Asset Registry'!$E$4:$E$764=A830,FALSE),"No Equipment in entity"))</f>
        <v>No Equipment in entity</v>
      </c>
    </row>
    <row r="831" spans="1:4" x14ac:dyDescent="0.3">
      <c r="A831" t="s">
        <v>6327</v>
      </c>
      <c r="B831" t="s">
        <v>6328</v>
      </c>
      <c r="C831" t="s">
        <v>4796</v>
      </c>
      <c r="D831" t="str" cm="1">
        <f t="array" ref="D831">TRANSPOSE(_xlfn._xlws.FILTER('Controllable Asset Registry'!$A$4:$A$764,IFERROR('Controllable Asset Registry'!$E$4:$E$764=A831,FALSE),"No Equipment in entity"))</f>
        <v>No Equipment in entity</v>
      </c>
    </row>
    <row r="832" spans="1:4" x14ac:dyDescent="0.3">
      <c r="A832" t="s">
        <v>6329</v>
      </c>
      <c r="B832" t="s">
        <v>6330</v>
      </c>
      <c r="C832" t="s">
        <v>4799</v>
      </c>
      <c r="D832" t="str" cm="1">
        <f t="array" ref="D832">TRANSPOSE(_xlfn._xlws.FILTER('Controllable Asset Registry'!$A$4:$A$764,IFERROR('Controllable Asset Registry'!$E$4:$E$764=A832,FALSE),"No Equipment in entity"))</f>
        <v>No Equipment in entity</v>
      </c>
    </row>
    <row r="833" spans="1:6" x14ac:dyDescent="0.3">
      <c r="A833" t="s">
        <v>6331</v>
      </c>
      <c r="B833" t="s">
        <v>6332</v>
      </c>
      <c r="C833" t="s">
        <v>4663</v>
      </c>
      <c r="D833" t="str" cm="1">
        <f t="array" ref="D833">TRANSPOSE(_xlfn._xlws.FILTER('Controllable Asset Registry'!$A$4:$A$764,IFERROR('Controllable Asset Registry'!$E$4:$E$764=A833,FALSE),"No Equipment in entity"))</f>
        <v>No Equipment in entity</v>
      </c>
    </row>
    <row r="834" spans="1:6" x14ac:dyDescent="0.3">
      <c r="A834" t="s">
        <v>6333</v>
      </c>
      <c r="B834" t="s">
        <v>6334</v>
      </c>
      <c r="C834" t="s">
        <v>4666</v>
      </c>
      <c r="D834" t="str" cm="1">
        <f t="array" ref="D834">TRANSPOSE(_xlfn._xlws.FILTER('Controllable Asset Registry'!$A$4:$A$764,IFERROR('Controllable Asset Registry'!$E$4:$E$764=A834,FALSE),"No Equipment in entity"))</f>
        <v>No Equipment in entity</v>
      </c>
    </row>
    <row r="835" spans="1:6" x14ac:dyDescent="0.3">
      <c r="A835" t="s">
        <v>6335</v>
      </c>
      <c r="B835" t="s">
        <v>6336</v>
      </c>
      <c r="C835" t="s">
        <v>4669</v>
      </c>
      <c r="D835" t="str" cm="1">
        <f t="array" ref="D835">TRANSPOSE(_xlfn._xlws.FILTER('Controllable Asset Registry'!$A$4:$A$764,IFERROR('Controllable Asset Registry'!$E$4:$E$764=A835,FALSE),"No Equipment in entity"))</f>
        <v>No Equipment in entity</v>
      </c>
    </row>
    <row r="836" spans="1:6" x14ac:dyDescent="0.3">
      <c r="A836" t="s">
        <v>6337</v>
      </c>
      <c r="B836" t="s">
        <v>6338</v>
      </c>
      <c r="C836" t="s">
        <v>4808</v>
      </c>
      <c r="D836" t="str" cm="1">
        <f t="array" ref="D836">TRANSPOSE(_xlfn._xlws.FILTER('Controllable Asset Registry'!$A$4:$A$764,IFERROR('Controllable Asset Registry'!$E$4:$E$764=A836,FALSE),"No Equipment in entity"))</f>
        <v>No Equipment in entity</v>
      </c>
    </row>
    <row r="837" spans="1:6" x14ac:dyDescent="0.3">
      <c r="A837" t="s">
        <v>6339</v>
      </c>
      <c r="B837" t="s">
        <v>6340</v>
      </c>
      <c r="C837" t="s">
        <v>5188</v>
      </c>
      <c r="D837" t="str" cm="1">
        <f t="array" ref="D837">TRANSPOSE(_xlfn._xlws.FILTER('Controllable Asset Registry'!$A$4:$A$764,IFERROR('Controllable Asset Registry'!$E$4:$E$764=A837,FALSE),"No Equipment in entity"))</f>
        <v>No Equipment in entity</v>
      </c>
    </row>
    <row r="838" spans="1:6" x14ac:dyDescent="0.3">
      <c r="A838" t="s">
        <v>6341</v>
      </c>
      <c r="B838" t="s">
        <v>6342</v>
      </c>
      <c r="C838" t="s">
        <v>5189</v>
      </c>
      <c r="D838" t="str" cm="1">
        <f t="array" ref="D838">TRANSPOSE(_xlfn._xlws.FILTER('Controllable Asset Registry'!$A$4:$A$764,IFERROR('Controllable Asset Registry'!$E$4:$E$764=A838,FALSE),"No Equipment in entity"))</f>
        <v>No Equipment in entity</v>
      </c>
    </row>
    <row r="839" spans="1:6" x14ac:dyDescent="0.3">
      <c r="A839" t="s">
        <v>6343</v>
      </c>
      <c r="B839" t="s">
        <v>6344</v>
      </c>
      <c r="C839" t="s">
        <v>4676</v>
      </c>
      <c r="D839" t="str" cm="1">
        <f t="array" ref="D839">TRANSPOSE(_xlfn._xlws.FILTER('Controllable Asset Registry'!$A$4:$A$764,IFERROR('Controllable Asset Registry'!$E$4:$E$764=A839,FALSE),"No Equipment in entity"))</f>
        <v>No Equipment in entity</v>
      </c>
    </row>
    <row r="840" spans="1:6" x14ac:dyDescent="0.3">
      <c r="A840" t="s">
        <v>6345</v>
      </c>
      <c r="B840" t="s">
        <v>6346</v>
      </c>
      <c r="C840" t="s">
        <v>4815</v>
      </c>
      <c r="D840" t="str" cm="1">
        <f t="array" ref="D840">TRANSPOSE(_xlfn._xlws.FILTER('Controllable Asset Registry'!$A$4:$A$764,IFERROR('Controllable Asset Registry'!$E$4:$E$764=A840,FALSE),"No Equipment in entity"))</f>
        <v>No Equipment in entity</v>
      </c>
    </row>
    <row r="841" spans="1:6" x14ac:dyDescent="0.3">
      <c r="A841" t="s">
        <v>5190</v>
      </c>
      <c r="B841" t="s">
        <v>5971</v>
      </c>
      <c r="C841" t="s">
        <v>5191</v>
      </c>
      <c r="D841" t="str" cm="1">
        <f t="array" ref="D841">TRANSPOSE(_xlfn._xlws.FILTER('Controllable Asset Registry'!$A$4:$A$764,IFERROR('Controllable Asset Registry'!$E$4:$E$764=A841,FALSE),"No Equipment in entity"))</f>
        <v>No Equipment in entity</v>
      </c>
    </row>
    <row r="842" spans="1:6" x14ac:dyDescent="0.3">
      <c r="A842" t="s">
        <v>5192</v>
      </c>
      <c r="B842" t="s">
        <v>5972</v>
      </c>
      <c r="C842" t="s">
        <v>5193</v>
      </c>
      <c r="D842" t="str" cm="1">
        <f t="array" ref="D842">TRANSPOSE(_xlfn._xlws.FILTER('Controllable Asset Registry'!$A$4:$A$764,IFERROR('Controllable Asset Registry'!$E$4:$E$764=A842,FALSE),"No Equipment in entity"))</f>
        <v>No Equipment in entity</v>
      </c>
    </row>
    <row r="843" spans="1:6" x14ac:dyDescent="0.3">
      <c r="A843" t="s">
        <v>5194</v>
      </c>
      <c r="B843" t="s">
        <v>5973</v>
      </c>
      <c r="C843" t="s">
        <v>5195</v>
      </c>
      <c r="D843" t="str" cm="1">
        <f t="array" ref="D843">TRANSPOSE(_xlfn._xlws.FILTER('Controllable Asset Registry'!$A$4:$A$764,IFERROR('Controllable Asset Registry'!$E$4:$E$764=A843,FALSE),"No Equipment in entity"))</f>
        <v>No Equipment in entity</v>
      </c>
    </row>
    <row r="844" spans="1:6" x14ac:dyDescent="0.3">
      <c r="A844" t="s">
        <v>4477</v>
      </c>
      <c r="B844" t="s">
        <v>5974</v>
      </c>
      <c r="C844" t="s">
        <v>5196</v>
      </c>
      <c r="D844" t="str" cm="1">
        <f t="array" ref="D844:F844">TRANSPOSE(_xlfn._xlws.FILTER('Controllable Asset Registry'!$A$4:$A$764,IFERROR('Controllable Asset Registry'!$E$4:$E$764=A844,FALSE),"No Equipment in entity"))</f>
        <v>VAV0530</v>
      </c>
      <c r="E844" t="str">
        <v>VAV0531</v>
      </c>
      <c r="F844" t="str">
        <v>VAV0532</v>
      </c>
    </row>
    <row r="845" spans="1:6" x14ac:dyDescent="0.3">
      <c r="A845" t="s">
        <v>4478</v>
      </c>
      <c r="B845" t="s">
        <v>5975</v>
      </c>
      <c r="C845" t="s">
        <v>5197</v>
      </c>
      <c r="D845" t="str" cm="1">
        <f t="array" ref="D845:E845">TRANSPOSE(_xlfn._xlws.FILTER('Controllable Asset Registry'!$A$4:$A$764,IFERROR('Controllable Asset Registry'!$E$4:$E$764=A845,FALSE),"No Equipment in entity"))</f>
        <v>VAV0533</v>
      </c>
      <c r="E845" t="str">
        <v>VAV0534</v>
      </c>
    </row>
    <row r="846" spans="1:6" x14ac:dyDescent="0.3">
      <c r="A846" t="s">
        <v>4479</v>
      </c>
      <c r="B846" t="s">
        <v>5976</v>
      </c>
      <c r="C846" t="s">
        <v>5198</v>
      </c>
      <c r="D846" t="str" cm="1">
        <f t="array" ref="D846">TRANSPOSE(_xlfn._xlws.FILTER('Controllable Asset Registry'!$A$4:$A$764,IFERROR('Controllable Asset Registry'!$E$4:$E$764=A846,FALSE),"No Equipment in entity"))</f>
        <v>VAV0535</v>
      </c>
    </row>
    <row r="847" spans="1:6" x14ac:dyDescent="0.3">
      <c r="A847" t="s">
        <v>4445</v>
      </c>
      <c r="B847" t="s">
        <v>5977</v>
      </c>
      <c r="C847" t="s">
        <v>5199</v>
      </c>
      <c r="D847" t="str" cm="1">
        <f t="array" ref="D847">TRANSPOSE(_xlfn._xlws.FILTER('Controllable Asset Registry'!$A$4:$A$764,IFERROR('Controllable Asset Registry'!$E$4:$E$764=A847,FALSE),"No Equipment in entity"))</f>
        <v>VAV0498</v>
      </c>
    </row>
    <row r="848" spans="1:6" x14ac:dyDescent="0.3">
      <c r="A848" t="s">
        <v>4446</v>
      </c>
      <c r="B848" t="s">
        <v>5978</v>
      </c>
      <c r="C848" t="s">
        <v>5198</v>
      </c>
      <c r="D848" t="str" cm="1">
        <f t="array" ref="D848">TRANSPOSE(_xlfn._xlws.FILTER('Controllable Asset Registry'!$A$4:$A$764,IFERROR('Controllable Asset Registry'!$E$4:$E$764=A848,FALSE),"No Equipment in entity"))</f>
        <v>VAV0499</v>
      </c>
    </row>
    <row r="849" spans="1:4" x14ac:dyDescent="0.3">
      <c r="A849" t="s">
        <v>4447</v>
      </c>
      <c r="B849" t="s">
        <v>5979</v>
      </c>
      <c r="C849" t="s">
        <v>5200</v>
      </c>
      <c r="D849" t="str" cm="1">
        <f t="array" ref="D849">TRANSPOSE(_xlfn._xlws.FILTER('Controllable Asset Registry'!$A$4:$A$764,IFERROR('Controllable Asset Registry'!$E$4:$E$764=A849,FALSE),"No Equipment in entity"))</f>
        <v>VAV0500</v>
      </c>
    </row>
    <row r="850" spans="1:4" x14ac:dyDescent="0.3">
      <c r="A850" t="s">
        <v>4448</v>
      </c>
      <c r="B850" t="s">
        <v>5980</v>
      </c>
      <c r="C850" t="s">
        <v>5201</v>
      </c>
      <c r="D850" t="str" cm="1">
        <f t="array" ref="D850">TRANSPOSE(_xlfn._xlws.FILTER('Controllable Asset Registry'!$A$4:$A$764,IFERROR('Controllable Asset Registry'!$E$4:$E$764=A850,FALSE),"No Equipment in entity"))</f>
        <v>VAV0501</v>
      </c>
    </row>
    <row r="851" spans="1:4" x14ac:dyDescent="0.3">
      <c r="A851" t="s">
        <v>4449</v>
      </c>
      <c r="B851" t="s">
        <v>5981</v>
      </c>
      <c r="C851" t="s">
        <v>5202</v>
      </c>
      <c r="D851" t="str" cm="1">
        <f t="array" ref="D851">TRANSPOSE(_xlfn._xlws.FILTER('Controllable Asset Registry'!$A$4:$A$764,IFERROR('Controllable Asset Registry'!$E$4:$E$764=A851,FALSE),"No Equipment in entity"))</f>
        <v>VAV0502</v>
      </c>
    </row>
    <row r="852" spans="1:4" x14ac:dyDescent="0.3">
      <c r="A852" t="s">
        <v>4450</v>
      </c>
      <c r="B852" t="s">
        <v>5982</v>
      </c>
      <c r="C852" t="s">
        <v>5202</v>
      </c>
      <c r="D852" t="str" cm="1">
        <f t="array" ref="D852">TRANSPOSE(_xlfn._xlws.FILTER('Controllable Asset Registry'!$A$4:$A$764,IFERROR('Controllable Asset Registry'!$E$4:$E$764=A852,FALSE),"No Equipment in entity"))</f>
        <v>VAV0503</v>
      </c>
    </row>
    <row r="853" spans="1:4" x14ac:dyDescent="0.3">
      <c r="A853" t="s">
        <v>4451</v>
      </c>
      <c r="B853" t="s">
        <v>5983</v>
      </c>
      <c r="C853" t="s">
        <v>5202</v>
      </c>
      <c r="D853" t="str" cm="1">
        <f t="array" ref="D853">TRANSPOSE(_xlfn._xlws.FILTER('Controllable Asset Registry'!$A$4:$A$764,IFERROR('Controllable Asset Registry'!$E$4:$E$764=A853,FALSE),"No Equipment in entity"))</f>
        <v>VAV0504</v>
      </c>
    </row>
    <row r="854" spans="1:4" x14ac:dyDescent="0.3">
      <c r="A854" t="s">
        <v>4452</v>
      </c>
      <c r="B854" t="s">
        <v>5984</v>
      </c>
      <c r="C854" t="s">
        <v>5203</v>
      </c>
      <c r="D854" t="str" cm="1">
        <f t="array" ref="D854">TRANSPOSE(_xlfn._xlws.FILTER('Controllable Asset Registry'!$A$4:$A$764,IFERROR('Controllable Asset Registry'!$E$4:$E$764=A854,FALSE),"No Equipment in entity"))</f>
        <v>VAV0505</v>
      </c>
    </row>
    <row r="855" spans="1:4" x14ac:dyDescent="0.3">
      <c r="A855" t="s">
        <v>4453</v>
      </c>
      <c r="B855" t="s">
        <v>5985</v>
      </c>
      <c r="C855" t="s">
        <v>5203</v>
      </c>
      <c r="D855" t="str" cm="1">
        <f t="array" ref="D855">TRANSPOSE(_xlfn._xlws.FILTER('Controllable Asset Registry'!$A$4:$A$764,IFERROR('Controllable Asset Registry'!$E$4:$E$764=A855,FALSE),"No Equipment in entity"))</f>
        <v>VAV0506</v>
      </c>
    </row>
    <row r="856" spans="1:4" x14ac:dyDescent="0.3">
      <c r="A856" t="s">
        <v>4028</v>
      </c>
      <c r="B856" t="s">
        <v>5986</v>
      </c>
      <c r="C856" t="s">
        <v>4836</v>
      </c>
      <c r="D856" t="str" cm="1">
        <f t="array" ref="D856">TRANSPOSE(_xlfn._xlws.FILTER('Controllable Asset Registry'!$A$4:$A$764,IFERROR('Controllable Asset Registry'!$E$4:$E$764=A856,FALSE),"No Equipment in entity"))</f>
        <v>FCU0117</v>
      </c>
    </row>
    <row r="857" spans="1:4" x14ac:dyDescent="0.3">
      <c r="A857" t="s">
        <v>4454</v>
      </c>
      <c r="B857" t="s">
        <v>5987</v>
      </c>
      <c r="C857" t="s">
        <v>5204</v>
      </c>
      <c r="D857" t="str" cm="1">
        <f t="array" ref="D857">TRANSPOSE(_xlfn._xlws.FILTER('Controllable Asset Registry'!$A$4:$A$764,IFERROR('Controllable Asset Registry'!$E$4:$E$764=A857,FALSE),"No Equipment in entity"))</f>
        <v>VAV0507</v>
      </c>
    </row>
    <row r="858" spans="1:4" x14ac:dyDescent="0.3">
      <c r="A858" t="s">
        <v>4455</v>
      </c>
      <c r="B858" t="s">
        <v>5988</v>
      </c>
      <c r="C858" t="s">
        <v>5205</v>
      </c>
      <c r="D858" t="str" cm="1">
        <f t="array" ref="D858">TRANSPOSE(_xlfn._xlws.FILTER('Controllable Asset Registry'!$A$4:$A$764,IFERROR('Controllable Asset Registry'!$E$4:$E$764=A858,FALSE),"No Equipment in entity"))</f>
        <v>VAV0508</v>
      </c>
    </row>
    <row r="859" spans="1:4" x14ac:dyDescent="0.3">
      <c r="A859" t="s">
        <v>4456</v>
      </c>
      <c r="B859" t="s">
        <v>5989</v>
      </c>
      <c r="C859" t="s">
        <v>5206</v>
      </c>
      <c r="D859" t="str" cm="1">
        <f t="array" ref="D859">TRANSPOSE(_xlfn._xlws.FILTER('Controllable Asset Registry'!$A$4:$A$764,IFERROR('Controllable Asset Registry'!$E$4:$E$764=A859,FALSE),"No Equipment in entity"))</f>
        <v>VAV0509</v>
      </c>
    </row>
    <row r="860" spans="1:4" x14ac:dyDescent="0.3">
      <c r="A860" t="s">
        <v>4457</v>
      </c>
      <c r="B860" t="s">
        <v>5990</v>
      </c>
      <c r="C860" t="s">
        <v>5207</v>
      </c>
      <c r="D860" t="str" cm="1">
        <f t="array" ref="D860">TRANSPOSE(_xlfn._xlws.FILTER('Controllable Asset Registry'!$A$4:$A$764,IFERROR('Controllable Asset Registry'!$E$4:$E$764=A860,FALSE),"No Equipment in entity"))</f>
        <v>VAV0510</v>
      </c>
    </row>
    <row r="861" spans="1:4" x14ac:dyDescent="0.3">
      <c r="A861" t="s">
        <v>4458</v>
      </c>
      <c r="B861" t="s">
        <v>5991</v>
      </c>
      <c r="C861" t="s">
        <v>5208</v>
      </c>
      <c r="D861" t="str" cm="1">
        <f t="array" ref="D861">TRANSPOSE(_xlfn._xlws.FILTER('Controllable Asset Registry'!$A$4:$A$764,IFERROR('Controllable Asset Registry'!$E$4:$E$764=A861,FALSE),"No Equipment in entity"))</f>
        <v>VAV0511</v>
      </c>
    </row>
    <row r="862" spans="1:4" x14ac:dyDescent="0.3">
      <c r="A862" t="s">
        <v>4459</v>
      </c>
      <c r="B862" t="s">
        <v>5992</v>
      </c>
      <c r="C862" t="s">
        <v>5209</v>
      </c>
      <c r="D862" t="str" cm="1">
        <f t="array" ref="D862">TRANSPOSE(_xlfn._xlws.FILTER('Controllable Asset Registry'!$A$4:$A$764,IFERROR('Controllable Asset Registry'!$E$4:$E$764=A862,FALSE),"No Equipment in entity"))</f>
        <v>VAV0512</v>
      </c>
    </row>
    <row r="863" spans="1:4" x14ac:dyDescent="0.3">
      <c r="A863" t="s">
        <v>4460</v>
      </c>
      <c r="B863" t="s">
        <v>5993</v>
      </c>
      <c r="C863" t="s">
        <v>5210</v>
      </c>
      <c r="D863" t="str" cm="1">
        <f t="array" ref="D863">TRANSPOSE(_xlfn._xlws.FILTER('Controllable Asset Registry'!$A$4:$A$764,IFERROR('Controllable Asset Registry'!$E$4:$E$764=A863,FALSE),"No Equipment in entity"))</f>
        <v>VAV0513</v>
      </c>
    </row>
    <row r="864" spans="1:4" x14ac:dyDescent="0.3">
      <c r="A864" t="s">
        <v>4461</v>
      </c>
      <c r="B864" t="s">
        <v>5994</v>
      </c>
      <c r="C864" t="s">
        <v>5210</v>
      </c>
      <c r="D864" t="str" cm="1">
        <f t="array" ref="D864">TRANSPOSE(_xlfn._xlws.FILTER('Controllable Asset Registry'!$A$4:$A$764,IFERROR('Controllable Asset Registry'!$E$4:$E$764=A864,FALSE),"No Equipment in entity"))</f>
        <v>VAV0514</v>
      </c>
    </row>
    <row r="865" spans="1:4" x14ac:dyDescent="0.3">
      <c r="A865" t="s">
        <v>4462</v>
      </c>
      <c r="B865" t="s">
        <v>5995</v>
      </c>
      <c r="C865" t="s">
        <v>5211</v>
      </c>
      <c r="D865" t="str" cm="1">
        <f t="array" ref="D865">TRANSPOSE(_xlfn._xlws.FILTER('Controllable Asset Registry'!$A$4:$A$764,IFERROR('Controllable Asset Registry'!$E$4:$E$764=A865,FALSE),"No Equipment in entity"))</f>
        <v>VAV0515</v>
      </c>
    </row>
    <row r="866" spans="1:4" x14ac:dyDescent="0.3">
      <c r="A866" t="s">
        <v>4463</v>
      </c>
      <c r="B866" t="s">
        <v>5996</v>
      </c>
      <c r="C866" t="s">
        <v>5212</v>
      </c>
      <c r="D866" t="str" cm="1">
        <f t="array" ref="D866">TRANSPOSE(_xlfn._xlws.FILTER('Controllable Asset Registry'!$A$4:$A$764,IFERROR('Controllable Asset Registry'!$E$4:$E$764=A866,FALSE),"No Equipment in entity"))</f>
        <v>VAV0516</v>
      </c>
    </row>
    <row r="867" spans="1:4" x14ac:dyDescent="0.3">
      <c r="A867" t="s">
        <v>4464</v>
      </c>
      <c r="B867" t="s">
        <v>5997</v>
      </c>
      <c r="C867" t="s">
        <v>5213</v>
      </c>
      <c r="D867" t="str" cm="1">
        <f t="array" ref="D867">TRANSPOSE(_xlfn._xlws.FILTER('Controllable Asset Registry'!$A$4:$A$764,IFERROR('Controllable Asset Registry'!$E$4:$E$764=A867,FALSE),"No Equipment in entity"))</f>
        <v>VAV0517</v>
      </c>
    </row>
    <row r="868" spans="1:4" x14ac:dyDescent="0.3">
      <c r="A868" t="s">
        <v>4465</v>
      </c>
      <c r="B868" t="s">
        <v>5998</v>
      </c>
      <c r="C868" t="s">
        <v>5214</v>
      </c>
      <c r="D868" t="str" cm="1">
        <f t="array" ref="D868">TRANSPOSE(_xlfn._xlws.FILTER('Controllable Asset Registry'!$A$4:$A$764,IFERROR('Controllable Asset Registry'!$E$4:$E$764=A868,FALSE),"No Equipment in entity"))</f>
        <v>VAV0518</v>
      </c>
    </row>
    <row r="869" spans="1:4" x14ac:dyDescent="0.3">
      <c r="A869" t="s">
        <v>4466</v>
      </c>
      <c r="B869" t="s">
        <v>5999</v>
      </c>
      <c r="C869" t="s">
        <v>5215</v>
      </c>
      <c r="D869" t="str" cm="1">
        <f t="array" ref="D869">TRANSPOSE(_xlfn._xlws.FILTER('Controllable Asset Registry'!$A$4:$A$764,IFERROR('Controllable Asset Registry'!$E$4:$E$764=A869,FALSE),"No Equipment in entity"))</f>
        <v>VAV0519</v>
      </c>
    </row>
    <row r="870" spans="1:4" x14ac:dyDescent="0.3">
      <c r="A870" t="s">
        <v>4467</v>
      </c>
      <c r="B870" t="s">
        <v>6000</v>
      </c>
      <c r="C870" t="s">
        <v>5216</v>
      </c>
      <c r="D870" t="str" cm="1">
        <f t="array" ref="D870">TRANSPOSE(_xlfn._xlws.FILTER('Controllable Asset Registry'!$A$4:$A$764,IFERROR('Controllable Asset Registry'!$E$4:$E$764=A870,FALSE),"No Equipment in entity"))</f>
        <v>VAV0520</v>
      </c>
    </row>
    <row r="871" spans="1:4" x14ac:dyDescent="0.3">
      <c r="A871" t="s">
        <v>4468</v>
      </c>
      <c r="B871" t="s">
        <v>6001</v>
      </c>
      <c r="C871" t="s">
        <v>5217</v>
      </c>
      <c r="D871" t="str" cm="1">
        <f t="array" ref="D871">TRANSPOSE(_xlfn._xlws.FILTER('Controllable Asset Registry'!$A$4:$A$764,IFERROR('Controllable Asset Registry'!$E$4:$E$764=A871,FALSE),"No Equipment in entity"))</f>
        <v>VAV0521</v>
      </c>
    </row>
    <row r="872" spans="1:4" x14ac:dyDescent="0.3">
      <c r="A872" t="s">
        <v>5218</v>
      </c>
      <c r="B872" t="s">
        <v>6002</v>
      </c>
      <c r="C872" t="s">
        <v>4707</v>
      </c>
      <c r="D872" t="str" cm="1">
        <f t="array" ref="D872">TRANSPOSE(_xlfn._xlws.FILTER('Controllable Asset Registry'!$A$4:$A$764,IFERROR('Controllable Asset Registry'!$E$4:$E$764=A872,FALSE),"No Equipment in entity"))</f>
        <v>No Equipment in entity</v>
      </c>
    </row>
    <row r="873" spans="1:4" x14ac:dyDescent="0.3">
      <c r="A873" t="s">
        <v>4470</v>
      </c>
      <c r="B873" t="s">
        <v>6003</v>
      </c>
      <c r="C873" t="s">
        <v>5219</v>
      </c>
      <c r="D873" t="str" cm="1">
        <f t="array" ref="D873">TRANSPOSE(_xlfn._xlws.FILTER('Controllable Asset Registry'!$A$4:$A$764,IFERROR('Controllable Asset Registry'!$E$4:$E$764=A873,FALSE),"No Equipment in entity"))</f>
        <v>VAV0523</v>
      </c>
    </row>
    <row r="874" spans="1:4" x14ac:dyDescent="0.3">
      <c r="A874" t="s">
        <v>4471</v>
      </c>
      <c r="B874" t="s">
        <v>6004</v>
      </c>
      <c r="C874" t="s">
        <v>5220</v>
      </c>
      <c r="D874" t="str" cm="1">
        <f t="array" ref="D874">TRANSPOSE(_xlfn._xlws.FILTER('Controllable Asset Registry'!$A$4:$A$764,IFERROR('Controllable Asset Registry'!$E$4:$E$764=A874,FALSE),"No Equipment in entity"))</f>
        <v>VAV0524</v>
      </c>
    </row>
    <row r="875" spans="1:4" x14ac:dyDescent="0.3">
      <c r="A875" t="s">
        <v>4472</v>
      </c>
      <c r="B875" t="s">
        <v>6005</v>
      </c>
      <c r="C875" t="s">
        <v>5221</v>
      </c>
      <c r="D875" t="str" cm="1">
        <f t="array" ref="D875">TRANSPOSE(_xlfn._xlws.FILTER('Controllable Asset Registry'!$A$4:$A$764,IFERROR('Controllable Asset Registry'!$E$4:$E$764=A875,FALSE),"No Equipment in entity"))</f>
        <v>VAV0525</v>
      </c>
    </row>
    <row r="876" spans="1:4" x14ac:dyDescent="0.3">
      <c r="A876" t="s">
        <v>4473</v>
      </c>
      <c r="B876" t="s">
        <v>6006</v>
      </c>
      <c r="C876" t="s">
        <v>5222</v>
      </c>
      <c r="D876" t="str" cm="1">
        <f t="array" ref="D876">TRANSPOSE(_xlfn._xlws.FILTER('Controllable Asset Registry'!$A$4:$A$764,IFERROR('Controllable Asset Registry'!$E$4:$E$764=A876,FALSE),"No Equipment in entity"))</f>
        <v>VAV0526</v>
      </c>
    </row>
    <row r="877" spans="1:4" x14ac:dyDescent="0.3">
      <c r="A877" t="s">
        <v>4474</v>
      </c>
      <c r="B877" t="s">
        <v>6007</v>
      </c>
      <c r="C877" t="s">
        <v>5223</v>
      </c>
      <c r="D877" t="str" cm="1">
        <f t="array" ref="D877">TRANSPOSE(_xlfn._xlws.FILTER('Controllable Asset Registry'!$A$4:$A$764,IFERROR('Controllable Asset Registry'!$E$4:$E$764=A877,FALSE),"No Equipment in entity"))</f>
        <v>VAV0527</v>
      </c>
    </row>
    <row r="878" spans="1:4" x14ac:dyDescent="0.3">
      <c r="A878" t="s">
        <v>4475</v>
      </c>
      <c r="B878" t="s">
        <v>6008</v>
      </c>
      <c r="C878" t="s">
        <v>5224</v>
      </c>
      <c r="D878" t="str" cm="1">
        <f t="array" ref="D878">TRANSPOSE(_xlfn._xlws.FILTER('Controllable Asset Registry'!$A$4:$A$764,IFERROR('Controllable Asset Registry'!$E$4:$E$764=A878,FALSE),"No Equipment in entity"))</f>
        <v>VAV0528</v>
      </c>
    </row>
    <row r="879" spans="1:4" x14ac:dyDescent="0.3">
      <c r="A879" t="s">
        <v>4476</v>
      </c>
      <c r="B879" t="s">
        <v>6009</v>
      </c>
      <c r="C879" t="s">
        <v>5225</v>
      </c>
      <c r="D879" t="str" cm="1">
        <f t="array" ref="D879">TRANSPOSE(_xlfn._xlws.FILTER('Controllable Asset Registry'!$A$4:$A$764,IFERROR('Controllable Asset Registry'!$E$4:$E$764=A879,FALSE),"No Equipment in entity"))</f>
        <v>VAV0529</v>
      </c>
    </row>
    <row r="880" spans="1:4" x14ac:dyDescent="0.3">
      <c r="A880" t="s">
        <v>4027</v>
      </c>
      <c r="B880" t="s">
        <v>6010</v>
      </c>
      <c r="C880" t="s">
        <v>4836</v>
      </c>
      <c r="D880" t="str" cm="1">
        <f t="array" ref="D880">TRANSPOSE(_xlfn._xlws.FILTER('Controllable Asset Registry'!$A$4:$A$764,IFERROR('Controllable Asset Registry'!$E$4:$E$764=A880,FALSE),"No Equipment in entity"))</f>
        <v>FCU0116</v>
      </c>
    </row>
    <row r="881" spans="1:5" x14ac:dyDescent="0.3">
      <c r="A881" t="s">
        <v>4482</v>
      </c>
      <c r="B881" t="s">
        <v>6011</v>
      </c>
      <c r="C881" t="s">
        <v>5107</v>
      </c>
      <c r="D881" t="str" cm="1">
        <f t="array" ref="D881:E881">TRANSPOSE(_xlfn._xlws.FILTER('Controllable Asset Registry'!$A$4:$A$764,IFERROR('Controllable Asset Registry'!$E$4:$E$764=A881,FALSE),"No Equipment in entity"))</f>
        <v>VAV0539</v>
      </c>
      <c r="E881" t="str">
        <v>VAV0540</v>
      </c>
    </row>
    <row r="882" spans="1:5" x14ac:dyDescent="0.3">
      <c r="A882" t="s">
        <v>4484</v>
      </c>
      <c r="B882" t="s">
        <v>6012</v>
      </c>
      <c r="C882" t="s">
        <v>5226</v>
      </c>
      <c r="D882" t="str" cm="1">
        <f t="array" ref="D882">TRANSPOSE(_xlfn._xlws.FILTER('Controllable Asset Registry'!$A$4:$A$764,IFERROR('Controllable Asset Registry'!$E$4:$E$764=A882,FALSE),"No Equipment in entity"))</f>
        <v>VAV0547</v>
      </c>
    </row>
    <row r="883" spans="1:5" x14ac:dyDescent="0.3">
      <c r="A883" t="s">
        <v>5227</v>
      </c>
      <c r="B883" t="s">
        <v>6013</v>
      </c>
      <c r="C883" t="s">
        <v>5228</v>
      </c>
      <c r="D883" t="str" cm="1">
        <f t="array" ref="D883">TRANSPOSE(_xlfn._xlws.FILTER('Controllable Asset Registry'!$A$4:$A$764,IFERROR('Controllable Asset Registry'!$E$4:$E$764=A883,FALSE),"No Equipment in entity"))</f>
        <v>No Equipment in entity</v>
      </c>
    </row>
    <row r="884" spans="1:5" x14ac:dyDescent="0.3">
      <c r="A884" t="s">
        <v>5229</v>
      </c>
      <c r="B884" t="s">
        <v>6014</v>
      </c>
      <c r="C884" t="s">
        <v>5230</v>
      </c>
      <c r="D884" t="str" cm="1">
        <f t="array" ref="D884">TRANSPOSE(_xlfn._xlws.FILTER('Controllable Asset Registry'!$A$4:$A$764,IFERROR('Controllable Asset Registry'!$E$4:$E$764=A884,FALSE),"No Equipment in entity"))</f>
        <v>No Equipment in entity</v>
      </c>
    </row>
    <row r="885" spans="1:5" x14ac:dyDescent="0.3">
      <c r="A885" t="s">
        <v>5231</v>
      </c>
      <c r="B885" t="s">
        <v>6015</v>
      </c>
      <c r="C885" t="s">
        <v>5230</v>
      </c>
      <c r="D885" t="str" cm="1">
        <f t="array" ref="D885">TRANSPOSE(_xlfn._xlws.FILTER('Controllable Asset Registry'!$A$4:$A$764,IFERROR('Controllable Asset Registry'!$E$4:$E$764=A885,FALSE),"No Equipment in entity"))</f>
        <v>No Equipment in entity</v>
      </c>
    </row>
    <row r="886" spans="1:5" x14ac:dyDescent="0.3">
      <c r="A886" t="s">
        <v>4480</v>
      </c>
      <c r="B886" t="s">
        <v>6016</v>
      </c>
      <c r="C886" t="s">
        <v>3892</v>
      </c>
      <c r="D886" t="str" cm="1">
        <f t="array" ref="D886:E886">TRANSPOSE(_xlfn._xlws.FILTER('Controllable Asset Registry'!$A$4:$A$764,IFERROR('Controllable Asset Registry'!$E$4:$E$764=A886,FALSE),"No Equipment in entity"))</f>
        <v>VAV0536</v>
      </c>
      <c r="E886" t="str">
        <v>VAV0537</v>
      </c>
    </row>
    <row r="887" spans="1:5" x14ac:dyDescent="0.3">
      <c r="A887" t="s">
        <v>5232</v>
      </c>
      <c r="B887" t="s">
        <v>6017</v>
      </c>
      <c r="C887" t="s">
        <v>3752</v>
      </c>
      <c r="D887" t="str" cm="1">
        <f t="array" ref="D887">TRANSPOSE(_xlfn._xlws.FILTER('Controllable Asset Registry'!$A$4:$A$764,IFERROR('Controllable Asset Registry'!$E$4:$E$764=A887,FALSE),"No Equipment in entity"))</f>
        <v>No Equipment in entity</v>
      </c>
    </row>
    <row r="888" spans="1:5" x14ac:dyDescent="0.3">
      <c r="A888" t="s">
        <v>5233</v>
      </c>
      <c r="B888" t="s">
        <v>6018</v>
      </c>
      <c r="C888" t="s">
        <v>4865</v>
      </c>
      <c r="D888" t="str" cm="1">
        <f t="array" ref="D888">TRANSPOSE(_xlfn._xlws.FILTER('Controllable Asset Registry'!$A$4:$A$764,IFERROR('Controllable Asset Registry'!$E$4:$E$764=A888,FALSE),"No Equipment in entity"))</f>
        <v>No Equipment in entity</v>
      </c>
    </row>
    <row r="889" spans="1:5" x14ac:dyDescent="0.3">
      <c r="A889" t="s">
        <v>4481</v>
      </c>
      <c r="B889" t="s">
        <v>6019</v>
      </c>
      <c r="C889" t="s">
        <v>5234</v>
      </c>
      <c r="D889" t="str" cm="1">
        <f t="array" ref="D889">TRANSPOSE(_xlfn._xlws.FILTER('Controllable Asset Registry'!$A$4:$A$764,IFERROR('Controllable Asset Registry'!$E$4:$E$764=A889,FALSE),"No Equipment in entity"))</f>
        <v>VAV0538</v>
      </c>
    </row>
    <row r="890" spans="1:5" x14ac:dyDescent="0.3">
      <c r="A890" t="s">
        <v>5235</v>
      </c>
      <c r="B890" t="s">
        <v>6020</v>
      </c>
      <c r="C890" t="s">
        <v>5236</v>
      </c>
      <c r="D890" t="str" cm="1">
        <f t="array" ref="D890">TRANSPOSE(_xlfn._xlws.FILTER('Controllable Asset Registry'!$A$4:$A$764,IFERROR('Controllable Asset Registry'!$E$4:$E$764=A890,FALSE),"No Equipment in entity"))</f>
        <v>No Equipment in entity</v>
      </c>
    </row>
    <row r="891" spans="1:5" x14ac:dyDescent="0.3">
      <c r="A891" t="s">
        <v>4029</v>
      </c>
      <c r="B891" t="s">
        <v>6021</v>
      </c>
      <c r="C891" t="s">
        <v>5237</v>
      </c>
      <c r="D891" t="str" cm="1">
        <f t="array" ref="D891">TRANSPOSE(_xlfn._xlws.FILTER('Controllable Asset Registry'!$A$4:$A$764,IFERROR('Controllable Asset Registry'!$E$4:$E$764=A891,FALSE),"No Equipment in entity"))</f>
        <v>FCU0118</v>
      </c>
    </row>
    <row r="892" spans="1:5" x14ac:dyDescent="0.3">
      <c r="A892" t="s">
        <v>4483</v>
      </c>
      <c r="B892" t="s">
        <v>6022</v>
      </c>
      <c r="C892" t="s">
        <v>5238</v>
      </c>
      <c r="D892" t="str" cm="1">
        <f t="array" ref="D892">TRANSPOSE(_xlfn._xlws.FILTER('Controllable Asset Registry'!$A$4:$A$764,IFERROR('Controllable Asset Registry'!$E$4:$E$764=A892,FALSE),"No Equipment in entity"))</f>
        <v>VAV0541</v>
      </c>
    </row>
    <row r="893" spans="1:5" x14ac:dyDescent="0.3">
      <c r="A893" t="s">
        <v>5239</v>
      </c>
      <c r="B893" t="s">
        <v>6023</v>
      </c>
      <c r="C893" t="s">
        <v>4628</v>
      </c>
      <c r="D893" t="str" cm="1">
        <f t="array" ref="D893">TRANSPOSE(_xlfn._xlws.FILTER('Controllable Asset Registry'!$A$4:$A$764,IFERROR('Controllable Asset Registry'!$E$4:$E$764=A893,FALSE),"No Equipment in entity"))</f>
        <v>No Equipment in entity</v>
      </c>
    </row>
    <row r="894" spans="1:5" x14ac:dyDescent="0.3">
      <c r="A894" t="s">
        <v>5240</v>
      </c>
      <c r="B894" t="s">
        <v>6024</v>
      </c>
      <c r="C894" t="s">
        <v>4625</v>
      </c>
      <c r="D894" t="str" cm="1">
        <f t="array" ref="D894">TRANSPOSE(_xlfn._xlws.FILTER('Controllable Asset Registry'!$A$4:$A$764,IFERROR('Controllable Asset Registry'!$E$4:$E$764=A894,FALSE),"No Equipment in entity"))</f>
        <v>No Equipment in entity</v>
      </c>
    </row>
    <row r="895" spans="1:5" x14ac:dyDescent="0.3">
      <c r="A895" t="s">
        <v>5241</v>
      </c>
      <c r="B895" t="s">
        <v>6025</v>
      </c>
      <c r="C895" t="s">
        <v>4625</v>
      </c>
      <c r="D895" t="str" cm="1">
        <f t="array" ref="D895">TRANSPOSE(_xlfn._xlws.FILTER('Controllable Asset Registry'!$A$4:$A$764,IFERROR('Controllable Asset Registry'!$E$4:$E$764=A895,FALSE),"No Equipment in entity"))</f>
        <v>No Equipment in entity</v>
      </c>
    </row>
    <row r="896" spans="1:5" x14ac:dyDescent="0.3">
      <c r="A896" t="s">
        <v>5242</v>
      </c>
      <c r="B896" t="s">
        <v>6026</v>
      </c>
      <c r="C896" t="s">
        <v>4628</v>
      </c>
      <c r="D896" t="str" cm="1">
        <f t="array" ref="D896">TRANSPOSE(_xlfn._xlws.FILTER('Controllable Asset Registry'!$A$4:$A$764,IFERROR('Controllable Asset Registry'!$E$4:$E$764=A896,FALSE),"No Equipment in entity"))</f>
        <v>No Equipment in entity</v>
      </c>
    </row>
    <row r="897" spans="1:9" x14ac:dyDescent="0.3">
      <c r="A897" t="s">
        <v>5243</v>
      </c>
      <c r="B897" t="s">
        <v>6027</v>
      </c>
      <c r="C897" t="s">
        <v>4625</v>
      </c>
      <c r="D897" t="str" cm="1">
        <f t="array" ref="D897">TRANSPOSE(_xlfn._xlws.FILTER('Controllable Asset Registry'!$A$4:$A$764,IFERROR('Controllable Asset Registry'!$E$4:$E$764=A897,FALSE),"No Equipment in entity"))</f>
        <v>No Equipment in entity</v>
      </c>
    </row>
    <row r="898" spans="1:9" x14ac:dyDescent="0.3">
      <c r="A898" t="s">
        <v>5244</v>
      </c>
      <c r="B898" t="s">
        <v>6028</v>
      </c>
      <c r="C898" t="s">
        <v>4628</v>
      </c>
      <c r="D898" t="str" cm="1">
        <f t="array" ref="D898">TRANSPOSE(_xlfn._xlws.FILTER('Controllable Asset Registry'!$A$4:$A$764,IFERROR('Controllable Asset Registry'!$E$4:$E$764=A898,FALSE),"No Equipment in entity"))</f>
        <v>No Equipment in entity</v>
      </c>
    </row>
    <row r="899" spans="1:9" x14ac:dyDescent="0.3">
      <c r="A899" t="s">
        <v>5245</v>
      </c>
      <c r="B899" t="s">
        <v>6029</v>
      </c>
      <c r="C899" t="s">
        <v>3758</v>
      </c>
      <c r="D899" t="str" cm="1">
        <f t="array" ref="D899">TRANSPOSE(_xlfn._xlws.FILTER('Controllable Asset Registry'!$A$4:$A$764,IFERROR('Controllable Asset Registry'!$E$4:$E$764=A899,FALSE),"No Equipment in entity"))</f>
        <v>No Equipment in entity</v>
      </c>
    </row>
    <row r="900" spans="1:9" x14ac:dyDescent="0.3">
      <c r="A900" t="s">
        <v>4026</v>
      </c>
      <c r="B900" t="s">
        <v>6030</v>
      </c>
      <c r="C900" t="s">
        <v>4634</v>
      </c>
      <c r="D900" t="str" cm="1">
        <f t="array" ref="D900">TRANSPOSE(_xlfn._xlws.FILTER('Controllable Asset Registry'!$A$4:$A$764,IFERROR('Controllable Asset Registry'!$E$4:$E$764=A900,FALSE),"No Equipment in entity"))</f>
        <v>FCU0115</v>
      </c>
    </row>
    <row r="901" spans="1:9" x14ac:dyDescent="0.3">
      <c r="A901" t="s">
        <v>5246</v>
      </c>
      <c r="B901" t="s">
        <v>6031</v>
      </c>
      <c r="C901" t="s">
        <v>3758</v>
      </c>
      <c r="D901" t="str" cm="1">
        <f t="array" ref="D901">TRANSPOSE(_xlfn._xlws.FILTER('Controllable Asset Registry'!$A$4:$A$764,IFERROR('Controllable Asset Registry'!$E$4:$E$764=A901,FALSE),"No Equipment in entity"))</f>
        <v>No Equipment in entity</v>
      </c>
    </row>
    <row r="902" spans="1:9" x14ac:dyDescent="0.3">
      <c r="A902" t="s">
        <v>4024</v>
      </c>
      <c r="B902" t="s">
        <v>6032</v>
      </c>
      <c r="C902" t="s">
        <v>4634</v>
      </c>
      <c r="D902" t="str" cm="1">
        <f t="array" ref="D902">TRANSPOSE(_xlfn._xlws.FILTER('Controllable Asset Registry'!$A$4:$A$764,IFERROR('Controllable Asset Registry'!$E$4:$E$764=A902,FALSE),"No Equipment in entity"))</f>
        <v>FCU0113</v>
      </c>
    </row>
    <row r="903" spans="1:9" x14ac:dyDescent="0.3">
      <c r="A903" t="s">
        <v>5247</v>
      </c>
      <c r="B903" t="s">
        <v>6033</v>
      </c>
      <c r="C903" t="s">
        <v>4776</v>
      </c>
      <c r="D903" t="str" cm="1">
        <f t="array" ref="D903">TRANSPOSE(_xlfn._xlws.FILTER('Controllable Asset Registry'!$A$4:$A$764,IFERROR('Controllable Asset Registry'!$E$4:$E$764=A903,FALSE),"No Equipment in entity"))</f>
        <v>No Equipment in entity</v>
      </c>
    </row>
    <row r="904" spans="1:9" x14ac:dyDescent="0.3">
      <c r="A904" t="s">
        <v>5248</v>
      </c>
      <c r="B904" t="s">
        <v>6034</v>
      </c>
      <c r="C904" t="s">
        <v>4779</v>
      </c>
      <c r="D904" t="str" cm="1">
        <f t="array" ref="D904">TRANSPOSE(_xlfn._xlws.FILTER('Controllable Asset Registry'!$A$4:$A$764,IFERROR('Controllable Asset Registry'!$E$4:$E$764=A904,FALSE),"No Equipment in entity"))</f>
        <v>No Equipment in entity</v>
      </c>
    </row>
    <row r="905" spans="1:9" x14ac:dyDescent="0.3">
      <c r="A905" t="s">
        <v>5249</v>
      </c>
      <c r="B905" t="s">
        <v>6035</v>
      </c>
      <c r="C905" t="s">
        <v>3758</v>
      </c>
      <c r="D905" t="str" cm="1">
        <f t="array" ref="D905">TRANSPOSE(_xlfn._xlws.FILTER('Controllable Asset Registry'!$A$4:$A$764,IFERROR('Controllable Asset Registry'!$E$4:$E$764=A905,FALSE),"No Equipment in entity"))</f>
        <v>No Equipment in entity</v>
      </c>
    </row>
    <row r="906" spans="1:9" x14ac:dyDescent="0.3">
      <c r="A906" t="s">
        <v>4469</v>
      </c>
      <c r="B906" t="s">
        <v>6036</v>
      </c>
      <c r="C906" t="s">
        <v>5250</v>
      </c>
      <c r="D906" t="str" cm="1">
        <f t="array" ref="D906:I906">TRANSPOSE(_xlfn._xlws.FILTER('Controllable Asset Registry'!$A$4:$A$764,IFERROR('Controllable Asset Registry'!$E$4:$E$764=A906,FALSE),"No Equipment in entity"))</f>
        <v>VAV0522</v>
      </c>
      <c r="E906" t="str">
        <v>VAV0542</v>
      </c>
      <c r="F906" t="str">
        <v>VAV0543</v>
      </c>
      <c r="G906" t="str">
        <v>VAV0544</v>
      </c>
      <c r="H906" t="str">
        <v>VAV0545</v>
      </c>
      <c r="I906" t="str">
        <v>VAV0546</v>
      </c>
    </row>
    <row r="907" spans="1:9" x14ac:dyDescent="0.3">
      <c r="A907" t="s">
        <v>5251</v>
      </c>
      <c r="B907" t="s">
        <v>6037</v>
      </c>
      <c r="C907" t="s">
        <v>5025</v>
      </c>
      <c r="D907" t="str" cm="1">
        <f t="array" ref="D907">TRANSPOSE(_xlfn._xlws.FILTER('Controllable Asset Registry'!$A$4:$A$764,IFERROR('Controllable Asset Registry'!$E$4:$E$764=A907,FALSE),"No Equipment in entity"))</f>
        <v>No Equipment in entity</v>
      </c>
    </row>
    <row r="908" spans="1:9" x14ac:dyDescent="0.3">
      <c r="A908" t="s">
        <v>5252</v>
      </c>
      <c r="B908" t="s">
        <v>5253</v>
      </c>
      <c r="C908" t="s">
        <v>4793</v>
      </c>
      <c r="D908" t="str" cm="1">
        <f t="array" ref="D908">TRANSPOSE(_xlfn._xlws.FILTER('Controllable Asset Registry'!$A$4:$A$764,IFERROR('Controllable Asset Registry'!$E$4:$E$764=A908,FALSE),"No Equipment in entity"))</f>
        <v>No Equipment in entity</v>
      </c>
    </row>
    <row r="909" spans="1:9" x14ac:dyDescent="0.3">
      <c r="A909" t="s">
        <v>5254</v>
      </c>
      <c r="B909" t="s">
        <v>5255</v>
      </c>
      <c r="C909" t="s">
        <v>4796</v>
      </c>
      <c r="D909" t="str" cm="1">
        <f t="array" ref="D909">TRANSPOSE(_xlfn._xlws.FILTER('Controllable Asset Registry'!$A$4:$A$764,IFERROR('Controllable Asset Registry'!$E$4:$E$764=A909,FALSE),"No Equipment in entity"))</f>
        <v>No Equipment in entity</v>
      </c>
    </row>
    <row r="910" spans="1:9" x14ac:dyDescent="0.3">
      <c r="A910" t="s">
        <v>5256</v>
      </c>
      <c r="B910" t="s">
        <v>5257</v>
      </c>
      <c r="C910" t="s">
        <v>4799</v>
      </c>
      <c r="D910" t="str" cm="1">
        <f t="array" ref="D910">TRANSPOSE(_xlfn._xlws.FILTER('Controllable Asset Registry'!$A$4:$A$764,IFERROR('Controllable Asset Registry'!$E$4:$E$764=A910,FALSE),"No Equipment in entity"))</f>
        <v>No Equipment in entity</v>
      </c>
    </row>
    <row r="911" spans="1:9" x14ac:dyDescent="0.3">
      <c r="A911" t="s">
        <v>5258</v>
      </c>
      <c r="B911" t="s">
        <v>5259</v>
      </c>
      <c r="C911" t="s">
        <v>4663</v>
      </c>
      <c r="D911" t="str" cm="1">
        <f t="array" ref="D911">TRANSPOSE(_xlfn._xlws.FILTER('Controllable Asset Registry'!$A$4:$A$764,IFERROR('Controllable Asset Registry'!$E$4:$E$764=A911,FALSE),"No Equipment in entity"))</f>
        <v>No Equipment in entity</v>
      </c>
    </row>
    <row r="912" spans="1:9" x14ac:dyDescent="0.3">
      <c r="A912" t="s">
        <v>5260</v>
      </c>
      <c r="B912" t="s">
        <v>5261</v>
      </c>
      <c r="C912" t="s">
        <v>4666</v>
      </c>
      <c r="D912" t="str" cm="1">
        <f t="array" ref="D912">TRANSPOSE(_xlfn._xlws.FILTER('Controllable Asset Registry'!$A$4:$A$764,IFERROR('Controllable Asset Registry'!$E$4:$E$764=A912,FALSE),"No Equipment in entity"))</f>
        <v>No Equipment in entity</v>
      </c>
    </row>
    <row r="913" spans="1:4" x14ac:dyDescent="0.3">
      <c r="A913" t="s">
        <v>5262</v>
      </c>
      <c r="B913" t="s">
        <v>5263</v>
      </c>
      <c r="C913" t="s">
        <v>4669</v>
      </c>
      <c r="D913" t="str" cm="1">
        <f t="array" ref="D913">TRANSPOSE(_xlfn._xlws.FILTER('Controllable Asset Registry'!$A$4:$A$764,IFERROR('Controllable Asset Registry'!$E$4:$E$764=A913,FALSE),"No Equipment in entity"))</f>
        <v>No Equipment in entity</v>
      </c>
    </row>
    <row r="914" spans="1:4" x14ac:dyDescent="0.3">
      <c r="A914" t="s">
        <v>5264</v>
      </c>
      <c r="B914" t="s">
        <v>5265</v>
      </c>
      <c r="C914" t="s">
        <v>4808</v>
      </c>
      <c r="D914" t="str" cm="1">
        <f t="array" ref="D914">TRANSPOSE(_xlfn._xlws.FILTER('Controllable Asset Registry'!$A$4:$A$764,IFERROR('Controllable Asset Registry'!$E$4:$E$764=A914,FALSE),"No Equipment in entity"))</f>
        <v>No Equipment in entity</v>
      </c>
    </row>
    <row r="915" spans="1:4" x14ac:dyDescent="0.3">
      <c r="A915" t="s">
        <v>5266</v>
      </c>
      <c r="B915" t="s">
        <v>5267</v>
      </c>
      <c r="C915" t="s">
        <v>4674</v>
      </c>
      <c r="D915" t="str" cm="1">
        <f t="array" ref="D915">TRANSPOSE(_xlfn._xlws.FILTER('Controllable Asset Registry'!$A$4:$A$764,IFERROR('Controllable Asset Registry'!$E$4:$E$764=A915,FALSE),"No Equipment in entity"))</f>
        <v>No Equipment in entity</v>
      </c>
    </row>
    <row r="916" spans="1:4" x14ac:dyDescent="0.3">
      <c r="A916" t="s">
        <v>5268</v>
      </c>
      <c r="B916" t="s">
        <v>5269</v>
      </c>
      <c r="C916" t="s">
        <v>4676</v>
      </c>
      <c r="D916" t="str" cm="1">
        <f t="array" ref="D916">TRANSPOSE(_xlfn._xlws.FILTER('Controllable Asset Registry'!$A$4:$A$764,IFERROR('Controllable Asset Registry'!$E$4:$E$764=A916,FALSE),"No Equipment in entity"))</f>
        <v>No Equipment in entity</v>
      </c>
    </row>
    <row r="917" spans="1:4" x14ac:dyDescent="0.3">
      <c r="A917" t="s">
        <v>5270</v>
      </c>
      <c r="B917" t="s">
        <v>5271</v>
      </c>
      <c r="C917" t="s">
        <v>4815</v>
      </c>
      <c r="D917" t="str" cm="1">
        <f t="array" ref="D917">TRANSPOSE(_xlfn._xlws.FILTER('Controllable Asset Registry'!$A$4:$A$764,IFERROR('Controllable Asset Registry'!$E$4:$E$764=A917,FALSE),"No Equipment in entity"))</f>
        <v>No Equipment in entity</v>
      </c>
    </row>
    <row r="918" spans="1:4" x14ac:dyDescent="0.3">
      <c r="A918" t="s">
        <v>5272</v>
      </c>
      <c r="B918" t="s">
        <v>5273</v>
      </c>
      <c r="C918" t="s">
        <v>4679</v>
      </c>
      <c r="D918" t="str" cm="1">
        <f t="array" ref="D918">TRANSPOSE(_xlfn._xlws.FILTER('Controllable Asset Registry'!$A$4:$A$764,IFERROR('Controllable Asset Registry'!$E$4:$E$764=A918,FALSE),"No Equipment in entity"))</f>
        <v>No Equipment in entity</v>
      </c>
    </row>
    <row r="919" spans="1:4" x14ac:dyDescent="0.3">
      <c r="A919" t="s">
        <v>4501</v>
      </c>
      <c r="B919" t="s">
        <v>6038</v>
      </c>
      <c r="C919" t="s">
        <v>5274</v>
      </c>
      <c r="D919" t="str" cm="1">
        <f t="array" ref="D919">TRANSPOSE(_xlfn._xlws.FILTER('Controllable Asset Registry'!$A$4:$A$764,IFERROR('Controllable Asset Registry'!$E$4:$E$764=A919,FALSE),"No Equipment in entity"))</f>
        <v>VAV0568</v>
      </c>
    </row>
    <row r="920" spans="1:4" x14ac:dyDescent="0.3">
      <c r="A920" t="s">
        <v>4502</v>
      </c>
      <c r="B920" t="s">
        <v>6039</v>
      </c>
      <c r="C920" t="s">
        <v>5275</v>
      </c>
      <c r="D920" t="str" cm="1">
        <f t="array" ref="D920">TRANSPOSE(_xlfn._xlws.FILTER('Controllable Asset Registry'!$A$4:$A$764,IFERROR('Controllable Asset Registry'!$E$4:$E$764=A920,FALSE),"No Equipment in entity"))</f>
        <v>VAV0570</v>
      </c>
    </row>
    <row r="921" spans="1:4" x14ac:dyDescent="0.3">
      <c r="A921" t="s">
        <v>4503</v>
      </c>
      <c r="B921" t="s">
        <v>6040</v>
      </c>
      <c r="C921" t="s">
        <v>5276</v>
      </c>
      <c r="D921" t="str" cm="1">
        <f t="array" ref="D921">TRANSPOSE(_xlfn._xlws.FILTER('Controllable Asset Registry'!$A$4:$A$764,IFERROR('Controllable Asset Registry'!$E$4:$E$764=A921,FALSE),"No Equipment in entity"))</f>
        <v>VAV0571</v>
      </c>
    </row>
    <row r="922" spans="1:4" x14ac:dyDescent="0.3">
      <c r="A922" t="s">
        <v>4504</v>
      </c>
      <c r="B922" t="s">
        <v>6041</v>
      </c>
      <c r="C922" t="s">
        <v>5277</v>
      </c>
      <c r="D922" t="str" cm="1">
        <f t="array" ref="D922">TRANSPOSE(_xlfn._xlws.FILTER('Controllable Asset Registry'!$A$4:$A$764,IFERROR('Controllable Asset Registry'!$E$4:$E$764=A922,FALSE),"No Equipment in entity"))</f>
        <v>VAV0573</v>
      </c>
    </row>
    <row r="923" spans="1:4" x14ac:dyDescent="0.3">
      <c r="A923" t="s">
        <v>4505</v>
      </c>
      <c r="B923" t="s">
        <v>6042</v>
      </c>
      <c r="C923" t="s">
        <v>5278</v>
      </c>
      <c r="D923" t="str" cm="1">
        <f t="array" ref="D923">TRANSPOSE(_xlfn._xlws.FILTER('Controllable Asset Registry'!$A$4:$A$764,IFERROR('Controllable Asset Registry'!$E$4:$E$764=A923,FALSE),"No Equipment in entity"))</f>
        <v>VAV0574</v>
      </c>
    </row>
    <row r="924" spans="1:4" x14ac:dyDescent="0.3">
      <c r="A924" t="s">
        <v>4506</v>
      </c>
      <c r="B924" t="s">
        <v>6043</v>
      </c>
      <c r="C924" t="s">
        <v>5279</v>
      </c>
      <c r="D924" t="str" cm="1">
        <f t="array" ref="D924">TRANSPOSE(_xlfn._xlws.FILTER('Controllable Asset Registry'!$A$4:$A$764,IFERROR('Controllable Asset Registry'!$E$4:$E$764=A924,FALSE),"No Equipment in entity"))</f>
        <v>VAV0575</v>
      </c>
    </row>
    <row r="925" spans="1:4" x14ac:dyDescent="0.3">
      <c r="A925" t="s">
        <v>4518</v>
      </c>
      <c r="B925" t="s">
        <v>6044</v>
      </c>
      <c r="C925" t="s">
        <v>5280</v>
      </c>
      <c r="D925" t="str" cm="1">
        <f t="array" ref="D925">TRANSPOSE(_xlfn._xlws.FILTER('Controllable Asset Registry'!$A$4:$A$764,IFERROR('Controllable Asset Registry'!$E$4:$E$764=A925,FALSE),"No Equipment in entity"))</f>
        <v>VAV0602</v>
      </c>
    </row>
    <row r="926" spans="1:4" x14ac:dyDescent="0.3">
      <c r="A926" t="s">
        <v>4507</v>
      </c>
      <c r="B926" t="s">
        <v>6045</v>
      </c>
      <c r="C926" t="s">
        <v>5280</v>
      </c>
      <c r="D926" t="str" cm="1">
        <f t="array" ref="D926">TRANSPOSE(_xlfn._xlws.FILTER('Controllable Asset Registry'!$A$4:$A$764,IFERROR('Controllable Asset Registry'!$E$4:$E$764=A926,FALSE),"No Equipment in entity"))</f>
        <v>VAV0576</v>
      </c>
    </row>
    <row r="927" spans="1:4" x14ac:dyDescent="0.3">
      <c r="A927" t="s">
        <v>4508</v>
      </c>
      <c r="B927" t="s">
        <v>6046</v>
      </c>
      <c r="C927" t="s">
        <v>5281</v>
      </c>
      <c r="D927" t="str" cm="1">
        <f t="array" ref="D927">TRANSPOSE(_xlfn._xlws.FILTER('Controllable Asset Registry'!$A$4:$A$764,IFERROR('Controllable Asset Registry'!$E$4:$E$764=A927,FALSE),"No Equipment in entity"))</f>
        <v>VAV0577</v>
      </c>
    </row>
    <row r="928" spans="1:4" x14ac:dyDescent="0.3">
      <c r="A928" t="s">
        <v>4509</v>
      </c>
      <c r="B928" t="s">
        <v>6047</v>
      </c>
      <c r="C928" t="s">
        <v>5282</v>
      </c>
      <c r="D928" t="str" cm="1">
        <f t="array" ref="D928">TRANSPOSE(_xlfn._xlws.FILTER('Controllable Asset Registry'!$A$4:$A$764,IFERROR('Controllable Asset Registry'!$E$4:$E$764=A928,FALSE),"No Equipment in entity"))</f>
        <v>VAV0578</v>
      </c>
    </row>
    <row r="929" spans="1:5" x14ac:dyDescent="0.3">
      <c r="A929" t="s">
        <v>4510</v>
      </c>
      <c r="B929" t="s">
        <v>6048</v>
      </c>
      <c r="C929" t="s">
        <v>5281</v>
      </c>
      <c r="D929" t="str" cm="1">
        <f t="array" ref="D929">TRANSPOSE(_xlfn._xlws.FILTER('Controllable Asset Registry'!$A$4:$A$764,IFERROR('Controllable Asset Registry'!$E$4:$E$764=A929,FALSE),"No Equipment in entity"))</f>
        <v>VAV0579</v>
      </c>
    </row>
    <row r="930" spans="1:5" x14ac:dyDescent="0.3">
      <c r="A930" t="s">
        <v>4489</v>
      </c>
      <c r="B930" t="s">
        <v>6049</v>
      </c>
      <c r="C930" t="s">
        <v>5283</v>
      </c>
      <c r="D930" t="str" cm="1">
        <f t="array" ref="D930">TRANSPOSE(_xlfn._xlws.FILTER('Controllable Asset Registry'!$A$4:$A$764,IFERROR('Controllable Asset Registry'!$E$4:$E$764=A930,FALSE),"No Equipment in entity"))</f>
        <v>VAV0552</v>
      </c>
    </row>
    <row r="931" spans="1:5" x14ac:dyDescent="0.3">
      <c r="A931" t="s">
        <v>4490</v>
      </c>
      <c r="B931" t="s">
        <v>6050</v>
      </c>
      <c r="C931" t="s">
        <v>5284</v>
      </c>
      <c r="D931" t="str" cm="1">
        <f t="array" ref="D931">TRANSPOSE(_xlfn._xlws.FILTER('Controllable Asset Registry'!$A$4:$A$764,IFERROR('Controllable Asset Registry'!$E$4:$E$764=A931,FALSE),"No Equipment in entity"))</f>
        <v>VAV0553</v>
      </c>
    </row>
    <row r="932" spans="1:5" x14ac:dyDescent="0.3">
      <c r="A932" t="s">
        <v>4491</v>
      </c>
      <c r="B932" t="s">
        <v>6051</v>
      </c>
      <c r="C932" t="s">
        <v>5285</v>
      </c>
      <c r="D932" t="str" cm="1">
        <f t="array" ref="D932">TRANSPOSE(_xlfn._xlws.FILTER('Controllable Asset Registry'!$A$4:$A$764,IFERROR('Controllable Asset Registry'!$E$4:$E$764=A932,FALSE),"No Equipment in entity"))</f>
        <v>VAV0554</v>
      </c>
    </row>
    <row r="933" spans="1:5" x14ac:dyDescent="0.3">
      <c r="A933" t="s">
        <v>4492</v>
      </c>
      <c r="B933" t="s">
        <v>6052</v>
      </c>
      <c r="C933" t="s">
        <v>5284</v>
      </c>
      <c r="D933" t="str" cm="1">
        <f t="array" ref="D933">TRANSPOSE(_xlfn._xlws.FILTER('Controllable Asset Registry'!$A$4:$A$764,IFERROR('Controllable Asset Registry'!$E$4:$E$764=A933,FALSE),"No Equipment in entity"))</f>
        <v>VAV0555</v>
      </c>
    </row>
    <row r="934" spans="1:5" x14ac:dyDescent="0.3">
      <c r="A934" t="s">
        <v>4493</v>
      </c>
      <c r="B934" t="s">
        <v>6053</v>
      </c>
      <c r="C934" t="s">
        <v>5286</v>
      </c>
      <c r="D934" t="str" cm="1">
        <f t="array" ref="D934">TRANSPOSE(_xlfn._xlws.FILTER('Controllable Asset Registry'!$A$4:$A$764,IFERROR('Controllable Asset Registry'!$E$4:$E$764=A934,FALSE),"No Equipment in entity"))</f>
        <v>VAV0556</v>
      </c>
    </row>
    <row r="935" spans="1:5" x14ac:dyDescent="0.3">
      <c r="A935" t="s">
        <v>4494</v>
      </c>
      <c r="B935" t="s">
        <v>6054</v>
      </c>
      <c r="C935" t="s">
        <v>5287</v>
      </c>
      <c r="D935" t="str" cm="1">
        <f t="array" ref="D935">TRANSPOSE(_xlfn._xlws.FILTER('Controllable Asset Registry'!$A$4:$A$764,IFERROR('Controllable Asset Registry'!$E$4:$E$764=A935,FALSE),"No Equipment in entity"))</f>
        <v>VAV0557</v>
      </c>
    </row>
    <row r="936" spans="1:5" x14ac:dyDescent="0.3">
      <c r="A936" t="s">
        <v>4495</v>
      </c>
      <c r="B936" t="s">
        <v>6055</v>
      </c>
      <c r="C936" t="s">
        <v>5288</v>
      </c>
      <c r="D936" t="str" cm="1">
        <f t="array" ref="D936">TRANSPOSE(_xlfn._xlws.FILTER('Controllable Asset Registry'!$A$4:$A$764,IFERROR('Controllable Asset Registry'!$E$4:$E$764=A936,FALSE),"No Equipment in entity"))</f>
        <v>VAV0559</v>
      </c>
    </row>
    <row r="937" spans="1:5" x14ac:dyDescent="0.3">
      <c r="A937" t="s">
        <v>4496</v>
      </c>
      <c r="B937" t="s">
        <v>6056</v>
      </c>
      <c r="C937" t="s">
        <v>5289</v>
      </c>
      <c r="D937" t="str" cm="1">
        <f t="array" ref="D937">TRANSPOSE(_xlfn._xlws.FILTER('Controllable Asset Registry'!$A$4:$A$764,IFERROR('Controllable Asset Registry'!$E$4:$E$764=A937,FALSE),"No Equipment in entity"))</f>
        <v>VAV0560</v>
      </c>
    </row>
    <row r="938" spans="1:5" x14ac:dyDescent="0.3">
      <c r="A938" t="s">
        <v>4497</v>
      </c>
      <c r="B938" t="s">
        <v>6057</v>
      </c>
      <c r="C938" t="s">
        <v>5288</v>
      </c>
      <c r="D938" t="str" cm="1">
        <f t="array" ref="D938">TRANSPOSE(_xlfn._xlws.FILTER('Controllable Asset Registry'!$A$4:$A$764,IFERROR('Controllable Asset Registry'!$E$4:$E$764=A938,FALSE),"No Equipment in entity"))</f>
        <v>VAV0561</v>
      </c>
    </row>
    <row r="939" spans="1:5" x14ac:dyDescent="0.3">
      <c r="A939" t="s">
        <v>4498</v>
      </c>
      <c r="B939" t="s">
        <v>6058</v>
      </c>
      <c r="C939" t="s">
        <v>5290</v>
      </c>
      <c r="D939" t="str" cm="1">
        <f t="array" ref="D939">TRANSPOSE(_xlfn._xlws.FILTER('Controllable Asset Registry'!$A$4:$A$764,IFERROR('Controllable Asset Registry'!$E$4:$E$764=A939,FALSE),"No Equipment in entity"))</f>
        <v>VAV0562</v>
      </c>
    </row>
    <row r="940" spans="1:5" x14ac:dyDescent="0.3">
      <c r="A940" t="s">
        <v>4499</v>
      </c>
      <c r="B940" t="s">
        <v>6059</v>
      </c>
      <c r="C940" t="s">
        <v>5291</v>
      </c>
      <c r="D940" t="str" cm="1">
        <f t="array" ref="D940:E940">TRANSPOSE(_xlfn._xlws.FILTER('Controllable Asset Registry'!$A$4:$A$764,IFERROR('Controllable Asset Registry'!$E$4:$E$764=A940,FALSE),"No Equipment in entity"))</f>
        <v>VAV0564</v>
      </c>
      <c r="E940" t="str">
        <v>VAV0565</v>
      </c>
    </row>
    <row r="941" spans="1:5" x14ac:dyDescent="0.3">
      <c r="A941" t="s">
        <v>4500</v>
      </c>
      <c r="B941" t="s">
        <v>6060</v>
      </c>
      <c r="C941" t="s">
        <v>5292</v>
      </c>
      <c r="D941" t="str" cm="1">
        <f t="array" ref="D941">TRANSPOSE(_xlfn._xlws.FILTER('Controllable Asset Registry'!$A$4:$A$764,IFERROR('Controllable Asset Registry'!$E$4:$E$764=A941,FALSE),"No Equipment in entity"))</f>
        <v>VAV0567</v>
      </c>
    </row>
    <row r="942" spans="1:5" x14ac:dyDescent="0.3">
      <c r="A942" t="s">
        <v>5293</v>
      </c>
      <c r="B942" t="s">
        <v>6061</v>
      </c>
      <c r="C942" t="s">
        <v>5237</v>
      </c>
      <c r="D942" t="str" cm="1">
        <f t="array" ref="D942">TRANSPOSE(_xlfn._xlws.FILTER('Controllable Asset Registry'!$A$4:$A$764,IFERROR('Controllable Asset Registry'!$E$4:$E$764=A942,FALSE),"No Equipment in entity"))</f>
        <v>No Equipment in entity</v>
      </c>
    </row>
    <row r="943" spans="1:5" x14ac:dyDescent="0.3">
      <c r="A943" t="s">
        <v>4520</v>
      </c>
      <c r="B943" t="s">
        <v>6062</v>
      </c>
      <c r="C943" t="s">
        <v>5294</v>
      </c>
      <c r="D943" t="str" cm="1">
        <f t="array" ref="D943:E943">TRANSPOSE(_xlfn._xlws.FILTER('Controllable Asset Registry'!$A$4:$A$764,IFERROR('Controllable Asset Registry'!$E$4:$E$764=A943,FALSE),"No Equipment in entity"))</f>
        <v>VAV0605</v>
      </c>
      <c r="E943" t="str">
        <v>VAV0606</v>
      </c>
    </row>
    <row r="944" spans="1:5" x14ac:dyDescent="0.3">
      <c r="A944" t="s">
        <v>5295</v>
      </c>
      <c r="B944" t="s">
        <v>6063</v>
      </c>
      <c r="C944" t="s">
        <v>4707</v>
      </c>
      <c r="D944" t="str" cm="1">
        <f t="array" ref="D944">TRANSPOSE(_xlfn._xlws.FILTER('Controllable Asset Registry'!$A$4:$A$764,IFERROR('Controllable Asset Registry'!$E$4:$E$764=A944,FALSE),"No Equipment in entity"))</f>
        <v>No Equipment in entity</v>
      </c>
    </row>
    <row r="945" spans="1:7" x14ac:dyDescent="0.3">
      <c r="A945" t="s">
        <v>5296</v>
      </c>
      <c r="B945" t="s">
        <v>6064</v>
      </c>
      <c r="C945" t="s">
        <v>4865</v>
      </c>
      <c r="D945" t="str" cm="1">
        <f t="array" ref="D945">TRANSPOSE(_xlfn._xlws.FILTER('Controllable Asset Registry'!$A$4:$A$764,IFERROR('Controllable Asset Registry'!$E$4:$E$764=A945,FALSE),"No Equipment in entity"))</f>
        <v>No Equipment in entity</v>
      </c>
    </row>
    <row r="946" spans="1:7" x14ac:dyDescent="0.3">
      <c r="A946" t="s">
        <v>4032</v>
      </c>
      <c r="B946" t="s">
        <v>6065</v>
      </c>
      <c r="C946" t="s">
        <v>5297</v>
      </c>
      <c r="D946" t="str" cm="1">
        <f t="array" ref="D946">TRANSPOSE(_xlfn._xlws.FILTER('Controllable Asset Registry'!$A$4:$A$764,IFERROR('Controllable Asset Registry'!$E$4:$E$764=A946,FALSE),"No Equipment in entity"))</f>
        <v>FCU0122</v>
      </c>
    </row>
    <row r="947" spans="1:7" x14ac:dyDescent="0.3">
      <c r="A947" t="s">
        <v>4034</v>
      </c>
      <c r="B947" t="s">
        <v>6066</v>
      </c>
      <c r="C947" t="s">
        <v>5298</v>
      </c>
      <c r="D947" t="str" cm="1">
        <f t="array" ref="D947">TRANSPOSE(_xlfn._xlws.FILTER('Controllable Asset Registry'!$A$4:$A$764,IFERROR('Controllable Asset Registry'!$E$4:$E$764=A947,FALSE),"No Equipment in entity"))</f>
        <v>FCU0124</v>
      </c>
    </row>
    <row r="948" spans="1:7" x14ac:dyDescent="0.3">
      <c r="A948" t="s">
        <v>4033</v>
      </c>
      <c r="B948" t="s">
        <v>6067</v>
      </c>
      <c r="C948" t="s">
        <v>4836</v>
      </c>
      <c r="D948" t="str" cm="1">
        <f t="array" ref="D948">TRANSPOSE(_xlfn._xlws.FILTER('Controllable Asset Registry'!$A$4:$A$764,IFERROR('Controllable Asset Registry'!$E$4:$E$764=A948,FALSE),"No Equipment in entity"))</f>
        <v>FCU0123</v>
      </c>
    </row>
    <row r="949" spans="1:7" x14ac:dyDescent="0.3">
      <c r="A949" t="s">
        <v>4031</v>
      </c>
      <c r="B949" t="s">
        <v>6068</v>
      </c>
      <c r="C949" t="s">
        <v>4614</v>
      </c>
      <c r="D949" t="str" cm="1">
        <f t="array" ref="D949">TRANSPOSE(_xlfn._xlws.FILTER('Controllable Asset Registry'!$A$4:$A$764,IFERROR('Controllable Asset Registry'!$E$4:$E$764=A949,FALSE),"No Equipment in entity"))</f>
        <v>FCU0121</v>
      </c>
    </row>
    <row r="950" spans="1:7" x14ac:dyDescent="0.3">
      <c r="A950" t="s">
        <v>4512</v>
      </c>
      <c r="B950" t="s">
        <v>6069</v>
      </c>
      <c r="C950" t="s">
        <v>5299</v>
      </c>
      <c r="D950" t="str" cm="1">
        <f t="array" ref="D950:E950">TRANSPOSE(_xlfn._xlws.FILTER('Controllable Asset Registry'!$A$4:$A$764,IFERROR('Controllable Asset Registry'!$E$4:$E$764=A950,FALSE),"No Equipment in entity"))</f>
        <v>VAV0582</v>
      </c>
      <c r="E950" t="str">
        <v>VAV0583</v>
      </c>
    </row>
    <row r="951" spans="1:7" x14ac:dyDescent="0.3">
      <c r="A951" t="s">
        <v>4513</v>
      </c>
      <c r="B951" t="s">
        <v>6070</v>
      </c>
      <c r="C951" t="s">
        <v>5300</v>
      </c>
      <c r="D951" t="str" cm="1">
        <f t="array" ref="D951:G951">TRANSPOSE(_xlfn._xlws.FILTER('Controllable Asset Registry'!$A$4:$A$764,IFERROR('Controllable Asset Registry'!$E$4:$E$764=A951,FALSE),"No Equipment in entity"))</f>
        <v>VAV0584</v>
      </c>
      <c r="E951" t="str">
        <v>VAV0585</v>
      </c>
      <c r="F951" t="str">
        <v>VAV0586</v>
      </c>
      <c r="G951" t="str">
        <v>VAV0587</v>
      </c>
    </row>
    <row r="952" spans="1:7" x14ac:dyDescent="0.3">
      <c r="A952" t="s">
        <v>4514</v>
      </c>
      <c r="B952" t="s">
        <v>6071</v>
      </c>
      <c r="C952" t="s">
        <v>5301</v>
      </c>
      <c r="D952" t="str" cm="1">
        <f t="array" ref="D952:E952">TRANSPOSE(_xlfn._xlws.FILTER('Controllable Asset Registry'!$A$4:$A$764,IFERROR('Controllable Asset Registry'!$E$4:$E$764=A952,FALSE),"No Equipment in entity"))</f>
        <v>VAV0588</v>
      </c>
      <c r="E952" t="str">
        <v>VAV0589</v>
      </c>
    </row>
    <row r="953" spans="1:7" x14ac:dyDescent="0.3">
      <c r="A953" t="s">
        <v>4515</v>
      </c>
      <c r="B953" t="s">
        <v>6072</v>
      </c>
      <c r="C953" t="s">
        <v>5302</v>
      </c>
      <c r="D953" t="str" cm="1">
        <f t="array" ref="D953:E953">TRANSPOSE(_xlfn._xlws.FILTER('Controllable Asset Registry'!$A$4:$A$764,IFERROR('Controllable Asset Registry'!$E$4:$E$764=A953,FALSE),"No Equipment in entity"))</f>
        <v>VAV0590</v>
      </c>
      <c r="E953" t="str">
        <v>VAV0591</v>
      </c>
    </row>
    <row r="954" spans="1:7" x14ac:dyDescent="0.3">
      <c r="A954" t="s">
        <v>5303</v>
      </c>
      <c r="B954" t="s">
        <v>6073</v>
      </c>
      <c r="C954" t="s">
        <v>4625</v>
      </c>
      <c r="D954" t="str" cm="1">
        <f t="array" ref="D954">TRANSPOSE(_xlfn._xlws.FILTER('Controllable Asset Registry'!$A$4:$A$764,IFERROR('Controllable Asset Registry'!$E$4:$E$764=A954,FALSE),"No Equipment in entity"))</f>
        <v>No Equipment in entity</v>
      </c>
    </row>
    <row r="955" spans="1:7" x14ac:dyDescent="0.3">
      <c r="A955" t="s">
        <v>5304</v>
      </c>
      <c r="B955" t="s">
        <v>6074</v>
      </c>
      <c r="C955" t="s">
        <v>4628</v>
      </c>
      <c r="D955" t="str" cm="1">
        <f t="array" ref="D955">TRANSPOSE(_xlfn._xlws.FILTER('Controllable Asset Registry'!$A$4:$A$764,IFERROR('Controllable Asset Registry'!$E$4:$E$764=A955,FALSE),"No Equipment in entity"))</f>
        <v>No Equipment in entity</v>
      </c>
    </row>
    <row r="956" spans="1:7" x14ac:dyDescent="0.3">
      <c r="A956" t="s">
        <v>5305</v>
      </c>
      <c r="B956" t="s">
        <v>6075</v>
      </c>
      <c r="C956" t="s">
        <v>5306</v>
      </c>
      <c r="D956" t="str" cm="1">
        <f t="array" ref="D956">TRANSPOSE(_xlfn._xlws.FILTER('Controllable Asset Registry'!$A$4:$A$764,IFERROR('Controllable Asset Registry'!$E$4:$E$764=A956,FALSE),"No Equipment in entity"))</f>
        <v>No Equipment in entity</v>
      </c>
    </row>
    <row r="957" spans="1:7" x14ac:dyDescent="0.3">
      <c r="A957" t="s">
        <v>5307</v>
      </c>
      <c r="B957" t="s">
        <v>6076</v>
      </c>
      <c r="C957" t="s">
        <v>3761</v>
      </c>
      <c r="D957" t="str" cm="1">
        <f t="array" ref="D957">TRANSPOSE(_xlfn._xlws.FILTER('Controllable Asset Registry'!$A$4:$A$764,IFERROR('Controllable Asset Registry'!$E$4:$E$764=A957,FALSE),"No Equipment in entity"))</f>
        <v>No Equipment in entity</v>
      </c>
    </row>
    <row r="958" spans="1:7" x14ac:dyDescent="0.3">
      <c r="A958" t="s">
        <v>5308</v>
      </c>
      <c r="B958" t="s">
        <v>6077</v>
      </c>
      <c r="C958" t="s">
        <v>3761</v>
      </c>
      <c r="D958" t="str" cm="1">
        <f t="array" ref="D958">TRANSPOSE(_xlfn._xlws.FILTER('Controllable Asset Registry'!$A$4:$A$764,IFERROR('Controllable Asset Registry'!$E$4:$E$764=A958,FALSE),"No Equipment in entity"))</f>
        <v>No Equipment in entity</v>
      </c>
    </row>
    <row r="959" spans="1:7" x14ac:dyDescent="0.3">
      <c r="A959" t="s">
        <v>5309</v>
      </c>
      <c r="B959" t="s">
        <v>6078</v>
      </c>
      <c r="C959" t="s">
        <v>3761</v>
      </c>
      <c r="D959" t="str" cm="1">
        <f t="array" ref="D959">TRANSPOSE(_xlfn._xlws.FILTER('Controllable Asset Registry'!$A$4:$A$764,IFERROR('Controllable Asset Registry'!$E$4:$E$764=A959,FALSE),"No Equipment in entity"))</f>
        <v>No Equipment in entity</v>
      </c>
    </row>
    <row r="960" spans="1:7" x14ac:dyDescent="0.3">
      <c r="A960" t="s">
        <v>5310</v>
      </c>
      <c r="B960" t="s">
        <v>6079</v>
      </c>
      <c r="C960" t="s">
        <v>3761</v>
      </c>
      <c r="D960" t="str" cm="1">
        <f t="array" ref="D960">TRANSPOSE(_xlfn._xlws.FILTER('Controllable Asset Registry'!$A$4:$A$764,IFERROR('Controllable Asset Registry'!$E$4:$E$764=A960,FALSE),"No Equipment in entity"))</f>
        <v>No Equipment in entity</v>
      </c>
    </row>
    <row r="961" spans="1:5" x14ac:dyDescent="0.3">
      <c r="A961" t="s">
        <v>5311</v>
      </c>
      <c r="B961" t="s">
        <v>6080</v>
      </c>
      <c r="C961" t="s">
        <v>3761</v>
      </c>
      <c r="D961" t="str" cm="1">
        <f t="array" ref="D961">TRANSPOSE(_xlfn._xlws.FILTER('Controllable Asset Registry'!$A$4:$A$764,IFERROR('Controllable Asset Registry'!$E$4:$E$764=A961,FALSE),"No Equipment in entity"))</f>
        <v>No Equipment in entity</v>
      </c>
    </row>
    <row r="962" spans="1:5" x14ac:dyDescent="0.3">
      <c r="A962" t="s">
        <v>5312</v>
      </c>
      <c r="B962" t="s">
        <v>6081</v>
      </c>
      <c r="C962" t="s">
        <v>3761</v>
      </c>
      <c r="D962" t="str" cm="1">
        <f t="array" ref="D962">TRANSPOSE(_xlfn._xlws.FILTER('Controllable Asset Registry'!$A$4:$A$764,IFERROR('Controllable Asset Registry'!$E$4:$E$764=A962,FALSE),"No Equipment in entity"))</f>
        <v>No Equipment in entity</v>
      </c>
    </row>
    <row r="963" spans="1:5" x14ac:dyDescent="0.3">
      <c r="A963" t="s">
        <v>5313</v>
      </c>
      <c r="B963" t="s">
        <v>6082</v>
      </c>
      <c r="C963" t="s">
        <v>3761</v>
      </c>
      <c r="D963" t="str" cm="1">
        <f t="array" ref="D963">TRANSPOSE(_xlfn._xlws.FILTER('Controllable Asset Registry'!$A$4:$A$764,IFERROR('Controllable Asset Registry'!$E$4:$E$764=A963,FALSE),"No Equipment in entity"))</f>
        <v>No Equipment in entity</v>
      </c>
    </row>
    <row r="964" spans="1:5" x14ac:dyDescent="0.3">
      <c r="A964" t="s">
        <v>5314</v>
      </c>
      <c r="B964" t="s">
        <v>6083</v>
      </c>
      <c r="C964" t="s">
        <v>3761</v>
      </c>
      <c r="D964" t="str" cm="1">
        <f t="array" ref="D964">TRANSPOSE(_xlfn._xlws.FILTER('Controllable Asset Registry'!$A$4:$A$764,IFERROR('Controllable Asset Registry'!$E$4:$E$764=A964,FALSE),"No Equipment in entity"))</f>
        <v>No Equipment in entity</v>
      </c>
    </row>
    <row r="965" spans="1:5" x14ac:dyDescent="0.3">
      <c r="A965" t="s">
        <v>5315</v>
      </c>
      <c r="B965" t="s">
        <v>6084</v>
      </c>
      <c r="C965" t="s">
        <v>3761</v>
      </c>
      <c r="D965" t="str" cm="1">
        <f t="array" ref="D965">TRANSPOSE(_xlfn._xlws.FILTER('Controllable Asset Registry'!$A$4:$A$764,IFERROR('Controllable Asset Registry'!$E$4:$E$764=A965,FALSE),"No Equipment in entity"))</f>
        <v>No Equipment in entity</v>
      </c>
    </row>
    <row r="966" spans="1:5" x14ac:dyDescent="0.3">
      <c r="A966" t="s">
        <v>5316</v>
      </c>
      <c r="B966" t="s">
        <v>6085</v>
      </c>
      <c r="C966" t="s">
        <v>3758</v>
      </c>
      <c r="D966" t="str" cm="1">
        <f t="array" ref="D966">TRANSPOSE(_xlfn._xlws.FILTER('Controllable Asset Registry'!$A$4:$A$764,IFERROR('Controllable Asset Registry'!$E$4:$E$764=A966,FALSE),"No Equipment in entity"))</f>
        <v>No Equipment in entity</v>
      </c>
    </row>
    <row r="967" spans="1:5" x14ac:dyDescent="0.3">
      <c r="A967" t="s">
        <v>4035</v>
      </c>
      <c r="B967" t="s">
        <v>6086</v>
      </c>
      <c r="C967" t="s">
        <v>4634</v>
      </c>
      <c r="D967" t="str" cm="1">
        <f t="array" ref="D967">TRANSPOSE(_xlfn._xlws.FILTER('Controllable Asset Registry'!$A$4:$A$764,IFERROR('Controllable Asset Registry'!$E$4:$E$764=A967,FALSE),"No Equipment in entity"))</f>
        <v>FCU0125</v>
      </c>
    </row>
    <row r="968" spans="1:5" x14ac:dyDescent="0.3">
      <c r="A968" t="s">
        <v>5317</v>
      </c>
      <c r="B968" t="s">
        <v>6087</v>
      </c>
      <c r="C968" t="s">
        <v>3758</v>
      </c>
      <c r="D968" t="str" cm="1">
        <f t="array" ref="D968">TRANSPOSE(_xlfn._xlws.FILTER('Controllable Asset Registry'!$A$4:$A$764,IFERROR('Controllable Asset Registry'!$E$4:$E$764=A968,FALSE),"No Equipment in entity"))</f>
        <v>No Equipment in entity</v>
      </c>
    </row>
    <row r="969" spans="1:5" x14ac:dyDescent="0.3">
      <c r="A969" t="s">
        <v>4030</v>
      </c>
      <c r="B969" t="s">
        <v>6088</v>
      </c>
      <c r="C969" t="s">
        <v>4634</v>
      </c>
      <c r="D969" t="str" cm="1">
        <f t="array" ref="D969:E969">TRANSPOSE(_xlfn._xlws.FILTER('Controllable Asset Registry'!$A$4:$A$764,IFERROR('Controllable Asset Registry'!$E$4:$E$764=A969,FALSE),"No Equipment in entity"))</f>
        <v>FCU0119</v>
      </c>
      <c r="E969" t="str">
        <v>FCU0120</v>
      </c>
    </row>
    <row r="970" spans="1:5" x14ac:dyDescent="0.3">
      <c r="A970" t="s">
        <v>5318</v>
      </c>
      <c r="B970" t="s">
        <v>6089</v>
      </c>
      <c r="C970" t="s">
        <v>5019</v>
      </c>
      <c r="D970" t="str" cm="1">
        <f t="array" ref="D970">TRANSPOSE(_xlfn._xlws.FILTER('Controllable Asset Registry'!$A$4:$A$764,IFERROR('Controllable Asset Registry'!$E$4:$E$764=A970,FALSE),"No Equipment in entity"))</f>
        <v>No Equipment in entity</v>
      </c>
    </row>
    <row r="971" spans="1:5" x14ac:dyDescent="0.3">
      <c r="A971" t="s">
        <v>5319</v>
      </c>
      <c r="B971" t="s">
        <v>6090</v>
      </c>
      <c r="C971" t="s">
        <v>4779</v>
      </c>
      <c r="D971" t="str" cm="1">
        <f t="array" ref="D971">TRANSPOSE(_xlfn._xlws.FILTER('Controllable Asset Registry'!$A$4:$A$764,IFERROR('Controllable Asset Registry'!$E$4:$E$764=A971,FALSE),"No Equipment in entity"))</f>
        <v>No Equipment in entity</v>
      </c>
    </row>
    <row r="972" spans="1:5" x14ac:dyDescent="0.3">
      <c r="A972" t="s">
        <v>5320</v>
      </c>
      <c r="B972" t="s">
        <v>6091</v>
      </c>
      <c r="C972" t="s">
        <v>3758</v>
      </c>
      <c r="D972" t="str" cm="1">
        <f t="array" ref="D972">TRANSPOSE(_xlfn._xlws.FILTER('Controllable Asset Registry'!$A$4:$A$764,IFERROR('Controllable Asset Registry'!$E$4:$E$764=A972,FALSE),"No Equipment in entity"))</f>
        <v>No Equipment in entity</v>
      </c>
    </row>
    <row r="973" spans="1:5" x14ac:dyDescent="0.3">
      <c r="A973" t="s">
        <v>5321</v>
      </c>
      <c r="B973" t="s">
        <v>6092</v>
      </c>
      <c r="C973" t="s">
        <v>5322</v>
      </c>
      <c r="D973" t="str" cm="1">
        <f t="array" ref="D973">TRANSPOSE(_xlfn._xlws.FILTER('Controllable Asset Registry'!$A$4:$A$764,IFERROR('Controllable Asset Registry'!$E$4:$E$764=A973,FALSE),"No Equipment in entity"))</f>
        <v>No Equipment in entity</v>
      </c>
    </row>
    <row r="974" spans="1:5" x14ac:dyDescent="0.3">
      <c r="A974" t="s">
        <v>5323</v>
      </c>
      <c r="B974" t="s">
        <v>6093</v>
      </c>
      <c r="C974" t="s">
        <v>5025</v>
      </c>
      <c r="D974" t="str" cm="1">
        <f t="array" ref="D974">TRANSPOSE(_xlfn._xlws.FILTER('Controllable Asset Registry'!$A$4:$A$764,IFERROR('Controllable Asset Registry'!$E$4:$E$764=A974,FALSE),"No Equipment in entity"))</f>
        <v>No Equipment in entity</v>
      </c>
    </row>
    <row r="975" spans="1:5" x14ac:dyDescent="0.3">
      <c r="A975" t="s">
        <v>5324</v>
      </c>
      <c r="B975" t="s">
        <v>6094</v>
      </c>
      <c r="C975" t="s">
        <v>5325</v>
      </c>
      <c r="D975" t="str" cm="1">
        <f t="array" ref="D975">TRANSPOSE(_xlfn._xlws.FILTER('Controllable Asset Registry'!$A$4:$A$764,IFERROR('Controllable Asset Registry'!$E$4:$E$764=A975,FALSE),"No Equipment in entity"))</f>
        <v>No Equipment in entity</v>
      </c>
    </row>
    <row r="976" spans="1:5" x14ac:dyDescent="0.3">
      <c r="A976" t="s">
        <v>5326</v>
      </c>
      <c r="B976" t="s">
        <v>5327</v>
      </c>
      <c r="C976" t="s">
        <v>4793</v>
      </c>
      <c r="D976" t="str" cm="1">
        <f t="array" ref="D976">TRANSPOSE(_xlfn._xlws.FILTER('Controllable Asset Registry'!$A$4:$A$764,IFERROR('Controllable Asset Registry'!$E$4:$E$764=A976,FALSE),"No Equipment in entity"))</f>
        <v>No Equipment in entity</v>
      </c>
    </row>
    <row r="977" spans="1:12" x14ac:dyDescent="0.3">
      <c r="A977" t="s">
        <v>5328</v>
      </c>
      <c r="B977" t="s">
        <v>5329</v>
      </c>
      <c r="C977" t="s">
        <v>4796</v>
      </c>
      <c r="D977" t="str" cm="1">
        <f t="array" ref="D977">TRANSPOSE(_xlfn._xlws.FILTER('Controllable Asset Registry'!$A$4:$A$764,IFERROR('Controllable Asset Registry'!$E$4:$E$764=A977,FALSE),"No Equipment in entity"))</f>
        <v>No Equipment in entity</v>
      </c>
    </row>
    <row r="978" spans="1:12" x14ac:dyDescent="0.3">
      <c r="A978" t="s">
        <v>5330</v>
      </c>
      <c r="B978" t="s">
        <v>5331</v>
      </c>
      <c r="C978" t="s">
        <v>4799</v>
      </c>
      <c r="D978" t="str" cm="1">
        <f t="array" ref="D978">TRANSPOSE(_xlfn._xlws.FILTER('Controllable Asset Registry'!$A$4:$A$764,IFERROR('Controllable Asset Registry'!$E$4:$E$764=A978,FALSE),"No Equipment in entity"))</f>
        <v>No Equipment in entity</v>
      </c>
    </row>
    <row r="979" spans="1:12" x14ac:dyDescent="0.3">
      <c r="A979" t="s">
        <v>5332</v>
      </c>
      <c r="B979" t="s">
        <v>5333</v>
      </c>
      <c r="C979" t="s">
        <v>4663</v>
      </c>
      <c r="D979" t="str" cm="1">
        <f t="array" ref="D979">TRANSPOSE(_xlfn._xlws.FILTER('Controllable Asset Registry'!$A$4:$A$764,IFERROR('Controllable Asset Registry'!$E$4:$E$764=A979,FALSE),"No Equipment in entity"))</f>
        <v>No Equipment in entity</v>
      </c>
    </row>
    <row r="980" spans="1:12" x14ac:dyDescent="0.3">
      <c r="A980" t="s">
        <v>5334</v>
      </c>
      <c r="B980" t="s">
        <v>5335</v>
      </c>
      <c r="C980" t="s">
        <v>4666</v>
      </c>
      <c r="D980" t="str" cm="1">
        <f t="array" ref="D980">TRANSPOSE(_xlfn._xlws.FILTER('Controllable Asset Registry'!$A$4:$A$764,IFERROR('Controllable Asset Registry'!$E$4:$E$764=A980,FALSE),"No Equipment in entity"))</f>
        <v>No Equipment in entity</v>
      </c>
    </row>
    <row r="981" spans="1:12" x14ac:dyDescent="0.3">
      <c r="A981" t="s">
        <v>5336</v>
      </c>
      <c r="B981" t="s">
        <v>5337</v>
      </c>
      <c r="C981" t="s">
        <v>4669</v>
      </c>
      <c r="D981" t="str" cm="1">
        <f t="array" ref="D981">TRANSPOSE(_xlfn._xlws.FILTER('Controllable Asset Registry'!$A$4:$A$764,IFERROR('Controllable Asset Registry'!$E$4:$E$764=A981,FALSE),"No Equipment in entity"))</f>
        <v>No Equipment in entity</v>
      </c>
    </row>
    <row r="982" spans="1:12" x14ac:dyDescent="0.3">
      <c r="A982" t="s">
        <v>5338</v>
      </c>
      <c r="B982" t="s">
        <v>5339</v>
      </c>
      <c r="C982" t="s">
        <v>4676</v>
      </c>
      <c r="D982" t="str" cm="1">
        <f t="array" ref="D982">TRANSPOSE(_xlfn._xlws.FILTER('Controllable Asset Registry'!$A$4:$A$764,IFERROR('Controllable Asset Registry'!$E$4:$E$764=A982,FALSE),"No Equipment in entity"))</f>
        <v>No Equipment in entity</v>
      </c>
    </row>
    <row r="983" spans="1:12" x14ac:dyDescent="0.3">
      <c r="A983" t="s">
        <v>5340</v>
      </c>
      <c r="B983" t="s">
        <v>5341</v>
      </c>
      <c r="C983" t="s">
        <v>4815</v>
      </c>
      <c r="D983" t="str" cm="1">
        <f t="array" ref="D983">TRANSPOSE(_xlfn._xlws.FILTER('Controllable Asset Registry'!$A$4:$A$764,IFERROR('Controllable Asset Registry'!$E$4:$E$764=A983,FALSE),"No Equipment in entity"))</f>
        <v>No Equipment in entity</v>
      </c>
    </row>
    <row r="984" spans="1:12" x14ac:dyDescent="0.3">
      <c r="A984" t="s">
        <v>5342</v>
      </c>
      <c r="B984" t="s">
        <v>5343</v>
      </c>
      <c r="C984" t="s">
        <v>4679</v>
      </c>
      <c r="D984" t="str" cm="1">
        <f t="array" ref="D984">TRANSPOSE(_xlfn._xlws.FILTER('Controllable Asset Registry'!$A$4:$A$764,IFERROR('Controllable Asset Registry'!$E$4:$E$764=A984,FALSE),"No Equipment in entity"))</f>
        <v>No Equipment in entity</v>
      </c>
    </row>
    <row r="985" spans="1:12" x14ac:dyDescent="0.3">
      <c r="A985" t="s">
        <v>6113</v>
      </c>
      <c r="B985" t="s">
        <v>6347</v>
      </c>
      <c r="C985" t="s">
        <v>5344</v>
      </c>
      <c r="D985" t="str" cm="1">
        <f t="array" ref="D985:L985">TRANSPOSE(_xlfn._xlws.FILTER('Controllable Asset Registry'!$A$4:$A$764,IFERROR('Controllable Asset Registry'!$E$4:$E$764=A985,FALSE),"No Equipment in entity"))</f>
        <v>AHU12_0001</v>
      </c>
      <c r="E985" t="str">
        <v>AHU12_0002</v>
      </c>
      <c r="F985" t="str">
        <v>AHU12_0003</v>
      </c>
      <c r="G985" t="str">
        <v>AHU12_0004</v>
      </c>
      <c r="H985" t="str">
        <v>AHU12_0006</v>
      </c>
      <c r="I985" t="str">
        <v>AHU12_0007</v>
      </c>
      <c r="J985" t="str">
        <v>AHU12_0008</v>
      </c>
      <c r="K985" t="str">
        <v>AHU12_0009</v>
      </c>
      <c r="L985" t="str">
        <v>AHU12_0010</v>
      </c>
    </row>
    <row r="986" spans="1:12" x14ac:dyDescent="0.3">
      <c r="A986" t="s">
        <v>3976</v>
      </c>
      <c r="B986" t="s">
        <v>6095</v>
      </c>
      <c r="C986" t="s">
        <v>5025</v>
      </c>
      <c r="D986" t="str" cm="1">
        <f t="array" ref="D986:F986">TRANSPOSE(_xlfn._xlws.FILTER('Controllable Asset Registry'!$A$4:$A$764,IFERROR('Controllable Asset Registry'!$E$4:$E$764=A986,FALSE),"No Equipment in entity"))</f>
        <v>FCU0025</v>
      </c>
      <c r="E986" t="str">
        <v>FCU0026</v>
      </c>
      <c r="F986" t="str">
        <v>FCU0027</v>
      </c>
    </row>
    <row r="987" spans="1:12" x14ac:dyDescent="0.3">
      <c r="A987" t="s">
        <v>6114</v>
      </c>
      <c r="B987">
        <v>5.2140000000000004</v>
      </c>
      <c r="C987" t="s">
        <v>5007</v>
      </c>
      <c r="D987" t="str" cm="1">
        <f t="array" ref="D987:E987">TRANSPOSE(_xlfn._xlws.FILTER('Controllable Asset Registry'!$A$4:$A$764,IFERROR('Controllable Asset Registry'!$E$4:$E$764=A987,FALSE),"No Equipment in entity"))</f>
        <v>FCU0075</v>
      </c>
      <c r="E987" t="str">
        <v>FCU0076</v>
      </c>
    </row>
    <row r="988" spans="1:12" x14ac:dyDescent="0.3">
      <c r="A988" t="s">
        <v>6115</v>
      </c>
      <c r="B988">
        <v>4.1100000000000003</v>
      </c>
      <c r="C988" t="s">
        <v>4836</v>
      </c>
      <c r="D988" t="str" cm="1">
        <f t="array" ref="D988">TRANSPOSE(_xlfn._xlws.FILTER('Controllable Asset Registry'!$A$4:$A$764,IFERROR('Controllable Asset Registry'!$E$4:$E$764=A988,FALSE),"No Equipment in entity"))</f>
        <v>FCU0084</v>
      </c>
    </row>
    <row r="989" spans="1:12" x14ac:dyDescent="0.3">
      <c r="A989" t="s">
        <v>4036</v>
      </c>
      <c r="B989" t="s">
        <v>6096</v>
      </c>
      <c r="C989" t="s">
        <v>5345</v>
      </c>
      <c r="D989" t="str" cm="1">
        <f t="array" ref="D989:E989">TRANSPOSE(_xlfn._xlws.FILTER('Controllable Asset Registry'!$A$4:$A$764,IFERROR('Controllable Asset Registry'!$E$4:$E$764=A989,FALSE),"No Equipment in entity"))</f>
        <v>FCU0126</v>
      </c>
      <c r="E989" t="str">
        <v>FCU0127</v>
      </c>
    </row>
    <row r="990" spans="1:12" x14ac:dyDescent="0.3">
      <c r="A990" t="s">
        <v>4037</v>
      </c>
      <c r="B990" t="s">
        <v>6097</v>
      </c>
      <c r="C990" t="s">
        <v>5345</v>
      </c>
      <c r="D990" t="str" cm="1">
        <f t="array" ref="D990:E990">TRANSPOSE(_xlfn._xlws.FILTER('Controllable Asset Registry'!$A$4:$A$764,IFERROR('Controllable Asset Registry'!$E$4:$E$764=A990,FALSE),"No Equipment in entity"))</f>
        <v>FCU0128</v>
      </c>
      <c r="E990" t="str">
        <v>FCU0129</v>
      </c>
    </row>
    <row r="991" spans="1:12" x14ac:dyDescent="0.3">
      <c r="A991" t="s">
        <v>4038</v>
      </c>
      <c r="B991" t="s">
        <v>6098</v>
      </c>
      <c r="C991" t="s">
        <v>5345</v>
      </c>
      <c r="D991" t="str" cm="1">
        <f t="array" ref="D991">TRANSPOSE(_xlfn._xlws.FILTER('Controllable Asset Registry'!$A$4:$A$764,IFERROR('Controllable Asset Registry'!$E$4:$E$764=A991,FALSE),"No Equipment in entity"))</f>
        <v>FCU0130</v>
      </c>
    </row>
    <row r="992" spans="1:12" x14ac:dyDescent="0.3">
      <c r="A992" t="s">
        <v>4040</v>
      </c>
      <c r="B992" t="s">
        <v>3805</v>
      </c>
      <c r="C992" t="s">
        <v>5346</v>
      </c>
      <c r="D992" t="str" cm="1">
        <f t="array" ref="D992">TRANSPOSE(_xlfn._xlws.FILTER('Controllable Asset Registry'!$A$4:$A$764,IFERROR('Controllable Asset Registry'!$E$4:$E$764=A992,FALSE),"No Equipment in entity"))</f>
        <v>VAV0001</v>
      </c>
    </row>
    <row r="993" spans="1:6" x14ac:dyDescent="0.3">
      <c r="A993" t="s">
        <v>6117</v>
      </c>
      <c r="B993" t="s">
        <v>6348</v>
      </c>
      <c r="C993" t="s">
        <v>3735</v>
      </c>
      <c r="D993" t="str" cm="1">
        <f t="array" ref="D993">TRANSPOSE(_xlfn._xlws.FILTER('Controllable Asset Registry'!$A$4:$A$764,IFERROR('Controllable Asset Registry'!$E$4:$E$764=A993,FALSE),"No Equipment in entity"))</f>
        <v>VAV0030</v>
      </c>
    </row>
    <row r="994" spans="1:6" x14ac:dyDescent="0.3">
      <c r="A994" t="s">
        <v>4064</v>
      </c>
      <c r="B994" t="s">
        <v>5347</v>
      </c>
      <c r="C994" t="s">
        <v>4698</v>
      </c>
      <c r="D994" t="str" cm="1">
        <f t="array" ref="D994">TRANSPOSE(_xlfn._xlws.FILTER('Controllable Asset Registry'!$A$4:$A$764,IFERROR('Controllable Asset Registry'!$E$4:$E$764=A994,FALSE),"No Equipment in entity"))</f>
        <v>VAV0031</v>
      </c>
    </row>
    <row r="995" spans="1:6" x14ac:dyDescent="0.3">
      <c r="A995" t="s">
        <v>4072</v>
      </c>
      <c r="B995" t="s">
        <v>5348</v>
      </c>
      <c r="C995" t="s">
        <v>5349</v>
      </c>
      <c r="D995" t="str" cm="1">
        <f t="array" ref="D995">TRANSPOSE(_xlfn._xlws.FILTER('Controllable Asset Registry'!$A$4:$A$764,IFERROR('Controllable Asset Registry'!$E$4:$E$764=A995,FALSE),"No Equipment in entity"))</f>
        <v>No Equipment in entity</v>
      </c>
    </row>
    <row r="996" spans="1:6" x14ac:dyDescent="0.3">
      <c r="A996" t="s">
        <v>4078</v>
      </c>
      <c r="B996" t="s">
        <v>5350</v>
      </c>
      <c r="C996" t="s">
        <v>5351</v>
      </c>
      <c r="D996" t="str" cm="1">
        <f t="array" ref="D996">TRANSPOSE(_xlfn._xlws.FILTER('Controllable Asset Registry'!$A$4:$A$764,IFERROR('Controllable Asset Registry'!$E$4:$E$764=A996,FALSE),"No Equipment in entity"))</f>
        <v>VAV0046</v>
      </c>
    </row>
    <row r="997" spans="1:6" x14ac:dyDescent="0.3">
      <c r="A997" t="s">
        <v>4079</v>
      </c>
      <c r="B997" t="s">
        <v>5352</v>
      </c>
      <c r="C997" t="s">
        <v>5351</v>
      </c>
      <c r="D997" t="str" cm="1">
        <f t="array" ref="D997">TRANSPOSE(_xlfn._xlws.FILTER('Controllable Asset Registry'!$A$4:$A$764,IFERROR('Controllable Asset Registry'!$E$4:$E$764=A997,FALSE),"No Equipment in entity"))</f>
        <v>VAV0047</v>
      </c>
    </row>
    <row r="998" spans="1:6" x14ac:dyDescent="0.3">
      <c r="A998" t="s">
        <v>4100</v>
      </c>
      <c r="B998" t="s">
        <v>6099</v>
      </c>
      <c r="C998" t="s">
        <v>4820</v>
      </c>
      <c r="D998" t="str" cm="1">
        <f t="array" ref="D998">TRANSPOSE(_xlfn._xlws.FILTER('Controllable Asset Registry'!$A$4:$A$764,IFERROR('Controllable Asset Registry'!$E$4:$E$764=A998,FALSE),"No Equipment in entity"))</f>
        <v>VAV0072</v>
      </c>
    </row>
    <row r="999" spans="1:6" x14ac:dyDescent="0.3">
      <c r="A999" t="s">
        <v>4108</v>
      </c>
      <c r="B999" t="s">
        <v>6100</v>
      </c>
      <c r="C999" t="s">
        <v>5353</v>
      </c>
      <c r="D999" t="str" cm="1">
        <f t="array" ref="D999:F999">TRANSPOSE(_xlfn._xlws.FILTER('Controllable Asset Registry'!$A$4:$A$764,IFERROR('Controllable Asset Registry'!$E$4:$E$764=A999,FALSE),"No Equipment in entity"))</f>
        <v>VAV0080</v>
      </c>
      <c r="E999" t="str">
        <v>VAV0081</v>
      </c>
      <c r="F999" t="str">
        <v>VAV0082</v>
      </c>
    </row>
    <row r="1000" spans="1:6" x14ac:dyDescent="0.3">
      <c r="A1000" t="s">
        <v>4143</v>
      </c>
      <c r="B1000" t="s">
        <v>5354</v>
      </c>
      <c r="C1000" t="s">
        <v>5355</v>
      </c>
      <c r="D1000" t="str" cm="1">
        <f t="array" ref="D1000">TRANSPOSE(_xlfn._xlws.FILTER('Controllable Asset Registry'!$A$4:$A$764,IFERROR('Controllable Asset Registry'!$E$4:$E$764=A1000,FALSE),"No Equipment in entity"))</f>
        <v>VAV0128</v>
      </c>
    </row>
    <row r="1001" spans="1:6" x14ac:dyDescent="0.3">
      <c r="A1001" t="s">
        <v>4167</v>
      </c>
      <c r="B1001" t="s">
        <v>5356</v>
      </c>
      <c r="C1001" t="s">
        <v>5355</v>
      </c>
      <c r="D1001" t="str" cm="1">
        <f t="array" ref="D1001">TRANSPOSE(_xlfn._xlws.FILTER('Controllable Asset Registry'!$A$4:$A$764,IFERROR('Controllable Asset Registry'!$E$4:$E$764=A1001,FALSE),"No Equipment in entity"))</f>
        <v>VAV0155</v>
      </c>
    </row>
    <row r="1002" spans="1:6" x14ac:dyDescent="0.3">
      <c r="A1002" t="s">
        <v>4185</v>
      </c>
      <c r="B1002" t="s">
        <v>5357</v>
      </c>
      <c r="C1002" t="s">
        <v>5355</v>
      </c>
      <c r="D1002" t="str" cm="1">
        <f t="array" ref="D1002">TRANSPOSE(_xlfn._xlws.FILTER('Controllable Asset Registry'!$A$4:$A$764,IFERROR('Controllable Asset Registry'!$E$4:$E$764=A1002,FALSE),"No Equipment in entity"))</f>
        <v>VAV0175</v>
      </c>
    </row>
    <row r="1003" spans="1:6" x14ac:dyDescent="0.3">
      <c r="A1003" t="s">
        <v>4187</v>
      </c>
      <c r="B1003" t="s">
        <v>6101</v>
      </c>
      <c r="C1003" t="s">
        <v>4831</v>
      </c>
      <c r="D1003" t="str" cm="1">
        <f t="array" ref="D1003">TRANSPOSE(_xlfn._xlws.FILTER('Controllable Asset Registry'!$A$4:$A$764,IFERROR('Controllable Asset Registry'!$E$4:$E$764=A1003,FALSE),"No Equipment in entity"))</f>
        <v>VAV0177</v>
      </c>
    </row>
    <row r="1004" spans="1:6" x14ac:dyDescent="0.3">
      <c r="A1004" t="s">
        <v>4188</v>
      </c>
      <c r="B1004" t="s">
        <v>5358</v>
      </c>
      <c r="C1004" t="s">
        <v>5359</v>
      </c>
      <c r="D1004" t="str" cm="1">
        <f t="array" ref="D1004">TRANSPOSE(_xlfn._xlws.FILTER('Controllable Asset Registry'!$A$4:$A$764,IFERROR('Controllable Asset Registry'!$E$4:$E$764=A1004,FALSE),"No Equipment in entity"))</f>
        <v>VAV0178</v>
      </c>
    </row>
    <row r="1005" spans="1:6" x14ac:dyDescent="0.3">
      <c r="A1005" t="s">
        <v>4208</v>
      </c>
      <c r="B1005" t="s">
        <v>5360</v>
      </c>
      <c r="C1005" t="s">
        <v>5355</v>
      </c>
      <c r="D1005" t="str" cm="1">
        <f t="array" ref="D1005">TRANSPOSE(_xlfn._xlws.FILTER('Controllable Asset Registry'!$A$4:$A$764,IFERROR('Controllable Asset Registry'!$E$4:$E$764=A1005,FALSE),"No Equipment in entity"))</f>
        <v>VAV0202</v>
      </c>
    </row>
    <row r="1006" spans="1:6" x14ac:dyDescent="0.3">
      <c r="A1006" t="s">
        <v>4209</v>
      </c>
      <c r="B1006" t="s">
        <v>5361</v>
      </c>
      <c r="C1006" t="s">
        <v>5355</v>
      </c>
      <c r="D1006" t="str" cm="1">
        <f t="array" ref="D1006">TRANSPOSE(_xlfn._xlws.FILTER('Controllable Asset Registry'!$A$4:$A$764,IFERROR('Controllable Asset Registry'!$E$4:$E$764=A1006,FALSE),"No Equipment in entity"))</f>
        <v>VAV0203</v>
      </c>
    </row>
    <row r="1007" spans="1:6" x14ac:dyDescent="0.3">
      <c r="A1007" t="s">
        <v>6118</v>
      </c>
      <c r="B1007">
        <v>4.0039999999999996</v>
      </c>
      <c r="C1007" t="s">
        <v>5362</v>
      </c>
      <c r="D1007" t="str" cm="1">
        <f t="array" ref="D1007">TRANSPOSE(_xlfn._xlws.FILTER('Controllable Asset Registry'!$A$4:$A$764,IFERROR('Controllable Asset Registry'!$E$4:$E$764=A1007,FALSE),"No Equipment in entity"))</f>
        <v>VAV0222</v>
      </c>
    </row>
    <row r="1008" spans="1:6" x14ac:dyDescent="0.3">
      <c r="A1008" t="s">
        <v>6119</v>
      </c>
      <c r="B1008" t="s">
        <v>6349</v>
      </c>
      <c r="C1008" t="s">
        <v>5355</v>
      </c>
      <c r="D1008" t="str" cm="1">
        <f t="array" ref="D1008">TRANSPOSE(_xlfn._xlws.FILTER('Controllable Asset Registry'!$A$4:$A$764,IFERROR('Controllable Asset Registry'!$E$4:$E$764=A1008,FALSE),"No Equipment in entity"))</f>
        <v>VAV0233</v>
      </c>
    </row>
    <row r="1009" spans="1:7" x14ac:dyDescent="0.3">
      <c r="A1009" t="s">
        <v>6120</v>
      </c>
      <c r="B1009" t="s">
        <v>6350</v>
      </c>
      <c r="C1009" t="s">
        <v>5355</v>
      </c>
      <c r="D1009" t="str" cm="1">
        <f t="array" ref="D1009">TRANSPOSE(_xlfn._xlws.FILTER('Controllable Asset Registry'!$A$4:$A$764,IFERROR('Controllable Asset Registry'!$E$4:$E$764=A1009,FALSE),"No Equipment in entity"))</f>
        <v>VAV0234</v>
      </c>
    </row>
    <row r="1010" spans="1:7" x14ac:dyDescent="0.3">
      <c r="A1010" t="s">
        <v>6121</v>
      </c>
      <c r="B1010">
        <v>4.0030000000000001</v>
      </c>
      <c r="C1010" t="s">
        <v>5363</v>
      </c>
      <c r="D1010" t="str" cm="1">
        <f t="array" ref="D1010">TRANSPOSE(_xlfn._xlws.FILTER('Controllable Asset Registry'!$A$4:$A$764,IFERROR('Controllable Asset Registry'!$E$4:$E$764=A1010,FALSE),"No Equipment in entity"))</f>
        <v>VAV0243</v>
      </c>
    </row>
    <row r="1011" spans="1:7" x14ac:dyDescent="0.3">
      <c r="A1011" t="s">
        <v>6122</v>
      </c>
      <c r="B1011" t="s">
        <v>6351</v>
      </c>
      <c r="C1011" t="s">
        <v>5355</v>
      </c>
      <c r="D1011" t="str" cm="1">
        <f t="array" ref="D1011">TRANSPOSE(_xlfn._xlws.FILTER('Controllable Asset Registry'!$A$4:$A$764,IFERROR('Controllable Asset Registry'!$E$4:$E$764=A1011,FALSE),"No Equipment in entity"))</f>
        <v>VAV0244</v>
      </c>
    </row>
    <row r="1012" spans="1:7" x14ac:dyDescent="0.3">
      <c r="A1012" t="s">
        <v>6123</v>
      </c>
      <c r="B1012" t="s">
        <v>6352</v>
      </c>
      <c r="C1012" t="s">
        <v>5355</v>
      </c>
      <c r="D1012" t="str" cm="1">
        <f t="array" ref="D1012">TRANSPOSE(_xlfn._xlws.FILTER('Controllable Asset Registry'!$A$4:$A$764,IFERROR('Controllable Asset Registry'!$E$4:$E$764=A1012,FALSE),"No Equipment in entity"))</f>
        <v>VAV0245</v>
      </c>
    </row>
    <row r="1013" spans="1:7" x14ac:dyDescent="0.3">
      <c r="A1013" t="s">
        <v>6124</v>
      </c>
      <c r="B1013" t="s">
        <v>6353</v>
      </c>
      <c r="C1013" t="s">
        <v>5355</v>
      </c>
      <c r="D1013" t="str" cm="1">
        <f t="array" ref="D1013">TRANSPOSE(_xlfn._xlws.FILTER('Controllable Asset Registry'!$A$4:$A$764,IFERROR('Controllable Asset Registry'!$E$4:$E$764=A1013,FALSE),"No Equipment in entity"))</f>
        <v>VAV0246</v>
      </c>
    </row>
    <row r="1014" spans="1:7" x14ac:dyDescent="0.3">
      <c r="A1014" t="s">
        <v>6125</v>
      </c>
      <c r="B1014" t="s">
        <v>6354</v>
      </c>
      <c r="C1014" t="s">
        <v>5355</v>
      </c>
      <c r="D1014" t="str" cm="1">
        <f t="array" ref="D1014">TRANSPOSE(_xlfn._xlws.FILTER('Controllable Asset Registry'!$A$4:$A$764,IFERROR('Controllable Asset Registry'!$E$4:$E$764=A1014,FALSE),"No Equipment in entity"))</f>
        <v>VAV0247</v>
      </c>
    </row>
    <row r="1015" spans="1:7" x14ac:dyDescent="0.3">
      <c r="A1015" t="s">
        <v>6126</v>
      </c>
      <c r="B1015">
        <v>4.1029999999999998</v>
      </c>
      <c r="C1015" t="s">
        <v>4989</v>
      </c>
      <c r="D1015" t="str" cm="1">
        <f t="array" ref="D1015">TRANSPOSE(_xlfn._xlws.FILTER('Controllable Asset Registry'!$A$4:$A$764,IFERROR('Controllable Asset Registry'!$E$4:$E$764=A1015,FALSE),"No Equipment in entity"))</f>
        <v>VAV0248</v>
      </c>
    </row>
    <row r="1016" spans="1:7" x14ac:dyDescent="0.3">
      <c r="A1016" t="s">
        <v>4271</v>
      </c>
      <c r="B1016" t="s">
        <v>6102</v>
      </c>
      <c r="C1016" t="s">
        <v>5029</v>
      </c>
      <c r="D1016" t="str" cm="1">
        <f t="array" ref="D1016">TRANSPOSE(_xlfn._xlws.FILTER('Controllable Asset Registry'!$A$4:$A$764,IFERROR('Controllable Asset Registry'!$E$4:$E$764=A1016,FALSE),"No Equipment in entity"))</f>
        <v>VAV0283</v>
      </c>
    </row>
    <row r="1017" spans="1:7" x14ac:dyDescent="0.3">
      <c r="A1017" t="s">
        <v>6131</v>
      </c>
      <c r="B1017" t="s">
        <v>6355</v>
      </c>
      <c r="C1017" t="s">
        <v>3735</v>
      </c>
      <c r="D1017" t="str" cm="1">
        <f t="array" ref="D1017:G1017">TRANSPOSE(_xlfn._xlws.FILTER('Controllable Asset Registry'!$A$4:$A$764,IFERROR('Controllable Asset Registry'!$E$4:$E$764=A1017,FALSE),"No Equipment in entity"))</f>
        <v>VAV0318</v>
      </c>
      <c r="E1017" t="str">
        <v>VAV0319</v>
      </c>
      <c r="F1017" t="str">
        <v>VAV0320</v>
      </c>
      <c r="G1017" t="str">
        <v>VAV0321</v>
      </c>
    </row>
    <row r="1018" spans="1:7" x14ac:dyDescent="0.3">
      <c r="A1018" t="s">
        <v>4358</v>
      </c>
      <c r="B1018" t="s">
        <v>5364</v>
      </c>
      <c r="C1018" t="s">
        <v>5355</v>
      </c>
      <c r="D1018" t="str" cm="1">
        <f t="array" ref="D1018">TRANSPOSE(_xlfn._xlws.FILTER('Controllable Asset Registry'!$A$4:$A$764,IFERROR('Controllable Asset Registry'!$E$4:$E$764=A1018,FALSE),"No Equipment in entity"))</f>
        <v>VAV0388</v>
      </c>
    </row>
    <row r="1019" spans="1:7" x14ac:dyDescent="0.3">
      <c r="A1019" t="s">
        <v>4394</v>
      </c>
      <c r="B1019" t="s">
        <v>6103</v>
      </c>
      <c r="C1019" t="s">
        <v>4941</v>
      </c>
      <c r="D1019" t="str" cm="1">
        <f t="array" ref="D1019:F1019">TRANSPOSE(_xlfn._xlws.FILTER('Controllable Asset Registry'!$A$4:$A$764,IFERROR('Controllable Asset Registry'!$E$4:$E$764=A1019,FALSE),"No Equipment in entity"))</f>
        <v>VAV0430</v>
      </c>
      <c r="E1019" t="str">
        <v>VAV0431</v>
      </c>
      <c r="F1019" t="str">
        <v>VAV0432</v>
      </c>
    </row>
    <row r="1020" spans="1:7" x14ac:dyDescent="0.3">
      <c r="A1020" t="s">
        <v>4426</v>
      </c>
      <c r="B1020" t="s">
        <v>6104</v>
      </c>
      <c r="C1020" t="s">
        <v>5250</v>
      </c>
      <c r="D1020" t="str" cm="1">
        <f t="array" ref="D1020:G1020">TRANSPOSE(_xlfn._xlws.FILTER('Controllable Asset Registry'!$A$4:$A$764,IFERROR('Controllable Asset Registry'!$E$4:$E$764=A1020,FALSE),"No Equipment in entity"))</f>
        <v>VAV0473</v>
      </c>
      <c r="E1020" t="str">
        <v>VAV0474</v>
      </c>
      <c r="F1020" t="str">
        <v>VAV0478</v>
      </c>
      <c r="G1020" t="str">
        <v>VAV0492</v>
      </c>
    </row>
    <row r="1021" spans="1:7" x14ac:dyDescent="0.3">
      <c r="A1021" t="s">
        <v>4485</v>
      </c>
      <c r="B1021" t="s">
        <v>5365</v>
      </c>
      <c r="C1021" t="s">
        <v>5355</v>
      </c>
      <c r="D1021" t="str" cm="1">
        <f t="array" ref="D1021">TRANSPOSE(_xlfn._xlws.FILTER('Controllable Asset Registry'!$A$4:$A$764,IFERROR('Controllable Asset Registry'!$E$4:$E$764=A1021,FALSE),"No Equipment in entity"))</f>
        <v>VAV0548</v>
      </c>
    </row>
    <row r="1022" spans="1:7" x14ac:dyDescent="0.3">
      <c r="A1022" t="s">
        <v>4486</v>
      </c>
      <c r="B1022" t="s">
        <v>5366</v>
      </c>
      <c r="C1022" t="s">
        <v>5355</v>
      </c>
      <c r="D1022" t="str" cm="1">
        <f t="array" ref="D1022">TRANSPOSE(_xlfn._xlws.FILTER('Controllable Asset Registry'!$A$4:$A$764,IFERROR('Controllable Asset Registry'!$E$4:$E$764=A1022,FALSE),"No Equipment in entity"))</f>
        <v>VAV0549</v>
      </c>
    </row>
    <row r="1023" spans="1:7" x14ac:dyDescent="0.3">
      <c r="A1023" t="s">
        <v>4487</v>
      </c>
      <c r="B1023" t="s">
        <v>5367</v>
      </c>
      <c r="C1023" t="s">
        <v>5355</v>
      </c>
      <c r="D1023" t="str" cm="1">
        <f t="array" ref="D1023">TRANSPOSE(_xlfn._xlws.FILTER('Controllable Asset Registry'!$A$4:$A$764,IFERROR('Controllable Asset Registry'!$E$4:$E$764=A1023,FALSE),"No Equipment in entity"))</f>
        <v>VAV0550</v>
      </c>
    </row>
    <row r="1024" spans="1:7" x14ac:dyDescent="0.3">
      <c r="A1024" t="s">
        <v>4488</v>
      </c>
      <c r="B1024" t="s">
        <v>5368</v>
      </c>
      <c r="C1024" t="s">
        <v>5355</v>
      </c>
      <c r="D1024" t="str" cm="1">
        <f t="array" ref="D1024">TRANSPOSE(_xlfn._xlws.FILTER('Controllable Asset Registry'!$A$4:$A$764,IFERROR('Controllable Asset Registry'!$E$4:$E$764=A1024,FALSE),"No Equipment in entity"))</f>
        <v>VAV0551</v>
      </c>
    </row>
    <row r="1025" spans="1:6" x14ac:dyDescent="0.3">
      <c r="A1025" t="s">
        <v>4511</v>
      </c>
      <c r="B1025" t="s">
        <v>6105</v>
      </c>
      <c r="C1025" t="s">
        <v>5369</v>
      </c>
      <c r="D1025" t="str" cm="1">
        <f t="array" ref="D1025:E1025">TRANSPOSE(_xlfn._xlws.FILTER('Controllable Asset Registry'!$A$4:$A$764,IFERROR('Controllable Asset Registry'!$E$4:$E$764=A1025,FALSE),"No Equipment in entity"))</f>
        <v>VAV0580</v>
      </c>
      <c r="E1025" t="str">
        <v>VAV0581</v>
      </c>
    </row>
    <row r="1026" spans="1:6" x14ac:dyDescent="0.3">
      <c r="A1026" t="s">
        <v>6132</v>
      </c>
      <c r="B1026" t="s">
        <v>6356</v>
      </c>
      <c r="C1026" t="s">
        <v>5161</v>
      </c>
      <c r="D1026" t="str" cm="1">
        <f t="array" ref="D1026:F1026">TRANSPOSE(_xlfn._xlws.FILTER('Controllable Asset Registry'!$A$4:$A$764,IFERROR('Controllable Asset Registry'!$E$4:$E$764=A1026,FALSE),"No Equipment in entity"))</f>
        <v>VAV0592</v>
      </c>
      <c r="E1026" t="str">
        <v>VAV0593</v>
      </c>
      <c r="F1026" t="str">
        <v>VAV0594</v>
      </c>
    </row>
    <row r="1027" spans="1:6" x14ac:dyDescent="0.3">
      <c r="A1027" t="s">
        <v>4516</v>
      </c>
      <c r="B1027" t="s">
        <v>5370</v>
      </c>
      <c r="C1027" t="s">
        <v>5371</v>
      </c>
      <c r="D1027" t="str" cm="1">
        <f t="array" ref="D1027">TRANSPOSE(_xlfn._xlws.FILTER('Controllable Asset Registry'!$A$4:$A$764,IFERROR('Controllable Asset Registry'!$E$4:$E$764=A1027,FALSE),"No Equipment in entity"))</f>
        <v>VAV0595</v>
      </c>
    </row>
    <row r="1028" spans="1:6" x14ac:dyDescent="0.3">
      <c r="A1028" t="s">
        <v>6133</v>
      </c>
      <c r="B1028" t="s">
        <v>6357</v>
      </c>
      <c r="C1028" t="s">
        <v>5355</v>
      </c>
      <c r="D1028" t="str" cm="1">
        <f t="array" ref="D1028">TRANSPOSE(_xlfn._xlws.FILTER('Controllable Asset Registry'!$A$4:$A$764,IFERROR('Controllable Asset Registry'!$E$4:$E$764=A1028,FALSE),"No Equipment in entity"))</f>
        <v>VAV0596</v>
      </c>
    </row>
    <row r="1029" spans="1:6" x14ac:dyDescent="0.3">
      <c r="A1029" t="s">
        <v>6134</v>
      </c>
      <c r="B1029" t="s">
        <v>6358</v>
      </c>
      <c r="C1029" t="s">
        <v>5355</v>
      </c>
      <c r="D1029" t="str" cm="1">
        <f t="array" ref="D1029">TRANSPOSE(_xlfn._xlws.FILTER('Controllable Asset Registry'!$A$4:$A$764,IFERROR('Controllable Asset Registry'!$E$4:$E$764=A1029,FALSE),"No Equipment in entity"))</f>
        <v>VAV0597</v>
      </c>
    </row>
    <row r="1030" spans="1:6" x14ac:dyDescent="0.3">
      <c r="A1030" t="s">
        <v>6135</v>
      </c>
      <c r="B1030" t="s">
        <v>6359</v>
      </c>
      <c r="C1030" t="s">
        <v>5355</v>
      </c>
      <c r="D1030" t="str" cm="1">
        <f t="array" ref="D1030">TRANSPOSE(_xlfn._xlws.FILTER('Controllable Asset Registry'!$A$4:$A$764,IFERROR('Controllable Asset Registry'!$E$4:$E$764=A1030,FALSE),"No Equipment in entity"))</f>
        <v>VAV0598</v>
      </c>
    </row>
    <row r="1031" spans="1:6" x14ac:dyDescent="0.3">
      <c r="A1031" t="s">
        <v>6136</v>
      </c>
      <c r="B1031" t="s">
        <v>6360</v>
      </c>
      <c r="C1031" t="s">
        <v>5355</v>
      </c>
      <c r="D1031" t="str" cm="1">
        <f t="array" ref="D1031">TRANSPOSE(_xlfn._xlws.FILTER('Controllable Asset Registry'!$A$4:$A$764,IFERROR('Controllable Asset Registry'!$E$4:$E$764=A1031,FALSE),"No Equipment in entity"))</f>
        <v>VAV0599</v>
      </c>
    </row>
    <row r="1032" spans="1:6" x14ac:dyDescent="0.3">
      <c r="A1032" t="s">
        <v>6137</v>
      </c>
      <c r="B1032" t="s">
        <v>6361</v>
      </c>
      <c r="C1032" t="s">
        <v>5355</v>
      </c>
      <c r="D1032" t="str" cm="1">
        <f t="array" ref="D1032">TRANSPOSE(_xlfn._xlws.FILTER('Controllable Asset Registry'!$A$4:$A$764,IFERROR('Controllable Asset Registry'!$E$4:$E$764=A1032,FALSE),"No Equipment in entity"))</f>
        <v>VAV0600</v>
      </c>
    </row>
    <row r="1033" spans="1:6" x14ac:dyDescent="0.3">
      <c r="A1033" t="s">
        <v>4517</v>
      </c>
      <c r="B1033" t="s">
        <v>5372</v>
      </c>
      <c r="C1033" t="s">
        <v>5355</v>
      </c>
      <c r="D1033" t="str" cm="1">
        <f t="array" ref="D1033">TRANSPOSE(_xlfn._xlws.FILTER('Controllable Asset Registry'!$A$4:$A$764,IFERROR('Controllable Asset Registry'!$E$4:$E$764=A1033,FALSE),"No Equipment in entity"))</f>
        <v>VAV0601</v>
      </c>
    </row>
    <row r="1034" spans="1:6" x14ac:dyDescent="0.3">
      <c r="A1034" t="s">
        <v>4519</v>
      </c>
      <c r="B1034" t="s">
        <v>6106</v>
      </c>
      <c r="C1034" t="s">
        <v>5373</v>
      </c>
      <c r="D1034" t="str" cm="1">
        <f t="array" ref="D1034:E1034">TRANSPOSE(_xlfn._xlws.FILTER('Controllable Asset Registry'!$A$4:$A$764,IFERROR('Controllable Asset Registry'!$E$4:$E$764=A1034,FALSE),"No Equipment in entity"))</f>
        <v>VAV0603</v>
      </c>
      <c r="E1034" t="str">
        <v>VAV0604</v>
      </c>
    </row>
    <row r="1035" spans="1:6" x14ac:dyDescent="0.3">
      <c r="A1035" t="s">
        <v>4523</v>
      </c>
      <c r="B1035" t="s">
        <v>6107</v>
      </c>
      <c r="C1035" t="s">
        <v>5300</v>
      </c>
      <c r="D1035" t="str" cm="1">
        <f t="array" ref="D1035">TRANSPOSE(_xlfn._xlws.FILTER('Controllable Asset Registry'!$A$4:$A$764,IFERROR('Controllable Asset Registry'!$E$4:$E$764=A1035,FALSE),"No Equipment in entity"))</f>
        <v>No Equipment in entity</v>
      </c>
    </row>
    <row r="1036" spans="1:6" x14ac:dyDescent="0.3">
      <c r="A1036" t="s">
        <v>4524</v>
      </c>
      <c r="B1036" t="s">
        <v>6108</v>
      </c>
      <c r="C1036" t="s">
        <v>5300</v>
      </c>
      <c r="D1036" t="str" cm="1">
        <f t="array" ref="D1036">TRANSPOSE(_xlfn._xlws.FILTER('Controllable Asset Registry'!$A$4:$A$764,IFERROR('Controllable Asset Registry'!$E$4:$E$764=A1036,FALSE),"No Equipment in entity"))</f>
        <v>No Equipment in entity</v>
      </c>
    </row>
    <row r="1037" spans="1:6" x14ac:dyDescent="0.3">
      <c r="A1037" t="s">
        <v>4525</v>
      </c>
      <c r="B1037" t="s">
        <v>6109</v>
      </c>
      <c r="C1037" t="s">
        <v>5301</v>
      </c>
      <c r="D1037" t="str" cm="1">
        <f t="array" ref="D1037">TRANSPOSE(_xlfn._xlws.FILTER('Controllable Asset Registry'!$A$4:$A$764,IFERROR('Controllable Asset Registry'!$E$4:$E$764=A1037,FALSE),"No Equipment in entity"))</f>
        <v>No Equipment in entity</v>
      </c>
    </row>
    <row r="1038" spans="1:6" x14ac:dyDescent="0.3">
      <c r="A1038" t="s">
        <v>4526</v>
      </c>
      <c r="B1038" t="s">
        <v>6110</v>
      </c>
      <c r="C1038" t="s">
        <v>5301</v>
      </c>
      <c r="D1038" t="str" cm="1">
        <f t="array" ref="D1038">TRANSPOSE(_xlfn._xlws.FILTER('Controllable Asset Registry'!$A$4:$A$764,IFERROR('Controllable Asset Registry'!$E$4:$E$764=A1038,FALSE),"No Equipment in entity"))</f>
        <v>No Equipment in entity</v>
      </c>
    </row>
    <row r="1039" spans="1:6" x14ac:dyDescent="0.3">
      <c r="A1039" t="s">
        <v>4527</v>
      </c>
      <c r="B1039" t="s">
        <v>6111</v>
      </c>
      <c r="C1039" t="s">
        <v>5374</v>
      </c>
      <c r="D1039" t="str" cm="1">
        <f t="array" ref="D1039">TRANSPOSE(_xlfn._xlws.FILTER('Controllable Asset Registry'!$A$4:$A$764,IFERROR('Controllable Asset Registry'!$E$4:$E$764=A1039,FALSE),"No Equipment in entity"))</f>
        <v>No Equipment in entity</v>
      </c>
    </row>
    <row r="1040" spans="1:6" x14ac:dyDescent="0.3">
      <c r="A1040" t="s">
        <v>4528</v>
      </c>
      <c r="B1040" t="s">
        <v>6112</v>
      </c>
      <c r="C1040" t="s">
        <v>3761</v>
      </c>
      <c r="D1040" t="str" cm="1">
        <f t="array" ref="D1040">TRANSPOSE(_xlfn._xlws.FILTER('Controllable Asset Registry'!$A$4:$A$764,IFERROR('Controllable Asset Registry'!$E$4:$E$764=A1040,FALSE),"No Equipment in entity"))</f>
        <v>No Equipment in entity</v>
      </c>
    </row>
    <row r="1041" spans="1:4" x14ac:dyDescent="0.3">
      <c r="A1041" t="s">
        <v>6116</v>
      </c>
      <c r="B1041" t="s">
        <v>6362</v>
      </c>
      <c r="C1041" t="s">
        <v>5375</v>
      </c>
      <c r="D1041" t="str" cm="1">
        <f t="array" ref="D1041">TRANSPOSE(_xlfn._xlws.FILTER('Controllable Asset Registry'!$A$4:$A$764,IFERROR('Controllable Asset Registry'!$E$4:$E$764=A1041,FALSE),"No Equipment in entity"))</f>
        <v>FCU0131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ABCD-D3C6-413C-8798-66418C1604AB}">
  <dimension ref="A1:D353"/>
  <sheetViews>
    <sheetView zoomScale="70" zoomScaleNormal="70" workbookViewId="0">
      <selection activeCell="O24" sqref="O24"/>
    </sheetView>
  </sheetViews>
  <sheetFormatPr defaultRowHeight="14.4" x14ac:dyDescent="0.3"/>
  <cols>
    <col min="1" max="1" width="57.44140625" bestFit="1" customWidth="1"/>
    <col min="3" max="3" width="41.6640625" bestFit="1" customWidth="1"/>
    <col min="4" max="4" width="21.109375" bestFit="1" customWidth="1"/>
    <col min="5" max="5" width="16.88671875" bestFit="1" customWidth="1"/>
    <col min="6" max="13" width="16" bestFit="1" customWidth="1"/>
    <col min="14" max="14" width="33.88671875" bestFit="1" customWidth="1"/>
    <col min="15" max="15" width="21.109375" bestFit="1" customWidth="1"/>
    <col min="16" max="23" width="12.33203125" bestFit="1" customWidth="1"/>
    <col min="24" max="24" width="2.21875" bestFit="1" customWidth="1"/>
    <col min="25" max="25" width="26.88671875" bestFit="1" customWidth="1"/>
    <col min="38" max="38" width="33.88671875" bestFit="1" customWidth="1"/>
    <col min="39" max="39" width="5.5546875" bestFit="1" customWidth="1"/>
  </cols>
  <sheetData>
    <row r="1" spans="1:4" x14ac:dyDescent="0.3">
      <c r="A1" t="s">
        <v>4529</v>
      </c>
      <c r="B1" t="s">
        <v>6920</v>
      </c>
      <c r="C1" t="s">
        <v>6921</v>
      </c>
    </row>
    <row r="2" spans="1:4" x14ac:dyDescent="0.3">
      <c r="A2" t="str">
        <f t="shared" ref="A2:A65" si="0">"entity:QNL_"&amp;B2&amp;"_"&amp;C2</f>
        <v>entity:QNL_B_228_M1_HVAC_SHAFT</v>
      </c>
      <c r="B2" s="23" t="s">
        <v>6371</v>
      </c>
      <c r="C2" t="s">
        <v>6372</v>
      </c>
      <c r="D2" t="e" cm="1">
        <f t="array" ref="D2">TRANSPOSE(_xlfn._xlws.FILTER('Controllable Asset Registry'!#REF!,IFERROR('Controllable Asset Registry'!#REF!=A2,FALSE),"No Equipment in entity"))</f>
        <v>#REF!</v>
      </c>
    </row>
    <row r="3" spans="1:4" x14ac:dyDescent="0.3">
      <c r="A3" t="str">
        <f t="shared" si="0"/>
        <v>entity:QNL_B_229_E1_ELEC_SHAFT</v>
      </c>
      <c r="B3" s="23" t="s">
        <v>6373</v>
      </c>
      <c r="C3" t="s">
        <v>6374</v>
      </c>
      <c r="D3" t="e" cm="1">
        <f t="array" ref="D3">TRANSPOSE(_xlfn._xlws.FILTER('Controllable Asset Registry'!#REF!,IFERROR('Controllable Asset Registry'!#REF!=A3,FALSE),"No Equipment in entity"))</f>
        <v>#REF!</v>
      </c>
    </row>
    <row r="4" spans="1:4" x14ac:dyDescent="0.3">
      <c r="A4" t="str">
        <f t="shared" si="0"/>
        <v>entity:QNL_B_230_REFR_STORE</v>
      </c>
      <c r="B4" s="23" t="s">
        <v>6375</v>
      </c>
      <c r="C4" t="s">
        <v>6376</v>
      </c>
      <c r="D4" t="e" cm="1">
        <f t="array" ref="D4">TRANSPOSE(_xlfn._xlws.FILTER('Controllable Asset Registry'!#REF!,IFERROR('Controllable Asset Registry'!#REF!=A4,FALSE),"No Equipment in entity"))</f>
        <v>#REF!</v>
      </c>
    </row>
    <row r="5" spans="1:4" x14ac:dyDescent="0.3">
      <c r="A5" t="str">
        <f t="shared" si="0"/>
        <v>entity:QNL_B_231_DISH_WASING</v>
      </c>
      <c r="B5" s="23" t="s">
        <v>6377</v>
      </c>
      <c r="C5" t="s">
        <v>6378</v>
      </c>
      <c r="D5" t="e" cm="1">
        <f t="array" ref="D5">TRANSPOSE(_xlfn._xlws.FILTER('Controllable Asset Registry'!#REF!,IFERROR('Controllable Asset Registry'!#REF!=A5,FALSE),"No Equipment in entity"))</f>
        <v>#REF!</v>
      </c>
    </row>
    <row r="6" spans="1:4" x14ac:dyDescent="0.3">
      <c r="A6" t="str">
        <f t="shared" si="0"/>
        <v>entity:QNL_B_232_DRY_STORE</v>
      </c>
      <c r="B6" s="23" t="s">
        <v>6379</v>
      </c>
      <c r="C6" t="s">
        <v>6380</v>
      </c>
      <c r="D6" t="e" cm="1">
        <f t="array" ref="D6">TRANSPOSE(_xlfn._xlws.FILTER('Controllable Asset Registry'!#REF!,IFERROR('Controllable Asset Registry'!#REF!=A6,FALSE),"No Equipment in entity"))</f>
        <v>#REF!</v>
      </c>
    </row>
    <row r="7" spans="1:4" x14ac:dyDescent="0.3">
      <c r="A7" t="str">
        <f t="shared" si="0"/>
        <v>entity:QNL_B_233_WC5_RISER</v>
      </c>
      <c r="B7" s="23" t="s">
        <v>6381</v>
      </c>
      <c r="C7" t="s">
        <v>6382</v>
      </c>
      <c r="D7" t="e" cm="1">
        <f t="array" ref="D7">TRANSPOSE(_xlfn._xlws.FILTER('Controllable Asset Registry'!#REF!,IFERROR('Controllable Asset Registry'!#REF!=A7,FALSE),"No Equipment in entity"))</f>
        <v>#REF!</v>
      </c>
    </row>
    <row r="8" spans="1:4" x14ac:dyDescent="0.3">
      <c r="A8" t="str">
        <f t="shared" si="0"/>
        <v>entity:QNL_B_234_E3_ELEC_SHAFT</v>
      </c>
      <c r="B8" s="23" t="s">
        <v>6383</v>
      </c>
      <c r="C8" t="s">
        <v>6384</v>
      </c>
      <c r="D8" t="e" cm="1">
        <f t="array" ref="D8">TRANSPOSE(_xlfn._xlws.FILTER('Controllable Asset Registry'!#REF!,IFERROR('Controllable Asset Registry'!#REF!=A8,FALSE),"No Equipment in entity"))</f>
        <v>#REF!</v>
      </c>
    </row>
    <row r="9" spans="1:4" x14ac:dyDescent="0.3">
      <c r="A9" t="str">
        <f t="shared" si="0"/>
        <v>entity:QNL_B_235_M2_HVAC_SHAFT_ABOVE</v>
      </c>
      <c r="B9" s="23" t="s">
        <v>6385</v>
      </c>
      <c r="C9" t="s">
        <v>6386</v>
      </c>
      <c r="D9" t="e" cm="1">
        <f t="array" ref="D9">TRANSPOSE(_xlfn._xlws.FILTER('Controllable Asset Registry'!#REF!,IFERROR('Controllable Asset Registry'!#REF!=A9,FALSE),"No Equipment in entity"))</f>
        <v>#REF!</v>
      </c>
    </row>
    <row r="10" spans="1:4" x14ac:dyDescent="0.3">
      <c r="A10" t="str">
        <f t="shared" si="0"/>
        <v>entity:QNL_B_236_WC1_RISER</v>
      </c>
      <c r="B10" s="23" t="s">
        <v>6387</v>
      </c>
      <c r="C10" t="s">
        <v>6388</v>
      </c>
      <c r="D10" t="e" cm="1">
        <f t="array" ref="D10">TRANSPOSE(_xlfn._xlws.FILTER('Controllable Asset Registry'!#REF!,IFERROR('Controllable Asset Registry'!#REF!=A10,FALSE),"No Equipment in entity"))</f>
        <v>#REF!</v>
      </c>
    </row>
    <row r="11" spans="1:4" x14ac:dyDescent="0.3">
      <c r="A11" t="str">
        <f t="shared" si="0"/>
        <v>entity:QNL_B_237_CORRIDOR</v>
      </c>
      <c r="B11" s="23" t="s">
        <v>6389</v>
      </c>
      <c r="C11" t="s">
        <v>3735</v>
      </c>
      <c r="D11" t="e" cm="1">
        <f t="array" ref="D11">TRANSPOSE(_xlfn._xlws.FILTER('Controllable Asset Registry'!#REF!,IFERROR('Controllable Asset Registry'!#REF!=A11,FALSE),"No Equipment in entity"))</f>
        <v>#REF!</v>
      </c>
    </row>
    <row r="12" spans="1:4" x14ac:dyDescent="0.3">
      <c r="A12" t="str">
        <f t="shared" si="0"/>
        <v>entity:QNL_B_238_M3_HVAC_SHAFT</v>
      </c>
      <c r="B12" s="23" t="s">
        <v>6390</v>
      </c>
      <c r="C12" t="s">
        <v>6391</v>
      </c>
      <c r="D12" t="e" cm="1">
        <f t="array" ref="D12">TRANSPOSE(_xlfn._xlws.FILTER('Controllable Asset Registry'!#REF!,IFERROR('Controllable Asset Registry'!#REF!=A12,FALSE),"No Equipment in entity"))</f>
        <v>#REF!</v>
      </c>
    </row>
    <row r="13" spans="1:4" x14ac:dyDescent="0.3">
      <c r="A13" t="str">
        <f t="shared" si="0"/>
        <v>entity:QNL_B_001_TECH_SERVICES_AND_COLLECTIONS_OFFICE</v>
      </c>
      <c r="B13" s="23" t="s">
        <v>6890</v>
      </c>
      <c r="C13" t="s">
        <v>6915</v>
      </c>
      <c r="D13" t="e" cm="1">
        <f t="array" ref="D13">TRANSPOSE(_xlfn._xlws.FILTER('Controllable Asset Registry'!#REF!,IFERROR('Controllable Asset Registry'!#REF!=A13,FALSE),"No Equipment in entity"))</f>
        <v>#REF!</v>
      </c>
    </row>
    <row r="14" spans="1:4" x14ac:dyDescent="0.3">
      <c r="A14" t="str">
        <f t="shared" si="0"/>
        <v>entity:QNL_B_002_KITCHEN</v>
      </c>
      <c r="B14" s="23" t="s">
        <v>6392</v>
      </c>
      <c r="C14" t="s">
        <v>3848</v>
      </c>
      <c r="D14" t="e" cm="1">
        <f t="array" ref="D14">TRANSPOSE(_xlfn._xlws.FILTER('Controllable Asset Registry'!#REF!,IFERROR('Controllable Asset Registry'!#REF!=A14,FALSE),"No Equipment in entity"))</f>
        <v>#REF!</v>
      </c>
    </row>
    <row r="15" spans="1:4" x14ac:dyDescent="0.3">
      <c r="A15" t="str">
        <f t="shared" si="0"/>
        <v>entity:QNL_B_003_FINANCE_COORDINATOR_&amp;_BUSINESS_SUPPORT_OFCR</v>
      </c>
      <c r="B15" s="23" t="s">
        <v>6393</v>
      </c>
      <c r="C15" t="s">
        <v>6394</v>
      </c>
      <c r="D15" t="e" cm="1">
        <f t="array" ref="D15">TRANSPOSE(_xlfn._xlws.FILTER('Controllable Asset Registry'!#REF!,IFERROR('Controllable Asset Registry'!#REF!=A15,FALSE),"No Equipment in entity"))</f>
        <v>#REF!</v>
      </c>
    </row>
    <row r="16" spans="1:4" x14ac:dyDescent="0.3">
      <c r="A16" t="str">
        <f t="shared" si="0"/>
        <v>entity:QNL_B_004_ANALOG_RESOURCES</v>
      </c>
      <c r="B16" s="23" t="s">
        <v>6395</v>
      </c>
      <c r="C16" t="s">
        <v>6396</v>
      </c>
      <c r="D16" t="e" cm="1">
        <f t="array" ref="D16">TRANSPOSE(_xlfn._xlws.FILTER('Controllable Asset Registry'!#REF!,IFERROR('Controllable Asset Registry'!#REF!=A16,FALSE),"No Equipment in entity"))</f>
        <v>#REF!</v>
      </c>
    </row>
    <row r="17" spans="1:4" x14ac:dyDescent="0.3">
      <c r="A17" t="str">
        <f t="shared" si="0"/>
        <v>entity:QNL_B_005_DIGITAL_RESOURCES</v>
      </c>
      <c r="B17" s="23" t="s">
        <v>6397</v>
      </c>
      <c r="C17" t="s">
        <v>6398</v>
      </c>
      <c r="D17" t="e" cm="1">
        <f t="array" ref="D17">TRANSPOSE(_xlfn._xlws.FILTER('Controllable Asset Registry'!#REF!,IFERROR('Controllable Asset Registry'!#REF!=A17,FALSE),"No Equipment in entity"))</f>
        <v>#REF!</v>
      </c>
    </row>
    <row r="18" spans="1:4" x14ac:dyDescent="0.3">
      <c r="A18" t="str">
        <f t="shared" si="0"/>
        <v>entity:QNL_B_006_BUDGET_&amp;_PAYMENT_1</v>
      </c>
      <c r="B18" s="23" t="s">
        <v>6399</v>
      </c>
      <c r="C18" t="s">
        <v>6400</v>
      </c>
      <c r="D18" t="e" cm="1">
        <f t="array" ref="D18">TRANSPOSE(_xlfn._xlws.FILTER('Controllable Asset Registry'!#REF!,IFERROR('Controllable Asset Registry'!#REF!=A18,FALSE),"No Equipment in entity"))</f>
        <v>#REF!</v>
      </c>
    </row>
    <row r="19" spans="1:4" x14ac:dyDescent="0.3">
      <c r="A19" t="str">
        <f t="shared" si="0"/>
        <v>entity:QNL_B_007_BUDGET_&amp;_PAYMENT_2</v>
      </c>
      <c r="B19" s="23" t="s">
        <v>6401</v>
      </c>
      <c r="C19" t="s">
        <v>6402</v>
      </c>
      <c r="D19" t="e" cm="1">
        <f t="array" ref="D19">TRANSPOSE(_xlfn._xlws.FILTER('Controllable Asset Registry'!#REF!,IFERROR('Controllable Asset Registry'!#REF!=A19,FALSE),"No Equipment in entity"))</f>
        <v>#REF!</v>
      </c>
    </row>
    <row r="20" spans="1:4" x14ac:dyDescent="0.3">
      <c r="A20" t="str">
        <f t="shared" si="0"/>
        <v>entity:QNL_B_008_RECEIVING_AREA</v>
      </c>
      <c r="B20" s="23" t="s">
        <v>6403</v>
      </c>
      <c r="C20" t="s">
        <v>6404</v>
      </c>
      <c r="D20" t="e" cm="1">
        <f t="array" ref="D20">TRANSPOSE(_xlfn._xlws.FILTER('Controllable Asset Registry'!#REF!,IFERROR('Controllable Asset Registry'!#REF!=A20,FALSE),"No Equipment in entity"))</f>
        <v>#REF!</v>
      </c>
    </row>
    <row r="21" spans="1:4" x14ac:dyDescent="0.3">
      <c r="A21" t="str">
        <f t="shared" si="0"/>
        <v>entity:QNL_B_009_RECEPTION_&amp;_LOUNGE</v>
      </c>
      <c r="B21" s="23" t="s">
        <v>6405</v>
      </c>
      <c r="C21" t="s">
        <v>6406</v>
      </c>
      <c r="D21" t="e" cm="1">
        <f t="array" ref="D21">TRANSPOSE(_xlfn._xlws.FILTER('Controllable Asset Registry'!#REF!,IFERROR('Controllable Asset Registry'!#REF!=A21,FALSE),"No Equipment in entity"))</f>
        <v>#REF!</v>
      </c>
    </row>
    <row r="22" spans="1:4" x14ac:dyDescent="0.3">
      <c r="A22" t="str">
        <f t="shared" si="0"/>
        <v>entity:QNL_B_010_PATIO_GARDEN</v>
      </c>
      <c r="B22" s="23" t="s">
        <v>6407</v>
      </c>
      <c r="C22" t="s">
        <v>6408</v>
      </c>
      <c r="D22" t="e" cm="1">
        <f t="array" ref="D22">TRANSPOSE(_xlfn._xlws.FILTER('Controllable Asset Registry'!#REF!,IFERROR('Controllable Asset Registry'!#REF!=A22,FALSE),"No Equipment in entity"))</f>
        <v>#REF!</v>
      </c>
    </row>
    <row r="23" spans="1:4" x14ac:dyDescent="0.3">
      <c r="A23" t="str">
        <f t="shared" si="0"/>
        <v>entity:QNL_B_020_ENGINEERING</v>
      </c>
      <c r="B23" s="23" t="s">
        <v>6409</v>
      </c>
      <c r="C23" t="s">
        <v>6410</v>
      </c>
      <c r="D23" t="e" cm="1">
        <f t="array" ref="D23">TRANSPOSE(_xlfn._xlws.FILTER('Controllable Asset Registry'!#REF!,IFERROR('Controllable Asset Registry'!#REF!=A23,FALSE),"No Equipment in entity"))</f>
        <v>#REF!</v>
      </c>
    </row>
    <row r="24" spans="1:4" x14ac:dyDescent="0.3">
      <c r="A24" t="str">
        <f t="shared" si="0"/>
        <v>entity:QNL_B_021_ARABIC_STUDIES</v>
      </c>
      <c r="B24" s="23" t="s">
        <v>6411</v>
      </c>
      <c r="C24" t="s">
        <v>6412</v>
      </c>
      <c r="D24" t="e" cm="1">
        <f t="array" ref="D24">TRANSPOSE(_xlfn._xlws.FILTER('Controllable Asset Registry'!#REF!,IFERROR('Controllable Asset Registry'!#REF!=A24,FALSE),"No Equipment in entity"))</f>
        <v>#REF!</v>
      </c>
    </row>
    <row r="25" spans="1:4" x14ac:dyDescent="0.3">
      <c r="A25" t="str">
        <f t="shared" si="0"/>
        <v>entity:QNL_B_022_LICENSING_EXPERT</v>
      </c>
      <c r="B25" s="23" t="s">
        <v>6413</v>
      </c>
      <c r="C25" t="s">
        <v>6414</v>
      </c>
      <c r="D25" t="e" cm="1">
        <f t="array" ref="D25">TRANSPOSE(_xlfn._xlws.FILTER('Controllable Asset Registry'!#REF!,IFERROR('Controllable Asset Registry'!#REF!=A25,FALSE),"No Equipment in entity"))</f>
        <v>#REF!</v>
      </c>
    </row>
    <row r="26" spans="1:4" x14ac:dyDescent="0.3">
      <c r="A26" t="str">
        <f t="shared" si="0"/>
        <v>entity:QNL_B_023_ARTS_&amp;_HUMANITIES</v>
      </c>
      <c r="B26" s="23" t="s">
        <v>6415</v>
      </c>
      <c r="C26" t="s">
        <v>6416</v>
      </c>
      <c r="D26" t="e" cm="1">
        <f t="array" ref="D26">TRANSPOSE(_xlfn._xlws.FILTER('Controllable Asset Registry'!#REF!,IFERROR('Controllable Asset Registry'!#REF!=A26,FALSE),"No Equipment in entity"))</f>
        <v>#REF!</v>
      </c>
    </row>
    <row r="27" spans="1:4" x14ac:dyDescent="0.3">
      <c r="A27" t="str">
        <f t="shared" si="0"/>
        <v>entity:QNL_B_024_AD_COLLECTIONS</v>
      </c>
      <c r="B27" s="23" t="s">
        <v>6417</v>
      </c>
      <c r="C27" t="s">
        <v>6418</v>
      </c>
      <c r="D27" t="e" cm="1">
        <f t="array" ref="D27">TRANSPOSE(_xlfn._xlws.FILTER('Controllable Asset Registry'!#REF!,IFERROR('Controllable Asset Registry'!#REF!=A27,FALSE),"No Equipment in entity"))</f>
        <v>#REF!</v>
      </c>
    </row>
    <row r="28" spans="1:4" x14ac:dyDescent="0.3">
      <c r="A28" t="str">
        <f t="shared" si="0"/>
        <v>entity:QNL_B_025_SOCIAL_SCIENCES</v>
      </c>
      <c r="B28" s="23" t="s">
        <v>6419</v>
      </c>
      <c r="C28" t="s">
        <v>6420</v>
      </c>
      <c r="D28" t="e" cm="1">
        <f t="array" ref="D28">TRANSPOSE(_xlfn._xlws.FILTER('Controllable Asset Registry'!#REF!,IFERROR('Controllable Asset Registry'!#REF!=A28,FALSE),"No Equipment in entity"))</f>
        <v>#REF!</v>
      </c>
    </row>
    <row r="29" spans="1:4" x14ac:dyDescent="0.3">
      <c r="A29" t="str">
        <f t="shared" si="0"/>
        <v>entity:QNL_B_026_BUSINESS_&amp;_COMPUTING</v>
      </c>
      <c r="B29" s="23" t="s">
        <v>6421</v>
      </c>
      <c r="C29" t="s">
        <v>6422</v>
      </c>
      <c r="D29" t="e" cm="1">
        <f t="array" ref="D29">TRANSPOSE(_xlfn._xlws.FILTER('Controllable Asset Registry'!#REF!,IFERROR('Controllable Asset Registry'!#REF!=A29,FALSE),"No Equipment in entity"))</f>
        <v>#REF!</v>
      </c>
    </row>
    <row r="30" spans="1:4" x14ac:dyDescent="0.3">
      <c r="A30" t="str">
        <f t="shared" si="0"/>
        <v>entity:QNL_B_027_PROCUREMENT_SPC_PROCUREMENT_OFCR</v>
      </c>
      <c r="B30" s="23" t="s">
        <v>6423</v>
      </c>
      <c r="C30" t="s">
        <v>6424</v>
      </c>
      <c r="D30" t="e" cm="1">
        <f t="array" ref="D30">TRANSPOSE(_xlfn._xlws.FILTER('Controllable Asset Registry'!#REF!,IFERROR('Controllable Asset Registry'!#REF!=A30,FALSE),"No Equipment in entity"))</f>
        <v>#REF!</v>
      </c>
    </row>
    <row r="31" spans="1:4" x14ac:dyDescent="0.3">
      <c r="A31" t="str">
        <f t="shared" si="0"/>
        <v>entity:QNL_B_028_STORAGE</v>
      </c>
      <c r="B31" s="23" t="s">
        <v>6425</v>
      </c>
      <c r="C31" t="s">
        <v>3752</v>
      </c>
      <c r="D31" t="e" cm="1">
        <f t="array" ref="D31">TRANSPOSE(_xlfn._xlws.FILTER('Controllable Asset Registry'!#REF!,IFERROR('Controllable Asset Registry'!#REF!=A31,FALSE),"No Equipment in entity"))</f>
        <v>#REF!</v>
      </c>
    </row>
    <row r="32" spans="1:4" x14ac:dyDescent="0.3">
      <c r="A32" t="str">
        <f t="shared" si="0"/>
        <v>entity:QNL_B_029_LITERATURE_&amp;_ANGUAGE</v>
      </c>
      <c r="B32" s="23" t="s">
        <v>6426</v>
      </c>
      <c r="C32" t="s">
        <v>6427</v>
      </c>
      <c r="D32" t="e" cm="1">
        <f t="array" ref="D32">TRANSPOSE(_xlfn._xlws.FILTER('Controllable Asset Registry'!#REF!,IFERROR('Controllable Asset Registry'!#REF!=A32,FALSE),"No Equipment in entity"))</f>
        <v>#REF!</v>
      </c>
    </row>
    <row r="33" spans="1:4" x14ac:dyDescent="0.3">
      <c r="A33" t="str">
        <f t="shared" si="0"/>
        <v>entity:QNL_B_030_SNR_P_COORDINATOR_&amp;_P_COORDINATOR</v>
      </c>
      <c r="B33" s="23" t="s">
        <v>6428</v>
      </c>
      <c r="C33" t="s">
        <v>6429</v>
      </c>
      <c r="D33" t="e" cm="1">
        <f t="array" ref="D33">TRANSPOSE(_xlfn._xlws.FILTER('Controllable Asset Registry'!#REF!,IFERROR('Controllable Asset Registry'!#REF!=A33,FALSE),"No Equipment in entity"))</f>
        <v>#REF!</v>
      </c>
    </row>
    <row r="34" spans="1:4" x14ac:dyDescent="0.3">
      <c r="A34" t="str">
        <f t="shared" si="0"/>
        <v>entity:QNL_B_031_JANITORS_ROOM</v>
      </c>
      <c r="B34" s="23" t="s">
        <v>6430</v>
      </c>
      <c r="C34" t="s">
        <v>6431</v>
      </c>
      <c r="D34" t="e" cm="1">
        <f t="array" ref="D34">TRANSPOSE(_xlfn._xlws.FILTER('Controllable Asset Registry'!#REF!,IFERROR('Controllable Asset Registry'!#REF!=A34,FALSE),"No Equipment in entity"))</f>
        <v>#REF!</v>
      </c>
    </row>
    <row r="35" spans="1:4" x14ac:dyDescent="0.3">
      <c r="A35" t="str">
        <f t="shared" si="0"/>
        <v>entity:QNL_B_032_REST_ROOM_MEN</v>
      </c>
      <c r="B35" s="23" t="s">
        <v>6432</v>
      </c>
      <c r="C35" t="s">
        <v>6433</v>
      </c>
      <c r="D35" t="e" cm="1">
        <f t="array" ref="D35">TRANSPOSE(_xlfn._xlws.FILTER('Controllable Asset Registry'!#REF!,IFERROR('Controllable Asset Registry'!#REF!=A35,FALSE),"No Equipment in entity"))</f>
        <v>#REF!</v>
      </c>
    </row>
    <row r="36" spans="1:4" x14ac:dyDescent="0.3">
      <c r="A36" t="str">
        <f t="shared" si="0"/>
        <v>entity:QNL_B_034_MEETING_ROOM</v>
      </c>
      <c r="B36" s="23" t="s">
        <v>6434</v>
      </c>
      <c r="C36" t="s">
        <v>4941</v>
      </c>
      <c r="D36" t="e" cm="1">
        <f t="array" ref="D36">TRANSPOSE(_xlfn._xlws.FILTER('Controllable Asset Registry'!#REF!,IFERROR('Controllable Asset Registry'!#REF!=A36,FALSE),"No Equipment in entity"))</f>
        <v>#REF!</v>
      </c>
    </row>
    <row r="37" spans="1:4" x14ac:dyDescent="0.3">
      <c r="A37" t="str">
        <f t="shared" si="0"/>
        <v>entity:QNL_B036_REST_REST_ROOM_WOMEN</v>
      </c>
      <c r="B37" s="23" t="s">
        <v>6435</v>
      </c>
      <c r="C37" t="s">
        <v>6436</v>
      </c>
      <c r="D37" t="e" cm="1">
        <f t="array" ref="D37">TRANSPOSE(_xlfn._xlws.FILTER('Controllable Asset Registry'!#REF!,IFERROR('Controllable Asset Registry'!#REF!=A37,FALSE),"No Equipment in entity"))</f>
        <v>#REF!</v>
      </c>
    </row>
    <row r="38" spans="1:4" x14ac:dyDescent="0.3">
      <c r="A38" t="str">
        <f t="shared" si="0"/>
        <v>entity:QNL_B036_COR_CORRIDOR_4A</v>
      </c>
      <c r="B38" s="23" t="s">
        <v>6437</v>
      </c>
      <c r="C38" t="s">
        <v>6438</v>
      </c>
      <c r="D38" t="e" cm="1">
        <f t="array" ref="D38">TRANSPOSE(_xlfn._xlws.FILTER('Controllable Asset Registry'!#REF!,IFERROR('Controllable Asset Registry'!#REF!=A38,FALSE),"No Equipment in entity"))</f>
        <v>#REF!</v>
      </c>
    </row>
    <row r="39" spans="1:4" x14ac:dyDescent="0.3">
      <c r="A39" t="str">
        <f t="shared" si="0"/>
        <v>entity:QNL_B_040_OFFICE</v>
      </c>
      <c r="B39" s="23" t="s">
        <v>6439</v>
      </c>
      <c r="C39" t="s">
        <v>6440</v>
      </c>
      <c r="D39" t="e" cm="1">
        <f t="array" ref="D39">TRANSPOSE(_xlfn._xlws.FILTER('Controllable Asset Registry'!#REF!,IFERROR('Controllable Asset Registry'!#REF!=A39,FALSE),"No Equipment in entity"))</f>
        <v>#REF!</v>
      </c>
    </row>
    <row r="40" spans="1:4" x14ac:dyDescent="0.3">
      <c r="A40" t="str">
        <f t="shared" si="0"/>
        <v>entity:QNL_B_041_DIGITIZATION_ROOM</v>
      </c>
      <c r="B40" s="23" t="s">
        <v>6441</v>
      </c>
      <c r="C40" t="s">
        <v>6442</v>
      </c>
      <c r="D40" t="e" cm="1">
        <f t="array" ref="D40">TRANSPOSE(_xlfn._xlws.FILTER('Controllable Asset Registry'!#REF!,IFERROR('Controllable Asset Registry'!#REF!=A40,FALSE),"No Equipment in entity"))</f>
        <v>#REF!</v>
      </c>
    </row>
    <row r="41" spans="1:4" x14ac:dyDescent="0.3">
      <c r="A41" t="str">
        <f t="shared" si="0"/>
        <v>entity:QNL_B_042_RECEPTION_&amp;_LOUNGE</v>
      </c>
      <c r="B41" s="23" t="s">
        <v>6443</v>
      </c>
      <c r="C41" t="s">
        <v>6406</v>
      </c>
      <c r="D41" t="e" cm="1">
        <f t="array" ref="D41">TRANSPOSE(_xlfn._xlws.FILTER('Controllable Asset Registry'!#REF!,IFERROR('Controllable Asset Registry'!#REF!=A41,FALSE),"No Equipment in entity"))</f>
        <v>#REF!</v>
      </c>
    </row>
    <row r="42" spans="1:4" x14ac:dyDescent="0.3">
      <c r="A42" t="str">
        <f t="shared" si="0"/>
        <v>entity:QNL_B_043_BINDING_&amp;_PRESERVATION_SPACE</v>
      </c>
      <c r="B42" s="23" t="s">
        <v>6444</v>
      </c>
      <c r="C42" t="s">
        <v>6445</v>
      </c>
      <c r="D42" t="e" cm="1">
        <f t="array" ref="D42">TRANSPOSE(_xlfn._xlws.FILTER('Controllable Asset Registry'!#REF!,IFERROR('Controllable Asset Registry'!#REF!=A42,FALSE),"No Equipment in entity"))</f>
        <v>#REF!</v>
      </c>
    </row>
    <row r="43" spans="1:4" x14ac:dyDescent="0.3">
      <c r="A43" t="str">
        <f t="shared" si="0"/>
        <v>entity:QNL_B044_BOH_B_O_H_KITCHEN</v>
      </c>
      <c r="B43" s="23" t="s">
        <v>6446</v>
      </c>
      <c r="C43" t="s">
        <v>6447</v>
      </c>
      <c r="D43" t="e" cm="1">
        <f t="array" ref="D43">TRANSPOSE(_xlfn._xlws.FILTER('Controllable Asset Registry'!#REF!,IFERROR('Controllable Asset Registry'!#REF!=A43,FALSE),"No Equipment in entity"))</f>
        <v>#REF!</v>
      </c>
    </row>
    <row r="44" spans="1:4" x14ac:dyDescent="0.3">
      <c r="A44" t="str">
        <f t="shared" si="0"/>
        <v>entity:QNL_B044_FIN_FINE_BINDING</v>
      </c>
      <c r="B44" s="23" t="s">
        <v>6448</v>
      </c>
      <c r="C44" t="s">
        <v>6449</v>
      </c>
      <c r="D44" t="e" cm="1">
        <f t="array" ref="D44">TRANSPOSE(_xlfn._xlws.FILTER('Controllable Asset Registry'!#REF!,IFERROR('Controllable Asset Registry'!#REF!=A44,FALSE),"No Equipment in entity"))</f>
        <v>#REF!</v>
      </c>
    </row>
    <row r="45" spans="1:4" x14ac:dyDescent="0.3">
      <c r="A45" t="str">
        <f t="shared" si="0"/>
        <v>entity:QNL_B046_RES_REST_ROOM_MEN</v>
      </c>
      <c r="B45" s="23" t="s">
        <v>6450</v>
      </c>
      <c r="C45" t="s">
        <v>6433</v>
      </c>
      <c r="D45" t="e" cm="1">
        <f t="array" ref="D45">TRANSPOSE(_xlfn._xlws.FILTER('Controllable Asset Registry'!#REF!,IFERROR('Controllable Asset Registry'!#REF!=A45,FALSE),"No Equipment in entity"))</f>
        <v>#REF!</v>
      </c>
    </row>
    <row r="46" spans="1:4" x14ac:dyDescent="0.3">
      <c r="A46" t="str">
        <f t="shared" si="0"/>
        <v>entity:QNL_B046_ITT_ITTIGATION_CONTROL_ROOM</v>
      </c>
      <c r="B46" s="23" t="s">
        <v>6451</v>
      </c>
      <c r="C46" t="s">
        <v>6452</v>
      </c>
      <c r="D46" t="e" cm="1">
        <f t="array" ref="D46">TRANSPOSE(_xlfn._xlws.FILTER('Controllable Asset Registry'!#REF!,IFERROR('Controllable Asset Registry'!#REF!=A46,FALSE),"No Equipment in entity"))</f>
        <v>#REF!</v>
      </c>
    </row>
    <row r="47" spans="1:4" x14ac:dyDescent="0.3">
      <c r="A47" t="str">
        <f t="shared" si="0"/>
        <v>entity:QNL_B_047_REST_ROOM_WOMEN</v>
      </c>
      <c r="B47" s="23" t="s">
        <v>6453</v>
      </c>
      <c r="C47" t="s">
        <v>6436</v>
      </c>
      <c r="D47" t="e" cm="1">
        <f t="array" ref="D47">TRANSPOSE(_xlfn._xlws.FILTER('Controllable Asset Registry'!#REF!,IFERROR('Controllable Asset Registry'!#REF!=A47,FALSE),"No Equipment in entity"))</f>
        <v>#REF!</v>
      </c>
    </row>
    <row r="48" spans="1:4" x14ac:dyDescent="0.3">
      <c r="A48" t="str">
        <f t="shared" si="0"/>
        <v>entity:QNL_B_048_QTEL_ROOM</v>
      </c>
      <c r="B48" s="23" t="s">
        <v>6454</v>
      </c>
      <c r="C48" t="s">
        <v>6455</v>
      </c>
      <c r="D48" t="e" cm="1">
        <f t="array" ref="D48">TRANSPOSE(_xlfn._xlws.FILTER('Controllable Asset Registry'!#REF!,IFERROR('Controllable Asset Registry'!#REF!=A48,FALSE),"No Equipment in entity"))</f>
        <v>#REF!</v>
      </c>
    </row>
    <row r="49" spans="1:4" x14ac:dyDescent="0.3">
      <c r="A49" t="str">
        <f t="shared" si="0"/>
        <v>entity:QNL_B_049_MEP_KITCHEN</v>
      </c>
      <c r="B49" s="23" t="s">
        <v>6456</v>
      </c>
      <c r="C49" t="s">
        <v>6457</v>
      </c>
      <c r="D49" t="e" cm="1">
        <f t="array" ref="D49">TRANSPOSE(_xlfn._xlws.FILTER('Controllable Asset Registry'!#REF!,IFERROR('Controllable Asset Registry'!#REF!=A49,FALSE),"No Equipment in entity"))</f>
        <v>#REF!</v>
      </c>
    </row>
    <row r="50" spans="1:4" x14ac:dyDescent="0.3">
      <c r="A50" t="str">
        <f t="shared" si="0"/>
        <v>entity:QNL_B-04B_ST-04B</v>
      </c>
      <c r="B50" s="23" t="s">
        <v>6458</v>
      </c>
      <c r="C50" t="s">
        <v>6459</v>
      </c>
      <c r="D50" t="e" cm="1">
        <f t="array" ref="D50">TRANSPOSE(_xlfn._xlws.FILTER('Controllable Asset Registry'!#REF!,IFERROR('Controllable Asset Registry'!#REF!=A50,FALSE),"No Equipment in entity"))</f>
        <v>#REF!</v>
      </c>
    </row>
    <row r="51" spans="1:4" x14ac:dyDescent="0.3">
      <c r="A51" t="str">
        <f t="shared" si="0"/>
        <v>entity:QNL_B_050_TELECOM_ROOM</v>
      </c>
      <c r="B51" s="23" t="s">
        <v>6460</v>
      </c>
      <c r="C51" t="s">
        <v>6461</v>
      </c>
      <c r="D51" t="e" cm="1">
        <f t="array" ref="D51">TRANSPOSE(_xlfn._xlws.FILTER('Controllable Asset Registry'!#REF!,IFERROR('Controllable Asset Registry'!#REF!=A51,FALSE),"No Equipment in entity"))</f>
        <v>#REF!</v>
      </c>
    </row>
    <row r="52" spans="1:4" x14ac:dyDescent="0.3">
      <c r="A52" t="str">
        <f t="shared" si="0"/>
        <v>entity:QNL_B_051_STORAGE</v>
      </c>
      <c r="B52" s="23" t="s">
        <v>6462</v>
      </c>
      <c r="C52" t="s">
        <v>3752</v>
      </c>
      <c r="D52" t="e" cm="1">
        <f t="array" ref="D52">TRANSPOSE(_xlfn._xlws.FILTER('Controllable Asset Registry'!#REF!,IFERROR('Controllable Asset Registry'!#REF!=A52,FALSE),"No Equipment in entity"))</f>
        <v>#REF!</v>
      </c>
    </row>
    <row r="53" spans="1:4" x14ac:dyDescent="0.3">
      <c r="A53" t="str">
        <f t="shared" si="0"/>
        <v>entity:QNL_B_053_CORRIDORS</v>
      </c>
      <c r="B53" s="23" t="s">
        <v>6463</v>
      </c>
      <c r="C53" t="s">
        <v>6464</v>
      </c>
      <c r="D53" t="e" cm="1">
        <f t="array" ref="D53">TRANSPOSE(_xlfn._xlws.FILTER('Controllable Asset Registry'!#REF!,IFERROR('Controllable Asset Registry'!#REF!=A53,FALSE),"No Equipment in entity"))</f>
        <v>#REF!</v>
      </c>
    </row>
    <row r="54" spans="1:4" x14ac:dyDescent="0.3">
      <c r="A54" t="str">
        <f t="shared" si="0"/>
        <v>entity:QNL_B_054_PATIO_GARDEN</v>
      </c>
      <c r="B54" s="23" t="s">
        <v>6465</v>
      </c>
      <c r="C54" t="s">
        <v>6408</v>
      </c>
      <c r="D54" t="e" cm="1">
        <f t="array" ref="D54">TRANSPOSE(_xlfn._xlws.FILTER('Controllable Asset Registry'!#REF!,IFERROR('Controllable Asset Registry'!#REF!=A54,FALSE),"No Equipment in entity"))</f>
        <v>#REF!</v>
      </c>
    </row>
    <row r="55" spans="1:4" x14ac:dyDescent="0.3">
      <c r="A55" t="str">
        <f t="shared" si="0"/>
        <v>entity:QNL_B057_DIG_OFFICE_DIG_INIT</v>
      </c>
      <c r="B55" s="23" t="s">
        <v>6466</v>
      </c>
      <c r="C55" t="s">
        <v>6467</v>
      </c>
      <c r="D55" t="e" cm="1">
        <f t="array" ref="D55">TRANSPOSE(_xlfn._xlws.FILTER('Controllable Asset Registry'!#REF!,IFERROR('Controllable Asset Registry'!#REF!=A55,FALSE),"No Equipment in entity"))</f>
        <v>#REF!</v>
      </c>
    </row>
    <row r="56" spans="1:4" x14ac:dyDescent="0.3">
      <c r="A56" t="str">
        <f t="shared" si="0"/>
        <v>entity:QNL_B057_AD_OFFICE_AD_FOR_LIT</v>
      </c>
      <c r="B56" s="23" t="s">
        <v>6468</v>
      </c>
      <c r="C56" t="s">
        <v>6469</v>
      </c>
      <c r="D56" t="e" cm="1">
        <f t="array" ref="D56">TRANSPOSE(_xlfn._xlws.FILTER('Controllable Asset Registry'!#REF!,IFERROR('Controllable Asset Registry'!#REF!=A56,FALSE),"No Equipment in entity"))</f>
        <v>#REF!</v>
      </c>
    </row>
    <row r="57" spans="1:4" x14ac:dyDescent="0.3">
      <c r="A57" t="str">
        <f t="shared" si="0"/>
        <v>entity:QNL_B_058_SHELL_SPACE</v>
      </c>
      <c r="B57" s="23" t="s">
        <v>6470</v>
      </c>
      <c r="C57" t="s">
        <v>4867</v>
      </c>
      <c r="D57" t="e" cm="1">
        <f t="array" ref="D57">TRANSPOSE(_xlfn._xlws.FILTER('Controllable Asset Registry'!#REF!,IFERROR('Controllable Asset Registry'!#REF!=A57,FALSE),"No Equipment in entity"))</f>
        <v>#REF!</v>
      </c>
    </row>
    <row r="58" spans="1:4" x14ac:dyDescent="0.3">
      <c r="A58" t="str">
        <f t="shared" si="0"/>
        <v>entity:QNL_B_060_MAINTENANCE</v>
      </c>
      <c r="B58" s="23" t="s">
        <v>6471</v>
      </c>
      <c r="C58" t="s">
        <v>6472</v>
      </c>
      <c r="D58" t="e" cm="1">
        <f t="array" ref="D58">TRANSPOSE(_xlfn._xlws.FILTER('Controllable Asset Registry'!#REF!,IFERROR('Controllable Asset Registry'!#REF!=A58,FALSE),"No Equipment in entity"))</f>
        <v>#REF!</v>
      </c>
    </row>
    <row r="59" spans="1:4" x14ac:dyDescent="0.3">
      <c r="A59" t="str">
        <f t="shared" si="0"/>
        <v>entity:QNL_B_062_IDF_CORRIDOR</v>
      </c>
      <c r="B59" s="23" t="s">
        <v>6473</v>
      </c>
      <c r="C59" t="s">
        <v>6474</v>
      </c>
      <c r="D59" t="e" cm="1">
        <f t="array" ref="D59">TRANSPOSE(_xlfn._xlws.FILTER('Controllable Asset Registry'!#REF!,IFERROR('Controllable Asset Registry'!#REF!=A59,FALSE),"No Equipment in entity"))</f>
        <v>#REF!</v>
      </c>
    </row>
    <row r="60" spans="1:4" x14ac:dyDescent="0.3">
      <c r="A60" t="str">
        <f t="shared" si="0"/>
        <v>entity:QNL_B_063_PLANT_ROOM_01</v>
      </c>
      <c r="B60" s="23" t="s">
        <v>6475</v>
      </c>
      <c r="C60" t="s">
        <v>6476</v>
      </c>
      <c r="D60" t="e" cm="1">
        <f t="array" ref="D60">TRANSPOSE(_xlfn._xlws.FILTER('Controllable Asset Registry'!#REF!,IFERROR('Controllable Asset Registry'!#REF!=A60,FALSE),"No Equipment in entity"))</f>
        <v>#REF!</v>
      </c>
    </row>
    <row r="61" spans="1:4" x14ac:dyDescent="0.3">
      <c r="A61" t="str">
        <f t="shared" si="0"/>
        <v>entity:QNL_B_065_VENTLATON</v>
      </c>
      <c r="B61" s="23" t="s">
        <v>6477</v>
      </c>
      <c r="C61" t="s">
        <v>6478</v>
      </c>
      <c r="D61" t="e" cm="1">
        <f t="array" ref="D61">TRANSPOSE(_xlfn._xlws.FILTER('Controllable Asset Registry'!#REF!,IFERROR('Controllable Asset Registry'!#REF!=A61,FALSE),"No Equipment in entity"))</f>
        <v>#REF!</v>
      </c>
    </row>
    <row r="62" spans="1:4" x14ac:dyDescent="0.3">
      <c r="A62" t="str">
        <f t="shared" si="0"/>
        <v>entity:QNL_B_066_CORRIDOR</v>
      </c>
      <c r="B62" s="23" t="s">
        <v>6479</v>
      </c>
      <c r="C62" t="s">
        <v>3735</v>
      </c>
      <c r="D62" t="e" cm="1">
        <f t="array" ref="D62">TRANSPOSE(_xlfn._xlws.FILTER('Controllable Asset Registry'!#REF!,IFERROR('Controllable Asset Registry'!#REF!=A62,FALSE),"No Equipment in entity"))</f>
        <v>#REF!</v>
      </c>
    </row>
    <row r="63" spans="1:4" x14ac:dyDescent="0.3">
      <c r="A63" t="str">
        <f t="shared" si="0"/>
        <v>entity:QNL_B_067_VENTLATON</v>
      </c>
      <c r="B63" s="23" t="s">
        <v>6480</v>
      </c>
      <c r="C63" t="s">
        <v>6478</v>
      </c>
      <c r="D63" t="e" cm="1">
        <f t="array" ref="D63">TRANSPOSE(_xlfn._xlws.FILTER('Controllable Asset Registry'!#REF!,IFERROR('Controllable Asset Registry'!#REF!=A63,FALSE),"No Equipment in entity"))</f>
        <v>#REF!</v>
      </c>
    </row>
    <row r="64" spans="1:4" x14ac:dyDescent="0.3">
      <c r="A64" t="str">
        <f t="shared" si="0"/>
        <v>entity:QNL_B_068_CORRIDOR</v>
      </c>
      <c r="B64" s="23" t="s">
        <v>6481</v>
      </c>
      <c r="C64" t="s">
        <v>3735</v>
      </c>
      <c r="D64" t="e" cm="1">
        <f t="array" ref="D64">TRANSPOSE(_xlfn._xlws.FILTER('Controllable Asset Registry'!#REF!,IFERROR('Controllable Asset Registry'!#REF!=A64,FALSE),"No Equipment in entity"))</f>
        <v>#REF!</v>
      </c>
    </row>
    <row r="65" spans="1:4" x14ac:dyDescent="0.3">
      <c r="A65" t="str">
        <f t="shared" si="0"/>
        <v>entity:QNL_B_070_PLANT_ROOM_02</v>
      </c>
      <c r="B65" s="23" t="s">
        <v>6482</v>
      </c>
      <c r="C65" t="s">
        <v>6483</v>
      </c>
      <c r="D65" t="e" cm="1">
        <f t="array" ref="D65">TRANSPOSE(_xlfn._xlws.FILTER('Controllable Asset Registry'!#REF!,IFERROR('Controllable Asset Registry'!#REF!=A65,FALSE),"No Equipment in entity"))</f>
        <v>#REF!</v>
      </c>
    </row>
    <row r="66" spans="1:4" x14ac:dyDescent="0.3">
      <c r="A66" t="str">
        <f t="shared" ref="A66:A129" si="1">"entity:QNL_"&amp;B66&amp;"_"&amp;C66</f>
        <v>entity:QNL_B_071_FIRE_COMMAND_ROOM</v>
      </c>
      <c r="B66" s="23" t="s">
        <v>6484</v>
      </c>
      <c r="C66" t="s">
        <v>6485</v>
      </c>
      <c r="D66" t="e" cm="1">
        <f t="array" ref="D66">TRANSPOSE(_xlfn._xlws.FILTER('Controllable Asset Registry'!#REF!,IFERROR('Controllable Asset Registry'!#REF!=A66,FALSE),"No Equipment in entity"))</f>
        <v>#REF!</v>
      </c>
    </row>
    <row r="67" spans="1:4" x14ac:dyDescent="0.3">
      <c r="A67" t="str">
        <f t="shared" si="1"/>
        <v>entity:QNL_B_072_SPRIMKLERS_PUMPS_&amp;_ZONES_VALVES</v>
      </c>
      <c r="B67" s="23" t="s">
        <v>6486</v>
      </c>
      <c r="C67" t="s">
        <v>6487</v>
      </c>
      <c r="D67" t="e" cm="1">
        <f t="array" ref="D67">TRANSPOSE(_xlfn._xlws.FILTER('Controllable Asset Registry'!#REF!,IFERROR('Controllable Asset Registry'!#REF!=A67,FALSE),"No Equipment in entity"))</f>
        <v>#REF!</v>
      </c>
    </row>
    <row r="68" spans="1:4" x14ac:dyDescent="0.3">
      <c r="A68" t="str">
        <f t="shared" si="1"/>
        <v>entity:QNL_B_080_GENERATOR</v>
      </c>
      <c r="B68" s="23" t="s">
        <v>6488</v>
      </c>
      <c r="C68" t="s">
        <v>3705</v>
      </c>
      <c r="D68" t="e" cm="1">
        <f t="array" ref="D68">TRANSPOSE(_xlfn._xlws.FILTER('Controllable Asset Registry'!#REF!,IFERROR('Controllable Asset Registry'!#REF!=A68,FALSE),"No Equipment in entity"))</f>
        <v>#REF!</v>
      </c>
    </row>
    <row r="69" spans="1:4" x14ac:dyDescent="0.3">
      <c r="A69" t="str">
        <f t="shared" si="1"/>
        <v>entity:QNL_B_081_MV_ROOM</v>
      </c>
      <c r="B69" s="23" t="s">
        <v>6489</v>
      </c>
      <c r="C69" t="s">
        <v>6490</v>
      </c>
      <c r="D69" t="e" cm="1">
        <f t="array" ref="D69">TRANSPOSE(_xlfn._xlws.FILTER('Controllable Asset Registry'!#REF!,IFERROR('Controllable Asset Registry'!#REF!=A69,FALSE),"No Equipment in entity"))</f>
        <v>#REF!</v>
      </c>
    </row>
    <row r="70" spans="1:4" x14ac:dyDescent="0.3">
      <c r="A70" t="str">
        <f t="shared" si="1"/>
        <v>entity:QNL_B_082_TRANSFORMER_ROOM</v>
      </c>
      <c r="B70" s="23" t="s">
        <v>6491</v>
      </c>
      <c r="C70" t="s">
        <v>6492</v>
      </c>
      <c r="D70" t="e" cm="1">
        <f t="array" ref="D70">TRANSPOSE(_xlfn._xlws.FILTER('Controllable Asset Registry'!#REF!,IFERROR('Controllable Asset Registry'!#REF!=A70,FALSE),"No Equipment in entity"))</f>
        <v>#REF!</v>
      </c>
    </row>
    <row r="71" spans="1:4" x14ac:dyDescent="0.3">
      <c r="A71" t="str">
        <f t="shared" si="1"/>
        <v>entity:QNL_B_084_UPS_BATTERY_ROOM</v>
      </c>
      <c r="B71" s="23" t="s">
        <v>6493</v>
      </c>
      <c r="C71" t="s">
        <v>6494</v>
      </c>
      <c r="D71" t="e" cm="1">
        <f t="array" ref="D71">TRANSPOSE(_xlfn._xlws.FILTER('Controllable Asset Registry'!#REF!,IFERROR('Controllable Asset Registry'!#REF!=A71,FALSE),"No Equipment in entity"))</f>
        <v>#REF!</v>
      </c>
    </row>
    <row r="72" spans="1:4" x14ac:dyDescent="0.3">
      <c r="A72" t="str">
        <f t="shared" si="1"/>
        <v>entity:QNL_B_085_FUMIGATION_ROOM</v>
      </c>
      <c r="B72" s="23" t="s">
        <v>6495</v>
      </c>
      <c r="C72" t="s">
        <v>6496</v>
      </c>
      <c r="D72" t="e" cm="1">
        <f t="array" ref="D72">TRANSPOSE(_xlfn._xlws.FILTER('Controllable Asset Registry'!#REF!,IFERROR('Controllable Asset Registry'!#REF!=A72,FALSE),"No Equipment in entity"))</f>
        <v>#REF!</v>
      </c>
    </row>
    <row r="73" spans="1:4" x14ac:dyDescent="0.3">
      <c r="A73" t="str">
        <f t="shared" si="1"/>
        <v>entity:QNL_B_086_FREEZE_AREA</v>
      </c>
      <c r="B73" s="23" t="s">
        <v>6497</v>
      </c>
      <c r="C73" t="s">
        <v>6498</v>
      </c>
      <c r="D73" t="e" cm="1">
        <f t="array" ref="D73">TRANSPOSE(_xlfn._xlws.FILTER('Controllable Asset Registry'!#REF!,IFERROR('Controllable Asset Registry'!#REF!=A73,FALSE),"No Equipment in entity"))</f>
        <v>#REF!</v>
      </c>
    </row>
    <row r="74" spans="1:4" x14ac:dyDescent="0.3">
      <c r="A74" t="str">
        <f t="shared" si="1"/>
        <v>entity:QNL_B_087_GAS_SUPPRESSION_ROOM</v>
      </c>
      <c r="B74" s="23" t="s">
        <v>6499</v>
      </c>
      <c r="C74" t="s">
        <v>6500</v>
      </c>
      <c r="D74" t="e" cm="1">
        <f t="array" ref="D74">TRANSPOSE(_xlfn._xlws.FILTER('Controllable Asset Registry'!#REF!,IFERROR('Controllable Asset Registry'!#REF!=A74,FALSE),"No Equipment in entity"))</f>
        <v>#REF!</v>
      </c>
    </row>
    <row r="75" spans="1:4" x14ac:dyDescent="0.3">
      <c r="A75" t="str">
        <f t="shared" si="1"/>
        <v>entity:QNL_B_088_PEOPLE_MOVER_PLANT</v>
      </c>
      <c r="B75" s="23" t="s">
        <v>6501</v>
      </c>
      <c r="C75" t="s">
        <v>6502</v>
      </c>
      <c r="D75" t="e" cm="1">
        <f t="array" ref="D75">TRANSPOSE(_xlfn._xlws.FILTER('Controllable Asset Registry'!#REF!,IFERROR('Controllable Asset Registry'!#REF!=A75,FALSE),"No Equipment in entity"))</f>
        <v>#REF!</v>
      </c>
    </row>
    <row r="76" spans="1:4" x14ac:dyDescent="0.3">
      <c r="A76" t="str">
        <f t="shared" si="1"/>
        <v>entity:QNL_B_089_SERVER_ROOM</v>
      </c>
      <c r="B76" s="23" t="s">
        <v>6503</v>
      </c>
      <c r="C76" t="s">
        <v>4580</v>
      </c>
      <c r="D76" t="e" cm="1">
        <f t="array" ref="D76">TRANSPOSE(_xlfn._xlws.FILTER('Controllable Asset Registry'!#REF!,IFERROR('Controllable Asset Registry'!#REF!=A76,FALSE),"No Equipment in entity"))</f>
        <v>#REF!</v>
      </c>
    </row>
    <row r="77" spans="1:4" x14ac:dyDescent="0.3">
      <c r="A77" t="str">
        <f t="shared" si="1"/>
        <v>entity:QNL_B_091_FUEL_ROOM</v>
      </c>
      <c r="B77" s="23" t="s">
        <v>6504</v>
      </c>
      <c r="C77" t="s">
        <v>6505</v>
      </c>
      <c r="D77" t="e" cm="1">
        <f t="array" ref="D77">TRANSPOSE(_xlfn._xlws.FILTER('Controllable Asset Registry'!#REF!,IFERROR('Controllable Asset Registry'!#REF!=A77,FALSE),"No Equipment in entity"))</f>
        <v>#REF!</v>
      </c>
    </row>
    <row r="78" spans="1:4" x14ac:dyDescent="0.3">
      <c r="A78" t="str">
        <f t="shared" si="1"/>
        <v>entity:QNL_B_092_STORAGE</v>
      </c>
      <c r="B78" s="23" t="s">
        <v>6506</v>
      </c>
      <c r="C78" t="s">
        <v>3752</v>
      </c>
      <c r="D78" t="e" cm="1">
        <f t="array" ref="D78">TRANSPOSE(_xlfn._xlws.FILTER('Controllable Asset Registry'!#REF!,IFERROR('Controllable Asset Registry'!#REF!=A78,FALSE),"No Equipment in entity"))</f>
        <v>#REF!</v>
      </c>
    </row>
    <row r="79" spans="1:4" x14ac:dyDescent="0.3">
      <c r="A79" t="str">
        <f t="shared" si="1"/>
        <v>entity:QNL_B_0924_FUEL_TANK_CHERRY_PICKER_PANKING</v>
      </c>
      <c r="B79" s="23" t="s">
        <v>6507</v>
      </c>
      <c r="C79" t="s">
        <v>6508</v>
      </c>
      <c r="D79" t="e" cm="1">
        <f t="array" ref="D79">TRANSPOSE(_xlfn._xlws.FILTER('Controllable Asset Registry'!#REF!,IFERROR('Controllable Asset Registry'!#REF!=A79,FALSE),"No Equipment in entity"))</f>
        <v>#REF!</v>
      </c>
    </row>
    <row r="80" spans="1:4" x14ac:dyDescent="0.3">
      <c r="A80" t="str">
        <f t="shared" si="1"/>
        <v>entity:QNL_B_093_TRANSH_CHAMBER</v>
      </c>
      <c r="B80" s="23" t="s">
        <v>6509</v>
      </c>
      <c r="C80" t="s">
        <v>6510</v>
      </c>
      <c r="D80" t="e" cm="1">
        <f t="array" ref="D80">TRANSPOSE(_xlfn._xlws.FILTER('Controllable Asset Registry'!#REF!,IFERROR('Controllable Asset Registry'!#REF!=A80,FALSE),"No Equipment in entity"))</f>
        <v>#REF!</v>
      </c>
    </row>
    <row r="81" spans="1:4" x14ac:dyDescent="0.3">
      <c r="A81" t="str">
        <f t="shared" si="1"/>
        <v>entity:QNL_B_095_EMERGENCY_LIGHTING_BATTERY_ROOM</v>
      </c>
      <c r="B81" s="23" t="s">
        <v>6511</v>
      </c>
      <c r="C81" t="s">
        <v>6512</v>
      </c>
      <c r="D81" t="e" cm="1">
        <f t="array" ref="D81">TRANSPOSE(_xlfn._xlws.FILTER('Controllable Asset Registry'!#REF!,IFERROR('Controllable Asset Registry'!#REF!=A81,FALSE),"No Equipment in entity"))</f>
        <v>#REF!</v>
      </c>
    </row>
    <row r="82" spans="1:4" x14ac:dyDescent="0.3">
      <c r="A82" t="str">
        <f t="shared" si="1"/>
        <v>entity:QNL_B_100_LOADING_DOCK</v>
      </c>
      <c r="B82" s="23" t="s">
        <v>6513</v>
      </c>
      <c r="C82" t="s">
        <v>6514</v>
      </c>
      <c r="D82" t="e" cm="1">
        <f t="array" ref="D82">TRANSPOSE(_xlfn._xlws.FILTER('Controllable Asset Registry'!#REF!,IFERROR('Controllable Asset Registry'!#REF!=A82,FALSE),"No Equipment in entity"))</f>
        <v>#REF!</v>
      </c>
    </row>
    <row r="83" spans="1:4" x14ac:dyDescent="0.3">
      <c r="A83" t="str">
        <f t="shared" si="1"/>
        <v>entity:QNL_B_101_SHIPPING_CLERK</v>
      </c>
      <c r="B83" s="23" t="s">
        <v>6515</v>
      </c>
      <c r="C83" t="s">
        <v>6516</v>
      </c>
      <c r="D83" t="e" cm="1">
        <f t="array" ref="D83">TRANSPOSE(_xlfn._xlws.FILTER('Controllable Asset Registry'!#REF!,IFERROR('Controllable Asset Registry'!#REF!=A83,FALSE),"No Equipment in entity"))</f>
        <v>#REF!</v>
      </c>
    </row>
    <row r="84" spans="1:4" x14ac:dyDescent="0.3">
      <c r="A84" t="str">
        <f t="shared" si="1"/>
        <v>entity:QNL_B_102_SECURITY_&amp;_BMS</v>
      </c>
      <c r="B84" s="23" t="s">
        <v>6517</v>
      </c>
      <c r="C84" t="s">
        <v>6518</v>
      </c>
      <c r="D84" t="e" cm="1">
        <f t="array" ref="D84">TRANSPOSE(_xlfn._xlws.FILTER('Controllable Asset Registry'!#REF!,IFERROR('Controllable Asset Registry'!#REF!=A84,FALSE),"No Equipment in entity"))</f>
        <v>#REF!</v>
      </c>
    </row>
    <row r="85" spans="1:4" x14ac:dyDescent="0.3">
      <c r="A85" t="str">
        <f t="shared" si="1"/>
        <v>entity:QNL_B_103_PROCESSING_ROOM</v>
      </c>
      <c r="B85" s="23" t="s">
        <v>6519</v>
      </c>
      <c r="C85" t="s">
        <v>6520</v>
      </c>
      <c r="D85" t="e" cm="1">
        <f t="array" ref="D85">TRANSPOSE(_xlfn._xlws.FILTER('Controllable Asset Registry'!#REF!,IFERROR('Controllable Asset Registry'!#REF!=A85,FALSE),"No Equipment in entity"))</f>
        <v>#REF!</v>
      </c>
    </row>
    <row r="86" spans="1:4" x14ac:dyDescent="0.3">
      <c r="A86" t="str">
        <f t="shared" si="1"/>
        <v>entity:QNL_B_104_STORAGE</v>
      </c>
      <c r="B86" s="23" t="s">
        <v>6521</v>
      </c>
      <c r="C86" t="s">
        <v>3752</v>
      </c>
      <c r="D86" t="e" cm="1">
        <f t="array" ref="D86">TRANSPOSE(_xlfn._xlws.FILTER('Controllable Asset Registry'!#REF!,IFERROR('Controllable Asset Registry'!#REF!=A86,FALSE),"No Equipment in entity"))</f>
        <v>#REF!</v>
      </c>
    </row>
    <row r="87" spans="1:4" x14ac:dyDescent="0.3">
      <c r="A87" t="str">
        <f t="shared" si="1"/>
        <v>entity:QNL_B106_RES_REST_ROOM_SECURITY</v>
      </c>
      <c r="B87" s="23" t="s">
        <v>6522</v>
      </c>
      <c r="C87" t="s">
        <v>6523</v>
      </c>
      <c r="D87" t="e" cm="1">
        <f t="array" ref="D87">TRANSPOSE(_xlfn._xlws.FILTER('Controllable Asset Registry'!#REF!,IFERROR('Controllable Asset Registry'!#REF!=A87,FALSE),"No Equipment in entity"))</f>
        <v>#REF!</v>
      </c>
    </row>
    <row r="88" spans="1:4" x14ac:dyDescent="0.3">
      <c r="A88" t="str">
        <f t="shared" si="1"/>
        <v>entity:QNL_B106_SEC_SECURITY_STORES_SECURITY_UPS</v>
      </c>
      <c r="B88" s="23" t="s">
        <v>6524</v>
      </c>
      <c r="C88" t="s">
        <v>6525</v>
      </c>
      <c r="D88" t="e" cm="1">
        <f t="array" ref="D88">TRANSPOSE(_xlfn._xlws.FILTER('Controllable Asset Registry'!#REF!,IFERROR('Controllable Asset Registry'!#REF!=A88,FALSE),"No Equipment in entity"))</f>
        <v>#REF!</v>
      </c>
    </row>
    <row r="89" spans="1:4" x14ac:dyDescent="0.3">
      <c r="A89" t="str">
        <f t="shared" si="1"/>
        <v>entity:QNL_B_107_SECURITY_EQUIPMENT_ROOM</v>
      </c>
      <c r="B89" s="23" t="s">
        <v>6526</v>
      </c>
      <c r="C89" t="s">
        <v>6527</v>
      </c>
      <c r="D89" t="e" cm="1">
        <f t="array" ref="D89">TRANSPOSE(_xlfn._xlws.FILTER('Controllable Asset Registry'!#REF!,IFERROR('Controllable Asset Registry'!#REF!=A89,FALSE),"No Equipment in entity"))</f>
        <v>#REF!</v>
      </c>
    </row>
    <row r="90" spans="1:4" x14ac:dyDescent="0.3">
      <c r="A90" t="str">
        <f t="shared" si="1"/>
        <v>entity:QNL_B_108_TOILET</v>
      </c>
      <c r="B90" s="23" t="s">
        <v>6528</v>
      </c>
      <c r="C90" t="s">
        <v>3761</v>
      </c>
      <c r="D90" t="e" cm="1">
        <f t="array" ref="D90">TRANSPOSE(_xlfn._xlws.FILTER('Controllable Asset Registry'!#REF!,IFERROR('Controllable Asset Registry'!#REF!=A90,FALSE),"No Equipment in entity"))</f>
        <v>#REF!</v>
      </c>
    </row>
    <row r="91" spans="1:4" x14ac:dyDescent="0.3">
      <c r="A91" t="str">
        <f t="shared" si="1"/>
        <v>entity:QNL_B_109_LOADING_AREA</v>
      </c>
      <c r="B91" s="23" t="s">
        <v>6529</v>
      </c>
      <c r="C91" t="s">
        <v>6530</v>
      </c>
      <c r="D91" t="e" cm="1">
        <f t="array" ref="D91">TRANSPOSE(_xlfn._xlws.FILTER('Controllable Asset Registry'!#REF!,IFERROR('Controllable Asset Registry'!#REF!=A91,FALSE),"No Equipment in entity"))</f>
        <v>#REF!</v>
      </c>
    </row>
    <row r="92" spans="1:4" x14ac:dyDescent="0.3">
      <c r="A92" t="str">
        <f t="shared" si="1"/>
        <v>entity:QNL_B_110_PLANT_ROOM_03</v>
      </c>
      <c r="B92" s="23" t="s">
        <v>6531</v>
      </c>
      <c r="C92" t="s">
        <v>6532</v>
      </c>
      <c r="D92" t="e" cm="1">
        <f t="array" ref="D92">TRANSPOSE(_xlfn._xlws.FILTER('Controllable Asset Registry'!#REF!,IFERROR('Controllable Asset Registry'!#REF!=A92,FALSE),"No Equipment in entity"))</f>
        <v>#REF!</v>
      </c>
    </row>
    <row r="93" spans="1:4" x14ac:dyDescent="0.3">
      <c r="A93" t="str">
        <f t="shared" si="1"/>
        <v>entity:QNL_B_111_STORAGE</v>
      </c>
      <c r="B93" s="23" t="s">
        <v>6533</v>
      </c>
      <c r="C93" t="s">
        <v>3752</v>
      </c>
      <c r="D93" t="e" cm="1">
        <f t="array" ref="D93">TRANSPOSE(_xlfn._xlws.FILTER('Controllable Asset Registry'!#REF!,IFERROR('Controllable Asset Registry'!#REF!=A93,FALSE),"No Equipment in entity"))</f>
        <v>#REF!</v>
      </c>
    </row>
    <row r="94" spans="1:4" x14ac:dyDescent="0.3">
      <c r="A94" t="str">
        <f t="shared" si="1"/>
        <v>entity:QNL_B_112_CORRIDOR</v>
      </c>
      <c r="B94" s="23" t="s">
        <v>6534</v>
      </c>
      <c r="C94" t="s">
        <v>3735</v>
      </c>
      <c r="D94" t="e" cm="1">
        <f t="array" ref="D94">TRANSPOSE(_xlfn._xlws.FILTER('Controllable Asset Registry'!#REF!,IFERROR('Controllable Asset Registry'!#REF!=A94,FALSE),"No Equipment in entity"))</f>
        <v>#REF!</v>
      </c>
    </row>
    <row r="95" spans="1:4" x14ac:dyDescent="0.3">
      <c r="A95" t="str">
        <f t="shared" si="1"/>
        <v>entity:QNL_B_113_MAINTENANCE</v>
      </c>
      <c r="B95" s="23" t="s">
        <v>6535</v>
      </c>
      <c r="C95" t="s">
        <v>6472</v>
      </c>
      <c r="D95" t="e" cm="1">
        <f t="array" ref="D95">TRANSPOSE(_xlfn._xlws.FILTER('Controllable Asset Registry'!#REF!,IFERROR('Controllable Asset Registry'!#REF!=A95,FALSE),"No Equipment in entity"))</f>
        <v>#REF!</v>
      </c>
    </row>
    <row r="96" spans="1:4" x14ac:dyDescent="0.3">
      <c r="A96" t="str">
        <f t="shared" si="1"/>
        <v>entity:QNL_B_114_VENTLATON</v>
      </c>
      <c r="B96" s="23" t="s">
        <v>6536</v>
      </c>
      <c r="C96" t="s">
        <v>6478</v>
      </c>
      <c r="D96" t="e" cm="1">
        <f t="array" ref="D96">TRANSPOSE(_xlfn._xlws.FILTER('Controllable Asset Registry'!#REF!,IFERROR('Controllable Asset Registry'!#REF!=A96,FALSE),"No Equipment in entity"))</f>
        <v>#REF!</v>
      </c>
    </row>
    <row r="97" spans="1:4" x14ac:dyDescent="0.3">
      <c r="A97" t="str">
        <f t="shared" si="1"/>
        <v>entity:QNL_B_115_CORRIDOR</v>
      </c>
      <c r="B97" s="23" t="s">
        <v>6537</v>
      </c>
      <c r="C97" t="s">
        <v>3735</v>
      </c>
      <c r="D97" t="e" cm="1">
        <f t="array" ref="D97">TRANSPOSE(_xlfn._xlws.FILTER('Controllable Asset Registry'!#REF!,IFERROR('Controllable Asset Registry'!#REF!=A97,FALSE),"No Equipment in entity"))</f>
        <v>#REF!</v>
      </c>
    </row>
    <row r="98" spans="1:4" x14ac:dyDescent="0.3">
      <c r="A98" t="str">
        <f t="shared" si="1"/>
        <v>entity:QNL_B_116_VENTLATON</v>
      </c>
      <c r="B98" s="23" t="s">
        <v>6538</v>
      </c>
      <c r="C98" t="s">
        <v>6478</v>
      </c>
      <c r="D98" t="e" cm="1">
        <f t="array" ref="D98">TRANSPOSE(_xlfn._xlws.FILTER('Controllable Asset Registry'!#REF!,IFERROR('Controllable Asset Registry'!#REF!=A98,FALSE),"No Equipment in entity"))</f>
        <v>#REF!</v>
      </c>
    </row>
    <row r="99" spans="1:4" x14ac:dyDescent="0.3">
      <c r="A99" t="str">
        <f t="shared" si="1"/>
        <v>entity:QNL_B_120_COMPACT_SHELVING_-MAIN_COLLECTION</v>
      </c>
      <c r="B99" s="23" t="s">
        <v>6539</v>
      </c>
      <c r="C99" t="s">
        <v>6540</v>
      </c>
      <c r="D99" t="e" cm="1">
        <f t="array" ref="D99">TRANSPOSE(_xlfn._xlws.FILTER('Controllable Asset Registry'!#REF!,IFERROR('Controllable Asset Registry'!#REF!=A99,FALSE),"No Equipment in entity"))</f>
        <v>#REF!</v>
      </c>
    </row>
    <row r="100" spans="1:4" x14ac:dyDescent="0.3">
      <c r="A100" t="str">
        <f t="shared" si="1"/>
        <v>entity:QNL_B_121_SORTING_SHELVING_ROOM</v>
      </c>
      <c r="B100" s="23" t="s">
        <v>6541</v>
      </c>
      <c r="C100" t="s">
        <v>6542</v>
      </c>
      <c r="D100" t="e" cm="1">
        <f t="array" ref="D100">TRANSPOSE(_xlfn._xlws.FILTER('Controllable Asset Registry'!#REF!,IFERROR('Controllable Asset Registry'!#REF!=A100,FALSE),"No Equipment in entity"))</f>
        <v>#REF!</v>
      </c>
    </row>
    <row r="101" spans="1:4" x14ac:dyDescent="0.3">
      <c r="A101" t="str">
        <f t="shared" si="1"/>
        <v>entity:QNL_B_122_IT_OFFICE</v>
      </c>
      <c r="B101" s="23" t="s">
        <v>6543</v>
      </c>
      <c r="C101" t="s">
        <v>6544</v>
      </c>
      <c r="D101" t="e" cm="1">
        <f t="array" ref="D101">TRANSPOSE(_xlfn._xlws.FILTER('Controllable Asset Registry'!#REF!,IFERROR('Controllable Asset Registry'!#REF!=A101,FALSE),"No Equipment in entity"))</f>
        <v>#REF!</v>
      </c>
    </row>
    <row r="102" spans="1:4" x14ac:dyDescent="0.3">
      <c r="A102" t="str">
        <f t="shared" si="1"/>
        <v>entity:QNL_B_132_SHELL_SPACE-SPECIAL_COLLECTION</v>
      </c>
      <c r="B102" s="23" t="s">
        <v>6545</v>
      </c>
      <c r="C102" t="s">
        <v>6546</v>
      </c>
      <c r="D102" t="e" cm="1">
        <f t="array" ref="D102">TRANSPOSE(_xlfn._xlws.FILTER('Controllable Asset Registry'!#REF!,IFERROR('Controllable Asset Registry'!#REF!=A102,FALSE),"No Equipment in entity"))</f>
        <v>#REF!</v>
      </c>
    </row>
    <row r="103" spans="1:4" x14ac:dyDescent="0.3">
      <c r="A103" t="str">
        <f t="shared" si="1"/>
        <v>entity:QNL_B141_HLP_HL_PLANT_ROOM</v>
      </c>
      <c r="B103" s="23" t="s">
        <v>6547</v>
      </c>
      <c r="C103" t="s">
        <v>6548</v>
      </c>
      <c r="D103" t="e" cm="1">
        <f t="array" ref="D103">TRANSPOSE(_xlfn._xlws.FILTER('Controllable Asset Registry'!#REF!,IFERROR('Controllable Asset Registry'!#REF!=A103,FALSE),"No Equipment in entity"))</f>
        <v>#REF!</v>
      </c>
    </row>
    <row r="104" spans="1:4" x14ac:dyDescent="0.3">
      <c r="A104" t="str">
        <f t="shared" si="1"/>
        <v>entity:QNL_B141_VAU_VAULT</v>
      </c>
      <c r="B104" s="23" t="s">
        <v>6549</v>
      </c>
      <c r="C104" t="s">
        <v>6550</v>
      </c>
      <c r="D104" t="e" cm="1">
        <f t="array" ref="D104">TRANSPOSE(_xlfn._xlws.FILTER('Controllable Asset Registry'!#REF!,IFERROR('Controllable Asset Registry'!#REF!=A104,FALSE),"No Equipment in entity"))</f>
        <v>#REF!</v>
      </c>
    </row>
    <row r="105" spans="1:4" x14ac:dyDescent="0.3">
      <c r="A105" t="str">
        <f t="shared" si="1"/>
        <v>entity:QNL_B_142_CORRIDOR</v>
      </c>
      <c r="B105" s="23" t="s">
        <v>6551</v>
      </c>
      <c r="C105" t="s">
        <v>3735</v>
      </c>
      <c r="D105" t="e" cm="1">
        <f t="array" ref="D105">TRANSPOSE(_xlfn._xlws.FILTER('Controllable Asset Registry'!#REF!,IFERROR('Controllable Asset Registry'!#REF!=A105,FALSE),"No Equipment in entity"))</f>
        <v>#REF!</v>
      </c>
    </row>
    <row r="106" spans="1:4" x14ac:dyDescent="0.3">
      <c r="A106" t="str">
        <f t="shared" si="1"/>
        <v>entity:QNL_B_143_HERITAGE_COLLECTION</v>
      </c>
      <c r="B106" s="23" t="s">
        <v>6552</v>
      </c>
      <c r="C106" t="s">
        <v>6553</v>
      </c>
      <c r="D106" t="e" cm="1">
        <f t="array" ref="D106">TRANSPOSE(_xlfn._xlws.FILTER('Controllable Asset Registry'!#REF!,IFERROR('Controllable Asset Registry'!#REF!=A106,FALSE),"No Equipment in entity"))</f>
        <v>#REF!</v>
      </c>
    </row>
    <row r="107" spans="1:4" x14ac:dyDescent="0.3">
      <c r="A107" t="str">
        <f t="shared" si="1"/>
        <v>entity:QNL_B_144_PANTRY</v>
      </c>
      <c r="B107" s="23" t="s">
        <v>6554</v>
      </c>
      <c r="C107" t="s">
        <v>4707</v>
      </c>
      <c r="D107" t="e" cm="1">
        <f t="array" ref="D107">TRANSPOSE(_xlfn._xlws.FILTER('Controllable Asset Registry'!#REF!,IFERROR('Controllable Asset Registry'!#REF!=A107,FALSE),"No Equipment in entity"))</f>
        <v>#REF!</v>
      </c>
    </row>
    <row r="108" spans="1:4" x14ac:dyDescent="0.3">
      <c r="A108" t="str">
        <f t="shared" si="1"/>
        <v>entity:QNL_B_145_LOBY_&amp;_CSECURITY</v>
      </c>
      <c r="B108" s="23" t="s">
        <v>6555</v>
      </c>
      <c r="C108" t="s">
        <v>6556</v>
      </c>
      <c r="D108" t="e" cm="1">
        <f t="array" ref="D108">TRANSPOSE(_xlfn._xlws.FILTER('Controllable Asset Registry'!#REF!,IFERROR('Controllable Asset Registry'!#REF!=A108,FALSE),"No Equipment in entity"))</f>
        <v>#REF!</v>
      </c>
    </row>
    <row r="109" spans="1:4" x14ac:dyDescent="0.3">
      <c r="A109" t="str">
        <f t="shared" si="1"/>
        <v>entity:QNL_B_146_VIP_REST_ROOM</v>
      </c>
      <c r="B109" s="23" t="s">
        <v>6557</v>
      </c>
      <c r="C109" t="s">
        <v>6558</v>
      </c>
      <c r="D109" t="e" cm="1">
        <f t="array" ref="D109">TRANSPOSE(_xlfn._xlws.FILTER('Controllable Asset Registry'!#REF!,IFERROR('Controllable Asset Registry'!#REF!=A109,FALSE),"No Equipment in entity"))</f>
        <v>#REF!</v>
      </c>
    </row>
    <row r="110" spans="1:4" x14ac:dyDescent="0.3">
      <c r="A110" t="str">
        <f t="shared" si="1"/>
        <v>entity:QNL_B_147_VIP_REST_ROOM</v>
      </c>
      <c r="B110" s="23" t="s">
        <v>6559</v>
      </c>
      <c r="C110" t="s">
        <v>6558</v>
      </c>
      <c r="D110" t="e" cm="1">
        <f t="array" ref="D110">TRANSPOSE(_xlfn._xlws.FILTER('Controllable Asset Registry'!#REF!,IFERROR('Controllable Asset Registry'!#REF!=A110,FALSE),"No Equipment in entity"))</f>
        <v>#REF!</v>
      </c>
    </row>
    <row r="111" spans="1:4" x14ac:dyDescent="0.3">
      <c r="A111" t="str">
        <f t="shared" si="1"/>
        <v>entity:QNL_B_148_VIP_MAJLIS</v>
      </c>
      <c r="B111" s="23" t="s">
        <v>6560</v>
      </c>
      <c r="C111" t="s">
        <v>6561</v>
      </c>
      <c r="D111" t="e" cm="1">
        <f t="array" ref="D111">TRANSPOSE(_xlfn._xlws.FILTER('Controllable Asset Registry'!#REF!,IFERROR('Controllable Asset Registry'!#REF!=A111,FALSE),"No Equipment in entity"))</f>
        <v>#REF!</v>
      </c>
    </row>
    <row r="112" spans="1:4" x14ac:dyDescent="0.3">
      <c r="A112" t="str">
        <f t="shared" si="1"/>
        <v>entity:QNL_B_149_DIRECTOR_HEAD</v>
      </c>
      <c r="B112" s="23" t="s">
        <v>6562</v>
      </c>
      <c r="C112" t="s">
        <v>6563</v>
      </c>
      <c r="D112" t="e" cm="1">
        <f t="array" ref="D112">TRANSPOSE(_xlfn._xlws.FILTER('Controllable Asset Registry'!#REF!,IFERROR('Controllable Asset Registry'!#REF!=A112,FALSE),"No Equipment in entity"))</f>
        <v>#REF!</v>
      </c>
    </row>
    <row r="113" spans="1:4" x14ac:dyDescent="0.3">
      <c r="A113" t="str">
        <f t="shared" si="1"/>
        <v>entity:QNL_B_150_ASSISTANT_HEAD</v>
      </c>
      <c r="B113" s="23" t="s">
        <v>6564</v>
      </c>
      <c r="C113" t="s">
        <v>6565</v>
      </c>
      <c r="D113" t="e" cm="1">
        <f t="array" ref="D113">TRANSPOSE(_xlfn._xlws.FILTER('Controllable Asset Registry'!#REF!,IFERROR('Controllable Asset Registry'!#REF!=A113,FALSE),"No Equipment in entity"))</f>
        <v>#REF!</v>
      </c>
    </row>
    <row r="114" spans="1:4" x14ac:dyDescent="0.3">
      <c r="A114" t="str">
        <f t="shared" si="1"/>
        <v>entity:QNL_B_151_RESEARCH_&amp;_DOC-RCRDS_MGMT</v>
      </c>
      <c r="B114" s="23" t="s">
        <v>6566</v>
      </c>
      <c r="C114" t="s">
        <v>6567</v>
      </c>
      <c r="D114" t="e" cm="1">
        <f t="array" ref="D114">TRANSPOSE(_xlfn._xlws.FILTER('Controllable Asset Registry'!#REF!,IFERROR('Controllable Asset Registry'!#REF!=A114,FALSE),"No Equipment in entity"))</f>
        <v>#REF!</v>
      </c>
    </row>
    <row r="115" spans="1:4" x14ac:dyDescent="0.3">
      <c r="A115" t="str">
        <f t="shared" si="1"/>
        <v>entity:QNL_B_152_SECURITY_ROOM</v>
      </c>
      <c r="B115" s="23" t="s">
        <v>6568</v>
      </c>
      <c r="C115" t="s">
        <v>6569</v>
      </c>
      <c r="D115" t="e" cm="1">
        <f t="array" ref="D115">TRANSPOSE(_xlfn._xlws.FILTER('Controllable Asset Registry'!#REF!,IFERROR('Controllable Asset Registry'!#REF!=A115,FALSE),"No Equipment in entity"))</f>
        <v>#REF!</v>
      </c>
    </row>
    <row r="116" spans="1:4" x14ac:dyDescent="0.3">
      <c r="A116" t="str">
        <f t="shared" si="1"/>
        <v>entity:QNL_B_153_PROF_LIBRARIAN</v>
      </c>
      <c r="B116" s="23" t="s">
        <v>6570</v>
      </c>
      <c r="C116" t="s">
        <v>6571</v>
      </c>
      <c r="D116" t="e" cm="1">
        <f t="array" ref="D116">TRANSPOSE(_xlfn._xlws.FILTER('Controllable Asset Registry'!#REF!,IFERROR('Controllable Asset Registry'!#REF!=A116,FALSE),"No Equipment in entity"))</f>
        <v>#REF!</v>
      </c>
    </row>
    <row r="117" spans="1:4" x14ac:dyDescent="0.3">
      <c r="A117" t="str">
        <f t="shared" si="1"/>
        <v>entity:QNL_B_155_FACULTY_CARRELS</v>
      </c>
      <c r="B117" s="23" t="s">
        <v>6572</v>
      </c>
      <c r="C117" t="s">
        <v>6573</v>
      </c>
      <c r="D117" t="e" cm="1">
        <f t="array" ref="D117">TRANSPOSE(_xlfn._xlws.FILTER('Controllable Asset Registry'!#REF!,IFERROR('Controllable Asset Registry'!#REF!=A117,FALSE),"No Equipment in entity"))</f>
        <v>#REF!</v>
      </c>
    </row>
    <row r="118" spans="1:4" x14ac:dyDescent="0.3">
      <c r="A118" t="str">
        <f t="shared" si="1"/>
        <v>entity:QNL_B_156_FACULTY_CARRELS</v>
      </c>
      <c r="B118" s="23" t="s">
        <v>6574</v>
      </c>
      <c r="C118" t="s">
        <v>6573</v>
      </c>
      <c r="D118" t="e" cm="1">
        <f t="array" ref="D118">TRANSPOSE(_xlfn._xlws.FILTER('Controllable Asset Registry'!#REF!,IFERROR('Controllable Asset Registry'!#REF!=A118,FALSE),"No Equipment in entity"))</f>
        <v>#REF!</v>
      </c>
    </row>
    <row r="119" spans="1:4" x14ac:dyDescent="0.3">
      <c r="A119" t="str">
        <f t="shared" si="1"/>
        <v>entity:QNL_B_157_FACULTY_CARRELS</v>
      </c>
      <c r="B119" s="23" t="s">
        <v>6575</v>
      </c>
      <c r="C119" t="s">
        <v>6573</v>
      </c>
      <c r="D119" t="e" cm="1">
        <f t="array" ref="D119">TRANSPOSE(_xlfn._xlws.FILTER('Controllable Asset Registry'!#REF!,IFERROR('Controllable Asset Registry'!#REF!=A119,FALSE),"No Equipment in entity"))</f>
        <v>#REF!</v>
      </c>
    </row>
    <row r="120" spans="1:4" x14ac:dyDescent="0.3">
      <c r="A120" t="str">
        <f t="shared" si="1"/>
        <v>entity:QNL_B_158_FACULTY_CARRELS</v>
      </c>
      <c r="B120" s="23" t="s">
        <v>6576</v>
      </c>
      <c r="C120" t="s">
        <v>6573</v>
      </c>
      <c r="D120" t="e" cm="1">
        <f t="array" ref="D120">TRANSPOSE(_xlfn._xlws.FILTER('Controllable Asset Registry'!#REF!,IFERROR('Controllable Asset Registry'!#REF!=A120,FALSE),"No Equipment in entity"))</f>
        <v>#REF!</v>
      </c>
    </row>
    <row r="121" spans="1:4" x14ac:dyDescent="0.3">
      <c r="A121" t="str">
        <f t="shared" si="1"/>
        <v>entity:QNL_B_159_FACULTY_CARRELS</v>
      </c>
      <c r="B121" s="23" t="s">
        <v>6577</v>
      </c>
      <c r="C121" t="s">
        <v>6573</v>
      </c>
      <c r="D121" t="e" cm="1">
        <f t="array" ref="D121">TRANSPOSE(_xlfn._xlws.FILTER('Controllable Asset Registry'!#REF!,IFERROR('Controllable Asset Registry'!#REF!=A121,FALSE),"No Equipment in entity"))</f>
        <v>#REF!</v>
      </c>
    </row>
    <row r="122" spans="1:4" x14ac:dyDescent="0.3">
      <c r="A122" t="str">
        <f t="shared" si="1"/>
        <v>entity:QNL_B_160_FACULTY_CARRELS</v>
      </c>
      <c r="B122" s="23" t="s">
        <v>6578</v>
      </c>
      <c r="C122" t="s">
        <v>6573</v>
      </c>
      <c r="D122" t="e" cm="1">
        <f t="array" ref="D122">TRANSPOSE(_xlfn._xlws.FILTER('Controllable Asset Registry'!#REF!,IFERROR('Controllable Asset Registry'!#REF!=A122,FALSE),"No Equipment in entity"))</f>
        <v>#REF!</v>
      </c>
    </row>
    <row r="123" spans="1:4" x14ac:dyDescent="0.3">
      <c r="A123" t="str">
        <f t="shared" si="1"/>
        <v>entity:QNL_B_161_FACULTY_CARRELS</v>
      </c>
      <c r="B123" s="23" t="s">
        <v>6579</v>
      </c>
      <c r="C123" t="s">
        <v>6573</v>
      </c>
      <c r="D123" t="e" cm="1">
        <f t="array" ref="D123">TRANSPOSE(_xlfn._xlws.FILTER('Controllable Asset Registry'!#REF!,IFERROR('Controllable Asset Registry'!#REF!=A123,FALSE),"No Equipment in entity"))</f>
        <v>#REF!</v>
      </c>
    </row>
    <row r="124" spans="1:4" x14ac:dyDescent="0.3">
      <c r="A124" t="str">
        <f t="shared" si="1"/>
        <v>entity:QNL_B_162_FACULTY_CARRELS</v>
      </c>
      <c r="B124" s="23" t="s">
        <v>6580</v>
      </c>
      <c r="C124" t="s">
        <v>6573</v>
      </c>
      <c r="D124" t="e" cm="1">
        <f t="array" ref="D124">TRANSPOSE(_xlfn._xlws.FILTER('Controllable Asset Registry'!#REF!,IFERROR('Controllable Asset Registry'!#REF!=A124,FALSE),"No Equipment in entity"))</f>
        <v>#REF!</v>
      </c>
    </row>
    <row r="125" spans="1:4" x14ac:dyDescent="0.3">
      <c r="A125" t="str">
        <f t="shared" si="1"/>
        <v>entity:QNL_B_163_FACULTY_CARRELS</v>
      </c>
      <c r="B125" s="23" t="s">
        <v>6581</v>
      </c>
      <c r="C125" t="s">
        <v>6573</v>
      </c>
      <c r="D125" t="e" cm="1">
        <f t="array" ref="D125">TRANSPOSE(_xlfn._xlws.FILTER('Controllable Asset Registry'!#REF!,IFERROR('Controllable Asset Registry'!#REF!=A125,FALSE),"No Equipment in entity"))</f>
        <v>#REF!</v>
      </c>
    </row>
    <row r="126" spans="1:4" x14ac:dyDescent="0.3">
      <c r="A126" t="str">
        <f t="shared" si="1"/>
        <v>entity:QNL_B_164_FACULTY_CARRELS</v>
      </c>
      <c r="B126" s="23" t="s">
        <v>6582</v>
      </c>
      <c r="C126" t="s">
        <v>6573</v>
      </c>
      <c r="D126" t="e" cm="1">
        <f t="array" ref="D126">TRANSPOSE(_xlfn._xlws.FILTER('Controllable Asset Registry'!#REF!,IFERROR('Controllable Asset Registry'!#REF!=A126,FALSE),"No Equipment in entity"))</f>
        <v>#REF!</v>
      </c>
    </row>
    <row r="127" spans="1:4" x14ac:dyDescent="0.3">
      <c r="A127" t="str">
        <f t="shared" si="1"/>
        <v>entity:QNL_B_165_FACULTY_CARRELS</v>
      </c>
      <c r="B127" s="23" t="s">
        <v>6583</v>
      </c>
      <c r="C127" t="s">
        <v>6573</v>
      </c>
      <c r="D127" t="e" cm="1">
        <f t="array" ref="D127">TRANSPOSE(_xlfn._xlws.FILTER('Controllable Asset Registry'!#REF!,IFERROR('Controllable Asset Registry'!#REF!=A127,FALSE),"No Equipment in entity"))</f>
        <v>#REF!</v>
      </c>
    </row>
    <row r="128" spans="1:4" x14ac:dyDescent="0.3">
      <c r="A128" t="str">
        <f t="shared" si="1"/>
        <v>entity:QNL_B_166_FACULTY_CARRELS</v>
      </c>
      <c r="B128" s="23" t="s">
        <v>6584</v>
      </c>
      <c r="C128" t="s">
        <v>6573</v>
      </c>
      <c r="D128" t="e" cm="1">
        <f t="array" ref="D128">TRANSPOSE(_xlfn._xlws.FILTER('Controllable Asset Registry'!#REF!,IFERROR('Controllable Asset Registry'!#REF!=A128,FALSE),"No Equipment in entity"))</f>
        <v>#REF!</v>
      </c>
    </row>
    <row r="129" spans="1:4" x14ac:dyDescent="0.3">
      <c r="A129" t="str">
        <f t="shared" si="1"/>
        <v>entity:QNL_B_167_FACULTY_CARRELS</v>
      </c>
      <c r="B129" s="23" t="s">
        <v>6585</v>
      </c>
      <c r="C129" t="s">
        <v>6573</v>
      </c>
      <c r="D129" t="e" cm="1">
        <f t="array" ref="D129">TRANSPOSE(_xlfn._xlws.FILTER('Controllable Asset Registry'!#REF!,IFERROR('Controllable Asset Registry'!#REF!=A129,FALSE),"No Equipment in entity"))</f>
        <v>#REF!</v>
      </c>
    </row>
    <row r="130" spans="1:4" x14ac:dyDescent="0.3">
      <c r="A130" t="str">
        <f t="shared" ref="A130:A193" si="2">"entity:QNL_"&amp;B130&amp;"_"&amp;C130</f>
        <v>entity:QNL_B_168_FACULTY_CARRELS</v>
      </c>
      <c r="B130" s="23" t="s">
        <v>6586</v>
      </c>
      <c r="C130" t="s">
        <v>6573</v>
      </c>
      <c r="D130" t="e" cm="1">
        <f t="array" ref="D130">TRANSPOSE(_xlfn._xlws.FILTER('Controllable Asset Registry'!#REF!,IFERROR('Controllable Asset Registry'!#REF!=A130,FALSE),"No Equipment in entity"))</f>
        <v>#REF!</v>
      </c>
    </row>
    <row r="131" spans="1:4" x14ac:dyDescent="0.3">
      <c r="A131" t="str">
        <f t="shared" si="2"/>
        <v>entity:QNL_B_169_FACULTY_CARRELS</v>
      </c>
      <c r="B131" s="23" t="s">
        <v>6587</v>
      </c>
      <c r="C131" t="s">
        <v>6573</v>
      </c>
      <c r="D131" t="e" cm="1">
        <f t="array" ref="D131">TRANSPOSE(_xlfn._xlws.FILTER('Controllable Asset Registry'!#REF!,IFERROR('Controllable Asset Registry'!#REF!=A131,FALSE),"No Equipment in entity"))</f>
        <v>#REF!</v>
      </c>
    </row>
    <row r="132" spans="1:4" x14ac:dyDescent="0.3">
      <c r="A132" t="str">
        <f t="shared" si="2"/>
        <v>entity:QNL_B_200_DIGITIZATION</v>
      </c>
      <c r="B132" s="23" t="s">
        <v>6588</v>
      </c>
      <c r="C132" t="s">
        <v>6589</v>
      </c>
      <c r="D132" t="e" cm="1">
        <f t="array" ref="D132">TRANSPOSE(_xlfn._xlws.FILTER('Controllable Asset Registry'!#REF!,IFERROR('Controllable Asset Registry'!#REF!=A132,FALSE),"No Equipment in entity"))</f>
        <v>#REF!</v>
      </c>
    </row>
    <row r="133" spans="1:4" x14ac:dyDescent="0.3">
      <c r="A133" t="str">
        <f t="shared" si="2"/>
        <v>entity:QNL_B_201_REST_ROOM_MEN</v>
      </c>
      <c r="B133" s="23" t="s">
        <v>6590</v>
      </c>
      <c r="C133" t="s">
        <v>6433</v>
      </c>
      <c r="D133" t="e" cm="1">
        <f t="array" ref="D133">TRANSPOSE(_xlfn._xlws.FILTER('Controllable Asset Registry'!#REF!,IFERROR('Controllable Asset Registry'!#REF!=A133,FALSE),"No Equipment in entity"))</f>
        <v>#REF!</v>
      </c>
    </row>
    <row r="134" spans="1:4" x14ac:dyDescent="0.3">
      <c r="A134" t="str">
        <f t="shared" si="2"/>
        <v>entity:QNL_B_202_REST_ROOM_WOMEN</v>
      </c>
      <c r="B134" s="23" t="s">
        <v>6591</v>
      </c>
      <c r="C134" t="s">
        <v>6436</v>
      </c>
      <c r="D134" t="e" cm="1">
        <f t="array" ref="D134">TRANSPOSE(_xlfn._xlws.FILTER('Controllable Asset Registry'!#REF!,IFERROR('Controllable Asset Registry'!#REF!=A134,FALSE),"No Equipment in entity"))</f>
        <v>#REF!</v>
      </c>
    </row>
    <row r="135" spans="1:4" x14ac:dyDescent="0.3">
      <c r="A135" t="str">
        <f t="shared" si="2"/>
        <v>entity:QNL_B_203_STORAGE_ROOM</v>
      </c>
      <c r="B135" s="23" t="s">
        <v>6592</v>
      </c>
      <c r="C135" t="s">
        <v>4752</v>
      </c>
      <c r="D135" t="e" cm="1">
        <f t="array" ref="D135">TRANSPOSE(_xlfn._xlws.FILTER('Controllable Asset Registry'!#REF!,IFERROR('Controllable Asset Registry'!#REF!=A135,FALSE),"No Equipment in entity"))</f>
        <v>#REF!</v>
      </c>
    </row>
    <row r="136" spans="1:4" x14ac:dyDescent="0.3">
      <c r="A136" t="str">
        <f t="shared" si="2"/>
        <v>entity:QNL_B_204_TECHNICAL_SERVICES</v>
      </c>
      <c r="B136" s="23" t="s">
        <v>6593</v>
      </c>
      <c r="C136" t="s">
        <v>6594</v>
      </c>
      <c r="D136" t="e" cm="1">
        <f t="array" ref="D136">TRANSPOSE(_xlfn._xlws.FILTER('Controllable Asset Registry'!#REF!,IFERROR('Controllable Asset Registry'!#REF!=A136,FALSE),"No Equipment in entity"))</f>
        <v>#REF!</v>
      </c>
    </row>
    <row r="137" spans="1:4" x14ac:dyDescent="0.3">
      <c r="A137" t="str">
        <f t="shared" si="2"/>
        <v>entity:QNL_B_205_INSTRUCTION_PRESENTATION</v>
      </c>
      <c r="B137" s="23" t="s">
        <v>6595</v>
      </c>
      <c r="C137" t="s">
        <v>6596</v>
      </c>
      <c r="D137" t="e" cm="1">
        <f t="array" ref="D137">TRANSPOSE(_xlfn._xlws.FILTER('Controllable Asset Registry'!#REF!,IFERROR('Controllable Asset Registry'!#REF!=A137,FALSE),"No Equipment in entity"))</f>
        <v>#REF!</v>
      </c>
    </row>
    <row r="138" spans="1:4" x14ac:dyDescent="0.3">
      <c r="A138" t="str">
        <f t="shared" si="2"/>
        <v>entity:QNL_B_206_INSTRUCTION_OUTREACH</v>
      </c>
      <c r="B138" s="23" t="s">
        <v>6597</v>
      </c>
      <c r="C138" t="s">
        <v>6598</v>
      </c>
      <c r="D138" t="e" cm="1">
        <f t="array" ref="D138">TRANSPOSE(_xlfn._xlws.FILTER('Controllable Asset Registry'!#REF!,IFERROR('Controllable Asset Registry'!#REF!=A138,FALSE),"No Equipment in entity"))</f>
        <v>#REF!</v>
      </c>
    </row>
    <row r="139" spans="1:4" x14ac:dyDescent="0.3">
      <c r="A139" t="str">
        <f t="shared" si="2"/>
        <v>entity:QNL_B_207_PRESEARCHERS_READING_AREA</v>
      </c>
      <c r="B139" s="23" t="s">
        <v>6599</v>
      </c>
      <c r="C139" t="s">
        <v>6600</v>
      </c>
      <c r="D139" t="e" cm="1">
        <f t="array" ref="D139">TRANSPOSE(_xlfn._xlws.FILTER('Controllable Asset Registry'!#REF!,IFERROR('Controllable Asset Registry'!#REF!=A139,FALSE),"No Equipment in entity"))</f>
        <v>#REF!</v>
      </c>
    </row>
    <row r="140" spans="1:4" x14ac:dyDescent="0.3">
      <c r="A140" t="str">
        <f t="shared" si="2"/>
        <v>entity:QNL_B_208_PROF_LIBRARIAN</v>
      </c>
      <c r="B140" s="23" t="s">
        <v>6601</v>
      </c>
      <c r="C140" t="s">
        <v>6571</v>
      </c>
      <c r="D140" t="e" cm="1">
        <f t="array" ref="D140">TRANSPOSE(_xlfn._xlws.FILTER('Controllable Asset Registry'!#REF!,IFERROR('Controllable Asset Registry'!#REF!=A140,FALSE),"No Equipment in entity"))</f>
        <v>#REF!</v>
      </c>
    </row>
    <row r="141" spans="1:4" x14ac:dyDescent="0.3">
      <c r="A141" t="str">
        <f t="shared" si="2"/>
        <v>entity:QNL_B_209_CONSERVATION_WORK_AREA</v>
      </c>
      <c r="B141" s="23" t="s">
        <v>6602</v>
      </c>
      <c r="C141" t="s">
        <v>6603</v>
      </c>
      <c r="D141" t="e" cm="1">
        <f t="array" ref="D141">TRANSPOSE(_xlfn._xlws.FILTER('Controllable Asset Registry'!#REF!,IFERROR('Controllable Asset Registry'!#REF!=A141,FALSE),"No Equipment in entity"))</f>
        <v>#REF!</v>
      </c>
    </row>
    <row r="142" spans="1:4" x14ac:dyDescent="0.3">
      <c r="A142" t="str">
        <f t="shared" si="2"/>
        <v>entity:QNL_B_210_FM_STORAGE</v>
      </c>
      <c r="B142" s="23" t="s">
        <v>6604</v>
      </c>
      <c r="C142" t="s">
        <v>4545</v>
      </c>
      <c r="D142" t="e" cm="1">
        <f t="array" ref="D142">TRANSPOSE(_xlfn._xlws.FILTER('Controllable Asset Registry'!#REF!,IFERROR('Controllable Asset Registry'!#REF!=A142,FALSE),"No Equipment in entity"))</f>
        <v>#REF!</v>
      </c>
    </row>
    <row r="143" spans="1:4" x14ac:dyDescent="0.3">
      <c r="A143" t="str">
        <f t="shared" si="2"/>
        <v>entity:QNL_B_211_PH_PLANT_ROOM</v>
      </c>
      <c r="B143" s="23" t="s">
        <v>6605</v>
      </c>
      <c r="C143" t="s">
        <v>6606</v>
      </c>
      <c r="D143" t="e" cm="1">
        <f t="array" ref="D143">TRANSPOSE(_xlfn._xlws.FILTER('Controllable Asset Registry'!#REF!,IFERROR('Controllable Asset Registry'!#REF!=A143,FALSE),"No Equipment in entity"))</f>
        <v>#REF!</v>
      </c>
    </row>
    <row r="144" spans="1:4" x14ac:dyDescent="0.3">
      <c r="A144" t="str">
        <f t="shared" si="2"/>
        <v>entity:QNL_B_213_MISTING_SYSTEM</v>
      </c>
      <c r="B144" s="23" t="s">
        <v>6607</v>
      </c>
      <c r="C144" t="s">
        <v>6608</v>
      </c>
      <c r="D144" t="e" cm="1">
        <f t="array" ref="D144">TRANSPOSE(_xlfn._xlws.FILTER('Controllable Asset Registry'!#REF!,IFERROR('Controllable Asset Registry'!#REF!=A144,FALSE),"No Equipment in entity"))</f>
        <v>#REF!</v>
      </c>
    </row>
    <row r="145" spans="1:4" x14ac:dyDescent="0.3">
      <c r="A145" t="str">
        <f t="shared" si="2"/>
        <v>entity:QNL_B214_COR_CORRIDOR6</v>
      </c>
      <c r="B145" s="23" t="s">
        <v>6609</v>
      </c>
      <c r="C145" t="s">
        <v>6610</v>
      </c>
      <c r="D145" t="e" cm="1">
        <f t="array" ref="D145">TRANSPOSE(_xlfn._xlws.FILTER('Controllable Asset Registry'!#REF!,IFERROR('Controllable Asset Registry'!#REF!=A145,FALSE),"No Equipment in entity"))</f>
        <v>#REF!</v>
      </c>
    </row>
    <row r="146" spans="1:4" x14ac:dyDescent="0.3">
      <c r="A146" t="str">
        <f t="shared" si="2"/>
        <v>entity:QNL_B214_IDF_IDF_ROOM</v>
      </c>
      <c r="B146" s="23" t="s">
        <v>6611</v>
      </c>
      <c r="C146" t="s">
        <v>4634</v>
      </c>
      <c r="D146" t="e" cm="1">
        <f t="array" ref="D146">TRANSPOSE(_xlfn._xlws.FILTER('Controllable Asset Registry'!#REF!,IFERROR('Controllable Asset Registry'!#REF!=A146,FALSE),"No Equipment in entity"))</f>
        <v>#REF!</v>
      </c>
    </row>
    <row r="147" spans="1:4" x14ac:dyDescent="0.3">
      <c r="A147" t="str">
        <f t="shared" si="2"/>
        <v>entity:QNL_B_215_IDF_FM_STORAGE</v>
      </c>
      <c r="B147" s="23" t="s">
        <v>6612</v>
      </c>
      <c r="C147" t="s">
        <v>6613</v>
      </c>
      <c r="D147" t="e" cm="1">
        <f t="array" ref="D147">TRANSPOSE(_xlfn._xlws.FILTER('Controllable Asset Registry'!#REF!,IFERROR('Controllable Asset Registry'!#REF!=A147,FALSE),"No Equipment in entity"))</f>
        <v>#REF!</v>
      </c>
    </row>
    <row r="148" spans="1:4" x14ac:dyDescent="0.3">
      <c r="A148" t="str">
        <f t="shared" si="2"/>
        <v>entity:QNL_B_215A_IDF</v>
      </c>
      <c r="B148" s="23" t="s">
        <v>6614</v>
      </c>
      <c r="C148" t="s">
        <v>6615</v>
      </c>
      <c r="D148" t="e" cm="1">
        <f t="array" ref="D148">TRANSPOSE(_xlfn._xlws.FILTER('Controllable Asset Registry'!#REF!,IFERROR('Controllable Asset Registry'!#REF!=A148,FALSE),"No Equipment in entity"))</f>
        <v>#REF!</v>
      </c>
    </row>
    <row r="149" spans="1:4" x14ac:dyDescent="0.3">
      <c r="A149" t="str">
        <f t="shared" si="2"/>
        <v>entity:QNL_B_220_PLANT_ROOM_04</v>
      </c>
      <c r="B149" s="23" t="s">
        <v>6616</v>
      </c>
      <c r="C149" t="s">
        <v>6617</v>
      </c>
      <c r="D149" t="e" cm="1">
        <f t="array" ref="D149">TRANSPOSE(_xlfn._xlws.FILTER('Controllable Asset Registry'!#REF!,IFERROR('Controllable Asset Registry'!#REF!=A149,FALSE),"No Equipment in entity"))</f>
        <v>#REF!</v>
      </c>
    </row>
    <row r="150" spans="1:4" x14ac:dyDescent="0.3">
      <c r="A150" t="str">
        <f t="shared" si="2"/>
        <v>entity:QNL_B_221_MAINTENANCE</v>
      </c>
      <c r="B150" s="23" t="s">
        <v>6618</v>
      </c>
      <c r="C150" t="s">
        <v>6472</v>
      </c>
      <c r="D150" t="e" cm="1">
        <f t="array" ref="D150">TRANSPOSE(_xlfn._xlws.FILTER('Controllable Asset Registry'!#REF!,IFERROR('Controllable Asset Registry'!#REF!=A150,FALSE),"No Equipment in entity"))</f>
        <v>#REF!</v>
      </c>
    </row>
    <row r="151" spans="1:4" x14ac:dyDescent="0.3">
      <c r="A151" t="str">
        <f t="shared" si="2"/>
        <v>entity:QNL_B_222_IDF</v>
      </c>
      <c r="B151" s="23" t="s">
        <v>6619</v>
      </c>
      <c r="C151" t="s">
        <v>6615</v>
      </c>
      <c r="D151" t="e" cm="1">
        <f t="array" ref="D151">TRANSPOSE(_xlfn._xlws.FILTER('Controllable Asset Registry'!#REF!,IFERROR('Controllable Asset Registry'!#REF!=A151,FALSE),"No Equipment in entity"))</f>
        <v>#REF!</v>
      </c>
    </row>
    <row r="152" spans="1:4" x14ac:dyDescent="0.3">
      <c r="A152" t="str">
        <f t="shared" si="2"/>
        <v>entity:QNL_B_223_VENTILATON</v>
      </c>
      <c r="B152" s="23" t="s">
        <v>6620</v>
      </c>
      <c r="C152" t="s">
        <v>6621</v>
      </c>
      <c r="D152" t="e" cm="1">
        <f t="array" ref="D152">TRANSPOSE(_xlfn._xlws.FILTER('Controllable Asset Registry'!#REF!,IFERROR('Controllable Asset Registry'!#REF!=A152,FALSE),"No Equipment in entity"))</f>
        <v>#REF!</v>
      </c>
    </row>
    <row r="153" spans="1:4" x14ac:dyDescent="0.3">
      <c r="A153" t="str">
        <f t="shared" si="2"/>
        <v>entity:QNL_B_224_CORRIDOR</v>
      </c>
      <c r="B153" s="23" t="s">
        <v>6622</v>
      </c>
      <c r="C153" t="s">
        <v>3735</v>
      </c>
      <c r="D153" t="e" cm="1">
        <f t="array" ref="D153">TRANSPOSE(_xlfn._xlws.FILTER('Controllable Asset Registry'!#REF!,IFERROR('Controllable Asset Registry'!#REF!=A153,FALSE),"No Equipment in entity"))</f>
        <v>#REF!</v>
      </c>
    </row>
    <row r="154" spans="1:4" x14ac:dyDescent="0.3">
      <c r="A154" t="str">
        <f t="shared" si="2"/>
        <v>entity:QNL_B_225_VENTILATON</v>
      </c>
      <c r="B154" s="23" t="s">
        <v>6623</v>
      </c>
      <c r="C154" t="s">
        <v>6621</v>
      </c>
      <c r="D154" t="e" cm="1">
        <f t="array" ref="D154">TRANSPOSE(_xlfn._xlws.FILTER('Controllable Asset Registry'!#REF!,IFERROR('Controllable Asset Registry'!#REF!=A154,FALSE),"No Equipment in entity"))</f>
        <v>#REF!</v>
      </c>
    </row>
    <row r="155" spans="1:4" x14ac:dyDescent="0.3">
      <c r="A155" t="str">
        <f t="shared" si="2"/>
        <v>entity:QNL_B_226_PUMP_ROOM</v>
      </c>
      <c r="B155" s="23" t="s">
        <v>6624</v>
      </c>
      <c r="C155" t="s">
        <v>6625</v>
      </c>
      <c r="D155" t="e" cm="1">
        <f t="array" ref="D155">TRANSPOSE(_xlfn._xlws.FILTER('Controllable Asset Registry'!#REF!,IFERROR('Controllable Asset Registry'!#REF!=A155,FALSE),"No Equipment in entity"))</f>
        <v>#REF!</v>
      </c>
    </row>
    <row r="156" spans="1:4" x14ac:dyDescent="0.3">
      <c r="A156" t="str">
        <f t="shared" si="2"/>
        <v>entity:QNL_B_227_CORRIDOR</v>
      </c>
      <c r="B156" s="23" t="s">
        <v>6626</v>
      </c>
      <c r="C156" t="s">
        <v>3735</v>
      </c>
      <c r="D156" t="e" cm="1">
        <f t="array" ref="D156">TRANSPOSE(_xlfn._xlws.FILTER('Controllable Asset Registry'!#REF!,IFERROR('Controllable Asset Registry'!#REF!=A156,FALSE),"No Equipment in entity"))</f>
        <v>#REF!</v>
      </c>
    </row>
    <row r="157" spans="1:4" x14ac:dyDescent="0.3">
      <c r="A157" t="str">
        <f t="shared" si="2"/>
        <v>entity:QNL_B-AT-04A_ST-04A</v>
      </c>
      <c r="B157" s="23" t="s">
        <v>6627</v>
      </c>
      <c r="C157" t="s">
        <v>6628</v>
      </c>
      <c r="D157" t="e" cm="1">
        <f t="array" ref="D157">TRANSPOSE(_xlfn._xlws.FILTER('Controllable Asset Registry'!#REF!,IFERROR('Controllable Asset Registry'!#REF!=A157,FALSE),"No Equipment in entity"))</f>
        <v>#REF!</v>
      </c>
    </row>
    <row r="158" spans="1:4" x14ac:dyDescent="0.3">
      <c r="A158" t="str">
        <f t="shared" si="2"/>
        <v>entity:QNL_B-L-1_L-1</v>
      </c>
      <c r="B158" s="23" t="s">
        <v>6629</v>
      </c>
      <c r="C158" t="s">
        <v>6630</v>
      </c>
      <c r="D158" t="e" cm="1">
        <f t="array" ref="D158">TRANSPOSE(_xlfn._xlws.FILTER('Controllable Asset Registry'!#REF!,IFERROR('Controllable Asset Registry'!#REF!=A158,FALSE),"No Equipment in entity"))</f>
        <v>#REF!</v>
      </c>
    </row>
    <row r="159" spans="1:4" x14ac:dyDescent="0.3">
      <c r="A159" t="str">
        <f t="shared" si="2"/>
        <v>entity:QNL_B-L-15_L-15</v>
      </c>
      <c r="B159" s="23" t="s">
        <v>6631</v>
      </c>
      <c r="C159" t="s">
        <v>6632</v>
      </c>
      <c r="D159" t="e" cm="1">
        <f t="array" ref="D159">TRANSPOSE(_xlfn._xlws.FILTER('Controllable Asset Registry'!#REF!,IFERROR('Controllable Asset Registry'!#REF!=A159,FALSE),"No Equipment in entity"))</f>
        <v>#REF!</v>
      </c>
    </row>
    <row r="160" spans="1:4" x14ac:dyDescent="0.3">
      <c r="A160" t="str">
        <f t="shared" si="2"/>
        <v>entity:QNL_B-L-2_L-2</v>
      </c>
      <c r="B160" s="23" t="s">
        <v>6633</v>
      </c>
      <c r="C160" t="s">
        <v>6634</v>
      </c>
      <c r="D160" t="e" cm="1">
        <f t="array" ref="D160">TRANSPOSE(_xlfn._xlws.FILTER('Controllable Asset Registry'!#REF!,IFERROR('Controllable Asset Registry'!#REF!=A160,FALSE),"No Equipment in entity"))</f>
        <v>#REF!</v>
      </c>
    </row>
    <row r="161" spans="1:4" x14ac:dyDescent="0.3">
      <c r="A161" t="str">
        <f t="shared" si="2"/>
        <v>entity:QNL_B-L-3_L-3</v>
      </c>
      <c r="B161" s="23" t="s">
        <v>6635</v>
      </c>
      <c r="C161" t="s">
        <v>6636</v>
      </c>
      <c r="D161" t="e" cm="1">
        <f t="array" ref="D161">TRANSPOSE(_xlfn._xlws.FILTER('Controllable Asset Registry'!#REF!,IFERROR('Controllable Asset Registry'!#REF!=A161,FALSE),"No Equipment in entity"))</f>
        <v>#REF!</v>
      </c>
    </row>
    <row r="162" spans="1:4" x14ac:dyDescent="0.3">
      <c r="A162" t="str">
        <f t="shared" si="2"/>
        <v>entity:QNL_B-L-4_L-4</v>
      </c>
      <c r="B162" s="23" t="s">
        <v>6637</v>
      </c>
      <c r="C162" t="s">
        <v>6638</v>
      </c>
      <c r="D162" t="e" cm="1">
        <f t="array" ref="D162">TRANSPOSE(_xlfn._xlws.FILTER('Controllable Asset Registry'!#REF!,IFERROR('Controllable Asset Registry'!#REF!=A162,FALSE),"No Equipment in entity"))</f>
        <v>#REF!</v>
      </c>
    </row>
    <row r="163" spans="1:4" x14ac:dyDescent="0.3">
      <c r="A163" t="str">
        <f t="shared" si="2"/>
        <v>entity:QNL_B-ST-01_ST-01</v>
      </c>
      <c r="B163" s="23" t="s">
        <v>6639</v>
      </c>
      <c r="C163" t="s">
        <v>5188</v>
      </c>
      <c r="D163" t="e" cm="1">
        <f t="array" ref="D163">TRANSPOSE(_xlfn._xlws.FILTER('Controllable Asset Registry'!#REF!,IFERROR('Controllable Asset Registry'!#REF!=A163,FALSE),"No Equipment in entity"))</f>
        <v>#REF!</v>
      </c>
    </row>
    <row r="164" spans="1:4" x14ac:dyDescent="0.3">
      <c r="A164" t="str">
        <f t="shared" si="2"/>
        <v>entity:QNL_B-ST-02_ST-02</v>
      </c>
      <c r="B164" s="23" t="s">
        <v>6640</v>
      </c>
      <c r="C164" t="s">
        <v>6641</v>
      </c>
      <c r="D164" t="e" cm="1">
        <f t="array" ref="D164">TRANSPOSE(_xlfn._xlws.FILTER('Controllable Asset Registry'!#REF!,IFERROR('Controllable Asset Registry'!#REF!=A164,FALSE),"No Equipment in entity"))</f>
        <v>#REF!</v>
      </c>
    </row>
    <row r="165" spans="1:4" x14ac:dyDescent="0.3">
      <c r="A165" t="str">
        <f t="shared" si="2"/>
        <v>entity:QNL_B-ST-03_ST-03</v>
      </c>
      <c r="B165" s="23" t="s">
        <v>6642</v>
      </c>
      <c r="C165" t="s">
        <v>6643</v>
      </c>
      <c r="D165" t="e" cm="1">
        <f t="array" ref="D165">TRANSPOSE(_xlfn._xlws.FILTER('Controllable Asset Registry'!#REF!,IFERROR('Controllable Asset Registry'!#REF!=A165,FALSE),"No Equipment in entity"))</f>
        <v>#REF!</v>
      </c>
    </row>
    <row r="166" spans="1:4" x14ac:dyDescent="0.3">
      <c r="A166" t="str">
        <f t="shared" si="2"/>
        <v>entity:QNL_B-ST-05_ST-05</v>
      </c>
      <c r="B166" s="23" t="s">
        <v>6644</v>
      </c>
      <c r="C166" t="s">
        <v>6645</v>
      </c>
      <c r="D166" t="e" cm="1">
        <f t="array" ref="D166">TRANSPOSE(_xlfn._xlws.FILTER('Controllable Asset Registry'!#REF!,IFERROR('Controllable Asset Registry'!#REF!=A166,FALSE),"No Equipment in entity"))</f>
        <v>#REF!</v>
      </c>
    </row>
    <row r="167" spans="1:4" x14ac:dyDescent="0.3">
      <c r="A167" t="str">
        <f t="shared" si="2"/>
        <v>entity:QNL_B-ST-11_ST-11</v>
      </c>
      <c r="B167" s="23" t="s">
        <v>6646</v>
      </c>
      <c r="C167" t="s">
        <v>6647</v>
      </c>
      <c r="D167" t="e" cm="1">
        <f t="array" ref="D167">TRANSPOSE(_xlfn._xlws.FILTER('Controllable Asset Registry'!#REF!,IFERROR('Controllable Asset Registry'!#REF!=A167,FALSE),"No Equipment in entity"))</f>
        <v>#REF!</v>
      </c>
    </row>
    <row r="168" spans="1:4" x14ac:dyDescent="0.3">
      <c r="A168" t="str">
        <f t="shared" si="2"/>
        <v>entity:QNL_B-ST-12_ST-12</v>
      </c>
      <c r="B168" s="23" t="s">
        <v>6648</v>
      </c>
      <c r="C168" t="s">
        <v>6649</v>
      </c>
      <c r="D168" t="e" cm="1">
        <f t="array" ref="D168">TRANSPOSE(_xlfn._xlws.FILTER('Controllable Asset Registry'!#REF!,IFERROR('Controllable Asset Registry'!#REF!=A168,FALSE),"No Equipment in entity"))</f>
        <v>#REF!</v>
      </c>
    </row>
    <row r="169" spans="1:4" x14ac:dyDescent="0.3">
      <c r="A169" t="str">
        <f t="shared" si="2"/>
        <v>entity:QNL_ST-04_ST-04</v>
      </c>
      <c r="B169" s="23" t="s">
        <v>5189</v>
      </c>
      <c r="C169" t="s">
        <v>5189</v>
      </c>
      <c r="D169" t="e" cm="1">
        <f t="array" ref="D169">TRANSPOSE(_xlfn._xlws.FILTER('Controllable Asset Registry'!#REF!,IFERROR('Controllable Asset Registry'!#REF!=A169,FALSE),"No Equipment in entity"))</f>
        <v>#REF!</v>
      </c>
    </row>
    <row r="170" spans="1:4" x14ac:dyDescent="0.3">
      <c r="A170" t="str">
        <f t="shared" si="2"/>
        <v>entity:QNL_L1_154_CORRIDOR</v>
      </c>
      <c r="B170" s="23" t="s">
        <v>6650</v>
      </c>
      <c r="C170" t="s">
        <v>3735</v>
      </c>
      <c r="D170" t="e" cm="1">
        <f t="array" ref="D170">TRANSPOSE(_xlfn._xlws.FILTER('Controllable Asset Registry'!#REF!,IFERROR('Controllable Asset Registry'!#REF!=A170,FALSE),"No Equipment in entity"))</f>
        <v>#REF!</v>
      </c>
    </row>
    <row r="171" spans="1:4" x14ac:dyDescent="0.3">
      <c r="A171" t="str">
        <f t="shared" si="2"/>
        <v>entity:QNL_L1_155_SECURITY_ROOM</v>
      </c>
      <c r="B171" s="23" t="s">
        <v>6651</v>
      </c>
      <c r="C171" t="s">
        <v>6569</v>
      </c>
      <c r="D171" t="e" cm="1">
        <f t="array" ref="D171">TRANSPOSE(_xlfn._xlws.FILTER('Controllable Asset Registry'!#REF!,IFERROR('Controllable Asset Registry'!#REF!=A171,FALSE),"No Equipment in entity"))</f>
        <v>#REF!</v>
      </c>
    </row>
    <row r="172" spans="1:4" x14ac:dyDescent="0.3">
      <c r="A172" t="str">
        <f t="shared" si="2"/>
        <v>entity:QNL_L1_156_M2_HVAC_SHAFT</v>
      </c>
      <c r="B172" s="23" t="s">
        <v>6652</v>
      </c>
      <c r="C172" t="s">
        <v>6653</v>
      </c>
      <c r="D172" t="e" cm="1">
        <f t="array" ref="D172">TRANSPOSE(_xlfn._xlws.FILTER('Controllable Asset Registry'!#REF!,IFERROR('Controllable Asset Registry'!#REF!=A172,FALSE),"No Equipment in entity"))</f>
        <v>#REF!</v>
      </c>
    </row>
    <row r="173" spans="1:4" x14ac:dyDescent="0.3">
      <c r="A173" t="str">
        <f t="shared" si="2"/>
        <v>entity:QNL_L1_157_E2_ELEC_SHAFT</v>
      </c>
      <c r="B173" s="23" t="s">
        <v>6654</v>
      </c>
      <c r="C173" t="s">
        <v>6655</v>
      </c>
      <c r="D173" t="e" cm="1">
        <f t="array" ref="D173">TRANSPOSE(_xlfn._xlws.FILTER('Controllable Asset Registry'!#REF!,IFERROR('Controllable Asset Registry'!#REF!=A173,FALSE),"No Equipment in entity"))</f>
        <v>#REF!</v>
      </c>
    </row>
    <row r="174" spans="1:4" x14ac:dyDescent="0.3">
      <c r="A174" t="str">
        <f t="shared" si="2"/>
        <v>entity:QNL_L1_158_M1_HVAC_SHAFT</v>
      </c>
      <c r="B174" s="23" t="s">
        <v>6656</v>
      </c>
      <c r="C174" t="s">
        <v>6372</v>
      </c>
      <c r="D174" t="e" cm="1">
        <f t="array" ref="D174">TRANSPOSE(_xlfn._xlws.FILTER('Controllable Asset Registry'!#REF!,IFERROR('Controllable Asset Registry'!#REF!=A174,FALSE),"No Equipment in entity"))</f>
        <v>#REF!</v>
      </c>
    </row>
    <row r="175" spans="1:4" x14ac:dyDescent="0.3">
      <c r="A175" t="str">
        <f t="shared" si="2"/>
        <v>entity:QNL_L1_159_E1_ELEC_SHAFT</v>
      </c>
      <c r="B175" s="23" t="s">
        <v>6657</v>
      </c>
      <c r="C175" t="s">
        <v>6374</v>
      </c>
      <c r="D175" t="e" cm="1">
        <f t="array" ref="D175">TRANSPOSE(_xlfn._xlws.FILTER('Controllable Asset Registry'!#REF!,IFERROR('Controllable Asset Registry'!#REF!=A175,FALSE),"No Equipment in entity"))</f>
        <v>#REF!</v>
      </c>
    </row>
    <row r="176" spans="1:4" x14ac:dyDescent="0.3">
      <c r="A176" t="str">
        <f t="shared" si="2"/>
        <v>entity:QNL_L1_160_M3_HVAC_SHAFT</v>
      </c>
      <c r="B176" s="23" t="s">
        <v>6658</v>
      </c>
      <c r="C176" t="s">
        <v>6391</v>
      </c>
      <c r="D176" t="e" cm="1">
        <f t="array" ref="D176">TRANSPOSE(_xlfn._xlws.FILTER('Controllable Asset Registry'!#REF!,IFERROR('Controllable Asset Registry'!#REF!=A176,FALSE),"No Equipment in entity"))</f>
        <v>#REF!</v>
      </c>
    </row>
    <row r="177" spans="1:4" x14ac:dyDescent="0.3">
      <c r="A177" t="str">
        <f t="shared" si="2"/>
        <v>entity:QNL_L1_161_N2_PIPE_SHAFT</v>
      </c>
      <c r="B177" s="23" t="s">
        <v>6659</v>
      </c>
      <c r="C177" t="s">
        <v>6660</v>
      </c>
      <c r="D177" t="e" cm="1">
        <f t="array" ref="D177">TRANSPOSE(_xlfn._xlws.FILTER('Controllable Asset Registry'!#REF!,IFERROR('Controllable Asset Registry'!#REF!=A177,FALSE),"No Equipment in entity"))</f>
        <v>#REF!</v>
      </c>
    </row>
    <row r="178" spans="1:4" x14ac:dyDescent="0.3">
      <c r="A178" t="str">
        <f t="shared" si="2"/>
        <v>entity:QNL_L1_162_STORE</v>
      </c>
      <c r="B178" s="23" t="s">
        <v>6661</v>
      </c>
      <c r="C178" t="s">
        <v>6662</v>
      </c>
      <c r="D178" t="e" cm="1">
        <f t="array" ref="D178">TRANSPOSE(_xlfn._xlws.FILTER('Controllable Asset Registry'!#REF!,IFERROR('Controllable Asset Registry'!#REF!=A178,FALSE),"No Equipment in entity"))</f>
        <v>#REF!</v>
      </c>
    </row>
    <row r="179" spans="1:4" x14ac:dyDescent="0.3">
      <c r="A179" t="str">
        <f t="shared" si="2"/>
        <v>entity:QNL_L1_001_OPEN_READING_AREA</v>
      </c>
      <c r="B179" s="23" t="s">
        <v>6663</v>
      </c>
      <c r="C179" t="s">
        <v>6664</v>
      </c>
      <c r="D179" t="e" cm="1">
        <f t="array" ref="D179">TRANSPOSE(_xlfn._xlws.FILTER('Controllable Asset Registry'!#REF!,IFERROR('Controllable Asset Registry'!#REF!=A179,FALSE),"No Equipment in entity"))</f>
        <v>#REF!</v>
      </c>
    </row>
    <row r="180" spans="1:4" x14ac:dyDescent="0.3">
      <c r="A180" t="str">
        <f t="shared" si="2"/>
        <v>entity:QNL_L1_002_BRAILLE_READER</v>
      </c>
      <c r="B180" s="23" t="s">
        <v>6665</v>
      </c>
      <c r="C180" t="s">
        <v>6666</v>
      </c>
      <c r="D180" t="e" cm="1">
        <f t="array" ref="D180">TRANSPOSE(_xlfn._xlws.FILTER('Controllable Asset Registry'!#REF!,IFERROR('Controllable Asset Registry'!#REF!=A180,FALSE),"No Equipment in entity"))</f>
        <v>#REF!</v>
      </c>
    </row>
    <row r="181" spans="1:4" x14ac:dyDescent="0.3">
      <c r="A181" t="str">
        <f t="shared" si="2"/>
        <v>entity:QNL_L1_002A_GREEM_ROOM</v>
      </c>
      <c r="B181" s="23" t="s">
        <v>6667</v>
      </c>
      <c r="C181" t="s">
        <v>6668</v>
      </c>
      <c r="D181" t="e" cm="1">
        <f t="array" ref="D181">TRANSPOSE(_xlfn._xlws.FILTER('Controllable Asset Registry'!#REF!,IFERROR('Controllable Asset Registry'!#REF!=A181,FALSE),"No Equipment in entity"))</f>
        <v>#REF!</v>
      </c>
    </row>
    <row r="182" spans="1:4" x14ac:dyDescent="0.3">
      <c r="A182" t="str">
        <f t="shared" si="2"/>
        <v>entity:QNL_L1_003_TUTORING_HEAD</v>
      </c>
      <c r="B182" s="23" t="s">
        <v>6669</v>
      </c>
      <c r="C182" t="s">
        <v>6670</v>
      </c>
      <c r="D182" t="e" cm="1">
        <f t="array" ref="D182">TRANSPOSE(_xlfn._xlws.FILTER('Controllable Asset Registry'!#REF!,IFERROR('Controllable Asset Registry'!#REF!=A182,FALSE),"No Equipment in entity"))</f>
        <v>#REF!</v>
      </c>
    </row>
    <row r="183" spans="1:4" x14ac:dyDescent="0.3">
      <c r="A183" t="str">
        <f t="shared" si="2"/>
        <v>entity:QNL_L1_004_WRITING_ROOM1</v>
      </c>
      <c r="B183" s="23" t="s">
        <v>6671</v>
      </c>
      <c r="C183" t="s">
        <v>6672</v>
      </c>
      <c r="D183" t="e" cm="1">
        <f t="array" ref="D183">TRANSPOSE(_xlfn._xlws.FILTER('Controllable Asset Registry'!#REF!,IFERROR('Controllable Asset Registry'!#REF!=A183,FALSE),"No Equipment in entity"))</f>
        <v>#REF!</v>
      </c>
    </row>
    <row r="184" spans="1:4" x14ac:dyDescent="0.3">
      <c r="A184" t="str">
        <f t="shared" si="2"/>
        <v>entity:QNL_L1_005_WRITING_ROOM2</v>
      </c>
      <c r="B184" s="23" t="s">
        <v>6673</v>
      </c>
      <c r="C184" t="s">
        <v>6674</v>
      </c>
      <c r="D184" t="e" cm="1">
        <f t="array" ref="D184">TRANSPOSE(_xlfn._xlws.FILTER('Controllable Asset Registry'!#REF!,IFERROR('Controllable Asset Registry'!#REF!=A184,FALSE),"No Equipment in entity"))</f>
        <v>#REF!</v>
      </c>
    </row>
    <row r="185" spans="1:4" x14ac:dyDescent="0.3">
      <c r="A185" t="str">
        <f t="shared" si="2"/>
        <v>entity:QNL_L1_006_WRITING_HEAD</v>
      </c>
      <c r="B185" s="23" t="s">
        <v>6675</v>
      </c>
      <c r="C185" t="s">
        <v>6676</v>
      </c>
      <c r="D185" t="e" cm="1">
        <f t="array" ref="D185">TRANSPOSE(_xlfn._xlws.FILTER('Controllable Asset Registry'!#REF!,IFERROR('Controllable Asset Registry'!#REF!=A185,FALSE),"No Equipment in entity"))</f>
        <v>#REF!</v>
      </c>
    </row>
    <row r="186" spans="1:4" x14ac:dyDescent="0.3">
      <c r="A186" t="str">
        <f t="shared" si="2"/>
        <v>entity:QNL_L1_007_STUDENT_CARRLES</v>
      </c>
      <c r="B186" s="23" t="s">
        <v>6677</v>
      </c>
      <c r="C186" t="s">
        <v>6678</v>
      </c>
      <c r="D186" t="e" cm="1">
        <f t="array" ref="D186">TRANSPOSE(_xlfn._xlws.FILTER('Controllable Asset Registry'!#REF!,IFERROR('Controllable Asset Registry'!#REF!=A186,FALSE),"No Equipment in entity"))</f>
        <v>#REF!</v>
      </c>
    </row>
    <row r="187" spans="1:4" x14ac:dyDescent="0.3">
      <c r="A187" t="str">
        <f t="shared" si="2"/>
        <v>entity:QNL_L1_020_INFO_LITERACY_INSTR1</v>
      </c>
      <c r="B187" s="23" t="s">
        <v>6679</v>
      </c>
      <c r="C187" t="s">
        <v>6680</v>
      </c>
      <c r="D187" t="e" cm="1">
        <f t="array" ref="D187">TRANSPOSE(_xlfn._xlws.FILTER('Controllable Asset Registry'!#REF!,IFERROR('Controllable Asset Registry'!#REF!=A187,FALSE),"No Equipment in entity"))</f>
        <v>#REF!</v>
      </c>
    </row>
    <row r="188" spans="1:4" x14ac:dyDescent="0.3">
      <c r="A188" t="str">
        <f t="shared" si="2"/>
        <v>entity:QNL_L1_021_INFO_LITERACY_INSTR2</v>
      </c>
      <c r="B188" s="23" t="s">
        <v>6681</v>
      </c>
      <c r="C188" t="s">
        <v>6682</v>
      </c>
      <c r="D188" t="e" cm="1">
        <f t="array" ref="D188">TRANSPOSE(_xlfn._xlws.FILTER('Controllable Asset Registry'!#REF!,IFERROR('Controllable Asset Registry'!#REF!=A188,FALSE),"No Equipment in entity"))</f>
        <v>#REF!</v>
      </c>
    </row>
    <row r="189" spans="1:4" x14ac:dyDescent="0.3">
      <c r="A189" t="str">
        <f t="shared" si="2"/>
        <v>entity:QNL_L1_022_COMPUTER_CLASSROOM</v>
      </c>
      <c r="B189" s="23" t="s">
        <v>6683</v>
      </c>
      <c r="C189" t="s">
        <v>6684</v>
      </c>
      <c r="D189" t="e" cm="1">
        <f t="array" ref="D189">TRANSPOSE(_xlfn._xlws.FILTER('Controllable Asset Registry'!#REF!,IFERROR('Controllable Asset Registry'!#REF!=A189,FALSE),"No Equipment in entity"))</f>
        <v>#REF!</v>
      </c>
    </row>
    <row r="190" spans="1:4" x14ac:dyDescent="0.3">
      <c r="A190" t="str">
        <f t="shared" si="2"/>
        <v>entity:QNL_L1023_1_CORRIDOR</v>
      </c>
      <c r="B190" s="23" t="s">
        <v>6685</v>
      </c>
      <c r="C190" t="s">
        <v>3735</v>
      </c>
      <c r="D190" t="e" cm="1">
        <f t="array" ref="D190">TRANSPOSE(_xlfn._xlws.FILTER('Controllable Asset Registry'!#REF!,IFERROR('Controllable Asset Registry'!#REF!=A190,FALSE),"No Equipment in entity"))</f>
        <v>#REF!</v>
      </c>
    </row>
    <row r="191" spans="1:4" x14ac:dyDescent="0.3">
      <c r="A191" t="str">
        <f t="shared" si="2"/>
        <v>entity:QNL_L1023_2_CORRIDOR</v>
      </c>
      <c r="B191" s="23" t="s">
        <v>6686</v>
      </c>
      <c r="C191" t="s">
        <v>3735</v>
      </c>
      <c r="D191" t="e" cm="1">
        <f t="array" ref="D191">TRANSPOSE(_xlfn._xlws.FILTER('Controllable Asset Registry'!#REF!,IFERROR('Controllable Asset Registry'!#REF!=A191,FALSE),"No Equipment in entity"))</f>
        <v>#REF!</v>
      </c>
    </row>
    <row r="192" spans="1:4" x14ac:dyDescent="0.3">
      <c r="A192" t="str">
        <f t="shared" si="2"/>
        <v>entity:QNL_L1023_3_CORRIDOR</v>
      </c>
      <c r="B192" s="23" t="s">
        <v>6687</v>
      </c>
      <c r="C192" t="s">
        <v>3735</v>
      </c>
      <c r="D192" t="e" cm="1">
        <f t="array" ref="D192">TRANSPOSE(_xlfn._xlws.FILTER('Controllable Asset Registry'!#REF!,IFERROR('Controllable Asset Registry'!#REF!=A192,FALSE),"No Equipment in entity"))</f>
        <v>#REF!</v>
      </c>
    </row>
    <row r="193" spans="1:4" x14ac:dyDescent="0.3">
      <c r="A193" t="str">
        <f t="shared" si="2"/>
        <v>entity:QNL_L1_024_REST_ROOM_MEN</v>
      </c>
      <c r="B193" s="23" t="s">
        <v>6688</v>
      </c>
      <c r="C193" t="s">
        <v>6433</v>
      </c>
      <c r="D193" t="e" cm="1">
        <f t="array" ref="D193">TRANSPOSE(_xlfn._xlws.FILTER('Controllable Asset Registry'!#REF!,IFERROR('Controllable Asset Registry'!#REF!=A193,FALSE),"No Equipment in entity"))</f>
        <v>#REF!</v>
      </c>
    </row>
    <row r="194" spans="1:4" x14ac:dyDescent="0.3">
      <c r="A194" t="str">
        <f t="shared" ref="A194:A257" si="3">"entity:QNL_"&amp;B194&amp;"_"&amp;C194</f>
        <v>entity:QNL_L1_025_REST_ROOM_WOMEN</v>
      </c>
      <c r="B194" s="23" t="s">
        <v>6689</v>
      </c>
      <c r="C194" t="s">
        <v>6436</v>
      </c>
      <c r="D194" t="e" cm="1">
        <f t="array" ref="D194">TRANSPOSE(_xlfn._xlws.FILTER('Controllable Asset Registry'!#REF!,IFERROR('Controllable Asset Registry'!#REF!=A194,FALSE),"No Equipment in entity"))</f>
        <v>#REF!</v>
      </c>
    </row>
    <row r="195" spans="1:4" x14ac:dyDescent="0.3">
      <c r="A195" t="str">
        <f t="shared" si="3"/>
        <v>entity:QNL_L1_026_GROUP_STUDY_ROOM1</v>
      </c>
      <c r="B195" s="23" t="s">
        <v>6690</v>
      </c>
      <c r="C195" t="s">
        <v>6691</v>
      </c>
      <c r="D195" t="e" cm="1">
        <f t="array" ref="D195">TRANSPOSE(_xlfn._xlws.FILTER('Controllable Asset Registry'!#REF!,IFERROR('Controllable Asset Registry'!#REF!=A195,FALSE),"No Equipment in entity"))</f>
        <v>#REF!</v>
      </c>
    </row>
    <row r="196" spans="1:4" x14ac:dyDescent="0.3">
      <c r="A196" t="str">
        <f t="shared" si="3"/>
        <v>entity:QNL_L1_027_GROUP_STUDY_ROOM2</v>
      </c>
      <c r="B196" s="23" t="s">
        <v>6692</v>
      </c>
      <c r="C196" t="s">
        <v>6693</v>
      </c>
      <c r="D196" t="e" cm="1">
        <f t="array" ref="D196">TRANSPOSE(_xlfn._xlws.FILTER('Controllable Asset Registry'!#REF!,IFERROR('Controllable Asset Registry'!#REF!=A196,FALSE),"No Equipment in entity"))</f>
        <v>#REF!</v>
      </c>
    </row>
    <row r="197" spans="1:4" x14ac:dyDescent="0.3">
      <c r="A197" t="str">
        <f t="shared" si="3"/>
        <v>entity:QNL_L1_028_GROUP_STUDY_ROOM3</v>
      </c>
      <c r="B197" s="23" t="s">
        <v>6694</v>
      </c>
      <c r="C197" t="s">
        <v>6695</v>
      </c>
      <c r="D197" t="e" cm="1">
        <f t="array" ref="D197">TRANSPOSE(_xlfn._xlws.FILTER('Controllable Asset Registry'!#REF!,IFERROR('Controllable Asset Registry'!#REF!=A197,FALSE),"No Equipment in entity"))</f>
        <v>#REF!</v>
      </c>
    </row>
    <row r="198" spans="1:4" x14ac:dyDescent="0.3">
      <c r="A198" t="str">
        <f t="shared" si="3"/>
        <v>entity:QNL_L1_029_GROUP_STUDY_ROOM4</v>
      </c>
      <c r="B198" s="23" t="s">
        <v>6696</v>
      </c>
      <c r="C198" t="s">
        <v>6697</v>
      </c>
      <c r="D198" t="e" cm="1">
        <f t="array" ref="D198">TRANSPOSE(_xlfn._xlws.FILTER('Controllable Asset Registry'!#REF!,IFERROR('Controllable Asset Registry'!#REF!=A198,FALSE),"No Equipment in entity"))</f>
        <v>#REF!</v>
      </c>
    </row>
    <row r="199" spans="1:4" x14ac:dyDescent="0.3">
      <c r="A199" t="str">
        <f t="shared" si="3"/>
        <v>entity:QNL_L1_030_ICT_ROOM_02</v>
      </c>
      <c r="B199" s="23" t="s">
        <v>6698</v>
      </c>
      <c r="C199" t="s">
        <v>6699</v>
      </c>
      <c r="D199" t="e" cm="1">
        <f t="array" ref="D199">TRANSPOSE(_xlfn._xlws.FILTER('Controllable Asset Registry'!#REF!,IFERROR('Controllable Asset Registry'!#REF!=A199,FALSE),"No Equipment in entity"))</f>
        <v>#REF!</v>
      </c>
    </row>
    <row r="200" spans="1:4" x14ac:dyDescent="0.3">
      <c r="A200" t="str">
        <f t="shared" si="3"/>
        <v>entity:QNL_L1_040_HEAD_LIBRARIAN_OFFICE</v>
      </c>
      <c r="B200" s="23" t="s">
        <v>6700</v>
      </c>
      <c r="C200" t="s">
        <v>6701</v>
      </c>
      <c r="D200" t="e" cm="1">
        <f t="array" ref="D200">TRANSPOSE(_xlfn._xlws.FILTER('Controllable Asset Registry'!#REF!,IFERROR('Controllable Asset Registry'!#REF!=A200,FALSE),"No Equipment in entity"))</f>
        <v>#REF!</v>
      </c>
    </row>
    <row r="201" spans="1:4" x14ac:dyDescent="0.3">
      <c r="A201" t="str">
        <f t="shared" si="3"/>
        <v>entity:QNL_L1_041_MULTPURPOSE_ROOM</v>
      </c>
      <c r="B201" s="23" t="s">
        <v>6702</v>
      </c>
      <c r="C201" t="s">
        <v>6703</v>
      </c>
      <c r="D201" t="e" cm="1">
        <f t="array" ref="D201">TRANSPOSE(_xlfn._xlws.FILTER('Controllable Asset Registry'!#REF!,IFERROR('Controllable Asset Registry'!#REF!=A201,FALSE),"No Equipment in entity"))</f>
        <v>#REF!</v>
      </c>
    </row>
    <row r="202" spans="1:4" x14ac:dyDescent="0.3">
      <c r="A202" t="str">
        <f t="shared" si="3"/>
        <v>entity:QNL_L1_042_LOBBY</v>
      </c>
      <c r="B202" s="23" t="s">
        <v>6704</v>
      </c>
      <c r="C202" t="s">
        <v>3926</v>
      </c>
      <c r="D202" t="e" cm="1">
        <f t="array" ref="D202">TRANSPOSE(_xlfn._xlws.FILTER('Controllable Asset Registry'!#REF!,IFERROR('Controllable Asset Registry'!#REF!=A202,FALSE),"No Equipment in entity"))</f>
        <v>#REF!</v>
      </c>
    </row>
    <row r="203" spans="1:4" x14ac:dyDescent="0.3">
      <c r="A203" t="str">
        <f t="shared" si="3"/>
        <v>entity:QNL_L1_043_BABY_CHAN</v>
      </c>
      <c r="B203" s="23" t="s">
        <v>6705</v>
      </c>
      <c r="C203" t="s">
        <v>6706</v>
      </c>
      <c r="D203" t="e" cm="1">
        <f t="array" ref="D203">TRANSPOSE(_xlfn._xlws.FILTER('Controllable Asset Registry'!#REF!,IFERROR('Controllable Asset Registry'!#REF!=A203,FALSE),"No Equipment in entity"))</f>
        <v>#REF!</v>
      </c>
    </row>
    <row r="204" spans="1:4" x14ac:dyDescent="0.3">
      <c r="A204" t="str">
        <f t="shared" si="3"/>
        <v>entity:QNL_L1_044_BREAST_FEEDING</v>
      </c>
      <c r="B204" s="23" t="s">
        <v>6707</v>
      </c>
      <c r="C204" t="s">
        <v>6708</v>
      </c>
      <c r="D204" t="e" cm="1">
        <f t="array" ref="D204">TRANSPOSE(_xlfn._xlws.FILTER('Controllable Asset Registry'!#REF!,IFERROR('Controllable Asset Registry'!#REF!=A204,FALSE),"No Equipment in entity"))</f>
        <v>#REF!</v>
      </c>
    </row>
    <row r="205" spans="1:4" x14ac:dyDescent="0.3">
      <c r="A205" t="str">
        <f t="shared" si="3"/>
        <v>entity:QNL_L1_045_FEMALE_TOILET</v>
      </c>
      <c r="B205" s="23" t="s">
        <v>6709</v>
      </c>
      <c r="C205" t="s">
        <v>4628</v>
      </c>
      <c r="D205" t="e" cm="1">
        <f t="array" ref="D205">TRANSPOSE(_xlfn._xlws.FILTER('Controllable Asset Registry'!#REF!,IFERROR('Controllable Asset Registry'!#REF!=A205,FALSE),"No Equipment in entity"))</f>
        <v>#REF!</v>
      </c>
    </row>
    <row r="206" spans="1:4" x14ac:dyDescent="0.3">
      <c r="A206" t="str">
        <f t="shared" si="3"/>
        <v>entity:QNL_L1_046_MALE_TOILET</v>
      </c>
      <c r="B206" s="23" t="s">
        <v>6710</v>
      </c>
      <c r="C206" t="s">
        <v>4625</v>
      </c>
      <c r="D206" t="e" cm="1">
        <f t="array" ref="D206">TRANSPOSE(_xlfn._xlws.FILTER('Controllable Asset Registry'!#REF!,IFERROR('Controllable Asset Registry'!#REF!=A206,FALSE),"No Equipment in entity"))</f>
        <v>#REF!</v>
      </c>
    </row>
    <row r="207" spans="1:4" x14ac:dyDescent="0.3">
      <c r="A207" t="str">
        <f t="shared" si="3"/>
        <v>entity:QNL_L1_047_CHILDREN_LIBRARY_-_PRE_SCHOOL_READING_&amp;_PLAYING</v>
      </c>
      <c r="B207" s="23" t="s">
        <v>6711</v>
      </c>
      <c r="C207" t="s">
        <v>6712</v>
      </c>
      <c r="D207" t="e" cm="1">
        <f t="array" ref="D207">TRANSPOSE(_xlfn._xlws.FILTER('Controllable Asset Registry'!#REF!,IFERROR('Controllable Asset Registry'!#REF!=A207,FALSE),"No Equipment in entity"))</f>
        <v>#REF!</v>
      </c>
    </row>
    <row r="208" spans="1:4" x14ac:dyDescent="0.3">
      <c r="A208" t="str">
        <f t="shared" si="3"/>
        <v>entity:QNL_L1_048_STAFF_OFFICE</v>
      </c>
      <c r="B208" s="23" t="s">
        <v>6713</v>
      </c>
      <c r="C208" t="s">
        <v>6714</v>
      </c>
      <c r="D208" t="e" cm="1">
        <f t="array" ref="D208">TRANSPOSE(_xlfn._xlws.FILTER('Controllable Asset Registry'!#REF!,IFERROR('Controllable Asset Registry'!#REF!=A208,FALSE),"No Equipment in entity"))</f>
        <v>#REF!</v>
      </c>
    </row>
    <row r="209" spans="1:4" x14ac:dyDescent="0.3">
      <c r="A209" t="str">
        <f t="shared" si="3"/>
        <v>entity:QNL_L1_049_STORAGE</v>
      </c>
      <c r="B209" s="23" t="s">
        <v>6715</v>
      </c>
      <c r="C209" t="s">
        <v>3752</v>
      </c>
      <c r="D209" t="e" cm="1">
        <f t="array" ref="D209">TRANSPOSE(_xlfn._xlws.FILTER('Controllable Asset Registry'!#REF!,IFERROR('Controllable Asset Registry'!#REF!=A209,FALSE),"No Equipment in entity"))</f>
        <v>#REF!</v>
      </c>
    </row>
    <row r="210" spans="1:4" x14ac:dyDescent="0.3">
      <c r="A210" t="str">
        <f t="shared" si="3"/>
        <v>entity:QNL_L1_050_STROLLER_PARKING</v>
      </c>
      <c r="B210" s="23" t="s">
        <v>6716</v>
      </c>
      <c r="C210" t="s">
        <v>6717</v>
      </c>
      <c r="D210" t="e" cm="1">
        <f t="array" ref="D210">TRANSPOSE(_xlfn._xlws.FILTER('Controllable Asset Registry'!#REF!,IFERROR('Controllable Asset Registry'!#REF!=A210,FALSE),"No Equipment in entity"))</f>
        <v>#REF!</v>
      </c>
    </row>
    <row r="211" spans="1:4" x14ac:dyDescent="0.3">
      <c r="A211" t="str">
        <f t="shared" si="3"/>
        <v>entity:QNL_L1_061_REST_ROOM_MEN</v>
      </c>
      <c r="B211" s="23" t="s">
        <v>6718</v>
      </c>
      <c r="C211" t="s">
        <v>6433</v>
      </c>
      <c r="D211" t="e" cm="1">
        <f t="array" ref="D211">TRANSPOSE(_xlfn._xlws.FILTER('Controllable Asset Registry'!#REF!,IFERROR('Controllable Asset Registry'!#REF!=A211,FALSE),"No Equipment in entity"))</f>
        <v>#REF!</v>
      </c>
    </row>
    <row r="212" spans="1:4" x14ac:dyDescent="0.3">
      <c r="A212" t="str">
        <f t="shared" si="3"/>
        <v>entity:QNL_L1_062_REST_ROOM_WOMEN</v>
      </c>
      <c r="B212" s="23" t="s">
        <v>6719</v>
      </c>
      <c r="C212" t="s">
        <v>6436</v>
      </c>
      <c r="D212" t="e" cm="1">
        <f t="array" ref="D212">TRANSPOSE(_xlfn._xlws.FILTER('Controllable Asset Registry'!#REF!,IFERROR('Controllable Asset Registry'!#REF!=A212,FALSE),"No Equipment in entity"))</f>
        <v>#REF!</v>
      </c>
    </row>
    <row r="213" spans="1:4" x14ac:dyDescent="0.3">
      <c r="A213" t="str">
        <f t="shared" si="3"/>
        <v>entity:QNL_L1_063_MEDIA_STUDIO_1</v>
      </c>
      <c r="B213" s="23" t="s">
        <v>6720</v>
      </c>
      <c r="C213" t="s">
        <v>6721</v>
      </c>
      <c r="D213" t="e" cm="1">
        <f t="array" ref="D213">TRANSPOSE(_xlfn._xlws.FILTER('Controllable Asset Registry'!#REF!,IFERROR('Controllable Asset Registry'!#REF!=A213,FALSE),"No Equipment in entity"))</f>
        <v>#REF!</v>
      </c>
    </row>
    <row r="214" spans="1:4" x14ac:dyDescent="0.3">
      <c r="A214" t="str">
        <f t="shared" si="3"/>
        <v>entity:QNL_L1_064_STORAGE</v>
      </c>
      <c r="B214" s="23" t="s">
        <v>6722</v>
      </c>
      <c r="C214" t="s">
        <v>3752</v>
      </c>
      <c r="D214" t="e" cm="1">
        <f t="array" ref="D214">TRANSPOSE(_xlfn._xlws.FILTER('Controllable Asset Registry'!#REF!,IFERROR('Controllable Asset Registry'!#REF!=A214,FALSE),"No Equipment in entity"))</f>
        <v>#REF!</v>
      </c>
    </row>
    <row r="215" spans="1:4" x14ac:dyDescent="0.3">
      <c r="A215" t="str">
        <f t="shared" si="3"/>
        <v>entity:QNL_L1_065_MEDIA_STUDIO_1</v>
      </c>
      <c r="B215" s="23" t="s">
        <v>6723</v>
      </c>
      <c r="C215" t="s">
        <v>6721</v>
      </c>
      <c r="D215" t="e" cm="1">
        <f t="array" ref="D215">TRANSPOSE(_xlfn._xlws.FILTER('Controllable Asset Registry'!#REF!,IFERROR('Controllable Asset Registry'!#REF!=A215,FALSE),"No Equipment in entity"))</f>
        <v>#REF!</v>
      </c>
    </row>
    <row r="216" spans="1:4" x14ac:dyDescent="0.3">
      <c r="A216" t="str">
        <f t="shared" si="3"/>
        <v>entity:QNL_L1067_FRO_FRONT_KITCHEN</v>
      </c>
      <c r="B216" s="23" t="s">
        <v>6724</v>
      </c>
      <c r="C216" t="s">
        <v>6725</v>
      </c>
      <c r="D216" t="e" cm="1">
        <f t="array" ref="D216">TRANSPOSE(_xlfn._xlws.FILTER('Controllable Asset Registry'!#REF!,IFERROR('Controllable Asset Registry'!#REF!=A216,FALSE),"No Equipment in entity"))</f>
        <v>#REF!</v>
      </c>
    </row>
    <row r="217" spans="1:4" x14ac:dyDescent="0.3">
      <c r="A217" t="str">
        <f t="shared" si="3"/>
        <v>entity:QNL_L1067_RES_RESTAURANT</v>
      </c>
      <c r="B217" s="23" t="s">
        <v>6726</v>
      </c>
      <c r="C217" t="s">
        <v>6727</v>
      </c>
      <c r="D217" t="e" cm="1">
        <f t="array" ref="D217">TRANSPOSE(_xlfn._xlws.FILTER('Controllable Asset Registry'!#REF!,IFERROR('Controllable Asset Registry'!#REF!=A217,FALSE),"No Equipment in entity"))</f>
        <v>#REF!</v>
      </c>
    </row>
    <row r="218" spans="1:4" x14ac:dyDescent="0.3">
      <c r="A218" t="str">
        <f t="shared" si="3"/>
        <v>entity:QNL_L1_080_PUBLIC_SERVICE</v>
      </c>
      <c r="B218" s="23" t="s">
        <v>6728</v>
      </c>
      <c r="C218" t="s">
        <v>6729</v>
      </c>
      <c r="D218" t="e" cm="1">
        <f t="array" ref="D218">TRANSPOSE(_xlfn._xlws.FILTER('Controllable Asset Registry'!#REF!,IFERROR('Controllable Asset Registry'!#REF!=A218,FALSE),"No Equipment in entity"))</f>
        <v>#REF!</v>
      </c>
    </row>
    <row r="219" spans="1:4" x14ac:dyDescent="0.3">
      <c r="A219" t="str">
        <f t="shared" si="3"/>
        <v>entity:QNL_L1_081_BIBLIOGRANHER1</v>
      </c>
      <c r="B219" s="23" t="s">
        <v>6730</v>
      </c>
      <c r="C219" t="s">
        <v>6731</v>
      </c>
      <c r="D219" t="e" cm="1">
        <f t="array" ref="D219">TRANSPOSE(_xlfn._xlws.FILTER('Controllable Asset Registry'!#REF!,IFERROR('Controllable Asset Registry'!#REF!=A219,FALSE),"No Equipment in entity"))</f>
        <v>#REF!</v>
      </c>
    </row>
    <row r="220" spans="1:4" x14ac:dyDescent="0.3">
      <c r="A220" t="str">
        <f t="shared" si="3"/>
        <v>entity:QNL_L1_082_BIBLIOGRAPHER2</v>
      </c>
      <c r="B220" s="23" t="s">
        <v>6732</v>
      </c>
      <c r="C220" t="s">
        <v>6733</v>
      </c>
      <c r="D220" t="e" cm="1">
        <f t="array" ref="D220">TRANSPOSE(_xlfn._xlws.FILTER('Controllable Asset Registry'!#REF!,IFERROR('Controllable Asset Registry'!#REF!=A220,FALSE),"No Equipment in entity"))</f>
        <v>#REF!</v>
      </c>
    </row>
    <row r="221" spans="1:4" x14ac:dyDescent="0.3">
      <c r="A221" t="str">
        <f t="shared" si="3"/>
        <v>entity:QNL_L1_083_SPEC_COLL&amp;ARCH</v>
      </c>
      <c r="B221" s="23" t="s">
        <v>6734</v>
      </c>
      <c r="C221" t="s">
        <v>6735</v>
      </c>
      <c r="D221" t="e" cm="1">
        <f t="array" ref="D221">TRANSPOSE(_xlfn._xlws.FILTER('Controllable Asset Registry'!#REF!,IFERROR('Controllable Asset Registry'!#REF!=A221,FALSE),"No Equipment in entity"))</f>
        <v>#REF!</v>
      </c>
    </row>
    <row r="222" spans="1:4" x14ac:dyDescent="0.3">
      <c r="A222" t="str">
        <f t="shared" si="3"/>
        <v>entity:QNL_L1_084_R&amp;L_SERVICES</v>
      </c>
      <c r="B222" s="23" t="s">
        <v>6736</v>
      </c>
      <c r="C222" t="s">
        <v>6737</v>
      </c>
      <c r="D222" t="e" cm="1">
        <f t="array" ref="D222">TRANSPOSE(_xlfn._xlws.FILTER('Controllable Asset Registry'!#REF!,IFERROR('Controllable Asset Registry'!#REF!=A222,FALSE),"No Equipment in entity"))</f>
        <v>#REF!</v>
      </c>
    </row>
    <row r="223" spans="1:4" x14ac:dyDescent="0.3">
      <c r="A223" t="str">
        <f t="shared" si="3"/>
        <v>entity:QNL_L1_085_ADPUBLIC_SERVICE</v>
      </c>
      <c r="B223" s="23" t="s">
        <v>6738</v>
      </c>
      <c r="C223" t="s">
        <v>6739</v>
      </c>
      <c r="D223" t="e" cm="1">
        <f t="array" ref="D223">TRANSPOSE(_xlfn._xlws.FILTER('Controllable Asset Registry'!#REF!,IFERROR('Controllable Asset Registry'!#REF!=A223,FALSE),"No Equipment in entity"))</f>
        <v>#REF!</v>
      </c>
    </row>
    <row r="224" spans="1:4" x14ac:dyDescent="0.3">
      <c r="A224" t="str">
        <f t="shared" si="3"/>
        <v>entity:QNL_L1_086_REF_LIBRARIAN_1</v>
      </c>
      <c r="B224" s="23" t="s">
        <v>6740</v>
      </c>
      <c r="C224" t="s">
        <v>6741</v>
      </c>
      <c r="D224" t="e" cm="1">
        <f t="array" ref="D224">TRANSPOSE(_xlfn._xlws.FILTER('Controllable Asset Registry'!#REF!,IFERROR('Controllable Asset Registry'!#REF!=A224,FALSE),"No Equipment in entity"))</f>
        <v>#REF!</v>
      </c>
    </row>
    <row r="225" spans="1:4" x14ac:dyDescent="0.3">
      <c r="A225" t="str">
        <f t="shared" si="3"/>
        <v>entity:QNL_L1_087_REF_LIBRARIAN_2</v>
      </c>
      <c r="B225" s="23" t="s">
        <v>6742</v>
      </c>
      <c r="C225" t="s">
        <v>6743</v>
      </c>
      <c r="D225" t="e" cm="1">
        <f t="array" ref="D225">TRANSPOSE(_xlfn._xlws.FILTER('Controllable Asset Registry'!#REF!,IFERROR('Controllable Asset Registry'!#REF!=A225,FALSE),"No Equipment in entity"))</f>
        <v>#REF!</v>
      </c>
    </row>
    <row r="226" spans="1:4" x14ac:dyDescent="0.3">
      <c r="A226" t="str">
        <f t="shared" si="3"/>
        <v>entity:QNL_L1_088_REF_LIBRARIAN_3</v>
      </c>
      <c r="B226" s="23" t="s">
        <v>6744</v>
      </c>
      <c r="C226" t="s">
        <v>6745</v>
      </c>
      <c r="D226" t="e" cm="1">
        <f t="array" ref="D226">TRANSPOSE(_xlfn._xlws.FILTER('Controllable Asset Registry'!#REF!,IFERROR('Controllable Asset Registry'!#REF!=A226,FALSE),"No Equipment in entity"))</f>
        <v>#REF!</v>
      </c>
    </row>
    <row r="227" spans="1:4" x14ac:dyDescent="0.3">
      <c r="A227" t="str">
        <f t="shared" si="3"/>
        <v>entity:QNL_L1_089_REF_LIBRARIAN_4</v>
      </c>
      <c r="B227" s="23" t="s">
        <v>6746</v>
      </c>
      <c r="C227" t="s">
        <v>6747</v>
      </c>
      <c r="D227" t="e" cm="1">
        <f t="array" ref="D227">TRANSPOSE(_xlfn._xlws.FILTER('Controllable Asset Registry'!#REF!,IFERROR('Controllable Asset Registry'!#REF!=A227,FALSE),"No Equipment in entity"))</f>
        <v>#REF!</v>
      </c>
    </row>
    <row r="228" spans="1:4" x14ac:dyDescent="0.3">
      <c r="A228" t="str">
        <f t="shared" si="3"/>
        <v>entity:QNL_L1_090_REF_LIBRARIAN_5</v>
      </c>
      <c r="B228" s="23" t="s">
        <v>6748</v>
      </c>
      <c r="C228" t="s">
        <v>6749</v>
      </c>
      <c r="D228" t="e" cm="1">
        <f t="array" ref="D228">TRANSPOSE(_xlfn._xlws.FILTER('Controllable Asset Registry'!#REF!,IFERROR('Controllable Asset Registry'!#REF!=A228,FALSE),"No Equipment in entity"))</f>
        <v>#REF!</v>
      </c>
    </row>
    <row r="229" spans="1:4" x14ac:dyDescent="0.3">
      <c r="A229" t="str">
        <f t="shared" si="3"/>
        <v>entity:QNL_L1_091_REF_LIBRARIAN_6</v>
      </c>
      <c r="B229" s="23" t="s">
        <v>6750</v>
      </c>
      <c r="C229" t="s">
        <v>6751</v>
      </c>
      <c r="D229" t="e" cm="1">
        <f t="array" ref="D229">TRANSPOSE(_xlfn._xlws.FILTER('Controllable Asset Registry'!#REF!,IFERROR('Controllable Asset Registry'!#REF!=A229,FALSE),"No Equipment in entity"))</f>
        <v>#REF!</v>
      </c>
    </row>
    <row r="230" spans="1:4" x14ac:dyDescent="0.3">
      <c r="A230" t="str">
        <f t="shared" si="3"/>
        <v>entity:QNL_L1_092_REF_LIBRARIAN_7</v>
      </c>
      <c r="B230" s="23" t="s">
        <v>6752</v>
      </c>
      <c r="C230" t="s">
        <v>6753</v>
      </c>
      <c r="D230" t="e" cm="1">
        <f t="array" ref="D230">TRANSPOSE(_xlfn._xlws.FILTER('Controllable Asset Registry'!#REF!,IFERROR('Controllable Asset Registry'!#REF!=A230,FALSE),"No Equipment in entity"))</f>
        <v>#REF!</v>
      </c>
    </row>
    <row r="231" spans="1:4" x14ac:dyDescent="0.3">
      <c r="A231" t="str">
        <f t="shared" si="3"/>
        <v>entity:QNL_L1_093_REF_LIBRARIAN_8</v>
      </c>
      <c r="B231" s="23" t="s">
        <v>6754</v>
      </c>
      <c r="C231" t="s">
        <v>6755</v>
      </c>
      <c r="D231" t="e" cm="1">
        <f t="array" ref="D231">TRANSPOSE(_xlfn._xlws.FILTER('Controllable Asset Registry'!#REF!,IFERROR('Controllable Asset Registry'!#REF!=A231,FALSE),"No Equipment in entity"))</f>
        <v>#REF!</v>
      </c>
    </row>
    <row r="232" spans="1:4" x14ac:dyDescent="0.3">
      <c r="A232" t="str">
        <f t="shared" si="3"/>
        <v>entity:QNL_L1_094_REF_LIBRARIAN_9</v>
      </c>
      <c r="B232" s="23" t="s">
        <v>6756</v>
      </c>
      <c r="C232" t="s">
        <v>6757</v>
      </c>
      <c r="D232" t="e" cm="1">
        <f t="array" ref="D232">TRANSPOSE(_xlfn._xlws.FILTER('Controllable Asset Registry'!#REF!,IFERROR('Controllable Asset Registry'!#REF!=A232,FALSE),"No Equipment in entity"))</f>
        <v>#REF!</v>
      </c>
    </row>
    <row r="233" spans="1:4" x14ac:dyDescent="0.3">
      <c r="A233" t="str">
        <f t="shared" si="3"/>
        <v>entity:QNL_L1_095_REF_LIBRARIAN_10</v>
      </c>
      <c r="B233" s="23" t="s">
        <v>6758</v>
      </c>
      <c r="C233" t="s">
        <v>6759</v>
      </c>
      <c r="D233" t="e" cm="1">
        <f t="array" ref="D233">TRANSPOSE(_xlfn._xlws.FILTER('Controllable Asset Registry'!#REF!,IFERROR('Controllable Asset Registry'!#REF!=A233,FALSE),"No Equipment in entity"))</f>
        <v>#REF!</v>
      </c>
    </row>
    <row r="234" spans="1:4" x14ac:dyDescent="0.3">
      <c r="A234" t="str">
        <f t="shared" si="3"/>
        <v>entity:QNL_L1_096_REF_LIBRARIAN_11</v>
      </c>
      <c r="B234" s="23" t="s">
        <v>6760</v>
      </c>
      <c r="C234" t="s">
        <v>6761</v>
      </c>
      <c r="D234" t="e" cm="1">
        <f t="array" ref="D234">TRANSPOSE(_xlfn._xlws.FILTER('Controllable Asset Registry'!#REF!,IFERROR('Controllable Asset Registry'!#REF!=A234,FALSE),"No Equipment in entity"))</f>
        <v>#REF!</v>
      </c>
    </row>
    <row r="235" spans="1:4" x14ac:dyDescent="0.3">
      <c r="A235" t="str">
        <f t="shared" si="3"/>
        <v>entity:QNL_L1_097_REF_LIBRARIAN_12</v>
      </c>
      <c r="B235" s="23" t="s">
        <v>6762</v>
      </c>
      <c r="C235" t="s">
        <v>6763</v>
      </c>
      <c r="D235" t="e" cm="1">
        <f t="array" ref="D235">TRANSPOSE(_xlfn._xlws.FILTER('Controllable Asset Registry'!#REF!,IFERROR('Controllable Asset Registry'!#REF!=A235,FALSE),"No Equipment in entity"))</f>
        <v>#REF!</v>
      </c>
    </row>
    <row r="236" spans="1:4" x14ac:dyDescent="0.3">
      <c r="A236" t="str">
        <f t="shared" si="3"/>
        <v>entity:QNL_L1_098_STORAGE</v>
      </c>
      <c r="B236" s="23" t="s">
        <v>6764</v>
      </c>
      <c r="C236" t="s">
        <v>3752</v>
      </c>
      <c r="D236" t="e" cm="1">
        <f t="array" ref="D236">TRANSPOSE(_xlfn._xlws.FILTER('Controllable Asset Registry'!#REF!,IFERROR('Controllable Asset Registry'!#REF!=A236,FALSE),"No Equipment in entity"))</f>
        <v>#REF!</v>
      </c>
    </row>
    <row r="237" spans="1:4" x14ac:dyDescent="0.3">
      <c r="A237" t="str">
        <f t="shared" si="3"/>
        <v>entity:QNL_L1_099_IDF_ROOM_02</v>
      </c>
      <c r="B237" s="23" t="s">
        <v>6765</v>
      </c>
      <c r="C237" t="s">
        <v>6766</v>
      </c>
      <c r="D237" t="e" cm="1">
        <f t="array" ref="D237">TRANSPOSE(_xlfn._xlws.FILTER('Controllable Asset Registry'!#REF!,IFERROR('Controllable Asset Registry'!#REF!=A237,FALSE),"No Equipment in entity"))</f>
        <v>#REF!</v>
      </c>
    </row>
    <row r="238" spans="1:4" x14ac:dyDescent="0.3">
      <c r="A238" t="str">
        <f t="shared" si="3"/>
        <v>entity:QNL_L1_100_AERIAL_PLATFORM_PARKING</v>
      </c>
      <c r="B238" s="23" t="s">
        <v>6767</v>
      </c>
      <c r="C238" t="s">
        <v>6768</v>
      </c>
      <c r="D238" t="e" cm="1">
        <f t="array" ref="D238">TRANSPOSE(_xlfn._xlws.FILTER('Controllable Asset Registry'!#REF!,IFERROR('Controllable Asset Registry'!#REF!=A238,FALSE),"No Equipment in entity"))</f>
        <v>#REF!</v>
      </c>
    </row>
    <row r="239" spans="1:4" x14ac:dyDescent="0.3">
      <c r="A239" t="str">
        <f t="shared" si="3"/>
        <v>entity:QNL_L1_101_REST_ROOMMEN</v>
      </c>
      <c r="B239" s="23" t="s">
        <v>6769</v>
      </c>
      <c r="C239" t="s">
        <v>6770</v>
      </c>
      <c r="D239" t="e" cm="1">
        <f t="array" ref="D239">TRANSPOSE(_xlfn._xlws.FILTER('Controllable Asset Registry'!#REF!,IFERROR('Controllable Asset Registry'!#REF!=A239,FALSE),"No Equipment in entity"))</f>
        <v>#REF!</v>
      </c>
    </row>
    <row r="240" spans="1:4" x14ac:dyDescent="0.3">
      <c r="A240" t="str">
        <f t="shared" si="3"/>
        <v>entity:QNL_L1_102_REST_ROOM_WOMEN</v>
      </c>
      <c r="B240" s="23" t="s">
        <v>6771</v>
      </c>
      <c r="C240" t="s">
        <v>6436</v>
      </c>
      <c r="D240" t="e" cm="1">
        <f t="array" ref="D240">TRANSPOSE(_xlfn._xlws.FILTER('Controllable Asset Registry'!#REF!,IFERROR('Controllable Asset Registry'!#REF!=A240,FALSE),"No Equipment in entity"))</f>
        <v>#REF!</v>
      </c>
    </row>
    <row r="241" spans="1:4" x14ac:dyDescent="0.3">
      <c r="A241" t="str">
        <f t="shared" si="3"/>
        <v>entity:QNL_L1104_FEM_PRAYER_ROOM_FEMALE</v>
      </c>
      <c r="B241" s="23" t="s">
        <v>6772</v>
      </c>
      <c r="C241" t="s">
        <v>6773</v>
      </c>
      <c r="D241" t="e" cm="1">
        <f t="array" ref="D241">TRANSPOSE(_xlfn._xlws.FILTER('Controllable Asset Registry'!#REF!,IFERROR('Controllable Asset Registry'!#REF!=A241,FALSE),"No Equipment in entity"))</f>
        <v>#REF!</v>
      </c>
    </row>
    <row r="242" spans="1:4" x14ac:dyDescent="0.3">
      <c r="A242" t="str">
        <f t="shared" si="3"/>
        <v>entity:QNL_L1104_MEL_PRAYER_ROOM_MALE</v>
      </c>
      <c r="B242" s="23" t="s">
        <v>6774</v>
      </c>
      <c r="C242" t="s">
        <v>6775</v>
      </c>
      <c r="D242" t="e" cm="1">
        <f t="array" ref="D242">TRANSPOSE(_xlfn._xlws.FILTER('Controllable Asset Registry'!#REF!,IFERROR('Controllable Asset Registry'!#REF!=A242,FALSE),"No Equipment in entity"))</f>
        <v>#REF!</v>
      </c>
    </row>
    <row r="243" spans="1:4" x14ac:dyDescent="0.3">
      <c r="A243" t="str">
        <f t="shared" si="3"/>
        <v>entity:QNL_L1_105_ABLUTIONMEN</v>
      </c>
      <c r="B243" s="23" t="s">
        <v>6776</v>
      </c>
      <c r="C243" t="s">
        <v>6777</v>
      </c>
      <c r="D243" t="e" cm="1">
        <f t="array" ref="D243">TRANSPOSE(_xlfn._xlws.FILTER('Controllable Asset Registry'!#REF!,IFERROR('Controllable Asset Registry'!#REF!=A243,FALSE),"No Equipment in entity"))</f>
        <v>#REF!</v>
      </c>
    </row>
    <row r="244" spans="1:4" x14ac:dyDescent="0.3">
      <c r="A244" t="str">
        <f t="shared" si="3"/>
        <v>entity:QNL_L1_106_ABLUTIONWOMEN</v>
      </c>
      <c r="B244" s="23" t="s">
        <v>6778</v>
      </c>
      <c r="C244" t="s">
        <v>6779</v>
      </c>
      <c r="D244" t="e" cm="1">
        <f t="array" ref="D244">TRANSPOSE(_xlfn._xlws.FILTER('Controllable Asset Registry'!#REF!,IFERROR('Controllable Asset Registry'!#REF!=A244,FALSE),"No Equipment in entity"))</f>
        <v>#REF!</v>
      </c>
    </row>
    <row r="245" spans="1:4" x14ac:dyDescent="0.3">
      <c r="A245" t="str">
        <f t="shared" si="3"/>
        <v>entity:QNL_L1_130_PUBLIS_SPACE</v>
      </c>
      <c r="B245" s="23" t="s">
        <v>6780</v>
      </c>
      <c r="C245" t="s">
        <v>6781</v>
      </c>
      <c r="D245" t="e" cm="1">
        <f t="array" ref="D245">TRANSPOSE(_xlfn._xlws.FILTER('Controllable Asset Registry'!#REF!,IFERROR('Controllable Asset Registry'!#REF!=A245,FALSE),"No Equipment in entity"))</f>
        <v>#REF!</v>
      </c>
    </row>
    <row r="246" spans="1:4" x14ac:dyDescent="0.3">
      <c r="A246" t="str">
        <f t="shared" si="3"/>
        <v>entity:QNL_L1_142_LEARNING_COMMONS</v>
      </c>
      <c r="B246" s="23" t="s">
        <v>6782</v>
      </c>
      <c r="C246" t="s">
        <v>6783</v>
      </c>
      <c r="D246" t="e" cm="1">
        <f t="array" ref="D246">TRANSPOSE(_xlfn._xlws.FILTER('Controllable Asset Registry'!#REF!,IFERROR('Controllable Asset Registry'!#REF!=A246,FALSE),"No Equipment in entity"))</f>
        <v>#REF!</v>
      </c>
    </row>
    <row r="247" spans="1:4" x14ac:dyDescent="0.3">
      <c r="A247" t="str">
        <f t="shared" si="3"/>
        <v>entity:QNL_L1_153_FURNITURE_STORAGE</v>
      </c>
      <c r="B247" s="23" t="s">
        <v>6784</v>
      </c>
      <c r="C247" t="s">
        <v>6785</v>
      </c>
      <c r="D247" t="e" cm="1">
        <f t="array" ref="D247">TRANSPOSE(_xlfn._xlws.FILTER('Controllable Asset Registry'!#REF!,IFERROR('Controllable Asset Registry'!#REF!=A247,FALSE),"No Equipment in entity"))</f>
        <v>#REF!</v>
      </c>
    </row>
    <row r="248" spans="1:4" x14ac:dyDescent="0.3">
      <c r="A248" t="str">
        <f t="shared" si="3"/>
        <v>entity:QNL_L1-L-1_L-1</v>
      </c>
      <c r="B248" s="23" t="s">
        <v>6786</v>
      </c>
      <c r="C248" t="s">
        <v>6630</v>
      </c>
      <c r="D248" t="e" cm="1">
        <f t="array" ref="D248">TRANSPOSE(_xlfn._xlws.FILTER('Controllable Asset Registry'!#REF!,IFERROR('Controllable Asset Registry'!#REF!=A248,FALSE),"No Equipment in entity"))</f>
        <v>#REF!</v>
      </c>
    </row>
    <row r="249" spans="1:4" x14ac:dyDescent="0.3">
      <c r="A249" t="str">
        <f t="shared" si="3"/>
        <v>entity:QNL_L1-L-2_L-2</v>
      </c>
      <c r="B249" s="23" t="s">
        <v>6787</v>
      </c>
      <c r="C249" t="s">
        <v>6634</v>
      </c>
      <c r="D249" t="e" cm="1">
        <f t="array" ref="D249">TRANSPOSE(_xlfn._xlws.FILTER('Controllable Asset Registry'!#REF!,IFERROR('Controllable Asset Registry'!#REF!=A249,FALSE),"No Equipment in entity"))</f>
        <v>#REF!</v>
      </c>
    </row>
    <row r="250" spans="1:4" x14ac:dyDescent="0.3">
      <c r="A250" t="str">
        <f t="shared" si="3"/>
        <v>entity:QNL_L1-L-3_L-3</v>
      </c>
      <c r="B250" s="23" t="s">
        <v>6788</v>
      </c>
      <c r="C250" t="s">
        <v>6636</v>
      </c>
      <c r="D250" t="e" cm="1">
        <f t="array" ref="D250">TRANSPOSE(_xlfn._xlws.FILTER('Controllable Asset Registry'!#REF!,IFERROR('Controllable Asset Registry'!#REF!=A250,FALSE),"No Equipment in entity"))</f>
        <v>#REF!</v>
      </c>
    </row>
    <row r="251" spans="1:4" x14ac:dyDescent="0.3">
      <c r="A251" t="str">
        <f t="shared" si="3"/>
        <v>entity:QNL_L1-L-4_L-4</v>
      </c>
      <c r="B251" s="23" t="s">
        <v>6789</v>
      </c>
      <c r="C251" t="s">
        <v>6638</v>
      </c>
      <c r="D251" t="e" cm="1">
        <f t="array" ref="D251">TRANSPOSE(_xlfn._xlws.FILTER('Controllable Asset Registry'!#REF!,IFERROR('Controllable Asset Registry'!#REF!=A251,FALSE),"No Equipment in entity"))</f>
        <v>#REF!</v>
      </c>
    </row>
    <row r="252" spans="1:4" x14ac:dyDescent="0.3">
      <c r="A252" t="str">
        <f t="shared" si="3"/>
        <v>entity:QNL_L1-L-5_L-5</v>
      </c>
      <c r="B252" s="23" t="s">
        <v>6790</v>
      </c>
      <c r="C252" t="s">
        <v>6791</v>
      </c>
      <c r="D252" t="e" cm="1">
        <f t="array" ref="D252">TRANSPOSE(_xlfn._xlws.FILTER('Controllable Asset Registry'!#REF!,IFERROR('Controllable Asset Registry'!#REF!=A252,FALSE),"No Equipment in entity"))</f>
        <v>#REF!</v>
      </c>
    </row>
    <row r="253" spans="1:4" x14ac:dyDescent="0.3">
      <c r="A253" t="str">
        <f t="shared" si="3"/>
        <v>entity:QNL_L1-RP-10_RP-10</v>
      </c>
      <c r="B253" s="23" t="s">
        <v>6792</v>
      </c>
      <c r="C253" t="s">
        <v>6793</v>
      </c>
      <c r="D253" t="e" cm="1">
        <f t="array" ref="D253">TRANSPOSE(_xlfn._xlws.FILTER('Controllable Asset Registry'!#REF!,IFERROR('Controllable Asset Registry'!#REF!=A253,FALSE),"No Equipment in entity"))</f>
        <v>#REF!</v>
      </c>
    </row>
    <row r="254" spans="1:4" x14ac:dyDescent="0.3">
      <c r="A254" t="str">
        <f t="shared" si="3"/>
        <v>entity:QNL_L1-ST-01_ST-01</v>
      </c>
      <c r="B254" s="23" t="s">
        <v>6794</v>
      </c>
      <c r="C254" t="s">
        <v>5188</v>
      </c>
      <c r="D254" t="e" cm="1">
        <f t="array" ref="D254">TRANSPOSE(_xlfn._xlws.FILTER('Controllable Asset Registry'!#REF!,IFERROR('Controllable Asset Registry'!#REF!=A254,FALSE),"No Equipment in entity"))</f>
        <v>#REF!</v>
      </c>
    </row>
    <row r="255" spans="1:4" x14ac:dyDescent="0.3">
      <c r="A255" t="str">
        <f t="shared" si="3"/>
        <v>entity:QNL_L1-ST-02_ST-02</v>
      </c>
      <c r="B255" s="23" t="s">
        <v>6795</v>
      </c>
      <c r="C255" t="s">
        <v>6641</v>
      </c>
      <c r="D255" t="e" cm="1">
        <f t="array" ref="D255">TRANSPOSE(_xlfn._xlws.FILTER('Controllable Asset Registry'!#REF!,IFERROR('Controllable Asset Registry'!#REF!=A255,FALSE),"No Equipment in entity"))</f>
        <v>#REF!</v>
      </c>
    </row>
    <row r="256" spans="1:4" x14ac:dyDescent="0.3">
      <c r="A256" t="str">
        <f t="shared" si="3"/>
        <v>entity:QNL_L1-ST-03_ST-03</v>
      </c>
      <c r="B256" s="23" t="s">
        <v>6796</v>
      </c>
      <c r="C256" t="s">
        <v>6643</v>
      </c>
      <c r="D256" t="e" cm="1">
        <f t="array" ref="D256">TRANSPOSE(_xlfn._xlws.FILTER('Controllable Asset Registry'!#REF!,IFERROR('Controllable Asset Registry'!#REF!=A256,FALSE),"No Equipment in entity"))</f>
        <v>#REF!</v>
      </c>
    </row>
    <row r="257" spans="1:4" x14ac:dyDescent="0.3">
      <c r="A257" t="str">
        <f t="shared" si="3"/>
        <v>entity:QNL_L1-ST-10_ST-10</v>
      </c>
      <c r="B257" s="23" t="s">
        <v>6797</v>
      </c>
      <c r="C257" t="s">
        <v>3865</v>
      </c>
      <c r="D257" t="e" cm="1">
        <f t="array" ref="D257">TRANSPOSE(_xlfn._xlws.FILTER('Controllable Asset Registry'!#REF!,IFERROR('Controllable Asset Registry'!#REF!=A257,FALSE),"No Equipment in entity"))</f>
        <v>#REF!</v>
      </c>
    </row>
    <row r="258" spans="1:4" x14ac:dyDescent="0.3">
      <c r="A258" t="str">
        <f t="shared" ref="A258:A321" si="4">"entity:QNL_"&amp;B258&amp;"_"&amp;C258</f>
        <v>entity:QNL_L1_140_SPECIAL_EVENTS</v>
      </c>
      <c r="B258" s="23" t="s">
        <v>6798</v>
      </c>
      <c r="C258" t="s">
        <v>6799</v>
      </c>
      <c r="D258" t="e" cm="1">
        <f t="array" ref="D258">TRANSPOSE(_xlfn._xlws.FILTER('Controllable Asset Registry'!#REF!,IFERROR('Controllable Asset Registry'!#REF!=A258,FALSE),"No Equipment in entity"))</f>
        <v>#REF!</v>
      </c>
    </row>
    <row r="259" spans="1:4" x14ac:dyDescent="0.3">
      <c r="A259" t="str">
        <f t="shared" si="4"/>
        <v>entity:QNL_L2_006_STORAGE</v>
      </c>
      <c r="B259" s="23" t="s">
        <v>6800</v>
      </c>
      <c r="C259" t="s">
        <v>3752</v>
      </c>
      <c r="D259" t="e" cm="1">
        <f t="array" ref="D259">TRANSPOSE(_xlfn._xlws.FILTER('Controllable Asset Registry'!#REF!,IFERROR('Controllable Asset Registry'!#REF!=A259,FALSE),"No Equipment in entity"))</f>
        <v>#REF!</v>
      </c>
    </row>
    <row r="260" spans="1:4" x14ac:dyDescent="0.3">
      <c r="A260" t="str">
        <f t="shared" si="4"/>
        <v>entity:QNL_L2_007_REST_ROOM_MEN</v>
      </c>
      <c r="B260" s="23" t="s">
        <v>6801</v>
      </c>
      <c r="C260" t="s">
        <v>6433</v>
      </c>
      <c r="D260" t="e" cm="1">
        <f t="array" ref="D260">TRANSPOSE(_xlfn._xlws.FILTER('Controllable Asset Registry'!#REF!,IFERROR('Controllable Asset Registry'!#REF!=A260,FALSE),"No Equipment in entity"))</f>
        <v>#REF!</v>
      </c>
    </row>
    <row r="261" spans="1:4" x14ac:dyDescent="0.3">
      <c r="A261" t="str">
        <f t="shared" si="4"/>
        <v>entity:QNL_L2_008_REST_ROOM_WOMEN</v>
      </c>
      <c r="B261" s="23" t="s">
        <v>6802</v>
      </c>
      <c r="C261" t="s">
        <v>6436</v>
      </c>
      <c r="D261" t="e" cm="1">
        <f t="array" ref="D261">TRANSPOSE(_xlfn._xlws.FILTER('Controllable Asset Registry'!#REF!,IFERROR('Controllable Asset Registry'!#REF!=A261,FALSE),"No Equipment in entity"))</f>
        <v>#REF!</v>
      </c>
    </row>
    <row r="262" spans="1:4" x14ac:dyDescent="0.3">
      <c r="A262" t="str">
        <f t="shared" si="4"/>
        <v>entity:QNL_L2_009_KDF_ROOM</v>
      </c>
      <c r="B262" s="23" t="s">
        <v>6803</v>
      </c>
      <c r="C262" t="s">
        <v>6804</v>
      </c>
      <c r="D262" t="e" cm="1">
        <f t="array" ref="D262">TRANSPOSE(_xlfn._xlws.FILTER('Controllable Asset Registry'!#REF!,IFERROR('Controllable Asset Registry'!#REF!=A262,FALSE),"No Equipment in entity"))</f>
        <v>#REF!</v>
      </c>
    </row>
    <row r="263" spans="1:4" x14ac:dyDescent="0.3">
      <c r="A263" t="str">
        <f t="shared" si="4"/>
        <v>entity:QNL_L2_010_BREAKOUT_SPACE</v>
      </c>
      <c r="B263" s="23" t="s">
        <v>6805</v>
      </c>
      <c r="C263" t="s">
        <v>6806</v>
      </c>
      <c r="D263" t="e" cm="1">
        <f t="array" ref="D263">TRANSPOSE(_xlfn._xlws.FILTER('Controllable Asset Registry'!#REF!,IFERROR('Controllable Asset Registry'!#REF!=A263,FALSE),"No Equipment in entity"))</f>
        <v>#REF!</v>
      </c>
    </row>
    <row r="264" spans="1:4" x14ac:dyDescent="0.3">
      <c r="A264" t="str">
        <f t="shared" si="4"/>
        <v>entity:QNL_L2_011_CTRCULATION_OFFICE</v>
      </c>
      <c r="B264" s="23" t="s">
        <v>6807</v>
      </c>
      <c r="C264" t="s">
        <v>6808</v>
      </c>
      <c r="D264" t="e" cm="1">
        <f t="array" ref="D264">TRANSPOSE(_xlfn._xlws.FILTER('Controllable Asset Registry'!#REF!,IFERROR('Controllable Asset Registry'!#REF!=A264,FALSE),"No Equipment in entity"))</f>
        <v>#REF!</v>
      </c>
    </row>
    <row r="265" spans="1:4" x14ac:dyDescent="0.3">
      <c r="A265" t="str">
        <f t="shared" si="4"/>
        <v>entity:QNL_L2_012_OFFICE_SPEC_COL</v>
      </c>
      <c r="B265" s="23" t="s">
        <v>6809</v>
      </c>
      <c r="C265" t="s">
        <v>6810</v>
      </c>
      <c r="D265" t="e" cm="1">
        <f t="array" ref="D265">TRANSPOSE(_xlfn._xlws.FILTER('Controllable Asset Registry'!#REF!,IFERROR('Controllable Asset Registry'!#REF!=A265,FALSE),"No Equipment in entity"))</f>
        <v>#REF!</v>
      </c>
    </row>
    <row r="266" spans="1:4" x14ac:dyDescent="0.3">
      <c r="A266" t="str">
        <f t="shared" si="4"/>
        <v>entity:QNL_L2_013_OFFICE_SPEC_COL</v>
      </c>
      <c r="B266" s="23" t="s">
        <v>6811</v>
      </c>
      <c r="C266" t="s">
        <v>6810</v>
      </c>
      <c r="D266" t="e" cm="1">
        <f t="array" ref="D266">TRANSPOSE(_xlfn._xlws.FILTER('Controllable Asset Registry'!#REF!,IFERROR('Controllable Asset Registry'!#REF!=A266,FALSE),"No Equipment in entity"))</f>
        <v>#REF!</v>
      </c>
    </row>
    <row r="267" spans="1:4" x14ac:dyDescent="0.3">
      <c r="A267" t="str">
        <f t="shared" si="4"/>
        <v>entity:QNL_L2_014_TRANSL_SPC_&amp;_EDI_PUBLICATIONS_SPC</v>
      </c>
      <c r="B267" s="23" t="s">
        <v>6812</v>
      </c>
      <c r="C267" t="s">
        <v>6813</v>
      </c>
      <c r="D267" t="e" cm="1">
        <f t="array" ref="D267">TRANSPOSE(_xlfn._xlws.FILTER('Controllable Asset Registry'!#REF!,IFERROR('Controllable Asset Registry'!#REF!=A267,FALSE),"No Equipment in entity"))</f>
        <v>#REF!</v>
      </c>
    </row>
    <row r="268" spans="1:4" x14ac:dyDescent="0.3">
      <c r="A268" t="str">
        <f t="shared" si="4"/>
        <v>entity:QNL_L2_015_40_GROUP_STUDY_ROOM_5</v>
      </c>
      <c r="B268" s="23" t="s">
        <v>6814</v>
      </c>
      <c r="C268" t="s">
        <v>6815</v>
      </c>
      <c r="D268" t="e" cm="1">
        <f t="array" ref="D268">TRANSPOSE(_xlfn._xlws.FILTER('Controllable Asset Registry'!#REF!,IFERROR('Controllable Asset Registry'!#REF!=A268,FALSE),"No Equipment in entity"))</f>
        <v>#REF!</v>
      </c>
    </row>
    <row r="269" spans="1:4" x14ac:dyDescent="0.3">
      <c r="A269" t="str">
        <f t="shared" si="4"/>
        <v>entity:QNL_L2_016_40_GROUP_STUDY_ROOM_6</v>
      </c>
      <c r="B269" s="23" t="s">
        <v>6816</v>
      </c>
      <c r="C269" t="s">
        <v>6817</v>
      </c>
      <c r="D269" t="e" cm="1">
        <f t="array" ref="D269">TRANSPOSE(_xlfn._xlws.FILTER('Controllable Asset Registry'!#REF!,IFERROR('Controllable Asset Registry'!#REF!=A269,FALSE),"No Equipment in entity"))</f>
        <v>#REF!</v>
      </c>
    </row>
    <row r="270" spans="1:4" x14ac:dyDescent="0.3">
      <c r="A270" t="str">
        <f t="shared" si="4"/>
        <v>entity:QNL_L2_017_40_GROUP_STUDY_ROOM_7</v>
      </c>
      <c r="B270" s="23" t="s">
        <v>6818</v>
      </c>
      <c r="C270" t="s">
        <v>6819</v>
      </c>
      <c r="D270" t="e" cm="1">
        <f t="array" ref="D270">TRANSPOSE(_xlfn._xlws.FILTER('Controllable Asset Registry'!#REF!,IFERROR('Controllable Asset Registry'!#REF!=A270,FALSE),"No Equipment in entity"))</f>
        <v>#REF!</v>
      </c>
    </row>
    <row r="271" spans="1:4" x14ac:dyDescent="0.3">
      <c r="A271" t="str">
        <f t="shared" si="4"/>
        <v>entity:QNL_L2_018_GROUP_STUDY_ROOM_8</v>
      </c>
      <c r="B271" s="23" t="s">
        <v>6820</v>
      </c>
      <c r="C271" t="s">
        <v>6922</v>
      </c>
      <c r="D271" t="e" cm="1">
        <f t="array" ref="D271">TRANSPOSE(_xlfn._xlws.FILTER('Controllable Asset Registry'!#REF!,IFERROR('Controllable Asset Registry'!#REF!=A271,FALSE),"No Equipment in entity"))</f>
        <v>#REF!</v>
      </c>
    </row>
    <row r="272" spans="1:4" x14ac:dyDescent="0.3">
      <c r="A272" t="str">
        <f t="shared" si="4"/>
        <v>entity:QNL_L2_021_LIBR_COM_REO_&amp;_EVENTS_SPC</v>
      </c>
      <c r="B272" s="23" t="s">
        <v>6821</v>
      </c>
      <c r="C272" t="s">
        <v>6822</v>
      </c>
      <c r="D272" t="e" cm="1">
        <f t="array" ref="D272">TRANSPOSE(_xlfn._xlws.FILTER('Controllable Asset Registry'!#REF!,IFERROR('Controllable Asset Registry'!#REF!=A272,FALSE),"No Equipment in entity"))</f>
        <v>#REF!</v>
      </c>
    </row>
    <row r="273" spans="1:4" x14ac:dyDescent="0.3">
      <c r="A273" t="str">
        <f t="shared" si="4"/>
        <v>entity:QNL_L2_022_ACADEMIC_PERS_LIBRARIA</v>
      </c>
      <c r="B273" s="23" t="s">
        <v>6823</v>
      </c>
      <c r="C273" t="s">
        <v>6824</v>
      </c>
      <c r="D273" t="e" cm="1">
        <f t="array" ref="D273">TRANSPOSE(_xlfn._xlws.FILTER('Controllable Asset Registry'!#REF!,IFERROR('Controllable Asset Registry'!#REF!=A273,FALSE),"No Equipment in entity"))</f>
        <v>#REF!</v>
      </c>
    </row>
    <row r="274" spans="1:4" x14ac:dyDescent="0.3">
      <c r="A274" t="str">
        <f t="shared" si="4"/>
        <v>entity:QNL_L2_023_AD_ADMIN_&amp;_PLANNING</v>
      </c>
      <c r="B274" s="23" t="s">
        <v>6825</v>
      </c>
      <c r="C274" t="s">
        <v>6826</v>
      </c>
      <c r="D274" t="e" cm="1">
        <f t="array" ref="D274">TRANSPOSE(_xlfn._xlws.FILTER('Controllable Asset Registry'!#REF!,IFERROR('Controllable Asset Registry'!#REF!=A274,FALSE),"No Equipment in entity"))</f>
        <v>#REF!</v>
      </c>
    </row>
    <row r="275" spans="1:4" x14ac:dyDescent="0.3">
      <c r="A275" t="str">
        <f t="shared" si="4"/>
        <v>entity:QNL_L2_024_OFFICE_COORD</v>
      </c>
      <c r="B275" s="23" t="s">
        <v>6827</v>
      </c>
      <c r="C275" t="s">
        <v>6828</v>
      </c>
      <c r="D275" t="e" cm="1">
        <f t="array" ref="D275">TRANSPOSE(_xlfn._xlws.FILTER('Controllable Asset Registry'!#REF!,IFERROR('Controllable Asset Registry'!#REF!=A275,FALSE),"No Equipment in entity"))</f>
        <v>#REF!</v>
      </c>
    </row>
    <row r="276" spans="1:4" x14ac:dyDescent="0.3">
      <c r="A276" t="str">
        <f t="shared" si="4"/>
        <v>entity:QNL_L2_025_OPEN_OFFICE</v>
      </c>
      <c r="B276" s="23" t="s">
        <v>6829</v>
      </c>
      <c r="C276" t="s">
        <v>6830</v>
      </c>
      <c r="D276" t="e" cm="1">
        <f t="array" ref="D276">TRANSPOSE(_xlfn._xlws.FILTER('Controllable Asset Registry'!#REF!,IFERROR('Controllable Asset Registry'!#REF!=A276,FALSE),"No Equipment in entity"))</f>
        <v>#REF!</v>
      </c>
    </row>
    <row r="277" spans="1:4" x14ac:dyDescent="0.3">
      <c r="A277" t="str">
        <f t="shared" si="4"/>
        <v>entity:QNL_L2_041_PANTRY</v>
      </c>
      <c r="B277" s="23" t="s">
        <v>6831</v>
      </c>
      <c r="C277" t="s">
        <v>4707</v>
      </c>
      <c r="D277" t="e" cm="1">
        <f t="array" ref="D277">TRANSPOSE(_xlfn._xlws.FILTER('Controllable Asset Registry'!#REF!,IFERROR('Controllable Asset Registry'!#REF!=A277,FALSE),"No Equipment in entity"))</f>
        <v>#REF!</v>
      </c>
    </row>
    <row r="278" spans="1:4" x14ac:dyDescent="0.3">
      <c r="A278" t="str">
        <f t="shared" si="4"/>
        <v>entity:QNL_L2_042_REST_ROOM</v>
      </c>
      <c r="B278" s="23" t="s">
        <v>6832</v>
      </c>
      <c r="C278" t="s">
        <v>6833</v>
      </c>
      <c r="D278" t="e" cm="1">
        <f t="array" ref="D278">TRANSPOSE(_xlfn._xlws.FILTER('Controllable Asset Registry'!#REF!,IFERROR('Controllable Asset Registry'!#REF!=A278,FALSE),"No Equipment in entity"))</f>
        <v>#REF!</v>
      </c>
    </row>
    <row r="279" spans="1:4" x14ac:dyDescent="0.3">
      <c r="A279" t="str">
        <f t="shared" si="4"/>
        <v>entity:QNL_L2_043_SERVICE_&amp;_LOUNGE</v>
      </c>
      <c r="B279" s="23" t="s">
        <v>6834</v>
      </c>
      <c r="C279" t="s">
        <v>6835</v>
      </c>
      <c r="D279" t="e" cm="1">
        <f t="array" ref="D279">TRANSPOSE(_xlfn._xlws.FILTER('Controllable Asset Registry'!#REF!,IFERROR('Controllable Asset Registry'!#REF!=A279,FALSE),"No Equipment in entity"))</f>
        <v>#REF!</v>
      </c>
    </row>
    <row r="280" spans="1:4" x14ac:dyDescent="0.3">
      <c r="A280" t="str">
        <f t="shared" si="4"/>
        <v>entity:QNL_L2_044_LIBDIRECTORS_ROOM</v>
      </c>
      <c r="B280" s="23" t="s">
        <v>6836</v>
      </c>
      <c r="C280" t="s">
        <v>6837</v>
      </c>
      <c r="D280" t="e" cm="1">
        <f t="array" ref="D280">TRANSPOSE(_xlfn._xlws.FILTER('Controllable Asset Registry'!#REF!,IFERROR('Controllable Asset Registry'!#REF!=A280,FALSE),"No Equipment in entity"))</f>
        <v>#REF!</v>
      </c>
    </row>
    <row r="281" spans="1:4" x14ac:dyDescent="0.3">
      <c r="A281" t="str">
        <f t="shared" si="4"/>
        <v>entity:QNL_L2_046_VIP_MEETING</v>
      </c>
      <c r="B281" s="23" t="s">
        <v>6838</v>
      </c>
      <c r="C281" t="s">
        <v>6839</v>
      </c>
      <c r="D281" t="e" cm="1">
        <f t="array" ref="D281">TRANSPOSE(_xlfn._xlws.FILTER('Controllable Asset Registry'!#REF!,IFERROR('Controllable Asset Registry'!#REF!=A281,FALSE),"No Equipment in entity"))</f>
        <v>#REF!</v>
      </c>
    </row>
    <row r="282" spans="1:4" x14ac:dyDescent="0.3">
      <c r="A282" t="str">
        <f t="shared" si="4"/>
        <v>entity:QNL_L2_047_REST_ROOM</v>
      </c>
      <c r="B282" s="23" t="s">
        <v>6840</v>
      </c>
      <c r="C282" t="s">
        <v>6833</v>
      </c>
      <c r="D282" t="e" cm="1">
        <f t="array" ref="D282">TRANSPOSE(_xlfn._xlws.FILTER('Controllable Asset Registry'!#REF!,IFERROR('Controllable Asset Registry'!#REF!=A282,FALSE),"No Equipment in entity"))</f>
        <v>#REF!</v>
      </c>
    </row>
    <row r="283" spans="1:4" x14ac:dyDescent="0.3">
      <c r="A283" t="str">
        <f t="shared" si="4"/>
        <v>entity:QNL_L2_048_VIP_WATING</v>
      </c>
      <c r="B283" s="23" t="s">
        <v>6841</v>
      </c>
      <c r="C283" t="s">
        <v>6842</v>
      </c>
      <c r="D283" t="e" cm="1">
        <f t="array" ref="D283">TRANSPOSE(_xlfn._xlws.FILTER('Controllable Asset Registry'!#REF!,IFERROR('Controllable Asset Registry'!#REF!=A283,FALSE),"No Equipment in entity"))</f>
        <v>#REF!</v>
      </c>
    </row>
    <row r="284" spans="1:4" x14ac:dyDescent="0.3">
      <c r="A284" t="str">
        <f t="shared" si="4"/>
        <v>entity:QNL_L2_049_REST_ROOM_MEN</v>
      </c>
      <c r="B284" s="23" t="s">
        <v>6843</v>
      </c>
      <c r="C284" t="s">
        <v>6433</v>
      </c>
      <c r="D284" t="e" cm="1">
        <f t="array" ref="D284">TRANSPOSE(_xlfn._xlws.FILTER('Controllable Asset Registry'!#REF!,IFERROR('Controllable Asset Registry'!#REF!=A284,FALSE),"No Equipment in entity"))</f>
        <v>#REF!</v>
      </c>
    </row>
    <row r="285" spans="1:4" x14ac:dyDescent="0.3">
      <c r="A285" t="str">
        <f t="shared" si="4"/>
        <v>entity:QNL_L2_050_REST_ROOM_WOMEN</v>
      </c>
      <c r="B285" s="23" t="s">
        <v>6844</v>
      </c>
      <c r="C285" t="s">
        <v>6436</v>
      </c>
      <c r="D285" t="e" cm="1">
        <f t="array" ref="D285">TRANSPOSE(_xlfn._xlws.FILTER('Controllable Asset Registry'!#REF!,IFERROR('Controllable Asset Registry'!#REF!=A285,FALSE),"No Equipment in entity"))</f>
        <v>#REF!</v>
      </c>
    </row>
    <row r="286" spans="1:4" x14ac:dyDescent="0.3">
      <c r="A286" t="str">
        <f t="shared" si="4"/>
        <v>entity:QNL_L2_051_VIP_ROOM</v>
      </c>
      <c r="B286" s="23" t="s">
        <v>6845</v>
      </c>
      <c r="C286" t="s">
        <v>6846</v>
      </c>
      <c r="D286" t="e" cm="1">
        <f t="array" ref="D286">TRANSPOSE(_xlfn._xlws.FILTER('Controllable Asset Registry'!#REF!,IFERROR('Controllable Asset Registry'!#REF!=A286,FALSE),"No Equipment in entity"))</f>
        <v>#REF!</v>
      </c>
    </row>
    <row r="287" spans="1:4" x14ac:dyDescent="0.3">
      <c r="A287" t="str">
        <f t="shared" si="4"/>
        <v>entity:QNL_L2_070_INDIVISTUDY_ROOM</v>
      </c>
      <c r="B287" s="23" t="s">
        <v>6847</v>
      </c>
      <c r="C287" t="s">
        <v>6848</v>
      </c>
      <c r="D287" t="e" cm="1">
        <f t="array" ref="D287">TRANSPOSE(_xlfn._xlws.FILTER('Controllable Asset Registry'!#REF!,IFERROR('Controllable Asset Registry'!#REF!=A287,FALSE),"No Equipment in entity"))</f>
        <v>#REF!</v>
      </c>
    </row>
    <row r="288" spans="1:4" x14ac:dyDescent="0.3">
      <c r="A288" t="str">
        <f t="shared" si="4"/>
        <v>entity:QNL_L2_071_INDIVISTUDY_ROOM</v>
      </c>
      <c r="B288" s="23" t="s">
        <v>6849</v>
      </c>
      <c r="C288" t="s">
        <v>6848</v>
      </c>
      <c r="D288" t="e" cm="1">
        <f t="array" ref="D288">TRANSPOSE(_xlfn._xlws.FILTER('Controllable Asset Registry'!#REF!,IFERROR('Controllable Asset Registry'!#REF!=A288,FALSE),"No Equipment in entity"))</f>
        <v>#REF!</v>
      </c>
    </row>
    <row r="289" spans="1:4" x14ac:dyDescent="0.3">
      <c r="A289" t="str">
        <f t="shared" si="4"/>
        <v>entity:QNL_L2_072_INDIVISTUDY_ROOM</v>
      </c>
      <c r="B289" s="23" t="s">
        <v>6850</v>
      </c>
      <c r="C289" t="s">
        <v>6848</v>
      </c>
      <c r="D289" t="e" cm="1">
        <f t="array" ref="D289">TRANSPOSE(_xlfn._xlws.FILTER('Controllable Asset Registry'!#REF!,IFERROR('Controllable Asset Registry'!#REF!=A289,FALSE),"No Equipment in entity"))</f>
        <v>#REF!</v>
      </c>
    </row>
    <row r="290" spans="1:4" x14ac:dyDescent="0.3">
      <c r="A290" t="str">
        <f t="shared" si="4"/>
        <v>entity:QNL_L2_073_INDIVISTUDY_ROOM</v>
      </c>
      <c r="B290" s="23" t="s">
        <v>6851</v>
      </c>
      <c r="C290" t="s">
        <v>6848</v>
      </c>
      <c r="D290" t="e" cm="1">
        <f t="array" ref="D290">TRANSPOSE(_xlfn._xlws.FILTER('Controllable Asset Registry'!#REF!,IFERROR('Controllable Asset Registry'!#REF!=A290,FALSE),"No Equipment in entity"))</f>
        <v>#REF!</v>
      </c>
    </row>
    <row r="291" spans="1:4" x14ac:dyDescent="0.3">
      <c r="A291" t="str">
        <f t="shared" si="4"/>
        <v>entity:QNL_L2_074_INDIVISTUDY_ROOM</v>
      </c>
      <c r="B291" s="23" t="s">
        <v>6852</v>
      </c>
      <c r="C291" t="s">
        <v>6848</v>
      </c>
      <c r="D291" t="e" cm="1">
        <f t="array" ref="D291">TRANSPOSE(_xlfn._xlws.FILTER('Controllable Asset Registry'!#REF!,IFERROR('Controllable Asset Registry'!#REF!=A291,FALSE),"No Equipment in entity"))</f>
        <v>#REF!</v>
      </c>
    </row>
    <row r="292" spans="1:4" x14ac:dyDescent="0.3">
      <c r="A292" t="str">
        <f t="shared" si="4"/>
        <v>entity:QNL_L2_075_INDIVISTUDY_ROOM</v>
      </c>
      <c r="B292" s="23" t="s">
        <v>6853</v>
      </c>
      <c r="C292" t="s">
        <v>6848</v>
      </c>
      <c r="D292" t="e" cm="1">
        <f t="array" ref="D292">TRANSPOSE(_xlfn._xlws.FILTER('Controllable Asset Registry'!#REF!,IFERROR('Controllable Asset Registry'!#REF!=A292,FALSE),"No Equipment in entity"))</f>
        <v>#REF!</v>
      </c>
    </row>
    <row r="293" spans="1:4" x14ac:dyDescent="0.3">
      <c r="A293" t="str">
        <f t="shared" si="4"/>
        <v>entity:QNL_L2_076_GROUP_STUDY_ROOM</v>
      </c>
      <c r="B293" s="23" t="s">
        <v>6854</v>
      </c>
      <c r="C293" t="s">
        <v>6855</v>
      </c>
      <c r="D293" t="e" cm="1">
        <f t="array" ref="D293">TRANSPOSE(_xlfn._xlws.FILTER('Controllable Asset Registry'!#REF!,IFERROR('Controllable Asset Registry'!#REF!=A293,FALSE),"No Equipment in entity"))</f>
        <v>#REF!</v>
      </c>
    </row>
    <row r="294" spans="1:4" x14ac:dyDescent="0.3">
      <c r="A294" t="str">
        <f t="shared" si="4"/>
        <v>entity:QNL_L2_077_GROUP_STUDY_ROOM</v>
      </c>
      <c r="B294" s="23" t="s">
        <v>6856</v>
      </c>
      <c r="C294" t="s">
        <v>6855</v>
      </c>
      <c r="D294" t="e" cm="1">
        <f t="array" ref="D294">TRANSPOSE(_xlfn._xlws.FILTER('Controllable Asset Registry'!#REF!,IFERROR('Controllable Asset Registry'!#REF!=A294,FALSE),"No Equipment in entity"))</f>
        <v>#REF!</v>
      </c>
    </row>
    <row r="295" spans="1:4" x14ac:dyDescent="0.3">
      <c r="A295" t="str">
        <f t="shared" si="4"/>
        <v>entity:QNL_L2_079_REST_ROOM_MEN</v>
      </c>
      <c r="B295" s="23" t="s">
        <v>6857</v>
      </c>
      <c r="C295" t="s">
        <v>6433</v>
      </c>
      <c r="D295" t="e" cm="1">
        <f t="array" ref="D295">TRANSPOSE(_xlfn._xlws.FILTER('Controllable Asset Registry'!#REF!,IFERROR('Controllable Asset Registry'!#REF!=A295,FALSE),"No Equipment in entity"))</f>
        <v>#REF!</v>
      </c>
    </row>
    <row r="296" spans="1:4" x14ac:dyDescent="0.3">
      <c r="A296" t="str">
        <f t="shared" si="4"/>
        <v>entity:QNL_L2_081_GROUP_STUDY_ROOM</v>
      </c>
      <c r="B296" s="23" t="s">
        <v>6858</v>
      </c>
      <c r="C296" t="s">
        <v>6855</v>
      </c>
      <c r="D296" t="e" cm="1">
        <f t="array" ref="D296">TRANSPOSE(_xlfn._xlws.FILTER('Controllable Asset Registry'!#REF!,IFERROR('Controllable Asset Registry'!#REF!=A296,FALSE),"No Equipment in entity"))</f>
        <v>#REF!</v>
      </c>
    </row>
    <row r="297" spans="1:4" x14ac:dyDescent="0.3">
      <c r="A297" t="str">
        <f t="shared" si="4"/>
        <v>entity:QNL_L2_085_REST_ROOM_WOMEN</v>
      </c>
      <c r="B297" s="23" t="s">
        <v>6859</v>
      </c>
      <c r="C297" t="s">
        <v>6436</v>
      </c>
      <c r="D297" t="e" cm="1">
        <f t="array" ref="D297">TRANSPOSE(_xlfn._xlws.FILTER('Controllable Asset Registry'!#REF!,IFERROR('Controllable Asset Registry'!#REF!=A297,FALSE),"No Equipment in entity"))</f>
        <v>#REF!</v>
      </c>
    </row>
    <row r="298" spans="1:4" x14ac:dyDescent="0.3">
      <c r="A298" t="str">
        <f t="shared" si="4"/>
        <v>entity:QNL_L2_087_AUDITORIUM_HIGH_LEVLEL_IN_CEILING_VOID</v>
      </c>
      <c r="B298" s="23" t="s">
        <v>6860</v>
      </c>
      <c r="C298" t="s">
        <v>6861</v>
      </c>
      <c r="D298" t="e" cm="1">
        <f t="array" ref="D298">TRANSPOSE(_xlfn._xlws.FILTER('Controllable Asset Registry'!#REF!,IFERROR('Controllable Asset Registry'!#REF!=A298,FALSE),"No Equipment in entity"))</f>
        <v>#REF!</v>
      </c>
    </row>
    <row r="299" spans="1:4" x14ac:dyDescent="0.3">
      <c r="A299" t="str">
        <f t="shared" si="4"/>
        <v>entity:QNL_L2-L-1_1_L-1</v>
      </c>
      <c r="B299" s="23" t="s">
        <v>6862</v>
      </c>
      <c r="C299" t="s">
        <v>6630</v>
      </c>
      <c r="D299" t="e" cm="1">
        <f t="array" ref="D299">TRANSPOSE(_xlfn._xlws.FILTER('Controllable Asset Registry'!#REF!,IFERROR('Controllable Asset Registry'!#REF!=A299,FALSE),"No Equipment in entity"))</f>
        <v>#REF!</v>
      </c>
    </row>
    <row r="300" spans="1:4" x14ac:dyDescent="0.3">
      <c r="A300" t="str">
        <f t="shared" si="4"/>
        <v>entity:QNL_L2-L-1_2_L-2</v>
      </c>
      <c r="B300" s="23" t="s">
        <v>6863</v>
      </c>
      <c r="C300" t="s">
        <v>6634</v>
      </c>
      <c r="D300" t="e" cm="1">
        <f t="array" ref="D300">TRANSPOSE(_xlfn._xlws.FILTER('Controllable Asset Registry'!#REF!,IFERROR('Controllable Asset Registry'!#REF!=A300,FALSE),"No Equipment in entity"))</f>
        <v>#REF!</v>
      </c>
    </row>
    <row r="301" spans="1:4" x14ac:dyDescent="0.3">
      <c r="A301" t="str">
        <f t="shared" si="4"/>
        <v>entity:QNL_L2-L-3_L-3</v>
      </c>
      <c r="B301" s="23" t="s">
        <v>6864</v>
      </c>
      <c r="C301" t="s">
        <v>6636</v>
      </c>
      <c r="D301" t="e" cm="1">
        <f t="array" ref="D301">TRANSPOSE(_xlfn._xlws.FILTER('Controllable Asset Registry'!#REF!,IFERROR('Controllable Asset Registry'!#REF!=A301,FALSE),"No Equipment in entity"))</f>
        <v>#REF!</v>
      </c>
    </row>
    <row r="302" spans="1:4" x14ac:dyDescent="0.3">
      <c r="A302" t="str">
        <f t="shared" si="4"/>
        <v>entity:QNL_L2-L-4_L-4</v>
      </c>
      <c r="B302" s="23" t="s">
        <v>6865</v>
      </c>
      <c r="C302" t="s">
        <v>6638</v>
      </c>
      <c r="D302" t="e" cm="1">
        <f t="array" ref="D302">TRANSPOSE(_xlfn._xlws.FILTER('Controllable Asset Registry'!#REF!,IFERROR('Controllable Asset Registry'!#REF!=A302,FALSE),"No Equipment in entity"))</f>
        <v>#REF!</v>
      </c>
    </row>
    <row r="303" spans="1:4" x14ac:dyDescent="0.3">
      <c r="A303" t="str">
        <f t="shared" si="4"/>
        <v>entity:QNL_L2-ST-01_ST-01</v>
      </c>
      <c r="B303" s="23" t="s">
        <v>6866</v>
      </c>
      <c r="C303" t="s">
        <v>5188</v>
      </c>
      <c r="D303" t="e" cm="1">
        <f t="array" ref="D303">TRANSPOSE(_xlfn._xlws.FILTER('Controllable Asset Registry'!#REF!,IFERROR('Controllable Asset Registry'!#REF!=A303,FALSE),"No Equipment in entity"))</f>
        <v>#REF!</v>
      </c>
    </row>
    <row r="304" spans="1:4" x14ac:dyDescent="0.3">
      <c r="A304" t="str">
        <f t="shared" si="4"/>
        <v>entity:QNL_L2-ST-02_ST-02</v>
      </c>
      <c r="B304" s="23" t="s">
        <v>6867</v>
      </c>
      <c r="C304" t="s">
        <v>6641</v>
      </c>
      <c r="D304" t="e" cm="1">
        <f t="array" ref="D304">TRANSPOSE(_xlfn._xlws.FILTER('Controllable Asset Registry'!#REF!,IFERROR('Controllable Asset Registry'!#REF!=A304,FALSE),"No Equipment in entity"))</f>
        <v>#REF!</v>
      </c>
    </row>
    <row r="305" spans="1:4" x14ac:dyDescent="0.3">
      <c r="A305" t="str">
        <f t="shared" si="4"/>
        <v>entity:QNL_T1_020_OPEN_LOUNGE_TERRACE</v>
      </c>
      <c r="B305" s="23" t="s">
        <v>6868</v>
      </c>
      <c r="C305" t="s">
        <v>6869</v>
      </c>
      <c r="D305" t="e" cm="1">
        <f t="array" ref="D305">TRANSPOSE(_xlfn._xlws.FILTER('Controllable Asset Registry'!#REF!,IFERROR('Controllable Asset Registry'!#REF!=A305,FALSE),"No Equipment in entity"))</f>
        <v>#REF!</v>
      </c>
    </row>
    <row r="306" spans="1:4" x14ac:dyDescent="0.3">
      <c r="A306" t="str">
        <f t="shared" si="4"/>
        <v>entity:QNL_T1_021_OPEN_STUDY_TERRACE</v>
      </c>
      <c r="B306" s="23" t="s">
        <v>6870</v>
      </c>
      <c r="C306" t="s">
        <v>6871</v>
      </c>
      <c r="D306" t="e" cm="1">
        <f t="array" ref="D306">TRANSPOSE(_xlfn._xlws.FILTER('Controllable Asset Registry'!#REF!,IFERROR('Controllable Asset Registry'!#REF!=A306,FALSE),"No Equipment in entity"))</f>
        <v>#REF!</v>
      </c>
    </row>
    <row r="307" spans="1:4" x14ac:dyDescent="0.3">
      <c r="A307" t="str">
        <f t="shared" si="4"/>
        <v>entity:QNL_T1_323_IDF_ROOM</v>
      </c>
      <c r="B307" s="23" t="s">
        <v>6872</v>
      </c>
      <c r="C307" t="s">
        <v>4634</v>
      </c>
      <c r="D307" t="e" cm="1">
        <f t="array" ref="D307">TRANSPOSE(_xlfn._xlws.FILTER('Controllable Asset Registry'!#REF!,IFERROR('Controllable Asset Registry'!#REF!=A307,FALSE),"No Equipment in entity"))</f>
        <v>#REF!</v>
      </c>
    </row>
    <row r="308" spans="1:4" x14ac:dyDescent="0.3">
      <c r="A308" t="str">
        <f t="shared" si="4"/>
        <v>entity:QNL_L1_BR6_BRIDGE_CEILING_VOID</v>
      </c>
      <c r="B308" s="23" t="s">
        <v>6923</v>
      </c>
      <c r="C308" t="s">
        <v>6924</v>
      </c>
      <c r="D308" t="e" cm="1">
        <f t="array" ref="D308">TRANSPOSE(_xlfn._xlws.FILTER('Controllable Asset Registry'!#REF!,IFERROR('Controllable Asset Registry'!#REF!=A308,FALSE),"No Equipment in entity"))</f>
        <v>#REF!</v>
      </c>
    </row>
    <row r="309" spans="1:4" x14ac:dyDescent="0.3">
      <c r="A309" t="str">
        <f t="shared" si="4"/>
        <v>entity:QNL_L1_BR5_BRIDGE_CEILING_VOID</v>
      </c>
      <c r="B309" s="23" t="s">
        <v>6925</v>
      </c>
      <c r="C309" t="s">
        <v>6924</v>
      </c>
      <c r="D309" t="e" cm="1">
        <f t="array" ref="D309">TRANSPOSE(_xlfn._xlws.FILTER('Controllable Asset Registry'!#REF!,IFERROR('Controllable Asset Registry'!#REF!=A309,FALSE),"No Equipment in entity"))</f>
        <v>#REF!</v>
      </c>
    </row>
    <row r="310" spans="1:4" x14ac:dyDescent="0.3">
      <c r="A310" t="str">
        <f t="shared" si="4"/>
        <v>entity:QNL_L1_BR4_BRIDGE_CEILING_VOID</v>
      </c>
      <c r="B310" s="23" t="s">
        <v>6926</v>
      </c>
      <c r="C310" t="s">
        <v>6924</v>
      </c>
      <c r="D310" t="e" cm="1">
        <f t="array" ref="D310">TRANSPOSE(_xlfn._xlws.FILTER('Controllable Asset Registry'!#REF!,IFERROR('Controllable Asset Registry'!#REF!=A310,FALSE),"No Equipment in entity"))</f>
        <v>#REF!</v>
      </c>
    </row>
    <row r="311" spans="1:4" x14ac:dyDescent="0.3">
      <c r="A311" t="str">
        <f t="shared" si="4"/>
        <v>entity:QNL_L1_BR3_BRIDGE_CEILING_VOID</v>
      </c>
      <c r="B311" s="23" t="s">
        <v>6927</v>
      </c>
      <c r="C311" t="s">
        <v>6924</v>
      </c>
      <c r="D311" t="e" cm="1">
        <f t="array" ref="D311">TRANSPOSE(_xlfn._xlws.FILTER('Controllable Asset Registry'!#REF!,IFERROR('Controllable Asset Registry'!#REF!=A311,FALSE),"No Equipment in entity"))</f>
        <v>#REF!</v>
      </c>
    </row>
    <row r="312" spans="1:4" x14ac:dyDescent="0.3">
      <c r="A312" t="str">
        <f t="shared" si="4"/>
        <v>entity:QNL_L1_BR2_BRIDGE_CEILING_VOID</v>
      </c>
      <c r="B312" s="23" t="s">
        <v>6928</v>
      </c>
      <c r="C312" t="s">
        <v>6924</v>
      </c>
      <c r="D312" t="e" cm="1">
        <f t="array" ref="D312">TRANSPOSE(_xlfn._xlws.FILTER('Controllable Asset Registry'!#REF!,IFERROR('Controllable Asset Registry'!#REF!=A312,FALSE),"No Equipment in entity"))</f>
        <v>#REF!</v>
      </c>
    </row>
    <row r="313" spans="1:4" x14ac:dyDescent="0.3">
      <c r="A313" t="str">
        <f t="shared" si="4"/>
        <v>entity:QNL_L1_BR1_BRIDGE_CEILING_VOID</v>
      </c>
      <c r="B313" s="23" t="s">
        <v>6929</v>
      </c>
      <c r="C313" t="s">
        <v>6924</v>
      </c>
      <c r="D313" t="e" cm="1">
        <f t="array" ref="D313">TRANSPOSE(_xlfn._xlws.FILTER('Controllable Asset Registry'!#REF!,IFERROR('Controllable Asset Registry'!#REF!=A313,FALSE),"No Equipment in entity"))</f>
        <v>#REF!</v>
      </c>
    </row>
    <row r="314" spans="1:4" x14ac:dyDescent="0.3">
      <c r="A314" t="str">
        <f t="shared" si="4"/>
        <v>entity:QNL_L1_144_ILL_DIRECTOR</v>
      </c>
      <c r="B314" s="23" t="s">
        <v>6873</v>
      </c>
      <c r="C314" t="s">
        <v>6874</v>
      </c>
      <c r="D314" t="e" cm="1">
        <f t="array" ref="D314">TRANSPOSE(_xlfn._xlws.FILTER('Controllable Asset Registry'!#REF!,IFERROR('Controllable Asset Registry'!#REF!=A314,FALSE),"No Equipment in entity"))</f>
        <v>#REF!</v>
      </c>
    </row>
    <row r="315" spans="1:4" x14ac:dyDescent="0.3">
      <c r="A315" t="str">
        <f t="shared" si="4"/>
        <v>entity:QNL_L1_150_RESTAURANT</v>
      </c>
      <c r="B315" s="23" t="s">
        <v>6875</v>
      </c>
      <c r="C315" t="s">
        <v>6727</v>
      </c>
      <c r="D315" t="e" cm="1">
        <f t="array" ref="D315">TRANSPOSE(_xlfn._xlws.FILTER('Controllable Asset Registry'!#REF!,IFERROR('Controllable Asset Registry'!#REF!=A315,FALSE),"No Equipment in entity"))</f>
        <v>#REF!</v>
      </c>
    </row>
    <row r="316" spans="1:4" x14ac:dyDescent="0.3">
      <c r="A316" t="str">
        <f t="shared" si="4"/>
        <v>entity:QNL_T1_275_IDF_ROOM</v>
      </c>
      <c r="B316" s="23" t="s">
        <v>6876</v>
      </c>
      <c r="C316" t="s">
        <v>4634</v>
      </c>
      <c r="D316" t="e" cm="1">
        <f t="array" ref="D316">TRANSPOSE(_xlfn._xlws.FILTER('Controllable Asset Registry'!#REF!,IFERROR('Controllable Asset Registry'!#REF!=A316,FALSE),"No Equipment in entity"))</f>
        <v>#REF!</v>
      </c>
    </row>
    <row r="317" spans="1:4" x14ac:dyDescent="0.3">
      <c r="A317" t="str">
        <f t="shared" si="4"/>
        <v>entity:QNL_T1_276_IDF_ROOM</v>
      </c>
      <c r="B317" s="23" t="s">
        <v>6877</v>
      </c>
      <c r="C317" t="s">
        <v>4634</v>
      </c>
      <c r="D317" t="e" cm="1">
        <f t="array" ref="D317">TRANSPOSE(_xlfn._xlws.FILTER('Controllable Asset Registry'!#REF!,IFERROR('Controllable Asset Registry'!#REF!=A317,FALSE),"No Equipment in entity"))</f>
        <v>#REF!</v>
      </c>
    </row>
    <row r="318" spans="1:4" x14ac:dyDescent="0.3">
      <c r="A318" t="str">
        <f t="shared" si="4"/>
        <v>entity:QNL_T1_171_IDF_ROOM</v>
      </c>
      <c r="B318" s="23" t="s">
        <v>6878</v>
      </c>
      <c r="C318" t="s">
        <v>4634</v>
      </c>
      <c r="D318" t="e" cm="1">
        <f t="array" ref="D318">TRANSPOSE(_xlfn._xlws.FILTER('Controllable Asset Registry'!#REF!,IFERROR('Controllable Asset Registry'!#REF!=A318,FALSE),"No Equipment in entity"))</f>
        <v>#REF!</v>
      </c>
    </row>
    <row r="319" spans="1:4" x14ac:dyDescent="0.3">
      <c r="A319" t="str">
        <f t="shared" si="4"/>
        <v>entity:QNL_T1_1714_IDF_ROOM</v>
      </c>
      <c r="B319" s="23" t="s">
        <v>6879</v>
      </c>
      <c r="C319" t="s">
        <v>4634</v>
      </c>
      <c r="D319" t="e" cm="1">
        <f t="array" ref="D319">TRANSPOSE(_xlfn._xlws.FILTER('Controllable Asset Registry'!#REF!,IFERROR('Controllable Asset Registry'!#REF!=A319,FALSE),"No Equipment in entity"))</f>
        <v>#REF!</v>
      </c>
    </row>
    <row r="320" spans="1:4" x14ac:dyDescent="0.3">
      <c r="A320" t="str">
        <f t="shared" si="4"/>
        <v>entity:QNL_L2_088_BRIDGE_RAISED_FLOOR</v>
      </c>
      <c r="B320" s="23" t="s">
        <v>6880</v>
      </c>
      <c r="C320" t="s">
        <v>6881</v>
      </c>
      <c r="D320" t="e" cm="1">
        <f t="array" ref="D320">TRANSPOSE(_xlfn._xlws.FILTER('Controllable Asset Registry'!#REF!,IFERROR('Controllable Asset Registry'!#REF!=A320,FALSE),"No Equipment in entity"))</f>
        <v>#REF!</v>
      </c>
    </row>
    <row r="321" spans="1:4" x14ac:dyDescent="0.3">
      <c r="A321" t="str">
        <f t="shared" si="4"/>
        <v>entity:QNL_B_140_HL_PLANT_ROOM</v>
      </c>
      <c r="B321" s="23" t="s">
        <v>6882</v>
      </c>
      <c r="C321" t="s">
        <v>6548</v>
      </c>
      <c r="D321" t="e" cm="1">
        <f t="array" ref="D321">TRANSPOSE(_xlfn._xlws.FILTER('Controllable Asset Registry'!#REF!,IFERROR('Controllable Asset Registry'!#REF!=A321,FALSE),"No Equipment in entity"))</f>
        <v>#REF!</v>
      </c>
    </row>
    <row r="322" spans="1:4" x14ac:dyDescent="0.3">
      <c r="A322" t="str">
        <f t="shared" ref="A322:A342" si="5">"entity:QNL_"&amp;B322&amp;"_"&amp;C322</f>
        <v>entity:QNL_B_105_SECURITY_CONTOL_ROOM</v>
      </c>
      <c r="B322" s="23" t="s">
        <v>6883</v>
      </c>
      <c r="C322" t="s">
        <v>6884</v>
      </c>
      <c r="D322" t="e" cm="1">
        <f t="array" ref="D322">TRANSPOSE(_xlfn._xlws.FILTER('Controllable Asset Registry'!#REF!,IFERROR('Controllable Asset Registry'!#REF!=A322,FALSE),"No Equipment in entity"))</f>
        <v>#REF!</v>
      </c>
    </row>
    <row r="323" spans="1:4" x14ac:dyDescent="0.3">
      <c r="A323" t="str">
        <f t="shared" si="5"/>
        <v>entity:QNL_B_212_MISTING_PUMP_ROOM</v>
      </c>
      <c r="B323" s="23" t="s">
        <v>6885</v>
      </c>
      <c r="C323" t="s">
        <v>6886</v>
      </c>
      <c r="D323" t="e" cm="1">
        <f t="array" ref="D323">TRANSPOSE(_xlfn._xlws.FILTER('Controllable Asset Registry'!#REF!,IFERROR('Controllable Asset Registry'!#REF!=A323,FALSE),"No Equipment in entity"))</f>
        <v>#REF!</v>
      </c>
    </row>
    <row r="324" spans="1:4" x14ac:dyDescent="0.3">
      <c r="A324" t="str">
        <f t="shared" si="5"/>
        <v>entity:QNL_L1_104_PRAYER_ROOM_FEMALE</v>
      </c>
      <c r="B324" s="23" t="s">
        <v>6887</v>
      </c>
      <c r="C324" t="s">
        <v>6773</v>
      </c>
      <c r="D324" t="e" cm="1">
        <f t="array" ref="D324">TRANSPOSE(_xlfn._xlws.FILTER('Controllable Asset Registry'!#REF!,IFERROR('Controllable Asset Registry'!#REF!=A324,FALSE),"No Equipment in entity"))</f>
        <v>#REF!</v>
      </c>
    </row>
    <row r="325" spans="1:4" x14ac:dyDescent="0.3">
      <c r="A325" t="str">
        <f t="shared" si="5"/>
        <v>entity:QNL_B_001A_BREAK_OUT_AREA</v>
      </c>
      <c r="B325" s="23" t="s">
        <v>6888</v>
      </c>
      <c r="C325" t="s">
        <v>6889</v>
      </c>
      <c r="D325" t="e" cm="1">
        <f t="array" ref="D325">TRANSPOSE(_xlfn._xlws.FILTER('Controllable Asset Registry'!#REF!,IFERROR('Controllable Asset Registry'!#REF!=A325,FALSE),"No Equipment in entity"))</f>
        <v>#REF!</v>
      </c>
    </row>
    <row r="326" spans="1:4" x14ac:dyDescent="0.3">
      <c r="A326" t="str">
        <f t="shared" si="5"/>
        <v>entity:QNL_B_056_OFFICE_DIG_INIT</v>
      </c>
      <c r="B326" s="23" t="s">
        <v>6891</v>
      </c>
      <c r="C326" t="s">
        <v>6467</v>
      </c>
      <c r="D326" t="e" cm="1">
        <f t="array" ref="D326">TRANSPOSE(_xlfn._xlws.FILTER('Controllable Asset Registry'!#REF!,IFERROR('Controllable Asset Registry'!#REF!=A326,FALSE),"No Equipment in entity"))</f>
        <v>#REF!</v>
      </c>
    </row>
    <row r="327" spans="1:4" x14ac:dyDescent="0.3">
      <c r="A327" t="str">
        <f t="shared" si="5"/>
        <v>entity:QNL_B_057_OFFICE_AD_FOR_LIT</v>
      </c>
      <c r="B327" s="23" t="s">
        <v>6892</v>
      </c>
      <c r="C327" t="s">
        <v>6469</v>
      </c>
      <c r="D327" t="e" cm="1">
        <f t="array" ref="D327">TRANSPOSE(_xlfn._xlws.FILTER('Controllable Asset Registry'!#REF!,IFERROR('Controllable Asset Registry'!#REF!=A327,FALSE),"No Equipment in entity"))</f>
        <v>#REF!</v>
      </c>
    </row>
    <row r="328" spans="1:4" x14ac:dyDescent="0.3">
      <c r="A328" t="str">
        <f t="shared" si="5"/>
        <v>entity:QNL_B_59_SHELL_SPACE</v>
      </c>
      <c r="B328" s="23" t="s">
        <v>6893</v>
      </c>
      <c r="C328" t="s">
        <v>4867</v>
      </c>
      <c r="D328" t="e" cm="1">
        <f t="array" ref="D328">TRANSPOSE(_xlfn._xlws.FILTER('Controllable Asset Registry'!#REF!,IFERROR('Controllable Asset Registry'!#REF!=A328,FALSE),"No Equipment in entity"))</f>
        <v>#REF!</v>
      </c>
    </row>
    <row r="329" spans="1:4" x14ac:dyDescent="0.3">
      <c r="A329" t="str">
        <f t="shared" si="5"/>
        <v>entity:QNL_B_044_BOH_KITCHEN</v>
      </c>
      <c r="B329" s="23" t="s">
        <v>6894</v>
      </c>
      <c r="C329" t="s">
        <v>6895</v>
      </c>
      <c r="D329" t="e" cm="1">
        <f t="array" ref="D329">TRANSPOSE(_xlfn._xlws.FILTER('Controllable Asset Registry'!#REF!,IFERROR('Controllable Asset Registry'!#REF!=A329,FALSE),"No Equipment in entity"))</f>
        <v>#REF!</v>
      </c>
    </row>
    <row r="330" spans="1:4" x14ac:dyDescent="0.3">
      <c r="A330" t="str">
        <f t="shared" si="5"/>
        <v>entity:QNL_L1_023_CORRIDOR</v>
      </c>
      <c r="B330" s="23" t="s">
        <v>6896</v>
      </c>
      <c r="C330" t="s">
        <v>3735</v>
      </c>
      <c r="D330" t="e" cm="1">
        <f t="array" ref="D330">TRANSPOSE(_xlfn._xlws.FILTER('Controllable Asset Registry'!#REF!,IFERROR('Controllable Asset Registry'!#REF!=A330,FALSE),"No Equipment in entity"))</f>
        <v>#REF!</v>
      </c>
    </row>
    <row r="331" spans="1:4" x14ac:dyDescent="0.3">
      <c r="A331" t="str">
        <f t="shared" si="5"/>
        <v>entity:QNL_B_061_CORRIDOR</v>
      </c>
      <c r="B331" s="23" t="s">
        <v>6897</v>
      </c>
      <c r="C331" t="s">
        <v>3735</v>
      </c>
      <c r="D331" t="e" cm="1">
        <f t="array" ref="D331">TRANSPOSE(_xlfn._xlws.FILTER('Controllable Asset Registry'!#REF!,IFERROR('Controllable Asset Registry'!#REF!=A331,FALSE),"No Equipment in entity"))</f>
        <v>#REF!</v>
      </c>
    </row>
    <row r="332" spans="1:4" x14ac:dyDescent="0.3">
      <c r="A332" t="str">
        <f t="shared" si="5"/>
        <v>entity:QNL_B_064_CORRIDOR_2</v>
      </c>
      <c r="B332" s="23" t="s">
        <v>6898</v>
      </c>
      <c r="C332" t="s">
        <v>6899</v>
      </c>
      <c r="D332" t="e" cm="1">
        <f t="array" ref="D332">TRANSPOSE(_xlfn._xlws.FILTER('Controllable Asset Registry'!#REF!,IFERROR('Controllable Asset Registry'!#REF!=A332,FALSE),"No Equipment in entity"))</f>
        <v>#REF!</v>
      </c>
    </row>
    <row r="333" spans="1:4" x14ac:dyDescent="0.3">
      <c r="A333" t="str">
        <f t="shared" si="5"/>
        <v>entity:QNL_B_035_CORRIDOR_4</v>
      </c>
      <c r="B333" s="23" t="s">
        <v>6900</v>
      </c>
      <c r="C333" t="s">
        <v>6901</v>
      </c>
      <c r="D333" t="e" cm="1">
        <f t="array" ref="D333">TRANSPOSE(_xlfn._xlws.FILTER('Controllable Asset Registry'!#REF!,IFERROR('Controllable Asset Registry'!#REF!=A333,FALSE),"No Equipment in entity"))</f>
        <v>#REF!</v>
      </c>
    </row>
    <row r="334" spans="1:4" x14ac:dyDescent="0.3">
      <c r="A334" t="str">
        <f t="shared" si="5"/>
        <v>entity:QNL_B_104A_PLANT_ROOM</v>
      </c>
      <c r="B334" s="23" t="s">
        <v>6902</v>
      </c>
      <c r="C334" t="s">
        <v>5041</v>
      </c>
      <c r="D334" t="e" cm="1">
        <f t="array" ref="D334">TRANSPOSE(_xlfn._xlws.FILTER('Controllable Asset Registry'!#REF!,IFERROR('Controllable Asset Registry'!#REF!=A334,FALSE),"No Equipment in entity"))</f>
        <v>#REF!</v>
      </c>
    </row>
    <row r="335" spans="1:4" x14ac:dyDescent="0.3">
      <c r="A335" t="str">
        <f t="shared" si="5"/>
        <v>entity:QNL_B_052_CORRIDOR_3</v>
      </c>
      <c r="B335" s="23" t="s">
        <v>6903</v>
      </c>
      <c r="C335" t="s">
        <v>6904</v>
      </c>
      <c r="D335" t="e" cm="1">
        <f t="array" ref="D335">TRANSPOSE(_xlfn._xlws.FILTER('Controllable Asset Registry'!#REF!,IFERROR('Controllable Asset Registry'!#REF!=A335,FALSE),"No Equipment in entity"))</f>
        <v>#REF!</v>
      </c>
    </row>
    <row r="336" spans="1:4" x14ac:dyDescent="0.3">
      <c r="A336" t="str">
        <f t="shared" si="5"/>
        <v>entity:QNL_L1_990_VESTIBULE</v>
      </c>
      <c r="B336" s="23" t="s">
        <v>6905</v>
      </c>
      <c r="C336" t="s">
        <v>3758</v>
      </c>
      <c r="D336" t="e" cm="1">
        <f t="array" ref="D336">TRANSPOSE(_xlfn._xlws.FILTER('Controllable Asset Registry'!#REF!,IFERROR('Controllable Asset Registry'!#REF!=A336,FALSE),"No Equipment in entity"))</f>
        <v>#REF!</v>
      </c>
    </row>
    <row r="337" spans="1:4" x14ac:dyDescent="0.3">
      <c r="A337" t="str">
        <f t="shared" si="5"/>
        <v>entity:QNL_L1_991_EXTERNAL_BOOK_DROP</v>
      </c>
      <c r="B337" s="23" t="s">
        <v>6906</v>
      </c>
      <c r="C337" t="s">
        <v>6907</v>
      </c>
      <c r="D337" t="e" cm="1">
        <f t="array" ref="D337">TRANSPOSE(_xlfn._xlws.FILTER('Controllable Asset Registry'!#REF!,IFERROR('Controllable Asset Registry'!#REF!=A337,FALSE),"No Equipment in entity"))</f>
        <v>#REF!</v>
      </c>
    </row>
    <row r="338" spans="1:4" x14ac:dyDescent="0.3">
      <c r="A338" t="str">
        <f t="shared" si="5"/>
        <v>entity:QNL_L2_992_GULF_MATERIAL</v>
      </c>
      <c r="B338" s="23" t="s">
        <v>6908</v>
      </c>
      <c r="C338" t="s">
        <v>6909</v>
      </c>
      <c r="D338" t="e" cm="1">
        <f t="array" ref="D338">TRANSPOSE(_xlfn._xlws.FILTER('Controllable Asset Registry'!#REF!,IFERROR('Controllable Asset Registry'!#REF!=A338,FALSE),"No Equipment in entity"))</f>
        <v>#REF!</v>
      </c>
    </row>
    <row r="339" spans="1:4" x14ac:dyDescent="0.3">
      <c r="A339" t="str">
        <f t="shared" si="5"/>
        <v>entity:QNL_L2_993_CORRIDOR</v>
      </c>
      <c r="B339" s="23" t="s">
        <v>6910</v>
      </c>
      <c r="C339" t="s">
        <v>3735</v>
      </c>
      <c r="D339" t="e" cm="1">
        <f t="array" ref="D339">TRANSPOSE(_xlfn._xlws.FILTER('Controllable Asset Registry'!#REF!,IFERROR('Controllable Asset Registry'!#REF!=A339,FALSE),"No Equipment in entity"))</f>
        <v>#REF!</v>
      </c>
    </row>
    <row r="340" spans="1:4" x14ac:dyDescent="0.3">
      <c r="A340" t="str">
        <f t="shared" si="5"/>
        <v>entity:QNL_L1_BC1_BRIDGE_CEILING</v>
      </c>
      <c r="B340" s="23" t="s">
        <v>6930</v>
      </c>
      <c r="C340" t="s">
        <v>6931</v>
      </c>
      <c r="D340" t="e" cm="1">
        <f t="array" ref="D340">TRANSPOSE(_xlfn._xlws.FILTER('Controllable Asset Registry'!#REF!,IFERROR('Controllable Asset Registry'!#REF!=A340,FALSE),"No Equipment in entity"))</f>
        <v>#REF!</v>
      </c>
    </row>
    <row r="341" spans="1:4" x14ac:dyDescent="0.3">
      <c r="A341" t="str">
        <f t="shared" si="5"/>
        <v>entity:QNL_L1_BC2_BRIDGE_CEILING</v>
      </c>
      <c r="B341" s="23" t="s">
        <v>6932</v>
      </c>
      <c r="C341" t="s">
        <v>6931</v>
      </c>
      <c r="D341" t="e" cm="1">
        <f t="array" ref="D341">TRANSPOSE(_xlfn._xlws.FILTER('Controllable Asset Registry'!#REF!,IFERROR('Controllable Asset Registry'!#REF!=A341,FALSE),"No Equipment in entity"))</f>
        <v>#REF!</v>
      </c>
    </row>
    <row r="342" spans="1:4" x14ac:dyDescent="0.3">
      <c r="A342" t="str">
        <f t="shared" si="5"/>
        <v>entity:QNL_L1_BI_BRIDGE_IDF</v>
      </c>
      <c r="B342" s="23" t="s">
        <v>6933</v>
      </c>
      <c r="C342" t="s">
        <v>6934</v>
      </c>
      <c r="D342" t="e" cm="1">
        <f t="array" ref="D342">TRANSPOSE(_xlfn._xlws.FILTER('Controllable Asset Registry'!#REF!,IFERROR('Controllable Asset Registry'!#REF!=A342,FALSE),"No Equipment in entity"))</f>
        <v>#REF!</v>
      </c>
    </row>
    <row r="343" spans="1:4" x14ac:dyDescent="0.3">
      <c r="A343" t="str">
        <f t="shared" ref="A343:A353" si="6">"entity:QNL_"&amp;B343&amp;"_"&amp;C343</f>
        <v>entity:QNL_B_083_HV_ROOM</v>
      </c>
      <c r="B343" s="23" t="s">
        <v>6947</v>
      </c>
      <c r="C343" t="s">
        <v>6948</v>
      </c>
      <c r="D343" t="e" cm="1">
        <f t="array" ref="D343">TRANSPOSE(_xlfn._xlws.FILTER('Controllable Asset Registry'!#REF!,IFERROR('Controllable Asset Registry'!#REF!=A343,FALSE),"No Equipment in entity"))</f>
        <v>#REF!</v>
      </c>
    </row>
    <row r="344" spans="1:4" x14ac:dyDescent="0.3">
      <c r="A344" t="str">
        <f t="shared" si="6"/>
        <v>entity:QNL_B_045A_REFRIGERATE_STORE</v>
      </c>
      <c r="B344" s="23" t="s">
        <v>6949</v>
      </c>
      <c r="C344" t="s">
        <v>6950</v>
      </c>
      <c r="D344" t="e" cm="1">
        <f t="array" ref="D344">TRANSPOSE(_xlfn._xlws.FILTER('Controllable Asset Registry'!#REF!,IFERROR('Controllable Asset Registry'!#REF!=A344,FALSE),"No Equipment in entity"))</f>
        <v>#REF!</v>
      </c>
    </row>
    <row r="345" spans="1:4" x14ac:dyDescent="0.3">
      <c r="A345" t="str">
        <f t="shared" si="6"/>
        <v>entity:QNL_P_004_PLANT_ZONE</v>
      </c>
      <c r="B345" s="23" t="s">
        <v>6951</v>
      </c>
      <c r="C345" t="s">
        <v>6952</v>
      </c>
      <c r="D345" t="e" cm="1">
        <f t="array" ref="D345">TRANSPOSE(_xlfn._xlws.FILTER('Controllable Asset Registry'!#REF!,IFERROR('Controllable Asset Registry'!#REF!=A345,FALSE),"No Equipment in entity"))</f>
        <v>#REF!</v>
      </c>
    </row>
    <row r="346" spans="1:4" x14ac:dyDescent="0.3">
      <c r="A346" t="str">
        <f t="shared" si="6"/>
        <v>entity:QNL_B_055_DIGITIZATION_CENTER</v>
      </c>
      <c r="B346" s="23" t="s">
        <v>6953</v>
      </c>
      <c r="C346" t="s">
        <v>6954</v>
      </c>
      <c r="D346" t="e" cm="1">
        <f t="array" ref="D346">TRANSPOSE(_xlfn._xlws.FILTER('Controllable Asset Registry'!#REF!,IFERROR('Controllable Asset Registry'!#REF!=A346,FALSE),"No Equipment in entity"))</f>
        <v>#REF!</v>
      </c>
    </row>
    <row r="347" spans="1:4" x14ac:dyDescent="0.3">
      <c r="A347" t="str">
        <f t="shared" si="6"/>
        <v>entity:QNL_B_214_IDF_ROOM</v>
      </c>
      <c r="B347" s="23" t="s">
        <v>6955</v>
      </c>
      <c r="C347" t="s">
        <v>4634</v>
      </c>
      <c r="D347" t="e" cm="1">
        <f t="array" ref="D347">TRANSPOSE(_xlfn._xlws.FILTER('Controllable Asset Registry'!#REF!,IFERROR('Controllable Asset Registry'!#REF!=A347,FALSE),"No Equipment in entity"))</f>
        <v>#REF!</v>
      </c>
    </row>
    <row r="348" spans="1:4" x14ac:dyDescent="0.3">
      <c r="A348" t="str">
        <f t="shared" si="6"/>
        <v>entity:QNL_P_002_PLANT_ZONE</v>
      </c>
      <c r="B348" s="23" t="s">
        <v>6956</v>
      </c>
      <c r="C348" t="s">
        <v>6952</v>
      </c>
      <c r="D348" t="e" cm="1">
        <f t="array" ref="D348">TRANSPOSE(_xlfn._xlws.FILTER('Controllable Asset Registry'!#REF!,IFERROR('Controllable Asset Registry'!#REF!=A348,FALSE),"No Equipment in entity"))</f>
        <v>#REF!</v>
      </c>
    </row>
    <row r="349" spans="1:4" x14ac:dyDescent="0.3">
      <c r="A349" t="str">
        <f t="shared" si="6"/>
        <v>entity:QNL_P_007_PLANT_ZONE</v>
      </c>
      <c r="B349" s="23" t="s">
        <v>6957</v>
      </c>
      <c r="C349" t="s">
        <v>6952</v>
      </c>
      <c r="D349" t="e" cm="1">
        <f t="array" ref="D349">TRANSPOSE(_xlfn._xlws.FILTER('Controllable Asset Registry'!#REF!,IFERROR('Controllable Asset Registry'!#REF!=A349,FALSE),"No Equipment in entity"))</f>
        <v>#REF!</v>
      </c>
    </row>
    <row r="350" spans="1:4" x14ac:dyDescent="0.3">
      <c r="A350" t="str">
        <f t="shared" si="6"/>
        <v>entity:QNL_L1_067_RESTAURANT</v>
      </c>
      <c r="B350" s="23" t="s">
        <v>6958</v>
      </c>
      <c r="C350" t="s">
        <v>6727</v>
      </c>
      <c r="D350" t="e" cm="1">
        <f t="array" ref="D350">TRANSPOSE(_xlfn._xlws.FILTER('Controllable Asset Registry'!#REF!,IFERROR('Controllable Asset Registry'!#REF!=A350,FALSE),"No Equipment in entity"))</f>
        <v>#REF!</v>
      </c>
    </row>
    <row r="351" spans="1:4" x14ac:dyDescent="0.3">
      <c r="A351" t="str">
        <f t="shared" si="6"/>
        <v>entity:QNL_P_006_PLANT_ZONE</v>
      </c>
      <c r="B351" s="23" t="s">
        <v>6959</v>
      </c>
      <c r="C351" t="s">
        <v>6952</v>
      </c>
      <c r="D351" t="e" cm="1">
        <f t="array" ref="D351">TRANSPOSE(_xlfn._xlws.FILTER('Controllable Asset Registry'!#REF!,IFERROR('Controllable Asset Registry'!#REF!=A351,FALSE),"No Equipment in entity"))</f>
        <v>#REF!</v>
      </c>
    </row>
    <row r="352" spans="1:4" x14ac:dyDescent="0.3">
      <c r="A352" t="str">
        <f t="shared" si="6"/>
        <v>entity:QNL_L1-E2_ELEC_SHAFT</v>
      </c>
      <c r="B352" s="23" t="s">
        <v>6960</v>
      </c>
      <c r="C352" t="s">
        <v>6961</v>
      </c>
      <c r="D352" t="e" cm="1">
        <f t="array" ref="D352">TRANSPOSE(_xlfn._xlws.FILTER('Controllable Asset Registry'!#REF!,IFERROR('Controllable Asset Registry'!#REF!=A352,FALSE),"No Equipment in entity"))</f>
        <v>#REF!</v>
      </c>
    </row>
    <row r="353" spans="1:4" x14ac:dyDescent="0.3">
      <c r="A353" t="str">
        <f t="shared" si="6"/>
        <v>entity:QNL_L1-E1_ELEC_SHAFT</v>
      </c>
      <c r="B353" s="23" t="s">
        <v>6962</v>
      </c>
      <c r="C353" t="s">
        <v>6961</v>
      </c>
      <c r="D353" t="e" cm="1">
        <f t="array" ref="D353">TRANSPOSE(_xlfn._xlws.FILTER('Controllable Asset Registry'!#REF!,IFERROR('Controllable Asset Registry'!#REF!=A353,FALSE),"No Equipment in entity"))</f>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1" ma:contentTypeDescription="Create a new document." ma:contentTypeScope="" ma:versionID="870beaa49515d60df3cc91932dd2f396">
  <xsd:schema xmlns:xsd="http://www.w3.org/2001/XMLSchema" xmlns:xs="http://www.w3.org/2001/XMLSchema" xmlns:p="http://schemas.microsoft.com/office/2006/metadata/properties" xmlns:ns3="dcb4b79b-439c-444a-b500-5bf636d4983e" targetNamespace="http://schemas.microsoft.com/office/2006/metadata/properties" ma:root="true" ma:fieldsID="1373e2df3daab62917bc319af76ccf92"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75CF60-1C76-497B-8393-4332F8FF61F1}">
  <ds:schemaRefs>
    <ds:schemaRef ds:uri="http://schemas.microsoft.com/office/2006/documentManagement/types"/>
    <ds:schemaRef ds:uri="http://purl.org/dc/dcmitype/"/>
    <ds:schemaRef ds:uri="http://purl.org/dc/elements/1.1/"/>
    <ds:schemaRef ds:uri="http://purl.org/dc/terms/"/>
    <ds:schemaRef ds:uri="dcb4b79b-439c-444a-b500-5bf636d4983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AD6DDF89-0D09-4457-8566-8C67C764B12A}">
  <ds:schemaRefs>
    <ds:schemaRef ds:uri="http://schemas.microsoft.com/sharepoint/v3/contenttype/forms"/>
  </ds:schemaRefs>
</ds:datastoreItem>
</file>

<file path=customXml/itemProps3.xml><?xml version="1.0" encoding="utf-8"?>
<ds:datastoreItem xmlns:ds="http://schemas.openxmlformats.org/officeDocument/2006/customXml" ds:itemID="{DF721408-09EC-4E64-93AB-4145A7E95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Claude Log</vt:lpstr>
      <vt:lpstr>HQ Asset Register</vt:lpstr>
      <vt:lpstr>QNL Asset Register</vt:lpstr>
      <vt:lpstr>SSC Asset Register</vt:lpstr>
      <vt:lpstr>RDC Asset Register</vt:lpstr>
      <vt:lpstr>Controllable Asset Registry</vt:lpstr>
      <vt:lpstr>SSC Room Names with Equip.</vt:lpstr>
      <vt:lpstr>HQ Room Names with Equip.</vt:lpstr>
      <vt:lpstr>QNL Room Names with Equip.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cp:revision>0</cp:revision>
  <dcterms:created xsi:type="dcterms:W3CDTF">2026-06-09T11:52:24Z</dcterms:created>
  <dcterms:modified xsi:type="dcterms:W3CDTF">2026-09-02T06:45:03Z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